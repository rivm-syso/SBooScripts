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nadsad/Documents/GitHub/SBooScripts/vignettes/CaseStudies/FateFactorsUpdate/"/>
    </mc:Choice>
  </mc:AlternateContent>
  <xr:revisionPtr revIDLastSave="0" documentId="13_ncr:1_{C8FD61C5-6249-8A4F-9998-61E1E07048DD}" xr6:coauthVersionLast="47" xr6:coauthVersionMax="47" xr10:uidLastSave="{00000000-0000-0000-0000-000000000000}"/>
  <bookViews>
    <workbookView xWindow="0" yWindow="660" windowWidth="29400" windowHeight="16980" firstSheet="1" activeTab="7" xr2:uid="{22A921CC-F035-452E-8B19-6155CEDFB8AE}"/>
  </bookViews>
  <sheets>
    <sheet name="description" sheetId="10" r:id="rId1"/>
    <sheet name="1.1.SSDR_water" sheetId="7" r:id="rId2"/>
    <sheet name="1.2.SSDR_sediment" sheetId="8" r:id="rId3"/>
    <sheet name="1.3.SSDR_soil" sheetId="9" r:id="rId4"/>
    <sheet name="1.4.plasticFADE constants" sheetId="31" r:id="rId5"/>
    <sheet name="2.1. Sed_rates" sheetId="13" r:id="rId6"/>
    <sheet name="4.1.Regio_param (2)" sheetId="17" r:id="rId7"/>
    <sheet name="4.1.Regio_param" sheetId="15" r:id="rId8"/>
    <sheet name="Polymer_list" sheetId="18" r:id="rId9"/>
    <sheet name="polymer_data_CI" sheetId="25" r:id="rId10"/>
    <sheet name="UVintensity" sheetId="30" r:id="rId11"/>
    <sheet name="EEF_CI" sheetId="26" r:id="rId12"/>
    <sheet name="nomenclature stresses" sheetId="22" r:id="rId13"/>
    <sheet name="L-H-W" sheetId="19" r:id="rId14"/>
    <sheet name="2.1.C_G" sheetId="24" r:id="rId15"/>
    <sheet name="4.2.Calc_regio_depth_surface" sheetId="14" r:id="rId16"/>
    <sheet name="References" sheetId="16" r:id="rId17"/>
  </sheets>
  <externalReferences>
    <externalReference r:id="rId18"/>
    <externalReference r:id="rId19"/>
    <externalReference r:id="rId20"/>
  </externalReferences>
  <definedNames>
    <definedName name="AREAland.C">[1]input!$L$287</definedName>
    <definedName name="AREAland.R">[1]input!$L$259</definedName>
    <definedName name="AREAsea.C">[1]input!$L$288</definedName>
    <definedName name="AREAsea.R">[1]input!$L$260</definedName>
    <definedName name="_xlnm.Database">#REF!</definedName>
    <definedName name="DEPTHfreshwater.C">[1]input!$L$300</definedName>
    <definedName name="DEPTHfreshwater.R">[1]input!$L$270</definedName>
    <definedName name="DEPTHlake.C">[1]input!$L$299</definedName>
    <definedName name="DEPTHlake.R">[1]input!$L$269</definedName>
    <definedName name="FRACagsoil.C">[1]input!$L$294</definedName>
    <definedName name="FRACfresh.C">[1]input!$L$292</definedName>
    <definedName name="FRAClake.C">[1]input!$L$291</definedName>
    <definedName name="FRACnatsoil.C">[1]input!$L$293</definedName>
    <definedName name="FRACothersoil.C">[1]input!$L$295</definedName>
    <definedName name="période_sélectionnée">[2]Echéancier!$H$2</definedName>
    <definedName name="PériodeDansPlan">[2]Echéancier!A$5=MEDIAN([2]Echéancier!A$5,[2]Echéancier!$C1,[2]Echéancier!$C1+[2]Echéancier!$D1-1)</definedName>
    <definedName name="PériodeDansRéel">[2]Echéancier!A$5=MEDIAN([2]Echéancier!A$5,[2]Echéancier!$E1,[2]Echéancier!$E1+[2]Echéancier!$F1-1)</definedName>
    <definedName name="Plan">PériodeDansPlan*([2]Echéancier!$C1&gt;0)</definedName>
    <definedName name="PourcentageAccompli">PourcentageAccompliAuDelà*PériodeDansPlan</definedName>
    <definedName name="PourcentageAccompliAuDelà">([2]Echéancier!A$5=MEDIAN([2]Echéancier!A$5,[2]Echéancier!$E1,[2]Echéancier!$E1+[2]Echéancier!$F1)*([2]Echéancier!$E1&gt;0))*(([2]Echéancier!A$5&lt;(INT([2]Echéancier!$E1+[2]Echéancier!$F1*[2]Echéancier!$G1)))+([2]Echéancier!A$5=[2]Echéancier!$E1))*([2]Echéancier!$G1&gt;0)</definedName>
    <definedName name="Réel">(PériodeDansRéel*([2]Echéancier!$E1&gt;0))*PériodeDansPlan</definedName>
    <definedName name="RéelAuDelà">PériodeDansRéel*([2]Echéancier!$E1&gt;0)</definedName>
    <definedName name="RegionBaseRowNr">[3]Run!$F$10</definedName>
    <definedName name="solver_adj" localSheetId="6" hidden="1">'4.1.Regio_param (2)'!$B$12</definedName>
    <definedName name="solver_cvg" localSheetId="6" hidden="1">0.000001</definedName>
    <definedName name="solver_drv" localSheetId="6" hidden="1">1</definedName>
    <definedName name="solver_eng" localSheetId="6" hidden="1">3</definedName>
    <definedName name="solver_itr" localSheetId="6" hidden="1">2147483647</definedName>
    <definedName name="solver_lhs1" localSheetId="6" hidden="1">'4.1.Regio_param (2)'!$B$12</definedName>
    <definedName name="solver_lhs2" localSheetId="6" hidden="1">'4.1.Regio_param (2)'!$B$12</definedName>
    <definedName name="solver_lin" localSheetId="6" hidden="1">2</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2</definedName>
    <definedName name="solver_opt" localSheetId="6" hidden="1">'4.1.Regio_param (2)'!$B$47</definedName>
    <definedName name="solver_pre" localSheetId="6" hidden="1">0.000001</definedName>
    <definedName name="solver_rbv" localSheetId="6" hidden="1">1</definedName>
    <definedName name="solver_rel1" localSheetId="6" hidden="1">1</definedName>
    <definedName name="solver_rel2" localSheetId="6" hidden="1">3</definedName>
    <definedName name="solver_rhs1" localSheetId="6" hidden="1">1</definedName>
    <definedName name="solver_rhs2" localSheetId="6" hidden="1">0.000000001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3</definedName>
    <definedName name="solver_val" localSheetId="6" hidden="1">0</definedName>
    <definedName name="solver_ver" localSheetId="6" hidden="1">2</definedName>
    <definedName name="SYSTEMAREA.C">[1]continental!$L$16</definedName>
    <definedName name="SYSTEMAREA.R">[1]regional!$L$16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30" l="1"/>
  <c r="E9" i="31"/>
  <c r="I13" i="25" s="1"/>
  <c r="I211" i="25"/>
  <c r="H211" i="25"/>
  <c r="I210" i="25"/>
  <c r="H210" i="25"/>
  <c r="I209" i="25"/>
  <c r="H209" i="25"/>
  <c r="I208" i="25"/>
  <c r="H208" i="25"/>
  <c r="I207" i="25"/>
  <c r="H207" i="25"/>
  <c r="I206" i="25"/>
  <c r="H206" i="25"/>
  <c r="I205" i="25"/>
  <c r="H205" i="25"/>
  <c r="I204" i="25"/>
  <c r="H204" i="25"/>
  <c r="I203" i="25"/>
  <c r="H203" i="25"/>
  <c r="I202" i="25"/>
  <c r="H202" i="25"/>
  <c r="I201" i="25"/>
  <c r="H201" i="25"/>
  <c r="I200" i="25"/>
  <c r="H200" i="25"/>
  <c r="I199" i="25"/>
  <c r="H199" i="25"/>
  <c r="I198" i="25"/>
  <c r="H198" i="25"/>
  <c r="I197" i="25"/>
  <c r="H197" i="25"/>
  <c r="I196" i="25"/>
  <c r="H196" i="25"/>
  <c r="I195" i="25"/>
  <c r="H195" i="25"/>
  <c r="I194" i="25"/>
  <c r="H194" i="25"/>
  <c r="I193" i="25"/>
  <c r="H193" i="25"/>
  <c r="I192" i="25"/>
  <c r="H192" i="25"/>
  <c r="I191" i="25"/>
  <c r="H191" i="25"/>
  <c r="I190" i="25"/>
  <c r="H190" i="25"/>
  <c r="I189" i="25"/>
  <c r="H189" i="25"/>
  <c r="I188" i="25"/>
  <c r="H188" i="25"/>
  <c r="I187" i="25"/>
  <c r="H187" i="25"/>
  <c r="I186" i="25"/>
  <c r="H186" i="25"/>
  <c r="I185" i="25"/>
  <c r="H185" i="25"/>
  <c r="I184" i="25"/>
  <c r="H184" i="25"/>
  <c r="I183" i="25"/>
  <c r="H183" i="25"/>
  <c r="I182" i="25"/>
  <c r="H182" i="25"/>
  <c r="I181" i="25"/>
  <c r="H181" i="25"/>
  <c r="I180" i="25"/>
  <c r="H180" i="25"/>
  <c r="I179" i="25"/>
  <c r="H179" i="25"/>
  <c r="I178" i="25"/>
  <c r="H178" i="25"/>
  <c r="I177" i="25"/>
  <c r="H177" i="25"/>
  <c r="I176" i="25"/>
  <c r="H176" i="25"/>
  <c r="I175" i="25"/>
  <c r="H175" i="25"/>
  <c r="I174" i="25"/>
  <c r="H174" i="25"/>
  <c r="I173" i="25"/>
  <c r="H173" i="25"/>
  <c r="I172" i="25"/>
  <c r="H172" i="25"/>
  <c r="I171" i="25"/>
  <c r="H171" i="25"/>
  <c r="I170" i="25"/>
  <c r="H170" i="25"/>
  <c r="I169" i="25"/>
  <c r="H169" i="25"/>
  <c r="I168" i="25"/>
  <c r="H168" i="25"/>
  <c r="I167" i="25"/>
  <c r="H167" i="25"/>
  <c r="I166" i="25"/>
  <c r="H166" i="25"/>
  <c r="I165" i="25"/>
  <c r="H165" i="25"/>
  <c r="I164" i="25"/>
  <c r="H164" i="25"/>
  <c r="I163" i="25"/>
  <c r="H163" i="25"/>
  <c r="I162" i="25"/>
  <c r="H162" i="25"/>
  <c r="I161" i="25"/>
  <c r="H161" i="25"/>
  <c r="I160" i="25"/>
  <c r="H160" i="25"/>
  <c r="I159" i="25"/>
  <c r="H159" i="25"/>
  <c r="I158" i="25"/>
  <c r="H158" i="25"/>
  <c r="I157" i="25"/>
  <c r="H157" i="25"/>
  <c r="I156" i="25"/>
  <c r="H156" i="25"/>
  <c r="I155" i="25"/>
  <c r="H155" i="25"/>
  <c r="I154" i="25"/>
  <c r="H154" i="25"/>
  <c r="I153" i="25"/>
  <c r="H153" i="25"/>
  <c r="I152" i="25"/>
  <c r="H152" i="25"/>
  <c r="I151" i="25"/>
  <c r="H151" i="25"/>
  <c r="I150" i="25"/>
  <c r="H150" i="25"/>
  <c r="I149" i="25"/>
  <c r="H149" i="25"/>
  <c r="I148" i="25"/>
  <c r="H148" i="25"/>
  <c r="I147" i="25"/>
  <c r="H147" i="25"/>
  <c r="I146" i="25"/>
  <c r="H146" i="25"/>
  <c r="I145" i="25"/>
  <c r="H145" i="25"/>
  <c r="I144" i="25"/>
  <c r="H144" i="25"/>
  <c r="I143" i="25"/>
  <c r="H143" i="25"/>
  <c r="I142" i="25"/>
  <c r="H142" i="25"/>
  <c r="I141" i="25"/>
  <c r="H141" i="25"/>
  <c r="I140" i="25"/>
  <c r="H140" i="25"/>
  <c r="I139" i="25"/>
  <c r="H139" i="25"/>
  <c r="I138" i="25"/>
  <c r="H138" i="25"/>
  <c r="I137" i="25"/>
  <c r="H137" i="25"/>
  <c r="I136" i="25"/>
  <c r="H136" i="25"/>
  <c r="I135" i="25"/>
  <c r="H135" i="25"/>
  <c r="I134" i="25"/>
  <c r="H134" i="25"/>
  <c r="I133" i="25"/>
  <c r="H133" i="25"/>
  <c r="I132" i="25"/>
  <c r="H132" i="25"/>
  <c r="I131" i="25"/>
  <c r="H131" i="25"/>
  <c r="I130" i="25"/>
  <c r="H130" i="25"/>
  <c r="I129" i="25"/>
  <c r="H129" i="25"/>
  <c r="I128" i="25"/>
  <c r="H128" i="25"/>
  <c r="I127" i="25"/>
  <c r="H127" i="25"/>
  <c r="I126" i="25"/>
  <c r="H126" i="25"/>
  <c r="I125" i="25"/>
  <c r="H125" i="25"/>
  <c r="I124" i="25"/>
  <c r="H124" i="25"/>
  <c r="I123" i="25"/>
  <c r="H123" i="25"/>
  <c r="I122" i="25"/>
  <c r="H122" i="25"/>
  <c r="I121" i="25"/>
  <c r="H121" i="25"/>
  <c r="I120" i="25"/>
  <c r="H120" i="25"/>
  <c r="I119" i="25"/>
  <c r="H119" i="25"/>
  <c r="I118" i="25"/>
  <c r="H118" i="25"/>
  <c r="I117" i="25"/>
  <c r="H117" i="25"/>
  <c r="I116" i="25"/>
  <c r="H116" i="25"/>
  <c r="I115" i="25"/>
  <c r="H115" i="25"/>
  <c r="I114" i="25"/>
  <c r="H114" i="25"/>
  <c r="I113" i="25"/>
  <c r="H113" i="25"/>
  <c r="I112" i="25"/>
  <c r="H112" i="25"/>
  <c r="I111" i="25"/>
  <c r="H111" i="25"/>
  <c r="I110" i="25"/>
  <c r="H110" i="25"/>
  <c r="I109" i="25"/>
  <c r="H109" i="25"/>
  <c r="I108" i="25"/>
  <c r="H108" i="25"/>
  <c r="I107" i="25"/>
  <c r="H107" i="25"/>
  <c r="I106" i="25"/>
  <c r="H106" i="25"/>
  <c r="I105" i="25"/>
  <c r="H105" i="25"/>
  <c r="I104" i="25"/>
  <c r="H104" i="25"/>
  <c r="I103" i="25"/>
  <c r="H103" i="25"/>
  <c r="I102" i="25"/>
  <c r="H102" i="25"/>
  <c r="I101" i="25"/>
  <c r="H101" i="25"/>
  <c r="I100" i="25"/>
  <c r="H100" i="25"/>
  <c r="I99" i="25"/>
  <c r="H99" i="25"/>
  <c r="I98" i="25"/>
  <c r="H98" i="25"/>
  <c r="I97" i="25"/>
  <c r="H97" i="25"/>
  <c r="I96" i="25"/>
  <c r="H96" i="25"/>
  <c r="I95" i="25"/>
  <c r="H95" i="25"/>
  <c r="I94" i="25"/>
  <c r="H94" i="25"/>
  <c r="I93" i="25"/>
  <c r="H93" i="25"/>
  <c r="I92" i="25"/>
  <c r="H92" i="25"/>
  <c r="I91" i="25"/>
  <c r="H91" i="25"/>
  <c r="I90" i="25"/>
  <c r="H90" i="25"/>
  <c r="I89" i="25"/>
  <c r="H89" i="25"/>
  <c r="I88" i="25"/>
  <c r="H88" i="25"/>
  <c r="I87" i="25"/>
  <c r="H87" i="25"/>
  <c r="I86" i="25"/>
  <c r="H86" i="25"/>
  <c r="I85" i="25"/>
  <c r="H85" i="25"/>
  <c r="I84" i="25"/>
  <c r="H84" i="25"/>
  <c r="I83" i="25"/>
  <c r="H83" i="25"/>
  <c r="I82" i="25"/>
  <c r="H82" i="25"/>
  <c r="I81" i="25"/>
  <c r="H81" i="25"/>
  <c r="I80" i="25"/>
  <c r="H80" i="25"/>
  <c r="I79" i="25"/>
  <c r="H79" i="25"/>
  <c r="I78" i="25"/>
  <c r="H78" i="25"/>
  <c r="I77" i="25"/>
  <c r="H77" i="25"/>
  <c r="I76" i="25"/>
  <c r="H76" i="25"/>
  <c r="I75" i="25"/>
  <c r="H75" i="25"/>
  <c r="I74" i="25"/>
  <c r="H74" i="25"/>
  <c r="I73" i="25"/>
  <c r="H73" i="25"/>
  <c r="I72" i="25"/>
  <c r="H72" i="25"/>
  <c r="I71" i="25"/>
  <c r="H71" i="25"/>
  <c r="I70" i="25"/>
  <c r="H70" i="25"/>
  <c r="I69" i="25"/>
  <c r="H69" i="25"/>
  <c r="I68" i="25"/>
  <c r="H68" i="25"/>
  <c r="I67" i="25"/>
  <c r="H67" i="25"/>
  <c r="I66" i="25"/>
  <c r="H66" i="25"/>
  <c r="I65" i="25"/>
  <c r="H65" i="25"/>
  <c r="I64" i="25"/>
  <c r="H64" i="25"/>
  <c r="I63" i="25"/>
  <c r="H63" i="25"/>
  <c r="I62" i="25"/>
  <c r="H62" i="25"/>
  <c r="I61" i="25"/>
  <c r="H61" i="25"/>
  <c r="I60" i="25"/>
  <c r="H60" i="25"/>
  <c r="I59" i="25"/>
  <c r="H59" i="25"/>
  <c r="I58" i="25"/>
  <c r="H58" i="25"/>
  <c r="I57" i="25"/>
  <c r="H57" i="25"/>
  <c r="I56" i="25"/>
  <c r="H56" i="25"/>
  <c r="I55" i="25"/>
  <c r="H55" i="25"/>
  <c r="I54" i="25"/>
  <c r="H54" i="25"/>
  <c r="I53" i="25"/>
  <c r="H53" i="25"/>
  <c r="I52" i="25"/>
  <c r="H52" i="25"/>
  <c r="I33" i="25"/>
  <c r="H33" i="25"/>
  <c r="I32" i="25"/>
  <c r="H32" i="25"/>
  <c r="I31" i="25"/>
  <c r="H31" i="25"/>
  <c r="I30" i="25"/>
  <c r="H30" i="25"/>
  <c r="I29" i="25"/>
  <c r="H29" i="25"/>
  <c r="I28" i="25"/>
  <c r="H28" i="25"/>
  <c r="I27" i="25"/>
  <c r="H27" i="25"/>
  <c r="I26" i="25"/>
  <c r="H26" i="25"/>
  <c r="I25" i="25"/>
  <c r="H25" i="25"/>
  <c r="I24" i="25"/>
  <c r="H24" i="25"/>
  <c r="I10" i="25"/>
  <c r="I11" i="25"/>
  <c r="I9" i="25"/>
  <c r="H9" i="25"/>
  <c r="I7" i="25"/>
  <c r="I8" i="25"/>
  <c r="I6" i="25"/>
  <c r="H47" i="25"/>
  <c r="I47" i="25"/>
  <c r="H48" i="25"/>
  <c r="I48" i="25"/>
  <c r="H49" i="25"/>
  <c r="I49" i="25"/>
  <c r="H50" i="25"/>
  <c r="I50" i="25"/>
  <c r="H51" i="25"/>
  <c r="I51" i="25"/>
  <c r="I46" i="25"/>
  <c r="H46" i="25"/>
  <c r="H41" i="25"/>
  <c r="I41" i="25"/>
  <c r="H42" i="25"/>
  <c r="I42" i="25"/>
  <c r="H43" i="25"/>
  <c r="I43" i="25"/>
  <c r="H44" i="25"/>
  <c r="I44" i="25"/>
  <c r="H45" i="25"/>
  <c r="I45" i="25"/>
  <c r="I40" i="25"/>
  <c r="H40" i="25"/>
  <c r="H35" i="25"/>
  <c r="I35" i="25"/>
  <c r="H36" i="25"/>
  <c r="I36" i="25"/>
  <c r="H37" i="25"/>
  <c r="I37" i="25"/>
  <c r="H38" i="25"/>
  <c r="I38" i="25"/>
  <c r="H39" i="25"/>
  <c r="I39" i="25"/>
  <c r="I34" i="25"/>
  <c r="H34" i="25"/>
  <c r="H19" i="25"/>
  <c r="I19" i="25"/>
  <c r="H20" i="25"/>
  <c r="I20" i="25"/>
  <c r="H21" i="25"/>
  <c r="I21" i="25"/>
  <c r="H22" i="25"/>
  <c r="I22" i="25"/>
  <c r="H23" i="25"/>
  <c r="I23" i="25"/>
  <c r="H18" i="25"/>
  <c r="I18" i="25"/>
  <c r="H13" i="25"/>
  <c r="H14" i="25"/>
  <c r="I14" i="25"/>
  <c r="H15" i="25"/>
  <c r="I15" i="25"/>
  <c r="H16" i="25"/>
  <c r="I16" i="25"/>
  <c r="H17" i="25"/>
  <c r="I17" i="25"/>
  <c r="I12" i="25"/>
  <c r="H12" i="25"/>
  <c r="H10" i="25"/>
  <c r="H11" i="25"/>
  <c r="H7" i="25"/>
  <c r="H8" i="25"/>
  <c r="H6" i="25"/>
  <c r="I3" i="25"/>
  <c r="I4" i="25"/>
  <c r="I5" i="25"/>
  <c r="I2" i="25"/>
  <c r="H3" i="25"/>
  <c r="H4" i="25"/>
  <c r="H5" i="25"/>
  <c r="H2" i="25"/>
  <c r="V13" i="31"/>
  <c r="U13" i="31"/>
  <c r="V12" i="31"/>
  <c r="U12" i="31"/>
  <c r="V11" i="31"/>
  <c r="U11" i="31"/>
  <c r="V10" i="31"/>
  <c r="U10" i="31"/>
  <c r="V9" i="31"/>
  <c r="U9" i="31"/>
  <c r="V8" i="31"/>
  <c r="U8" i="31"/>
  <c r="R13" i="31"/>
  <c r="Q13" i="31"/>
  <c r="R12" i="31"/>
  <c r="Q12" i="31"/>
  <c r="R11" i="31"/>
  <c r="Q11" i="31"/>
  <c r="R10" i="31"/>
  <c r="Q10" i="31"/>
  <c r="R9" i="31"/>
  <c r="Q9" i="31"/>
  <c r="R8" i="31"/>
  <c r="Q8" i="31"/>
  <c r="N13" i="31"/>
  <c r="M13" i="31"/>
  <c r="N12" i="31"/>
  <c r="M12" i="31"/>
  <c r="N11" i="31"/>
  <c r="M11" i="31"/>
  <c r="N10" i="31"/>
  <c r="M10" i="31"/>
  <c r="N9" i="31"/>
  <c r="M9" i="31"/>
  <c r="N8" i="31"/>
  <c r="M8" i="31"/>
  <c r="J13" i="31"/>
  <c r="I13" i="31"/>
  <c r="J12" i="31"/>
  <c r="I12" i="31"/>
  <c r="J11" i="31"/>
  <c r="I11" i="31"/>
  <c r="J10" i="31"/>
  <c r="I10" i="31"/>
  <c r="J9" i="31"/>
  <c r="I9" i="31"/>
  <c r="J8" i="31"/>
  <c r="I8" i="31"/>
  <c r="F9" i="31"/>
  <c r="F10" i="31"/>
  <c r="F11" i="31"/>
  <c r="F12" i="31"/>
  <c r="F13" i="31"/>
  <c r="F8" i="31"/>
  <c r="E10" i="31"/>
  <c r="E11" i="31"/>
  <c r="E12" i="31"/>
  <c r="E13" i="31"/>
  <c r="E8" i="31"/>
  <c r="G86" i="15" l="1"/>
  <c r="H86" i="15"/>
  <c r="I86" i="15"/>
  <c r="J86" i="15"/>
  <c r="K86" i="15"/>
  <c r="L86" i="15"/>
  <c r="M86" i="15"/>
  <c r="G87" i="15"/>
  <c r="H87" i="15"/>
  <c r="I87" i="15"/>
  <c r="J87" i="15"/>
  <c r="K87" i="15"/>
  <c r="L87" i="15"/>
  <c r="M87" i="15"/>
  <c r="G88" i="15"/>
  <c r="H88" i="15"/>
  <c r="I88" i="15"/>
  <c r="J88" i="15"/>
  <c r="K88" i="15"/>
  <c r="L88" i="15"/>
  <c r="M88" i="15"/>
  <c r="G89" i="15"/>
  <c r="H89" i="15"/>
  <c r="I89" i="15"/>
  <c r="J89" i="15"/>
  <c r="K89" i="15"/>
  <c r="L89" i="15"/>
  <c r="M89" i="15"/>
  <c r="G90" i="15"/>
  <c r="H90" i="15"/>
  <c r="I90" i="15"/>
  <c r="J90" i="15"/>
  <c r="K90" i="15"/>
  <c r="L90" i="15"/>
  <c r="M90" i="15"/>
  <c r="G91" i="15"/>
  <c r="H91" i="15"/>
  <c r="I91" i="15"/>
  <c r="J91" i="15"/>
  <c r="K91" i="15"/>
  <c r="L91" i="15"/>
  <c r="M91" i="15"/>
  <c r="G92" i="15"/>
  <c r="H92" i="15"/>
  <c r="I92" i="15"/>
  <c r="J92" i="15"/>
  <c r="K92" i="15"/>
  <c r="L92" i="15"/>
  <c r="M92" i="15"/>
  <c r="G93" i="15"/>
  <c r="H93" i="15"/>
  <c r="I93" i="15"/>
  <c r="J93" i="15"/>
  <c r="K93" i="15"/>
  <c r="L93" i="15"/>
  <c r="M93" i="15"/>
  <c r="G94" i="15"/>
  <c r="H94" i="15"/>
  <c r="I94" i="15"/>
  <c r="J94" i="15"/>
  <c r="K94" i="15"/>
  <c r="L94" i="15"/>
  <c r="M94" i="15"/>
  <c r="G95" i="15"/>
  <c r="H95" i="15"/>
  <c r="I95" i="15"/>
  <c r="J95" i="15"/>
  <c r="K95" i="15"/>
  <c r="L95" i="15"/>
  <c r="M95" i="15"/>
  <c r="G96" i="15"/>
  <c r="H96" i="15"/>
  <c r="I96" i="15"/>
  <c r="J96" i="15"/>
  <c r="K96" i="15"/>
  <c r="L96" i="15"/>
  <c r="M96" i="15"/>
  <c r="G97" i="15"/>
  <c r="H97" i="15"/>
  <c r="I97" i="15"/>
  <c r="J97" i="15"/>
  <c r="K97" i="15"/>
  <c r="L97" i="15"/>
  <c r="M97" i="15"/>
  <c r="F87" i="15"/>
  <c r="F88" i="15"/>
  <c r="F89" i="15"/>
  <c r="F90" i="15"/>
  <c r="F91" i="15"/>
  <c r="F92" i="15"/>
  <c r="F93" i="15"/>
  <c r="F94" i="15"/>
  <c r="F95" i="15"/>
  <c r="F96" i="15"/>
  <c r="F97" i="15"/>
  <c r="F86" i="15"/>
  <c r="U7" i="30"/>
  <c r="G34" i="15" a="1"/>
  <c r="G34" i="15" s="1"/>
  <c r="H34" i="15" a="1"/>
  <c r="H34" i="15" s="1"/>
  <c r="I34" i="15" a="1"/>
  <c r="I34" i="15" s="1"/>
  <c r="J34" i="15" a="1"/>
  <c r="J34" i="15" s="1"/>
  <c r="K34" i="15" a="1"/>
  <c r="K34" i="15" s="1"/>
  <c r="L34" i="15" a="1"/>
  <c r="L34" i="15" s="1"/>
  <c r="M34" i="15" a="1"/>
  <c r="M34" i="15" s="1"/>
  <c r="G35" i="15" a="1"/>
  <c r="G35" i="15" s="1"/>
  <c r="H35" i="15" a="1"/>
  <c r="H35" i="15" s="1"/>
  <c r="I35" i="15" a="1"/>
  <c r="I35" i="15" s="1"/>
  <c r="J35" i="15" a="1"/>
  <c r="J35" i="15" s="1"/>
  <c r="K35" i="15" a="1"/>
  <c r="K35" i="15" s="1"/>
  <c r="L35" i="15" a="1"/>
  <c r="L35" i="15" s="1"/>
  <c r="M35" i="15" a="1"/>
  <c r="M35" i="15" s="1"/>
  <c r="G36" i="15" a="1"/>
  <c r="G36" i="15" s="1"/>
  <c r="H36" i="15" a="1"/>
  <c r="H36" i="15" s="1"/>
  <c r="I36" i="15" a="1"/>
  <c r="I36" i="15" s="1"/>
  <c r="J36" i="15" a="1"/>
  <c r="J36" i="15" s="1"/>
  <c r="K36" i="15" a="1"/>
  <c r="K36" i="15" s="1"/>
  <c r="L36" i="15" a="1"/>
  <c r="L36" i="15" s="1"/>
  <c r="M36" i="15" a="1"/>
  <c r="M36" i="15" s="1"/>
  <c r="G37" i="15" a="1"/>
  <c r="G37" i="15" s="1"/>
  <c r="H37" i="15" a="1"/>
  <c r="H37" i="15" s="1"/>
  <c r="I37" i="15" a="1"/>
  <c r="I37" i="15" s="1"/>
  <c r="J37" i="15" a="1"/>
  <c r="J37" i="15" s="1"/>
  <c r="K37" i="15" a="1"/>
  <c r="K37" i="15" s="1"/>
  <c r="L37" i="15" a="1"/>
  <c r="L37" i="15" s="1"/>
  <c r="M37" i="15" a="1"/>
  <c r="M37" i="15" s="1"/>
  <c r="G38" i="15" a="1"/>
  <c r="G38" i="15" s="1"/>
  <c r="H38" i="15" a="1"/>
  <c r="H38" i="15" s="1"/>
  <c r="I38" i="15" a="1"/>
  <c r="I38" i="15" s="1"/>
  <c r="J38" i="15" a="1"/>
  <c r="J38" i="15" s="1"/>
  <c r="K38" i="15" a="1"/>
  <c r="K38" i="15" s="1"/>
  <c r="L38" i="15" a="1"/>
  <c r="L38" i="15" s="1"/>
  <c r="M38" i="15" a="1"/>
  <c r="M38" i="15" s="1"/>
  <c r="G39" i="15" a="1"/>
  <c r="G39" i="15" s="1"/>
  <c r="H39" i="15" a="1"/>
  <c r="H39" i="15" s="1"/>
  <c r="I39" i="15" a="1"/>
  <c r="I39" i="15" s="1"/>
  <c r="J39" i="15" a="1"/>
  <c r="J39" i="15" s="1"/>
  <c r="K39" i="15" a="1"/>
  <c r="K39" i="15" s="1"/>
  <c r="L39" i="15" a="1"/>
  <c r="L39" i="15" s="1"/>
  <c r="M39" i="15" a="1"/>
  <c r="M39" i="15" s="1"/>
  <c r="G40" i="15" a="1"/>
  <c r="G40" i="15" s="1"/>
  <c r="H40" i="15" a="1"/>
  <c r="H40" i="15" s="1"/>
  <c r="I40" i="15" a="1"/>
  <c r="I40" i="15" s="1"/>
  <c r="J40" i="15" a="1"/>
  <c r="J40" i="15" s="1"/>
  <c r="K40" i="15" a="1"/>
  <c r="K40" i="15" s="1"/>
  <c r="L40" i="15" a="1"/>
  <c r="L40" i="15" s="1"/>
  <c r="M40" i="15" a="1"/>
  <c r="M40" i="15" s="1"/>
  <c r="G41" i="15" a="1"/>
  <c r="G41" i="15" s="1"/>
  <c r="H41" i="15" a="1"/>
  <c r="H41" i="15" s="1"/>
  <c r="I41" i="15" a="1"/>
  <c r="I41" i="15" s="1"/>
  <c r="J41" i="15" a="1"/>
  <c r="J41" i="15" s="1"/>
  <c r="K41" i="15" a="1"/>
  <c r="K41" i="15" s="1"/>
  <c r="L41" i="15" a="1"/>
  <c r="L41" i="15" s="1"/>
  <c r="M41" i="15" a="1"/>
  <c r="M41" i="15" s="1"/>
  <c r="G42" i="15" a="1"/>
  <c r="G42" i="15" s="1"/>
  <c r="H42" i="15" a="1"/>
  <c r="H42" i="15" s="1"/>
  <c r="I42" i="15" a="1"/>
  <c r="I42" i="15" s="1"/>
  <c r="J42" i="15" a="1"/>
  <c r="J42" i="15" s="1"/>
  <c r="K42" i="15" a="1"/>
  <c r="K42" i="15" s="1"/>
  <c r="L42" i="15" a="1"/>
  <c r="L42" i="15" s="1"/>
  <c r="M42" i="15" a="1"/>
  <c r="M42" i="15" s="1"/>
  <c r="G43" i="15" a="1"/>
  <c r="G43" i="15" s="1"/>
  <c r="H43" i="15" a="1"/>
  <c r="H43" i="15" s="1"/>
  <c r="I43" i="15" a="1"/>
  <c r="I43" i="15" s="1"/>
  <c r="J43" i="15" a="1"/>
  <c r="J43" i="15" s="1"/>
  <c r="K43" i="15" a="1"/>
  <c r="K43" i="15" s="1"/>
  <c r="L43" i="15" a="1"/>
  <c r="L43" i="15" s="1"/>
  <c r="M43" i="15" a="1"/>
  <c r="M43" i="15" s="1"/>
  <c r="G44" i="15" a="1"/>
  <c r="G44" i="15" s="1"/>
  <c r="H44" i="15" a="1"/>
  <c r="H44" i="15" s="1"/>
  <c r="I44" i="15" a="1"/>
  <c r="I44" i="15" s="1"/>
  <c r="J44" i="15" a="1"/>
  <c r="J44" i="15" s="1"/>
  <c r="K44" i="15" a="1"/>
  <c r="K44" i="15" s="1"/>
  <c r="L44" i="15" a="1"/>
  <c r="L44" i="15" s="1"/>
  <c r="M44" i="15" a="1"/>
  <c r="M44" i="15" s="1"/>
  <c r="G45" i="15" a="1"/>
  <c r="G45" i="15" s="1"/>
  <c r="H45" i="15" a="1"/>
  <c r="H45" i="15" s="1"/>
  <c r="I45" i="15" a="1"/>
  <c r="I45" i="15" s="1"/>
  <c r="J45" i="15" a="1"/>
  <c r="J45" i="15" s="1"/>
  <c r="K45" i="15" a="1"/>
  <c r="K45" i="15" s="1"/>
  <c r="L45" i="15" a="1"/>
  <c r="L45" i="15" s="1"/>
  <c r="M45" i="15" a="1"/>
  <c r="M45" i="15" s="1"/>
  <c r="F35" i="15" a="1"/>
  <c r="F35" i="15" s="1"/>
  <c r="F36" i="15" a="1"/>
  <c r="F36" i="15" s="1"/>
  <c r="F37" i="15" a="1"/>
  <c r="F37" i="15" s="1"/>
  <c r="F38" i="15" a="1"/>
  <c r="F38" i="15" s="1"/>
  <c r="F39" i="15" a="1"/>
  <c r="F39" i="15" s="1"/>
  <c r="F40" i="15" a="1"/>
  <c r="F40" i="15" s="1"/>
  <c r="F41" i="15" a="1"/>
  <c r="F41" i="15" s="1"/>
  <c r="F42" i="15" a="1"/>
  <c r="F42" i="15" s="1"/>
  <c r="F43" i="15" a="1"/>
  <c r="F43" i="15" s="1"/>
  <c r="F44" i="15" a="1"/>
  <c r="F44" i="15" s="1"/>
  <c r="F45" i="15" a="1"/>
  <c r="F45" i="15" s="1"/>
  <c r="F34" i="15" a="1"/>
  <c r="F34" i="15" s="1"/>
  <c r="U4" i="30"/>
  <c r="U5" i="30"/>
  <c r="U6" i="30"/>
  <c r="U8" i="30"/>
  <c r="U9" i="30"/>
  <c r="U10" i="30"/>
  <c r="U11" i="30"/>
  <c r="U12" i="30"/>
  <c r="U13" i="30"/>
  <c r="U14" i="30"/>
  <c r="Q7" i="30"/>
  <c r="M3" i="30"/>
  <c r="N3" i="30"/>
  <c r="O3" i="30"/>
  <c r="P3" i="30"/>
  <c r="Q3" i="30"/>
  <c r="R3" i="30"/>
  <c r="S3" i="30"/>
  <c r="T3" i="30"/>
  <c r="M4" i="30"/>
  <c r="N4" i="30"/>
  <c r="O4" i="30"/>
  <c r="P4" i="30"/>
  <c r="Q4" i="30"/>
  <c r="R4" i="30"/>
  <c r="S4" i="30"/>
  <c r="T4" i="30"/>
  <c r="M5" i="30"/>
  <c r="N5" i="30"/>
  <c r="O5" i="30"/>
  <c r="P5" i="30"/>
  <c r="Q5" i="30"/>
  <c r="R5" i="30"/>
  <c r="S5" i="30"/>
  <c r="T5" i="30"/>
  <c r="M6" i="30"/>
  <c r="N6" i="30"/>
  <c r="O6" i="30"/>
  <c r="P6" i="30"/>
  <c r="Q6" i="30"/>
  <c r="R6" i="30"/>
  <c r="S6" i="30"/>
  <c r="T6" i="30"/>
  <c r="M7" i="30"/>
  <c r="N7" i="30"/>
  <c r="O7" i="30"/>
  <c r="P7" i="30"/>
  <c r="R7" i="30"/>
  <c r="S7" i="30"/>
  <c r="T7" i="30"/>
  <c r="M9" i="30"/>
  <c r="N9" i="30"/>
  <c r="O9" i="30"/>
  <c r="P9" i="30"/>
  <c r="Q9" i="30"/>
  <c r="R9" i="30"/>
  <c r="S9" i="30"/>
  <c r="T9" i="30"/>
  <c r="T10" i="30"/>
  <c r="M11" i="30"/>
  <c r="N11" i="30"/>
  <c r="O11" i="30"/>
  <c r="P11" i="30"/>
  <c r="Q11" i="30"/>
  <c r="R11" i="30"/>
  <c r="S11" i="30"/>
  <c r="T11" i="30"/>
  <c r="P12" i="30"/>
  <c r="S12" i="30"/>
  <c r="T12" i="30"/>
  <c r="M13" i="30"/>
  <c r="N13" i="30"/>
  <c r="O13" i="30"/>
  <c r="P13" i="30"/>
  <c r="Q13" i="30"/>
  <c r="R13" i="30"/>
  <c r="S13" i="30"/>
  <c r="T13" i="30"/>
  <c r="M14" i="30"/>
  <c r="N14" i="30"/>
  <c r="O14" i="30"/>
  <c r="P14" i="30"/>
  <c r="Q14" i="30"/>
  <c r="R14" i="30"/>
  <c r="S14" i="30"/>
  <c r="T14" i="30"/>
  <c r="D44" i="30"/>
  <c r="E44" i="30" s="1"/>
  <c r="D43" i="30"/>
  <c r="E43" i="30" s="1"/>
  <c r="D42" i="30"/>
  <c r="E42" i="30" s="1"/>
  <c r="R12" i="30" s="1"/>
  <c r="D41" i="30"/>
  <c r="E41" i="30" s="1"/>
  <c r="Q12" i="30" s="1"/>
  <c r="D40" i="30"/>
  <c r="E40" i="30" s="1"/>
  <c r="D39" i="30"/>
  <c r="E39" i="30" s="1"/>
  <c r="O12" i="30" s="1"/>
  <c r="D38" i="30"/>
  <c r="E38" i="30" s="1"/>
  <c r="N12" i="30" s="1"/>
  <c r="E37" i="30"/>
  <c r="M12" i="30" s="1"/>
  <c r="D37" i="30"/>
  <c r="D35" i="30"/>
  <c r="E35" i="30" s="1"/>
  <c r="D34" i="30"/>
  <c r="E34" i="30" s="1"/>
  <c r="S10" i="30" s="1"/>
  <c r="D33" i="30"/>
  <c r="E33" i="30" s="1"/>
  <c r="R10" i="30" s="1"/>
  <c r="D32" i="30"/>
  <c r="E32" i="30" s="1"/>
  <c r="Q10" i="30" s="1"/>
  <c r="D31" i="30"/>
  <c r="E31" i="30" s="1"/>
  <c r="P10" i="30" s="1"/>
  <c r="D30" i="30"/>
  <c r="E30" i="30" s="1"/>
  <c r="O10" i="30" s="1"/>
  <c r="D29" i="30"/>
  <c r="E29" i="30" s="1"/>
  <c r="N10" i="30" s="1"/>
  <c r="D28" i="30"/>
  <c r="E28" i="30" s="1"/>
  <c r="M10" i="30" s="1"/>
  <c r="D26" i="30"/>
  <c r="E26" i="30" s="1"/>
  <c r="T8" i="30" s="1"/>
  <c r="D25" i="30"/>
  <c r="E25" i="30" s="1"/>
  <c r="S8" i="30" s="1"/>
  <c r="D24" i="30"/>
  <c r="E24" i="30" s="1"/>
  <c r="R8" i="30" s="1"/>
  <c r="D23" i="30"/>
  <c r="E23" i="30" s="1"/>
  <c r="Q8" i="30" s="1"/>
  <c r="D22" i="30"/>
  <c r="E22" i="30" s="1"/>
  <c r="P8" i="30" s="1"/>
  <c r="D21" i="30"/>
  <c r="E21" i="30" s="1"/>
  <c r="O8" i="30" s="1"/>
  <c r="D20" i="30"/>
  <c r="E20" i="30" s="1"/>
  <c r="N8" i="30" s="1"/>
  <c r="D19" i="30"/>
  <c r="E19" i="30" s="1"/>
  <c r="M8" i="30" s="1"/>
  <c r="J17" i="9"/>
  <c r="J23" i="9"/>
  <c r="H23" i="9"/>
  <c r="G23" i="9"/>
  <c r="C23" i="9"/>
  <c r="H22" i="9"/>
  <c r="J22" i="9" s="1"/>
  <c r="G22" i="9"/>
  <c r="F22" i="9" s="1"/>
  <c r="I22" i="9" s="1"/>
  <c r="H21" i="9"/>
  <c r="J21" i="9" s="1"/>
  <c r="G21" i="9"/>
  <c r="F21" i="9" s="1"/>
  <c r="I21" i="9" s="1"/>
  <c r="C21" i="9"/>
  <c r="H20" i="9"/>
  <c r="J20" i="9" s="1"/>
  <c r="G20" i="9"/>
  <c r="F20" i="9" s="1"/>
  <c r="I20" i="9" s="1"/>
  <c r="C20" i="9"/>
  <c r="H19" i="9"/>
  <c r="J19" i="9" s="1"/>
  <c r="G19" i="9"/>
  <c r="C19" i="9"/>
  <c r="H18" i="9"/>
  <c r="J18" i="9" s="1"/>
  <c r="G18" i="9"/>
  <c r="C18" i="9"/>
  <c r="F17" i="9"/>
  <c r="I17" i="9" s="1"/>
  <c r="H16" i="9"/>
  <c r="J16" i="9" s="1"/>
  <c r="G16" i="9"/>
  <c r="C16" i="9"/>
  <c r="H15" i="9"/>
  <c r="J15" i="9" s="1"/>
  <c r="G15" i="9"/>
  <c r="C15" i="9"/>
  <c r="H14" i="9"/>
  <c r="J14" i="9" s="1"/>
  <c r="G14" i="9"/>
  <c r="F14" i="9" s="1"/>
  <c r="I14" i="9" s="1"/>
  <c r="C14" i="9"/>
  <c r="H13" i="9"/>
  <c r="J13" i="9" s="1"/>
  <c r="G13" i="9"/>
  <c r="F13" i="9" s="1"/>
  <c r="I13" i="9" s="1"/>
  <c r="C13" i="9"/>
  <c r="H12" i="9"/>
  <c r="J12" i="9" s="1"/>
  <c r="G12" i="9"/>
  <c r="F12" i="9" s="1"/>
  <c r="I12" i="9" s="1"/>
  <c r="C12" i="9"/>
  <c r="H11" i="9"/>
  <c r="J11" i="9" s="1"/>
  <c r="G11" i="9"/>
  <c r="C11" i="9"/>
  <c r="H10" i="9"/>
  <c r="J10" i="9" s="1"/>
  <c r="G10" i="9"/>
  <c r="F10" i="9"/>
  <c r="I10" i="9" s="1"/>
  <c r="C10" i="9"/>
  <c r="H9" i="9"/>
  <c r="J9" i="9" s="1"/>
  <c r="G9" i="9"/>
  <c r="C9" i="9"/>
  <c r="H8" i="9"/>
  <c r="J8" i="9" s="1"/>
  <c r="G8" i="9"/>
  <c r="C8" i="9"/>
  <c r="H7" i="9"/>
  <c r="J7" i="9" s="1"/>
  <c r="G7" i="9"/>
  <c r="F7" i="9" s="1"/>
  <c r="I7" i="9" s="1"/>
  <c r="C7" i="9"/>
  <c r="J8" i="8"/>
  <c r="J9" i="8"/>
  <c r="J10" i="8"/>
  <c r="J11" i="8"/>
  <c r="J12" i="8"/>
  <c r="J13" i="8"/>
  <c r="J14" i="8"/>
  <c r="J15" i="8"/>
  <c r="J16" i="8"/>
  <c r="J17" i="8"/>
  <c r="J18" i="8"/>
  <c r="J19" i="8"/>
  <c r="J20" i="8"/>
  <c r="J21" i="8"/>
  <c r="J22" i="8"/>
  <c r="J23" i="8"/>
  <c r="J24" i="8"/>
  <c r="J25" i="8"/>
  <c r="J26" i="8"/>
  <c r="J27" i="8"/>
  <c r="J28" i="8"/>
  <c r="J29" i="8"/>
  <c r="J7" i="8"/>
  <c r="H29" i="8"/>
  <c r="G29" i="8"/>
  <c r="C29" i="8"/>
  <c r="H28" i="8"/>
  <c r="G28" i="8"/>
  <c r="F28" i="8"/>
  <c r="I28" i="8" s="1"/>
  <c r="C28" i="8"/>
  <c r="H27" i="8"/>
  <c r="G27" i="8"/>
  <c r="C27" i="8"/>
  <c r="H26" i="8"/>
  <c r="G26" i="8"/>
  <c r="F26" i="8"/>
  <c r="I26" i="8" s="1"/>
  <c r="C26" i="8"/>
  <c r="H25" i="8"/>
  <c r="G25" i="8"/>
  <c r="C25" i="8"/>
  <c r="H24" i="8"/>
  <c r="G24" i="8"/>
  <c r="F24" i="8"/>
  <c r="I24" i="8" s="1"/>
  <c r="C24" i="8"/>
  <c r="H23" i="8"/>
  <c r="G23" i="8"/>
  <c r="C23" i="8"/>
  <c r="E22" i="8"/>
  <c r="H22" i="8" s="1"/>
  <c r="D22" i="8"/>
  <c r="G22" i="8" s="1"/>
  <c r="H21" i="8"/>
  <c r="G21" i="8"/>
  <c r="F21" i="8" s="1"/>
  <c r="I21" i="8" s="1"/>
  <c r="C21" i="8"/>
  <c r="H20" i="8"/>
  <c r="G20" i="8"/>
  <c r="F20" i="8" s="1"/>
  <c r="I20" i="8" s="1"/>
  <c r="C20" i="8"/>
  <c r="H19" i="8"/>
  <c r="F19" i="8" s="1"/>
  <c r="I19" i="8" s="1"/>
  <c r="G19" i="8"/>
  <c r="C19" i="8"/>
  <c r="H18" i="8"/>
  <c r="G18" i="8"/>
  <c r="C18" i="8"/>
  <c r="F17" i="8"/>
  <c r="I17" i="8" s="1"/>
  <c r="H16" i="8"/>
  <c r="G16" i="8"/>
  <c r="F16" i="8" s="1"/>
  <c r="I16" i="8" s="1"/>
  <c r="C16" i="8"/>
  <c r="H15" i="8"/>
  <c r="G15" i="8"/>
  <c r="F15" i="8"/>
  <c r="I15" i="8" s="1"/>
  <c r="C15" i="8"/>
  <c r="H14" i="8"/>
  <c r="G14" i="8"/>
  <c r="C14" i="8"/>
  <c r="H13" i="8"/>
  <c r="G13" i="8"/>
  <c r="F13" i="8"/>
  <c r="I13" i="8" s="1"/>
  <c r="C13" i="8"/>
  <c r="H12" i="8"/>
  <c r="G12" i="8"/>
  <c r="F12" i="8" s="1"/>
  <c r="I12" i="8" s="1"/>
  <c r="C12" i="8"/>
  <c r="H11" i="8"/>
  <c r="G11" i="8"/>
  <c r="F11" i="8"/>
  <c r="I11" i="8" s="1"/>
  <c r="C11" i="8"/>
  <c r="H10" i="8"/>
  <c r="G10" i="8"/>
  <c r="C10" i="8"/>
  <c r="H9" i="8"/>
  <c r="G9" i="8"/>
  <c r="C9" i="8"/>
  <c r="H8" i="8"/>
  <c r="G8" i="8"/>
  <c r="C8" i="8"/>
  <c r="H7" i="8"/>
  <c r="G7" i="8"/>
  <c r="C7" i="8"/>
  <c r="J8" i="7"/>
  <c r="J9" i="7"/>
  <c r="J10" i="7"/>
  <c r="J11" i="7"/>
  <c r="J12" i="7"/>
  <c r="J13" i="7"/>
  <c r="J14" i="7"/>
  <c r="J15" i="7"/>
  <c r="J16" i="7"/>
  <c r="J17" i="7"/>
  <c r="J18" i="7"/>
  <c r="J19" i="7"/>
  <c r="J20" i="7"/>
  <c r="J21" i="7"/>
  <c r="J22" i="7"/>
  <c r="J23" i="7"/>
  <c r="J24" i="7"/>
  <c r="J25" i="7"/>
  <c r="J26" i="7"/>
  <c r="J27" i="7"/>
  <c r="J28" i="7"/>
  <c r="J29" i="7"/>
  <c r="J7" i="7"/>
  <c r="I10" i="7"/>
  <c r="I11" i="7"/>
  <c r="I12" i="7"/>
  <c r="I13" i="7"/>
  <c r="I14" i="7"/>
  <c r="I15" i="7"/>
  <c r="I16" i="7"/>
  <c r="I17" i="7"/>
  <c r="I18" i="7"/>
  <c r="I19" i="7"/>
  <c r="I20" i="7"/>
  <c r="I21" i="7"/>
  <c r="I22" i="7"/>
  <c r="I23" i="7"/>
  <c r="I24" i="7"/>
  <c r="I25" i="7"/>
  <c r="I26" i="7"/>
  <c r="I27" i="7"/>
  <c r="I28" i="7"/>
  <c r="I29" i="7"/>
  <c r="I8" i="7"/>
  <c r="I9" i="7"/>
  <c r="I7" i="7"/>
  <c r="E22" i="7"/>
  <c r="D22" i="7"/>
  <c r="F15" i="9" l="1"/>
  <c r="I15" i="9" s="1"/>
  <c r="F16" i="9"/>
  <c r="I16" i="9" s="1"/>
  <c r="F19" i="9"/>
  <c r="I19" i="9" s="1"/>
  <c r="F11" i="9"/>
  <c r="I11" i="9" s="1"/>
  <c r="F23" i="9"/>
  <c r="I23" i="9" s="1"/>
  <c r="F8" i="9"/>
  <c r="I8" i="9" s="1"/>
  <c r="F9" i="9"/>
  <c r="I9" i="9" s="1"/>
  <c r="F18" i="9"/>
  <c r="I18" i="9" s="1"/>
  <c r="F9" i="8"/>
  <c r="I9" i="8" s="1"/>
  <c r="F18" i="8"/>
  <c r="I18" i="8" s="1"/>
  <c r="F23" i="8"/>
  <c r="I23" i="8" s="1"/>
  <c r="F27" i="8"/>
  <c r="I27" i="8" s="1"/>
  <c r="F7" i="8"/>
  <c r="I7" i="8" s="1"/>
  <c r="F8" i="8"/>
  <c r="I8" i="8" s="1"/>
  <c r="F22" i="8"/>
  <c r="I22" i="8" s="1"/>
  <c r="F14" i="8"/>
  <c r="I14" i="8" s="1"/>
  <c r="F25" i="8"/>
  <c r="I25" i="8" s="1"/>
  <c r="F29" i="8"/>
  <c r="I29" i="8" s="1"/>
  <c r="F10" i="8"/>
  <c r="I10" i="8" s="1"/>
  <c r="F17" i="7" l="1"/>
  <c r="F11" i="7"/>
  <c r="F12" i="7"/>
  <c r="F13" i="7"/>
  <c r="F21" i="7"/>
  <c r="F28" i="7"/>
  <c r="F29" i="7"/>
  <c r="G8" i="7"/>
  <c r="F8" i="7" s="1"/>
  <c r="H8" i="7"/>
  <c r="G9" i="7"/>
  <c r="F9" i="7" s="1"/>
  <c r="H9" i="7"/>
  <c r="G10" i="7"/>
  <c r="F10" i="7" s="1"/>
  <c r="H10" i="7"/>
  <c r="G11" i="7"/>
  <c r="H11" i="7"/>
  <c r="G12" i="7"/>
  <c r="H12" i="7"/>
  <c r="G13" i="7"/>
  <c r="H13" i="7"/>
  <c r="G14" i="7"/>
  <c r="F14" i="7" s="1"/>
  <c r="H14" i="7"/>
  <c r="G15" i="7"/>
  <c r="F15" i="7" s="1"/>
  <c r="H15" i="7"/>
  <c r="G16" i="7"/>
  <c r="F16" i="7" s="1"/>
  <c r="H16" i="7"/>
  <c r="G18" i="7"/>
  <c r="F18" i="7" s="1"/>
  <c r="H18" i="7"/>
  <c r="G19" i="7"/>
  <c r="F19" i="7" s="1"/>
  <c r="H19" i="7"/>
  <c r="G20" i="7"/>
  <c r="F20" i="7" s="1"/>
  <c r="H20" i="7"/>
  <c r="G21" i="7"/>
  <c r="H21" i="7"/>
  <c r="G22" i="7"/>
  <c r="F22" i="7" s="1"/>
  <c r="H22" i="7"/>
  <c r="G23" i="7"/>
  <c r="F23" i="7" s="1"/>
  <c r="H23" i="7"/>
  <c r="G24" i="7"/>
  <c r="F24" i="7" s="1"/>
  <c r="H24" i="7"/>
  <c r="G25" i="7"/>
  <c r="H25" i="7"/>
  <c r="G26" i="7"/>
  <c r="F26" i="7" s="1"/>
  <c r="H26" i="7"/>
  <c r="G27" i="7"/>
  <c r="H27" i="7"/>
  <c r="G28" i="7"/>
  <c r="H28" i="7"/>
  <c r="G29" i="7"/>
  <c r="H29" i="7"/>
  <c r="C15" i="7"/>
  <c r="C16" i="7"/>
  <c r="C18" i="7"/>
  <c r="C19" i="7"/>
  <c r="C20" i="7"/>
  <c r="C21" i="7"/>
  <c r="C23" i="7"/>
  <c r="C24" i="7"/>
  <c r="C25" i="7"/>
  <c r="C26" i="7"/>
  <c r="C27" i="7"/>
  <c r="C28" i="7"/>
  <c r="C29" i="7"/>
  <c r="C8" i="7"/>
  <c r="C9" i="7"/>
  <c r="C10" i="7"/>
  <c r="C11" i="7"/>
  <c r="C12" i="7"/>
  <c r="C13" i="7"/>
  <c r="C14" i="7"/>
  <c r="G7" i="7"/>
  <c r="H7" i="7"/>
  <c r="C7" i="7"/>
  <c r="G4" i="26"/>
  <c r="H4" i="26"/>
  <c r="H3" i="26"/>
  <c r="H2" i="26"/>
  <c r="K4" i="26"/>
  <c r="L4" i="26"/>
  <c r="M4" i="26"/>
  <c r="G3" i="26"/>
  <c r="G2" i="26"/>
  <c r="F27" i="7" l="1"/>
  <c r="F25" i="7"/>
  <c r="F38" i="9" l="1"/>
  <c r="H38" i="9" s="1"/>
  <c r="I38" i="9" s="1"/>
  <c r="F37" i="9"/>
  <c r="H37" i="9" s="1"/>
  <c r="I37" i="9" s="1"/>
  <c r="F36" i="9"/>
  <c r="H36" i="9" s="1"/>
  <c r="E24" i="9" s="1"/>
  <c r="F35" i="9"/>
  <c r="H35" i="9" s="1"/>
  <c r="D24" i="9" s="1"/>
  <c r="I35" i="9" l="1"/>
  <c r="I36" i="9"/>
  <c r="D25" i="9"/>
  <c r="G24" i="9"/>
  <c r="C24" i="9"/>
  <c r="E25" i="9"/>
  <c r="H24" i="9"/>
  <c r="J24" i="9" s="1"/>
  <c r="AW10" i="17"/>
  <c r="AW11" i="17"/>
  <c r="AW12" i="17"/>
  <c r="AW13" i="17"/>
  <c r="AW14" i="17"/>
  <c r="AW15" i="17"/>
  <c r="AW16" i="17"/>
  <c r="AV10" i="17"/>
  <c r="AV11" i="17"/>
  <c r="AV12" i="17"/>
  <c r="AV13" i="17"/>
  <c r="AV14" i="17"/>
  <c r="AV15" i="17"/>
  <c r="AV16" i="17"/>
  <c r="AV9" i="17"/>
  <c r="AU10" i="17"/>
  <c r="AU11" i="17"/>
  <c r="AU12" i="17"/>
  <c r="AU13" i="17"/>
  <c r="AU14" i="17"/>
  <c r="AU15" i="17"/>
  <c r="AU16" i="17"/>
  <c r="AU9" i="17"/>
  <c r="H25" i="9" l="1"/>
  <c r="E26" i="9"/>
  <c r="F24" i="9"/>
  <c r="I24" i="9" s="1"/>
  <c r="G25" i="9"/>
  <c r="F25" i="9" s="1"/>
  <c r="I25" i="9" s="1"/>
  <c r="D26" i="9"/>
  <c r="C25" i="9"/>
  <c r="AW9" i="17"/>
  <c r="J25" i="9" l="1"/>
  <c r="G26" i="9"/>
  <c r="D27" i="9"/>
  <c r="C26" i="9"/>
  <c r="H26" i="9"/>
  <c r="J26" i="9" s="1"/>
  <c r="E27" i="9"/>
  <c r="AT10" i="17"/>
  <c r="AT11" i="17"/>
  <c r="AT12" i="17"/>
  <c r="AT13" i="17"/>
  <c r="AT14" i="17"/>
  <c r="AT15" i="17"/>
  <c r="AT16" i="17"/>
  <c r="AS10" i="17"/>
  <c r="AS11" i="17"/>
  <c r="AS12" i="17"/>
  <c r="AS13" i="17"/>
  <c r="AS14" i="17"/>
  <c r="AS15" i="17"/>
  <c r="AS16" i="17"/>
  <c r="AS9" i="17"/>
  <c r="AR10" i="17"/>
  <c r="AR11" i="17"/>
  <c r="AR12" i="17"/>
  <c r="AR13" i="17"/>
  <c r="AR14" i="17"/>
  <c r="AR15" i="17"/>
  <c r="AR16" i="17"/>
  <c r="AR9" i="17"/>
  <c r="AQ10" i="17"/>
  <c r="AQ11" i="17"/>
  <c r="AQ12" i="17"/>
  <c r="AQ13" i="17"/>
  <c r="AQ14" i="17"/>
  <c r="AQ15" i="17"/>
  <c r="AQ16" i="17"/>
  <c r="AQ9" i="17"/>
  <c r="AP10" i="17"/>
  <c r="AP11" i="17"/>
  <c r="AP12" i="17"/>
  <c r="AP13" i="17"/>
  <c r="AP14" i="17"/>
  <c r="AP15" i="17"/>
  <c r="AP16" i="17"/>
  <c r="AP9" i="17"/>
  <c r="AO10" i="17"/>
  <c r="AO11" i="17"/>
  <c r="AO12" i="17"/>
  <c r="AO13" i="17"/>
  <c r="AO14" i="17"/>
  <c r="AO15" i="17"/>
  <c r="AO16" i="17"/>
  <c r="AO9" i="17"/>
  <c r="T7" i="24"/>
  <c r="T8" i="24"/>
  <c r="T9" i="24"/>
  <c r="T10" i="24"/>
  <c r="T11" i="24"/>
  <c r="W11" i="24" s="1"/>
  <c r="T12" i="24"/>
  <c r="T13" i="24"/>
  <c r="T14" i="24"/>
  <c r="W14" i="24" s="1"/>
  <c r="W7" i="24"/>
  <c r="W8" i="24"/>
  <c r="W9" i="24"/>
  <c r="W10" i="24"/>
  <c r="W12" i="24"/>
  <c r="W13" i="24"/>
  <c r="V8" i="24"/>
  <c r="V9" i="24"/>
  <c r="V10" i="24"/>
  <c r="V11" i="24"/>
  <c r="V12" i="24"/>
  <c r="V13" i="24"/>
  <c r="V14" i="24"/>
  <c r="V7" i="24"/>
  <c r="E7" i="24"/>
  <c r="U8" i="24"/>
  <c r="U9" i="24"/>
  <c r="U10" i="24"/>
  <c r="U11" i="24"/>
  <c r="U12" i="24"/>
  <c r="U13" i="24"/>
  <c r="U14" i="24"/>
  <c r="U7" i="24"/>
  <c r="O7" i="24"/>
  <c r="O16" i="24"/>
  <c r="L10" i="24"/>
  <c r="Q8" i="24"/>
  <c r="Q9" i="24"/>
  <c r="Q10" i="24"/>
  <c r="Q11" i="24"/>
  <c r="R11" i="24" s="1"/>
  <c r="Q12" i="24"/>
  <c r="R12" i="24" s="1"/>
  <c r="Q13" i="24"/>
  <c r="R13" i="24" s="1"/>
  <c r="Q14" i="24"/>
  <c r="R14" i="24" s="1"/>
  <c r="R8" i="24"/>
  <c r="R9" i="24"/>
  <c r="R10" i="24"/>
  <c r="D28" i="9" l="1"/>
  <c r="G27" i="9"/>
  <c r="C27" i="9"/>
  <c r="H27" i="9"/>
  <c r="J27" i="9" s="1"/>
  <c r="E28" i="9"/>
  <c r="F26" i="9"/>
  <c r="I26" i="9" s="1"/>
  <c r="AT9" i="17"/>
  <c r="D22" i="24"/>
  <c r="D21" i="24"/>
  <c r="E21" i="24"/>
  <c r="D20" i="24"/>
  <c r="D19" i="24"/>
  <c r="D18" i="24"/>
  <c r="E18" i="24"/>
  <c r="E19" i="24"/>
  <c r="E20" i="24"/>
  <c r="P8" i="24"/>
  <c r="P9" i="24"/>
  <c r="P10" i="24"/>
  <c r="P11" i="24"/>
  <c r="P12" i="24"/>
  <c r="P13" i="24"/>
  <c r="P14" i="24"/>
  <c r="P7" i="24"/>
  <c r="O8" i="24"/>
  <c r="O9" i="24"/>
  <c r="O10" i="24"/>
  <c r="O11" i="24"/>
  <c r="O12" i="24"/>
  <c r="O13" i="24"/>
  <c r="O14" i="24"/>
  <c r="E14" i="24"/>
  <c r="G14" i="24" s="1"/>
  <c r="E13" i="24"/>
  <c r="G13" i="24" s="1"/>
  <c r="E12" i="24"/>
  <c r="G12" i="24" s="1"/>
  <c r="E11" i="24"/>
  <c r="G11" i="24" s="1"/>
  <c r="E10" i="24"/>
  <c r="G10" i="24" s="1"/>
  <c r="E9" i="24"/>
  <c r="G9" i="24" s="1"/>
  <c r="E8" i="24"/>
  <c r="G8" i="24" s="1"/>
  <c r="G7" i="24"/>
  <c r="O70" i="22"/>
  <c r="Q70" i="22" s="1"/>
  <c r="O71" i="22"/>
  <c r="Q71" i="22" s="1"/>
  <c r="O72" i="22"/>
  <c r="Q72" i="22" s="1"/>
  <c r="O73" i="22"/>
  <c r="Q73" i="22" s="1"/>
  <c r="O74" i="22"/>
  <c r="Q74" i="22" s="1"/>
  <c r="O75" i="22"/>
  <c r="Q75" i="22" s="1"/>
  <c r="O76" i="22"/>
  <c r="Q76" i="22" s="1"/>
  <c r="O77" i="22"/>
  <c r="Q77" i="22" s="1"/>
  <c r="O78" i="22"/>
  <c r="Q78" i="22" s="1"/>
  <c r="O79" i="22"/>
  <c r="Q79" i="22" s="1"/>
  <c r="O80" i="22"/>
  <c r="Q80" i="22" s="1"/>
  <c r="O81" i="22"/>
  <c r="Q81" i="22" s="1"/>
  <c r="O3" i="22"/>
  <c r="Q3" i="22" s="1"/>
  <c r="O4" i="22"/>
  <c r="Q4" i="22" s="1"/>
  <c r="O5" i="22"/>
  <c r="Q5" i="22" s="1"/>
  <c r="O6" i="22"/>
  <c r="Q6" i="22" s="1"/>
  <c r="O7" i="22"/>
  <c r="Q7" i="22" s="1"/>
  <c r="O8" i="22"/>
  <c r="Q8" i="22" s="1"/>
  <c r="O9" i="22"/>
  <c r="Q9" i="22" s="1"/>
  <c r="O10" i="22"/>
  <c r="Q10" i="22" s="1"/>
  <c r="O11" i="22"/>
  <c r="Q11" i="22" s="1"/>
  <c r="O12" i="22"/>
  <c r="Q12" i="22" s="1"/>
  <c r="O13" i="22"/>
  <c r="Q13" i="22" s="1"/>
  <c r="O14" i="22"/>
  <c r="Q14" i="22" s="1"/>
  <c r="O15" i="22"/>
  <c r="Q15" i="22" s="1"/>
  <c r="O16" i="22"/>
  <c r="Q16" i="22" s="1"/>
  <c r="O17" i="22"/>
  <c r="Q17" i="22" s="1"/>
  <c r="O18" i="22"/>
  <c r="Q18" i="22" s="1"/>
  <c r="O19" i="22"/>
  <c r="Q19" i="22" s="1"/>
  <c r="O20" i="22"/>
  <c r="Q20" i="22" s="1"/>
  <c r="O21" i="22"/>
  <c r="Q21" i="22" s="1"/>
  <c r="O22" i="22"/>
  <c r="Q22" i="22" s="1"/>
  <c r="O23" i="22"/>
  <c r="Q23" i="22" s="1"/>
  <c r="O24" i="22"/>
  <c r="Q24" i="22" s="1"/>
  <c r="O25" i="22"/>
  <c r="Q25" i="22" s="1"/>
  <c r="O26" i="22"/>
  <c r="Q26" i="22" s="1"/>
  <c r="O27" i="22"/>
  <c r="Q27" i="22" s="1"/>
  <c r="O28" i="22"/>
  <c r="Q28" i="22" s="1"/>
  <c r="O29" i="22"/>
  <c r="Q29" i="22" s="1"/>
  <c r="O30" i="22"/>
  <c r="Q30" i="22" s="1"/>
  <c r="O31" i="22"/>
  <c r="Q31" i="22" s="1"/>
  <c r="O32" i="22"/>
  <c r="Q32" i="22" s="1"/>
  <c r="O33" i="22"/>
  <c r="Q33" i="22" s="1"/>
  <c r="O34" i="22"/>
  <c r="Q34" i="22" s="1"/>
  <c r="O35" i="22"/>
  <c r="Q35" i="22" s="1"/>
  <c r="O36" i="22"/>
  <c r="Q36" i="22" s="1"/>
  <c r="O37" i="22"/>
  <c r="Q37" i="22" s="1"/>
  <c r="O38" i="22"/>
  <c r="Q38" i="22" s="1"/>
  <c r="O39" i="22"/>
  <c r="Q39" i="22" s="1"/>
  <c r="O40" i="22"/>
  <c r="Q40" i="22" s="1"/>
  <c r="O41" i="22"/>
  <c r="Q41" i="22" s="1"/>
  <c r="O42" i="22"/>
  <c r="Q42" i="22" s="1"/>
  <c r="O43" i="22"/>
  <c r="Q43" i="22" s="1"/>
  <c r="O44" i="22"/>
  <c r="Q44" i="22" s="1"/>
  <c r="O45" i="22"/>
  <c r="Q45" i="22" s="1"/>
  <c r="O46" i="22"/>
  <c r="Q46" i="22" s="1"/>
  <c r="O47" i="22"/>
  <c r="Q47" i="22" s="1"/>
  <c r="O48" i="22"/>
  <c r="Q48" i="22" s="1"/>
  <c r="O49" i="22"/>
  <c r="Q49" i="22" s="1"/>
  <c r="O50" i="22"/>
  <c r="Q50" i="22" s="1"/>
  <c r="O51" i="22"/>
  <c r="Q51" i="22" s="1"/>
  <c r="O52" i="22"/>
  <c r="Q52" i="22" s="1"/>
  <c r="O53" i="22"/>
  <c r="Q53" i="22" s="1"/>
  <c r="O54" i="22"/>
  <c r="Q54" i="22" s="1"/>
  <c r="O55" i="22"/>
  <c r="Q55" i="22" s="1"/>
  <c r="O56" i="22"/>
  <c r="Q56" i="22" s="1"/>
  <c r="O57" i="22"/>
  <c r="Q57" i="22" s="1"/>
  <c r="O58" i="22"/>
  <c r="Q58" i="22" s="1"/>
  <c r="O59" i="22"/>
  <c r="Q59" i="22" s="1"/>
  <c r="O60" i="22"/>
  <c r="Q60" i="22" s="1"/>
  <c r="O61" i="22"/>
  <c r="Q61" i="22" s="1"/>
  <c r="O62" i="22"/>
  <c r="Q62" i="22" s="1"/>
  <c r="O63" i="22"/>
  <c r="Q63" i="22" s="1"/>
  <c r="O64" i="22"/>
  <c r="Q64" i="22" s="1"/>
  <c r="O65" i="22"/>
  <c r="Q65" i="22" s="1"/>
  <c r="O66" i="22"/>
  <c r="Q66" i="22" s="1"/>
  <c r="O67" i="22"/>
  <c r="Q67" i="22" s="1"/>
  <c r="O68" i="22"/>
  <c r="Q68" i="22" s="1"/>
  <c r="O69" i="22"/>
  <c r="Q69" i="22" s="1"/>
  <c r="O2" i="22"/>
  <c r="Q2" i="22" s="1"/>
  <c r="H28" i="9" l="1"/>
  <c r="E29" i="9"/>
  <c r="H29" i="9" s="1"/>
  <c r="F27" i="9"/>
  <c r="I27" i="9" s="1"/>
  <c r="G28" i="9"/>
  <c r="F28" i="9" s="1"/>
  <c r="I28" i="9" s="1"/>
  <c r="D29" i="9"/>
  <c r="C28" i="9"/>
  <c r="H7" i="24"/>
  <c r="I7" i="24"/>
  <c r="Q7" i="24" s="1"/>
  <c r="R7" i="24" s="1"/>
  <c r="H9" i="24"/>
  <c r="I9" i="24"/>
  <c r="K9" i="24" s="1"/>
  <c r="I8" i="24"/>
  <c r="H8" i="24"/>
  <c r="K8" i="24" s="1"/>
  <c r="I10" i="24"/>
  <c r="H10" i="24"/>
  <c r="K10" i="24"/>
  <c r="M10" i="24" s="1"/>
  <c r="I11" i="24"/>
  <c r="H11" i="24"/>
  <c r="K11" i="24" s="1"/>
  <c r="I12" i="24"/>
  <c r="H12" i="24"/>
  <c r="K12" i="24" s="1"/>
  <c r="I13" i="24"/>
  <c r="H13" i="24"/>
  <c r="K13" i="24" s="1"/>
  <c r="I14" i="24"/>
  <c r="H14" i="24"/>
  <c r="K14" i="24" s="1"/>
  <c r="L7" i="24"/>
  <c r="K7" i="24"/>
  <c r="K16" i="24" s="1"/>
  <c r="D15" i="19"/>
  <c r="C15" i="19"/>
  <c r="B15" i="19"/>
  <c r="E15" i="19"/>
  <c r="C16" i="19"/>
  <c r="E16" i="19"/>
  <c r="F16" i="19"/>
  <c r="B16" i="19"/>
  <c r="D16" i="19"/>
  <c r="F15" i="19"/>
  <c r="F4" i="19"/>
  <c r="F5" i="19" s="1"/>
  <c r="E4" i="19"/>
  <c r="E5" i="19" s="1"/>
  <c r="D4" i="19"/>
  <c r="D5" i="19" s="1"/>
  <c r="C4" i="19"/>
  <c r="C5" i="19" s="1"/>
  <c r="B4" i="19"/>
  <c r="B5" i="19" s="1"/>
  <c r="C9" i="19"/>
  <c r="C10" i="19" s="1"/>
  <c r="D9" i="19"/>
  <c r="D10" i="19" s="1"/>
  <c r="E9" i="19"/>
  <c r="E10" i="19" s="1"/>
  <c r="F9" i="19"/>
  <c r="F10" i="19" s="1"/>
  <c r="B9" i="19"/>
  <c r="B10" i="19" s="1"/>
  <c r="E14" i="18"/>
  <c r="H14" i="18"/>
  <c r="C14" i="18"/>
  <c r="D8" i="13"/>
  <c r="D9" i="13"/>
  <c r="D14" i="18" s="1"/>
  <c r="D10" i="13"/>
  <c r="D7" i="13"/>
  <c r="M72" i="15"/>
  <c r="L72" i="15"/>
  <c r="K72" i="15"/>
  <c r="J72" i="15"/>
  <c r="I72" i="15"/>
  <c r="H72" i="15"/>
  <c r="G72" i="15"/>
  <c r="F72" i="15"/>
  <c r="G20" i="15"/>
  <c r="H20" i="15"/>
  <c r="I20" i="15"/>
  <c r="J20" i="15"/>
  <c r="K20" i="15"/>
  <c r="L20" i="15"/>
  <c r="M20" i="15"/>
  <c r="F20" i="15"/>
  <c r="G8" i="15"/>
  <c r="G9" i="15" s="1"/>
  <c r="H8" i="15"/>
  <c r="H9" i="15" s="1"/>
  <c r="I8" i="15"/>
  <c r="I9" i="15" s="1"/>
  <c r="J8" i="15"/>
  <c r="J9" i="15" s="1"/>
  <c r="K8" i="15"/>
  <c r="K9" i="15" s="1"/>
  <c r="L8" i="15"/>
  <c r="L9" i="15" s="1"/>
  <c r="M8" i="15"/>
  <c r="M9" i="15" s="1"/>
  <c r="F8" i="15"/>
  <c r="F9" i="15" s="1"/>
  <c r="L31" i="14"/>
  <c r="K31" i="14"/>
  <c r="F31" i="14"/>
  <c r="D31" i="14"/>
  <c r="L30" i="14"/>
  <c r="K30" i="14"/>
  <c r="F30" i="14"/>
  <c r="D30" i="14"/>
  <c r="L29" i="14"/>
  <c r="K29" i="14"/>
  <c r="F29" i="14"/>
  <c r="D29" i="14"/>
  <c r="L28" i="14"/>
  <c r="K28" i="14"/>
  <c r="F28" i="14"/>
  <c r="D28" i="14"/>
  <c r="L27" i="14"/>
  <c r="K27" i="14"/>
  <c r="F27" i="14"/>
  <c r="D27" i="14"/>
  <c r="L26" i="14"/>
  <c r="K26" i="14"/>
  <c r="F26" i="14"/>
  <c r="D26" i="14"/>
  <c r="L25" i="14"/>
  <c r="K25" i="14"/>
  <c r="F25" i="14"/>
  <c r="D25" i="14"/>
  <c r="L24" i="14"/>
  <c r="K24" i="14"/>
  <c r="F24" i="14"/>
  <c r="D24" i="14"/>
  <c r="H24" i="14" s="1"/>
  <c r="J24" i="14" s="1"/>
  <c r="F18" i="14"/>
  <c r="D18" i="14"/>
  <c r="H17" i="14"/>
  <c r="J17" i="14" s="1"/>
  <c r="G17" i="14"/>
  <c r="I17" i="14" s="1"/>
  <c r="H16" i="14"/>
  <c r="J16" i="14" s="1"/>
  <c r="G16" i="14"/>
  <c r="I16" i="14" s="1"/>
  <c r="H15" i="14"/>
  <c r="J15" i="14" s="1"/>
  <c r="G15" i="14"/>
  <c r="I15" i="14" s="1"/>
  <c r="H14" i="14"/>
  <c r="J14" i="14" s="1"/>
  <c r="G14" i="14"/>
  <c r="I14" i="14" s="1"/>
  <c r="H13" i="14"/>
  <c r="J13" i="14" s="1"/>
  <c r="G13" i="14"/>
  <c r="I13" i="14" s="1"/>
  <c r="H12" i="14"/>
  <c r="J12" i="14" s="1"/>
  <c r="G12" i="14"/>
  <c r="I12" i="14" s="1"/>
  <c r="H11" i="14"/>
  <c r="J11" i="14" s="1"/>
  <c r="G11" i="14"/>
  <c r="I11" i="14" s="1"/>
  <c r="H10" i="14"/>
  <c r="J10" i="14" s="1"/>
  <c r="G10" i="14"/>
  <c r="I10" i="14" s="1"/>
  <c r="J28" i="9" l="1"/>
  <c r="G29" i="9"/>
  <c r="F29" i="9" s="1"/>
  <c r="I29" i="9" s="1"/>
  <c r="C29" i="9"/>
  <c r="T16" i="24"/>
  <c r="H16" i="24"/>
  <c r="H17" i="24" s="1"/>
  <c r="L14" i="24"/>
  <c r="L8" i="24"/>
  <c r="M8" i="24"/>
  <c r="M14" i="24"/>
  <c r="L13" i="24"/>
  <c r="M13" i="24" s="1"/>
  <c r="L12" i="24"/>
  <c r="M12" i="24" s="1"/>
  <c r="L9" i="24"/>
  <c r="M9" i="24" s="1"/>
  <c r="M7" i="24"/>
  <c r="L11" i="24"/>
  <c r="M11" i="24" s="1"/>
  <c r="H18" i="14"/>
  <c r="H25" i="14"/>
  <c r="J25" i="14" s="1"/>
  <c r="H29" i="14"/>
  <c r="J29" i="14" s="1"/>
  <c r="H31" i="14"/>
  <c r="J31" i="14" s="1"/>
  <c r="L60" i="15"/>
  <c r="L61" i="15" s="1"/>
  <c r="M60" i="15"/>
  <c r="M61" i="15" s="1"/>
  <c r="K60" i="15"/>
  <c r="K61" i="15" s="1"/>
  <c r="J60" i="15"/>
  <c r="J61" i="15" s="1"/>
  <c r="H60" i="15"/>
  <c r="H61" i="15" s="1"/>
  <c r="I60" i="15"/>
  <c r="I61" i="15" s="1"/>
  <c r="G60" i="15"/>
  <c r="F60" i="15"/>
  <c r="F61" i="15" s="1"/>
  <c r="G26" i="14"/>
  <c r="I26" i="14" s="1"/>
  <c r="H28" i="14"/>
  <c r="J28" i="14" s="1"/>
  <c r="E30" i="14"/>
  <c r="E29" i="14"/>
  <c r="G25" i="14"/>
  <c r="I25" i="14" s="1"/>
  <c r="G27" i="14"/>
  <c r="I27" i="14" s="1"/>
  <c r="G29" i="14"/>
  <c r="I29" i="14" s="1"/>
  <c r="G31" i="14"/>
  <c r="I31" i="14" s="1"/>
  <c r="G18" i="14"/>
  <c r="G30" i="14"/>
  <c r="I30" i="14" s="1"/>
  <c r="E25" i="14"/>
  <c r="C27" i="14"/>
  <c r="E28" i="14"/>
  <c r="H27" i="14"/>
  <c r="J27" i="14" s="1"/>
  <c r="C30" i="14"/>
  <c r="E27" i="14"/>
  <c r="E24" i="14"/>
  <c r="E26" i="14"/>
  <c r="G28" i="14"/>
  <c r="I28" i="14" s="1"/>
  <c r="C29" i="14"/>
  <c r="C31" i="14"/>
  <c r="E31" i="14"/>
  <c r="C28" i="14"/>
  <c r="H26" i="14"/>
  <c r="J26" i="14" s="1"/>
  <c r="C24" i="14"/>
  <c r="H30" i="14"/>
  <c r="J30" i="14" s="1"/>
  <c r="C25" i="14"/>
  <c r="G24" i="14"/>
  <c r="I24" i="14" s="1"/>
  <c r="C26" i="14"/>
  <c r="J29" i="9" l="1"/>
  <c r="G61" i="15"/>
  <c r="F7"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tc={C402102B-9080-2242-AD0F-68B591C851D6}</author>
    <author>tc={2087AA55-313C-A846-828B-C98F7E0358A4}</author>
  </authors>
  <commentList>
    <comment ref="D1" authorId="0" shapeId="0" xr:uid="{C402102B-9080-2242-AD0F-68B591C851D6}">
      <text>
        <t>[Threaded comment]
Your version of Excel allows you to read this threaded comment; however, any edits to it will get removed if the file is opened in a newer version of Excel. Learn more: https://go.microsoft.com/fwlink/?linkid=870924
Comment:
    no enzyme that can degrade it. k_deg=0 in subsoil, sediments and water column.</t>
      </text>
    </comment>
    <comment ref="T1" authorId="1" shapeId="0" xr:uid="{2087AA55-313C-A846-828B-C98F7E0358A4}">
      <text>
        <t>[Threaded comment]
Your version of Excel allows you to read this threaded comment; however, any edits to it will get removed if the file is opened in a newer version of Excel. Learn more: https://go.microsoft.com/fwlink/?linkid=870924
Comment:
    check if they degrade in subsoil, sediments, (no UV)</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<sst xmlns="http://schemas.openxmlformats.org/spreadsheetml/2006/main" count="2865" uniqueCount="429">
  <si>
    <t>HDPE</t>
  </si>
  <si>
    <t>LDPE</t>
  </si>
  <si>
    <t>PET</t>
  </si>
  <si>
    <t>PP</t>
  </si>
  <si>
    <t>PVC</t>
  </si>
  <si>
    <t>EPS</t>
  </si>
  <si>
    <t>TRWP</t>
  </si>
  <si>
    <t>PHA</t>
  </si>
  <si>
    <t xml:space="preserve">PS </t>
  </si>
  <si>
    <t>PBAT</t>
  </si>
  <si>
    <t>PAN</t>
  </si>
  <si>
    <t>SSDR water</t>
  </si>
  <si>
    <t xml:space="preserve">Polymer type </t>
  </si>
  <si>
    <t>PA_Nylon</t>
  </si>
  <si>
    <t>-</t>
  </si>
  <si>
    <t>starch_blend</t>
  </si>
  <si>
    <t>SSDR sediment</t>
  </si>
  <si>
    <t>SSDR soil</t>
  </si>
  <si>
    <t>SUPPORTING INFORMATION FOR:</t>
  </si>
  <si>
    <t>Table of content:</t>
  </si>
  <si>
    <t>Description:</t>
  </si>
  <si>
    <t>Louvet, J., Quik, J.T.K., Boulay A.-M. (under review). Regionalized Characterization Factors for Microplastics Emissions in Life Cycle Assessment Considering Multimedia Fate Modelling</t>
  </si>
  <si>
    <t>1.1 Fate Factors calculated (in days)</t>
  </si>
  <si>
    <t>2.1 SSDRs for water compartments</t>
  </si>
  <si>
    <t>2.2 SSDRs for sediment compartments</t>
  </si>
  <si>
    <t xml:space="preserve">2.3 SSDRs for soil compartments </t>
  </si>
  <si>
    <t>3.1 Default sedimentation rates for low-density polymers</t>
  </si>
  <si>
    <t>4.1. Regionalization parameters</t>
  </si>
  <si>
    <t>4.2. Calculations of regionalized depth and surface area for lake and river</t>
  </si>
  <si>
    <t>PLA</t>
  </si>
  <si>
    <t>Europe</t>
  </si>
  <si>
    <t>Oceania</t>
  </si>
  <si>
    <t>World</t>
  </si>
  <si>
    <t>PS</t>
  </si>
  <si>
    <t>5. References</t>
  </si>
  <si>
    <t>polymer type</t>
  </si>
  <si>
    <t>default sed rate [s-1]</t>
  </si>
  <si>
    <t xml:space="preserve">Default sedimentation rates for low-density polymers </t>
  </si>
  <si>
    <t>Data calculated with HydroATLAS</t>
  </si>
  <si>
    <t xml:space="preserve">Continental landscape: </t>
  </si>
  <si>
    <t>Lake water</t>
  </si>
  <si>
    <t>Fraction of suface water</t>
  </si>
  <si>
    <t xml:space="preserve">Fraction of land </t>
  </si>
  <si>
    <t>fraction of total surface water (USEtox)</t>
  </si>
  <si>
    <t>Region</t>
  </si>
  <si>
    <t>Depth (m)</t>
  </si>
  <si>
    <t xml:space="preserve">North America </t>
  </si>
  <si>
    <t>Latin America</t>
  </si>
  <si>
    <t>Africa+Middle East</t>
  </si>
  <si>
    <t>Central Asia</t>
  </si>
  <si>
    <t>Southeast Asia</t>
  </si>
  <si>
    <t>Northern regions</t>
  </si>
  <si>
    <t xml:space="preserve">Global landscape: </t>
  </si>
  <si>
    <t>Intermediate columns</t>
  </si>
  <si>
    <t>Fraction of land</t>
  </si>
  <si>
    <t xml:space="preserve">Depth * surface area </t>
  </si>
  <si>
    <t>Surface area (km2)</t>
  </si>
  <si>
    <t>Fraction of total surface water (USEtox)</t>
  </si>
  <si>
    <t>Calculations of regionalized depth and surface area for lake and river</t>
  </si>
  <si>
    <t>regions</t>
  </si>
  <si>
    <t>area_land_C</t>
  </si>
  <si>
    <t>area_sea_C</t>
  </si>
  <si>
    <t>areafrac_lw_C</t>
  </si>
  <si>
    <t>areafrac_nat_soil_C</t>
  </si>
  <si>
    <t>areafrac_agr_soil_C</t>
  </si>
  <si>
    <t>fracsf_lw_C</t>
  </si>
  <si>
    <t>temp_C</t>
  </si>
  <si>
    <t>wind_speed_C</t>
  </si>
  <si>
    <t>rain_rate_C</t>
  </si>
  <si>
    <t>depth_lw_C</t>
  </si>
  <si>
    <t>depth_sw_C</t>
  </si>
  <si>
    <t>frac_runoff_lw_C</t>
  </si>
  <si>
    <t>frac_infiltr_C</t>
  </si>
  <si>
    <t>soil_ero_C</t>
  </si>
  <si>
    <t>irrig_C</t>
  </si>
  <si>
    <t>area_land_G</t>
  </si>
  <si>
    <t>area_sea_G</t>
  </si>
  <si>
    <t>areafrac_lw_G</t>
  </si>
  <si>
    <t>areafrac_nat_soil_G</t>
  </si>
  <si>
    <t>areafrac_agr_soil_G</t>
  </si>
  <si>
    <t>fracsf_lw_G</t>
  </si>
  <si>
    <t>temp_G</t>
  </si>
  <si>
    <t>wind_speed_G</t>
  </si>
  <si>
    <t>rain_rate_G</t>
  </si>
  <si>
    <t>depth_lw_G</t>
  </si>
  <si>
    <t>depth_sw_G</t>
  </si>
  <si>
    <t>frac_runoff_lw_G</t>
  </si>
  <si>
    <t>frac_infiltr_G</t>
  </si>
  <si>
    <t>soil_ero_G</t>
  </si>
  <si>
    <t>irrig_G</t>
  </si>
  <si>
    <t>Regionalization parameters</t>
  </si>
  <si>
    <t xml:space="preserve">source </t>
  </si>
  <si>
    <t xml:space="preserve">unit </t>
  </si>
  <si>
    <t>[m2]</t>
  </si>
  <si>
    <t>description</t>
  </si>
  <si>
    <t>area of land</t>
  </si>
  <si>
    <t>area of sea</t>
  </si>
  <si>
    <t>fraction of land area allocated to river</t>
  </si>
  <si>
    <t xml:space="preserve">fraction of land area allocated to lake </t>
  </si>
  <si>
    <t xml:space="preserve">fraction of land area allocated to natural soil </t>
  </si>
  <si>
    <t xml:space="preserve">fraction of land area allocated to agricultural soil </t>
  </si>
  <si>
    <t>USEtox</t>
  </si>
  <si>
    <t>Calculated with HydroATLAS</t>
  </si>
  <si>
    <t>fraction of surface water allocated to river</t>
  </si>
  <si>
    <t>fraction of surface water allocated to lake</t>
  </si>
  <si>
    <t>temperature</t>
  </si>
  <si>
    <t>K</t>
  </si>
  <si>
    <t>wind speed</t>
  </si>
  <si>
    <t>[m*s-1]</t>
  </si>
  <si>
    <t>rain rate</t>
  </si>
  <si>
    <t>[m]</t>
  </si>
  <si>
    <t>depth sea water</t>
  </si>
  <si>
    <t>depth lake water</t>
  </si>
  <si>
    <t>depth river water</t>
  </si>
  <si>
    <t>fraction runoff to river</t>
  </si>
  <si>
    <t>Fraction runoff in USEtox * Fraction of surface water allocated to river</t>
  </si>
  <si>
    <t>Fraction runoff in USEtox * Fraction of surface water allocated to lake</t>
  </si>
  <si>
    <t>fraction runoff to lake</t>
  </si>
  <si>
    <t>fraction infiltration</t>
  </si>
  <si>
    <t>CONTINENTAL SCALE</t>
  </si>
  <si>
    <t>GLOBAL SCALE</t>
  </si>
  <si>
    <t xml:space="preserve">soil erosion </t>
  </si>
  <si>
    <t>irrigation</t>
  </si>
  <si>
    <t>[m3]</t>
  </si>
  <si>
    <t>North America</t>
  </si>
  <si>
    <t>Africa &amp; Middle East</t>
  </si>
  <si>
    <t>parameter</t>
  </si>
  <si>
    <t xml:space="preserve">References </t>
  </si>
  <si>
    <t>(Lehner et al., 2022)
(Linke et al., 2019)</t>
  </si>
  <si>
    <t>a</t>
  </si>
  <si>
    <t>air</t>
  </si>
  <si>
    <t>areafrac_rw_C</t>
  </si>
  <si>
    <t>fracsf_rw_C</t>
  </si>
  <si>
    <t>depth_rw_C</t>
  </si>
  <si>
    <t>frac_runoff_rw_C</t>
  </si>
  <si>
    <t>areafrac_rw_G</t>
  </si>
  <si>
    <t>fracsf_rw_G</t>
  </si>
  <si>
    <t>depth_rw_G</t>
  </si>
  <si>
    <t>frac_runoff_rw_G</t>
  </si>
  <si>
    <t>River water</t>
  </si>
  <si>
    <t>Variable</t>
  </si>
  <si>
    <t>Scale</t>
  </si>
  <si>
    <t>SubCompart</t>
  </si>
  <si>
    <t>Regional</t>
  </si>
  <si>
    <t>Continental</t>
  </si>
  <si>
    <t>TotalArea</t>
  </si>
  <si>
    <t>FRACsea</t>
  </si>
  <si>
    <t>landFRAC</t>
  </si>
  <si>
    <t>river</t>
  </si>
  <si>
    <t>lake</t>
  </si>
  <si>
    <t>naturalsoil</t>
  </si>
  <si>
    <t>agriculturalsoil</t>
  </si>
  <si>
    <t>Temp</t>
  </si>
  <si>
    <t>WINDspeed</t>
  </si>
  <si>
    <t>RAINrate</t>
  </si>
  <si>
    <t>[mm*yr-1]</t>
  </si>
  <si>
    <t>SB4P input in R</t>
  </si>
  <si>
    <t>VertDistance</t>
  </si>
  <si>
    <t>sea</t>
  </si>
  <si>
    <t>FRACinf</t>
  </si>
  <si>
    <t>Not changed - same value</t>
  </si>
  <si>
    <t>SB4P notes</t>
  </si>
  <si>
    <t>othersoil</t>
  </si>
  <si>
    <t xml:space="preserve">fraction of land area allocated to other soil </t>
  </si>
  <si>
    <t>Set to 0 to get rid of it</t>
  </si>
  <si>
    <t>RhoS</t>
  </si>
  <si>
    <t>CorFacSSA</t>
  </si>
  <si>
    <t>m/s</t>
  </si>
  <si>
    <t>default sed velocity [m.s-1]</t>
  </si>
  <si>
    <t>m</t>
  </si>
  <si>
    <t>MinSettVel</t>
  </si>
  <si>
    <t>varName</t>
  </si>
  <si>
    <t>Kssdr</t>
  </si>
  <si>
    <t>marinesediment</t>
  </si>
  <si>
    <t>freshwatersediment</t>
  </si>
  <si>
    <t>lakesediment</t>
  </si>
  <si>
    <t>deepocean</t>
  </si>
  <si>
    <t>Total area needs to include the size of nested scales. We add the area of continental scale</t>
  </si>
  <si>
    <t>Adapted so include nested compartment</t>
  </si>
  <si>
    <t>FRACrun</t>
  </si>
  <si>
    <t>fraction runoff</t>
  </si>
  <si>
    <t>D</t>
  </si>
  <si>
    <t>W</t>
  </si>
  <si>
    <t>H</t>
  </si>
  <si>
    <t>L</t>
  </si>
  <si>
    <t>Fiber</t>
  </si>
  <si>
    <t xml:space="preserve">Hajjar et al. </t>
  </si>
  <si>
    <t>Source</t>
  </si>
  <si>
    <t>Sphere</t>
  </si>
  <si>
    <t>Kooi &amp; Koelmans (2019)</t>
  </si>
  <si>
    <t>Film</t>
  </si>
  <si>
    <t>Between the UL and LL</t>
  </si>
  <si>
    <t>Note</t>
  </si>
  <si>
    <t>Max size before exceeding MP range</t>
  </si>
  <si>
    <t>Exceeds MP range</t>
  </si>
  <si>
    <t>Cotton</t>
  </si>
  <si>
    <t>Linen</t>
  </si>
  <si>
    <t>Viscose</t>
  </si>
  <si>
    <t>Rayon</t>
  </si>
  <si>
    <t>Lyocell</t>
  </si>
  <si>
    <t>Modal</t>
  </si>
  <si>
    <t>dens_fw_species_C</t>
  </si>
  <si>
    <t>dens_fw_species_RoW</t>
  </si>
  <si>
    <t>dens_marine_species_C</t>
  </si>
  <si>
    <t>dens_marine_species_RoW</t>
  </si>
  <si>
    <t>dens_ter_species_C</t>
  </si>
  <si>
    <t>dens_ter_species_RoW</t>
  </si>
  <si>
    <t>Louvet et al. (2025)</t>
  </si>
  <si>
    <t>Hajjar et al.</t>
  </si>
  <si>
    <t>depth water column</t>
  </si>
  <si>
    <t>UVintensity</t>
  </si>
  <si>
    <t>MICROBconc</t>
  </si>
  <si>
    <t>Arctic</t>
  </si>
  <si>
    <t>cloudwater</t>
  </si>
  <si>
    <t>value</t>
  </si>
  <si>
    <t>code</t>
  </si>
  <si>
    <t>Moderate</t>
  </si>
  <si>
    <t>Tropic</t>
  </si>
  <si>
    <t>HEIGHT</t>
  </si>
  <si>
    <t>aA</t>
  </si>
  <si>
    <t>DEPTH</t>
  </si>
  <si>
    <t>w3A</t>
  </si>
  <si>
    <t>sdA</t>
  </si>
  <si>
    <t>sA</t>
  </si>
  <si>
    <t>w2A</t>
  </si>
  <si>
    <t>s2C</t>
  </si>
  <si>
    <t>aC</t>
  </si>
  <si>
    <t>sd1C</t>
  </si>
  <si>
    <t>w0C</t>
  </si>
  <si>
    <t>sd0C</t>
  </si>
  <si>
    <t>sd2C</t>
  </si>
  <si>
    <t>s1C</t>
  </si>
  <si>
    <t>s3C</t>
  </si>
  <si>
    <t>w1C</t>
  </si>
  <si>
    <t>w2C</t>
  </si>
  <si>
    <t>aM</t>
  </si>
  <si>
    <t>w3M</t>
  </si>
  <si>
    <t>sdM</t>
  </si>
  <si>
    <t>sM</t>
  </si>
  <si>
    <t>w2M</t>
  </si>
  <si>
    <t>s2R</t>
  </si>
  <si>
    <t>aR</t>
  </si>
  <si>
    <t>sd1R</t>
  </si>
  <si>
    <t>w0R</t>
  </si>
  <si>
    <t>sd0R</t>
  </si>
  <si>
    <t>sd2R</t>
  </si>
  <si>
    <t>s1R</t>
  </si>
  <si>
    <t>s3R</t>
  </si>
  <si>
    <t>w1R</t>
  </si>
  <si>
    <t>w2R</t>
  </si>
  <si>
    <t>aT</t>
  </si>
  <si>
    <t>w3T</t>
  </si>
  <si>
    <t>sdT</t>
  </si>
  <si>
    <t>sT</t>
  </si>
  <si>
    <t>w2T</t>
  </si>
  <si>
    <t>Sboo input</t>
  </si>
  <si>
    <t>W.m-2</t>
  </si>
  <si>
    <t>PlasticFADE model</t>
  </si>
  <si>
    <t>[W*m-2]</t>
  </si>
  <si>
    <t>CFU.mL-1</t>
  </si>
  <si>
    <t>[CFU*mL-1]</t>
  </si>
  <si>
    <t>NA</t>
  </si>
  <si>
    <t>W and L are computed based on the smallest dimension</t>
  </si>
  <si>
    <t>PU</t>
  </si>
  <si>
    <t>PCL</t>
  </si>
  <si>
    <t>PBSA</t>
  </si>
  <si>
    <t>Degrading_enzyme</t>
  </si>
  <si>
    <t>Fractions continental / global for the marine ecosystem</t>
  </si>
  <si>
    <t>Region in USEtox</t>
  </si>
  <si>
    <t>Marine regions in IUCN</t>
  </si>
  <si>
    <t xml:space="preserve">Number of coastal species in RoW </t>
  </si>
  <si>
    <t>Total of coastal species expected</t>
  </si>
  <si>
    <t>Real total of coastal species</t>
  </si>
  <si>
    <t>Coastal species in common</t>
  </si>
  <si>
    <t xml:space="preserve">Number endemic coastal species </t>
  </si>
  <si>
    <t xml:space="preserve">Number RoW only coastal species </t>
  </si>
  <si>
    <t xml:space="preserve"> % of species in Continental scale</t>
  </si>
  <si>
    <t>% of species in Global scale</t>
  </si>
  <si>
    <t>Total</t>
  </si>
  <si>
    <t>Atlantic Northwest, Atlantic Western Central , Pacific North East, Pacific Eastern Central</t>
  </si>
  <si>
    <t>Atlantic western central, Atlantic southwest, Pacific Eastern Centreal, Pacific Southeast</t>
  </si>
  <si>
    <t>Atlantic Northeast, Mediterranean and Black sea</t>
  </si>
  <si>
    <t>Africa + Middle East</t>
  </si>
  <si>
    <t>Atlantic eastern central, Mediterranean and Black sea, Atlantic Southeast, Indian Ocean Western</t>
  </si>
  <si>
    <t>Indian Ocean Western, Pacific Northwest</t>
  </si>
  <si>
    <t>Indian Ocean Eastern, Indian Ocean Western, Pacific Northwest, Pacific Western Central</t>
  </si>
  <si>
    <t>Arctic Sea, Atlantic North East, Atlantic Northwest, Pacific Northwest, Pacific Northeast</t>
  </si>
  <si>
    <t>Indian Ocean Eastern, Pacific Western Central, Pacific Southwest</t>
  </si>
  <si>
    <t>Sheet adapted from Louvet et al. (2025). Based on the IUCN Red List (2024) and FAO (2020)</t>
  </si>
  <si>
    <t>Update</t>
  </si>
  <si>
    <t>Global (30%)</t>
  </si>
  <si>
    <t>Water surface (29.5%)</t>
  </si>
  <si>
    <t>Water column (15.1%)</t>
  </si>
  <si>
    <t>Sediments (55.4%)</t>
  </si>
  <si>
    <t>Continental (20%)</t>
  </si>
  <si>
    <t>Sum</t>
  </si>
  <si>
    <t>% of species in Global scale (RoW)</t>
  </si>
  <si>
    <t>Number of species in global water (Marine Oceanic and Marine Deep Benthic)</t>
  </si>
  <si>
    <t xml:space="preserve"> % of species in RoW Continental scale</t>
  </si>
  <si>
    <t>Number of coastal species in region (Neritic zone and coastal zone)</t>
  </si>
  <si>
    <t>freshwater</t>
  </si>
  <si>
    <t>DegApproach</t>
  </si>
  <si>
    <t>PlasticFADE</t>
  </si>
  <si>
    <t>continental</t>
  </si>
  <si>
    <t>global</t>
  </si>
  <si>
    <t>total</t>
  </si>
  <si>
    <t>marine</t>
  </si>
  <si>
    <t>terrestrial</t>
  </si>
  <si>
    <t>depth soil</t>
  </si>
  <si>
    <t>shape factor (1, 2, 3)</t>
  </si>
  <si>
    <t>% Reduction in mass</t>
  </si>
  <si>
    <t>Reference</t>
  </si>
  <si>
    <t>Material</t>
  </si>
  <si>
    <t>time (yr)</t>
  </si>
  <si>
    <t>SSDR (um/yr)</t>
  </si>
  <si>
    <t>Additional SSDRs are computed, based on the approach of Maga et al. (2022)</t>
  </si>
  <si>
    <t>Smith et al. (2021)</t>
  </si>
  <si>
    <t>SSDR (m/s)</t>
  </si>
  <si>
    <t>Initial size (um)</t>
  </si>
  <si>
    <t>Li et al. (2010)</t>
  </si>
  <si>
    <t>Species</t>
  </si>
  <si>
    <t>Distribution</t>
  </si>
  <si>
    <t>b</t>
  </si>
  <si>
    <t>c</t>
  </si>
  <si>
    <t>Data Source</t>
  </si>
  <si>
    <t>log normal</t>
  </si>
  <si>
    <t>Saadi et al.</t>
  </si>
  <si>
    <t>EEF_w</t>
  </si>
  <si>
    <t>EEF_sed</t>
  </si>
  <si>
    <t>EEF_s</t>
  </si>
  <si>
    <t>Corella-Puertas et al. (2023)</t>
  </si>
  <si>
    <t>Saadi et al. (2025)</t>
  </si>
  <si>
    <t>Tunali &amp; Nowack (2025)</t>
  </si>
  <si>
    <t>Lower limit</t>
  </si>
  <si>
    <t>Upper limit</t>
  </si>
  <si>
    <t>Value (PAF m3/kg)</t>
  </si>
  <si>
    <t>Tunali &amp; Nowack</t>
  </si>
  <si>
    <t>95% CI provided</t>
  </si>
  <si>
    <t>Q1 and Q3 provided and log normality assumed</t>
  </si>
  <si>
    <t>a = left truncation (none here)</t>
  </si>
  <si>
    <t>b = sigma = sd log</t>
  </si>
  <si>
    <t>c = mu = LN(GEOMEAN)</t>
  </si>
  <si>
    <t>Lower limit SSDR [m/s]</t>
  </si>
  <si>
    <t>Upper limit SSDR [m/s]</t>
  </si>
  <si>
    <t>Geometric mean SSDR [m/s]</t>
  </si>
  <si>
    <t>Geometric mean SSDR [µm/year]</t>
  </si>
  <si>
    <t>Lower limit SSDR [µm/year]</t>
  </si>
  <si>
    <t>Upper limit SSDR [µm/year]</t>
  </si>
  <si>
    <t>log-normal distribution</t>
  </si>
  <si>
    <t>mu</t>
  </si>
  <si>
    <t>sigma</t>
  </si>
  <si>
    <t>z_0.995 =</t>
  </si>
  <si>
    <t>No degradation data in soil available. The SSDR of cotton was chosen as a proxy, given their common cellulosic composition</t>
  </si>
  <si>
    <t>cotton deg in soil</t>
  </si>
  <si>
    <t>Saadi &amp; Boulay (2026)</t>
  </si>
  <si>
    <t>SSDR values are taken from Louvet et al. (2026), Saadi et al. (2025), Saadi &amp; Boulay (2026), and Corella-Puertas et al. (2023). SBoo requires [m/s] as an input for Kssdr. It is assumed that SSDRs are log-normally distributed (Corella-Puertas et al., 2023), and that the lower to upper limit represents the 99% confidence interval (CI), from which the distribution parameters are derived and used as an input in SBoo (for probabilistic solver). However, when plasticFADE model empirical degradation constants (and their CI) are available, they are used as input to compute degradation rates, ignoring the values below.</t>
  </si>
  <si>
    <t>Supplementary information with derivation of input data for SimpleBox object-oriented (SBoo): degradation data, landscape data, UV intensity calculations, exposure and effect factors (EEFs), SDFs.</t>
  </si>
  <si>
    <t>Default sedimentation rates are taken from Corella-Puertas et al. (2023). They are only used when SBoo returns a settling velocity of 0 m/s (for particles with density lower than that of water). For the marine environment, these default settling velocities are not used, as TrackMPD is used to derive settling velocities.</t>
  </si>
  <si>
    <t>Adjustment factor per region</t>
  </si>
  <si>
    <t>Global average UV intensity</t>
  </si>
  <si>
    <t>Latitude range [º]</t>
  </si>
  <si>
    <t>Longitude range [º]</t>
  </si>
  <si>
    <t>Adjustment factor [-]</t>
  </si>
  <si>
    <t>(15, 75)</t>
  </si>
  <si>
    <t>(-170, -50)</t>
  </si>
  <si>
    <t>Default</t>
  </si>
  <si>
    <t>Tang &amp; Boulay (under revision)</t>
  </si>
  <si>
    <t>(-60, 15)</t>
  </si>
  <si>
    <t>(-90, -30)</t>
  </si>
  <si>
    <t>(35, 70)</t>
  </si>
  <si>
    <t>(40, 140)</t>
  </si>
  <si>
    <t>Compartment</t>
  </si>
  <si>
    <t>(-35, 35)</t>
  </si>
  <si>
    <t>(-20, 60)</t>
  </si>
  <si>
    <t>Freshwater (river)</t>
  </si>
  <si>
    <t>Belmont et al. (2007)</t>
  </si>
  <si>
    <t>Lake</t>
  </si>
  <si>
    <t>Morris et al. (1995)</t>
  </si>
  <si>
    <t>(-10, 35)</t>
  </si>
  <si>
    <t>(60, 150)</t>
  </si>
  <si>
    <t>Seawater surface</t>
  </si>
  <si>
    <t>Llabrés et al. (2010)</t>
  </si>
  <si>
    <t>(70, 90)</t>
  </si>
  <si>
    <t>(-180, 180)</t>
  </si>
  <si>
    <t>(-50, 0)</t>
  </si>
  <si>
    <t>(110, 180)</t>
  </si>
  <si>
    <t>Scaling factor per region &amp; compartment</t>
  </si>
  <si>
    <t>Depth [m]</t>
  </si>
  <si>
    <t>Scaling factor [%]</t>
  </si>
  <si>
    <t>Air</t>
  </si>
  <si>
    <t>–</t>
  </si>
  <si>
    <t>Agricultural soil</t>
  </si>
  <si>
    <t>Natural soil</t>
  </si>
  <si>
    <t>Other soil</t>
  </si>
  <si>
    <t>Cloudwater</t>
  </si>
  <si>
    <t>Freshwater</t>
  </si>
  <si>
    <t>Freshwater sediment</t>
  </si>
  <si>
    <t>Lake sediment</t>
  </si>
  <si>
    <t>(Carla updating)</t>
  </si>
  <si>
    <t>Seawater column</t>
  </si>
  <si>
    <t>Marine sediment</t>
  </si>
  <si>
    <t>Note: Since cloudwater is discontinuous droplets in air, we neglect the UV attenuation in cloudwater (K_d is defined for continuous water columns)</t>
  </si>
  <si>
    <t>Region- and compartment-specific UV intensity [W*m-2]</t>
  </si>
  <si>
    <r>
      <t xml:space="preserve">Chamas, A., Moon, H., Zheng, J., Qiu, Y., Tabassum, T., Jang, J. H., Abu-Omar, M., Scott, S. L., &amp; Suh, S. (2020). Degradation Rates of Plastics in the Environment. </t>
    </r>
    <r>
      <rPr>
        <i/>
        <sz val="11"/>
        <color theme="1" tint="0.24994659260841701"/>
        <rFont val="Aptos"/>
      </rPr>
      <t>ACS Sustainable Chemistry &amp; Engineering</t>
    </r>
    <r>
      <rPr>
        <sz val="11"/>
        <color theme="1" tint="0.24994659260841701"/>
        <rFont val="Aptos"/>
      </rPr>
      <t xml:space="preserve">, </t>
    </r>
    <r>
      <rPr>
        <i/>
        <sz val="11"/>
        <color theme="1" tint="0.24994659260841701"/>
        <rFont val="Aptos"/>
      </rPr>
      <t>8</t>
    </r>
    <r>
      <rPr>
        <sz val="11"/>
        <color theme="1" tint="0.24994659260841701"/>
        <rFont val="Aptos"/>
      </rPr>
      <t>(9), 3494‑3511. https://doi.org/10.1021/acssuschemeng.9b06635</t>
    </r>
  </si>
  <si>
    <r>
      <t xml:space="preserve">Corella-Puertas, E., Hajjar, C., Lavoie, J., &amp; Boulay, A.-M. (2023). MarILCA characterization factors for microplastic impacts in life cycle assessment : Physical effects on biota from emissions to aquatic environments. </t>
    </r>
    <r>
      <rPr>
        <i/>
        <sz val="11"/>
        <color theme="1" tint="0.24994659260841701"/>
        <rFont val="Aptos"/>
      </rPr>
      <t>Journal of Cleaner Production</t>
    </r>
    <r>
      <rPr>
        <sz val="11"/>
        <color theme="1" tint="0.24994659260841701"/>
        <rFont val="Aptos"/>
      </rPr>
      <t xml:space="preserve">, </t>
    </r>
    <r>
      <rPr>
        <i/>
        <sz val="11"/>
        <color theme="1" tint="0.24994659260841701"/>
        <rFont val="Aptos"/>
      </rPr>
      <t>418</t>
    </r>
    <r>
      <rPr>
        <sz val="11"/>
        <color theme="1" tint="0.24994659260841701"/>
        <rFont val="Aptos"/>
      </rPr>
      <t>, 138197. https://doi.org/10.1016/j.jclepro.2023.138197</t>
    </r>
  </si>
  <si>
    <r>
      <t xml:space="preserve">Kounina, A., Margni, M., Shaked, S., Bulle, C., &amp; Jolliet, O. (2014). Spatial analysis of toxic emissions in LCA : A sub-continental nested USEtox model with freshwater archetypes. </t>
    </r>
    <r>
      <rPr>
        <i/>
        <sz val="11"/>
        <color theme="1" tint="0.24994659260841701"/>
        <rFont val="Aptos"/>
      </rPr>
      <t>Environment International</t>
    </r>
    <r>
      <rPr>
        <sz val="11"/>
        <color theme="1" tint="0.24994659260841701"/>
        <rFont val="Aptos"/>
      </rPr>
      <t xml:space="preserve">, </t>
    </r>
    <r>
      <rPr>
        <i/>
        <sz val="11"/>
        <color theme="1" tint="0.24994659260841701"/>
        <rFont val="Aptos"/>
      </rPr>
      <t>69</t>
    </r>
    <r>
      <rPr>
        <sz val="11"/>
        <color theme="1" tint="0.24994659260841701"/>
        <rFont val="Aptos"/>
      </rPr>
      <t>, 67‑89. https://doi.org/10.1016/j.envint.2014.04.004</t>
    </r>
  </si>
  <si>
    <r>
      <t xml:space="preserve">Lehner, B., Messager, M. L., Korver, M. C., &amp; Linke, S. (2022). Global hydro-environmental lake characteristics at high spatial resolution. </t>
    </r>
    <r>
      <rPr>
        <i/>
        <sz val="11"/>
        <color theme="1" tint="0.24994659260841701"/>
        <rFont val="Aptos"/>
      </rPr>
      <t>Scientific Data</t>
    </r>
    <r>
      <rPr>
        <sz val="11"/>
        <color theme="1" tint="0.24994659260841701"/>
        <rFont val="Aptos"/>
      </rPr>
      <t xml:space="preserve">, </t>
    </r>
    <r>
      <rPr>
        <i/>
        <sz val="11"/>
        <color theme="1" tint="0.24994659260841701"/>
        <rFont val="Aptos"/>
      </rPr>
      <t>9</t>
    </r>
    <r>
      <rPr>
        <sz val="11"/>
        <color theme="1" tint="0.24994659260841701"/>
        <rFont val="Aptos"/>
      </rPr>
      <t>(1), 351. https://doi.org/10.1038/s41597-022-01425-z</t>
    </r>
  </si>
  <si>
    <r>
      <t xml:space="preserve">Linke, S., Lehner, B., Ouellet Dallaire, C., Ariwi, J., Grill, G., Anand, M., Beames, P., Burchard-Levine, V., Maxwell, S., Moidu, H., Tan, F., &amp; Thieme, M. (2019). Global hydro-environmental sub-basin and river reach characteristics at high spatial resolution. </t>
    </r>
    <r>
      <rPr>
        <i/>
        <sz val="11"/>
        <color theme="1" tint="0.24994659260841701"/>
        <rFont val="Aptos"/>
      </rPr>
      <t>Scientific Data</t>
    </r>
    <r>
      <rPr>
        <sz val="11"/>
        <color theme="1" tint="0.24994659260841701"/>
        <rFont val="Aptos"/>
      </rPr>
      <t xml:space="preserve">, </t>
    </r>
    <r>
      <rPr>
        <i/>
        <sz val="11"/>
        <color theme="1" tint="0.24994659260841701"/>
        <rFont val="Aptos"/>
      </rPr>
      <t>6</t>
    </r>
    <r>
      <rPr>
        <sz val="11"/>
        <color theme="1" tint="0.24994659260841701"/>
        <rFont val="Aptos"/>
      </rPr>
      <t>(1), 283. https://doi.org/10.1038/s41597-019-0300-6</t>
    </r>
  </si>
  <si>
    <r>
      <t xml:space="preserve">Maga, D., Galafton, C., Blömer, J., Thonemann, N., Özdamar, A., &amp; Bertling, J. (2022). Methodology to address potential impacts of plastic emissions in life cycle assessment. </t>
    </r>
    <r>
      <rPr>
        <i/>
        <sz val="11"/>
        <color theme="1" tint="0.24994659260841701"/>
        <rFont val="Aptos"/>
      </rPr>
      <t>The International Journal of Life Cycle Assessment</t>
    </r>
    <r>
      <rPr>
        <sz val="11"/>
        <color theme="1" tint="0.24994659260841701"/>
        <rFont val="Aptos"/>
      </rPr>
      <t xml:space="preserve">, </t>
    </r>
    <r>
      <rPr>
        <i/>
        <sz val="11"/>
        <color theme="1" tint="0.24994659260841701"/>
        <rFont val="Aptos"/>
      </rPr>
      <t>27</t>
    </r>
    <r>
      <rPr>
        <sz val="11"/>
        <color theme="1" tint="0.24994659260841701"/>
        <rFont val="Aptos"/>
      </rPr>
      <t>(3), 469‑491. https://doi.org/10.1007/s11367-022-02040-1</t>
    </r>
  </si>
  <si>
    <r>
      <t xml:space="preserve">Rosenbaum, R. K., Bachmann, T. M., Gold, L. S., Huijbregts, M. A. J., Jolliet, O., Juraske, R., Koehler, A., Larsen, H. F., MacLeod, M., Margni, M., McKone, T. E., Payet, J., Schuhmacher, M., Van De Meent, D., &amp; Hauschild, M. Z. (2008). USEtox—the UNEP-SETAC toxicity model : Recommended characterisation factors for human toxicity and freshwater ecotoxicity in life cycle impact assessment. </t>
    </r>
    <r>
      <rPr>
        <i/>
        <sz val="11"/>
        <color theme="1" tint="0.24994659260841701"/>
        <rFont val="Aptos"/>
      </rPr>
      <t>The International Journal of Life Cycle Assessment</t>
    </r>
    <r>
      <rPr>
        <sz val="11"/>
        <color theme="1" tint="0.24994659260841701"/>
        <rFont val="Aptos"/>
      </rPr>
      <t xml:space="preserve">, </t>
    </r>
    <r>
      <rPr>
        <i/>
        <sz val="11"/>
        <color theme="1" tint="0.24994659260841701"/>
        <rFont val="Aptos"/>
      </rPr>
      <t>13</t>
    </r>
    <r>
      <rPr>
        <sz val="11"/>
        <color theme="1" tint="0.24994659260841701"/>
        <rFont val="Aptos"/>
      </rPr>
      <t>(7), 532‑546. https://doi.org/10.1007/s11367-008-0038-4</t>
    </r>
  </si>
  <si>
    <r>
      <t>Surface area in HydroLake (km</t>
    </r>
    <r>
      <rPr>
        <b/>
        <vertAlign val="superscript"/>
        <sz val="11"/>
        <color theme="1" tint="0.249977111117893"/>
        <rFont val="Aptos"/>
      </rPr>
      <t>2</t>
    </r>
    <r>
      <rPr>
        <b/>
        <sz val="11"/>
        <color theme="1" tint="0.249977111117893"/>
        <rFont val="Aptos"/>
      </rPr>
      <t>)</t>
    </r>
  </si>
  <si>
    <r>
      <t>Surface area in HydroRiver (km</t>
    </r>
    <r>
      <rPr>
        <b/>
        <vertAlign val="superscript"/>
        <sz val="11"/>
        <color theme="1" tint="0.249977111117893"/>
        <rFont val="Aptos"/>
      </rPr>
      <t>2</t>
    </r>
    <r>
      <rPr>
        <b/>
        <sz val="11"/>
        <color theme="1" tint="0.249977111117893"/>
        <rFont val="Aptos"/>
      </rPr>
      <t>)</t>
    </r>
  </si>
  <si>
    <r>
      <t>Value [W*m</t>
    </r>
    <r>
      <rPr>
        <b/>
        <vertAlign val="superscript"/>
        <sz val="12"/>
        <color theme="1"/>
        <rFont val="Aptos"/>
      </rPr>
      <t>-2</t>
    </r>
    <r>
      <rPr>
        <b/>
        <sz val="12"/>
        <color theme="1"/>
        <rFont val="Aptos"/>
      </rPr>
      <t>]</t>
    </r>
  </si>
  <si>
    <r>
      <t>K_d [m</t>
    </r>
    <r>
      <rPr>
        <b/>
        <vertAlign val="superscript"/>
        <sz val="12"/>
        <color theme="1"/>
        <rFont val="Aptos"/>
      </rPr>
      <t>-1</t>
    </r>
    <r>
      <rPr>
        <b/>
        <sz val="12"/>
        <color theme="1"/>
        <rFont val="Aptos"/>
      </rPr>
      <t>]</t>
    </r>
  </si>
  <si>
    <r>
      <t>K_d [m</t>
    </r>
    <r>
      <rPr>
        <b/>
        <vertAlign val="superscript"/>
        <sz val="12"/>
        <rFont val="Aptos"/>
      </rPr>
      <t>-1</t>
    </r>
    <r>
      <rPr>
        <b/>
        <sz val="12"/>
        <rFont val="Aptos"/>
      </rPr>
      <t>]</t>
    </r>
  </si>
  <si>
    <t>Global scale</t>
  </si>
  <si>
    <t>SBoo compartment name</t>
  </si>
  <si>
    <t>Python Input (Louvet et al., 2026)</t>
  </si>
  <si>
    <t>Fitted value</t>
  </si>
  <si>
    <t>Standard deviation</t>
    <phoneticPr fontId="0" type="noConversion"/>
  </si>
  <si>
    <t>plasticFADE empirical constants are taken from Tang &amp; Boulay (under review). SBoo requires the empirical constants as an input. To derive the uncertainty associated with the degradation model, the mean and standard deviation of plasticFADE are used. The standard deviation defined in plasticFADE corresponds to the std. dev. of normal distribution in log-space, while the fitted value is the mean value from which we take the log.</t>
  </si>
  <si>
    <t>pol</t>
  </si>
  <si>
    <t>degx</t>
  </si>
  <si>
    <t>degtau</t>
  </si>
  <si>
    <t>degy</t>
  </si>
  <si>
    <t>degtheta</t>
  </si>
  <si>
    <t>degz</t>
  </si>
  <si>
    <t>degeta</t>
  </si>
  <si>
    <t>In this sheet, the distribution of the degradation parameters used in the monte carlo simulation are summarized. If plasticFADE inputs are provided, no Kssdr is used in the monte carlo simulation. SBoo uses this sheet as an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</si>
</sst>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0.000%"/>
    <numFmt numFmtId="167" formatCode="0.0%"/>
    <numFmt numFmtId="168" formatCode="0.00000"/>
    <numFmt numFmtId="169" formatCode="0.0000E+00"/>
  </numFmts>
  <fonts count="39" x14ac:knownFonts="1">
    <font>
      <sz val="11"/>
      <color theme="1" tint="0.24994659260841701"/>
      <name val="Calibri Light"/>
      <family val="2"/>
      <scheme val="maj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tint="0.24994659260841701"/>
      <name val="Calibri Light"/>
      <family val="2"/>
      <scheme val="major"/>
    </font>
    <font>
      <b/>
      <sz val="11"/>
      <color theme="1" tint="0.249977111117893"/>
      <name val="Aptos"/>
    </font>
    <font>
      <b/>
      <sz val="11"/>
      <color theme="1" tint="0.24994659260841701"/>
      <name val="Aptos"/>
    </font>
    <font>
      <sz val="8"/>
      <name val="Calibri Light"/>
      <family val="2"/>
      <scheme val="major"/>
    </font>
    <font>
      <b/>
      <sz val="11"/>
      <name val="Aptos"/>
    </font>
    <font>
      <sz val="12"/>
      <color theme="1"/>
      <name val="Arial"/>
      <family val="2"/>
    </font>
    <font>
      <b/>
      <sz val="16"/>
      <color theme="1" tint="0.24994659260841701"/>
      <name val="Aptos"/>
    </font>
    <font>
      <sz val="11"/>
      <color theme="1" tint="0.24994659260841701"/>
      <name val="Aptos"/>
    </font>
    <font>
      <b/>
      <sz val="12"/>
      <color theme="1" tint="0.24994659260841701"/>
      <name val="Aptos"/>
    </font>
    <font>
      <sz val="11"/>
      <color theme="1" tint="0.249977111117893"/>
      <name val="Aptos"/>
    </font>
    <font>
      <b/>
      <sz val="14"/>
      <color theme="1" tint="0.249977111117893"/>
      <name val="Aptos"/>
    </font>
    <font>
      <i/>
      <sz val="11"/>
      <color theme="1" tint="0.24994659260841701"/>
      <name val="Aptos"/>
    </font>
    <font>
      <sz val="11"/>
      <name val="Aptos"/>
    </font>
    <font>
      <sz val="11"/>
      <color theme="1"/>
      <name val="Aptos"/>
    </font>
    <font>
      <sz val="12"/>
      <color theme="1" tint="0.249977111117893"/>
      <name val="Aptos"/>
    </font>
    <font>
      <b/>
      <sz val="12"/>
      <color theme="1" tint="0.249977111117893"/>
      <name val="Aptos"/>
    </font>
    <font>
      <b/>
      <vertAlign val="superscript"/>
      <sz val="11"/>
      <color theme="1" tint="0.249977111117893"/>
      <name val="Aptos"/>
    </font>
    <font>
      <sz val="18"/>
      <name val="Aptos"/>
    </font>
    <font>
      <b/>
      <sz val="18"/>
      <color rgb="FFFFFFFF"/>
      <name val="Aptos"/>
    </font>
    <font>
      <sz val="18"/>
      <color rgb="FF000000"/>
      <name val="Aptos"/>
    </font>
    <font>
      <sz val="12"/>
      <color theme="1"/>
      <name val="Aptos"/>
    </font>
    <font>
      <sz val="11"/>
      <color rgb="FF000000"/>
      <name val="Aptos"/>
    </font>
    <font>
      <sz val="12"/>
      <color theme="1" tint="0.24994659260841701"/>
      <name val="Aptos"/>
    </font>
    <font>
      <sz val="15"/>
      <color rgb="FFD1D2D3"/>
      <name val="Aptos"/>
    </font>
    <font>
      <b/>
      <sz val="12"/>
      <color theme="4"/>
      <name val="Aptos"/>
    </font>
    <font>
      <b/>
      <sz val="12"/>
      <color theme="1"/>
      <name val="Aptos"/>
    </font>
    <font>
      <b/>
      <vertAlign val="superscript"/>
      <sz val="12"/>
      <color theme="1"/>
      <name val="Aptos"/>
    </font>
    <font>
      <sz val="12"/>
      <name val="Aptos"/>
    </font>
    <font>
      <b/>
      <sz val="12"/>
      <name val="Aptos"/>
    </font>
    <font>
      <b/>
      <vertAlign val="superscript"/>
      <sz val="12"/>
      <name val="Aptos"/>
    </font>
    <font>
      <sz val="12"/>
      <color theme="7"/>
      <name val="Aptos"/>
    </font>
    <font>
      <b/>
      <sz val="14"/>
      <color theme="1" tint="0.24994659260841701"/>
      <name val="Aptos"/>
    </font>
    <font>
      <b/>
      <sz val="15"/>
      <color rgb="FFD1D2D3"/>
      <name val="Aptos"/>
    </font>
    <font>
      <b/>
      <sz val="11"/>
      <color theme="1"/>
      <name val="Aptos"/>
    </font>
  </fonts>
  <fills count="19">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00000"/>
        <bgColor indexed="64"/>
      </patternFill>
    </fill>
    <fill>
      <patternFill patternType="solid">
        <fgColor indexed="43"/>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rgb="FF00A1C0"/>
        <bgColor indexed="64"/>
      </patternFill>
    </fill>
    <fill>
      <patternFill patternType="solid">
        <fgColor rgb="FFCBE0E8"/>
        <bgColor indexed="64"/>
      </patternFill>
    </fill>
    <fill>
      <patternFill patternType="solid">
        <fgColor rgb="FFE7F0F4"/>
        <bgColor indexed="64"/>
      </patternFill>
    </fill>
    <fill>
      <patternFill patternType="solid">
        <fgColor theme="7" tint="0.59999389629810485"/>
        <bgColor indexed="65"/>
      </patternFill>
    </fill>
  </fills>
  <borders count="36">
    <border>
      <left/>
      <right/>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diagonal/>
    </border>
    <border>
      <left/>
      <right style="thin">
        <color indexed="64"/>
      </right>
      <top style="thin">
        <color auto="1"/>
      </top>
      <bottom/>
      <diagonal/>
    </border>
    <border>
      <left/>
      <right style="thin">
        <color auto="1"/>
      </right>
      <top/>
      <bottom/>
      <diagonal/>
    </border>
    <border>
      <left/>
      <right/>
      <top style="thin">
        <color auto="1"/>
      </top>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s>
  <cellStyleXfs count="10">
    <xf numFmtId="0" fontId="0" fillId="0" borderId="0" applyNumberFormat="0" applyFill="0" applyBorder="0" applyProtection="0">
      <alignment horizontal="center" vertical="center"/>
    </xf>
    <xf numFmtId="9" fontId="5" fillId="0" borderId="0" applyFont="0" applyFill="0" applyBorder="0" applyAlignment="0" applyProtection="0"/>
    <xf numFmtId="0" fontId="4" fillId="0" borderId="0"/>
    <xf numFmtId="9" fontId="4" fillId="0" borderId="0" applyFont="0" applyFill="0" applyBorder="0" applyAlignment="0" applyProtection="0"/>
    <xf numFmtId="43" fontId="5" fillId="0" borderId="0" applyFont="0" applyFill="0" applyBorder="0" applyAlignment="0" applyProtection="0"/>
    <xf numFmtId="0" fontId="3" fillId="0" borderId="0"/>
    <xf numFmtId="9" fontId="4" fillId="0" borderId="0" applyFont="0" applyFill="0" applyBorder="0" applyAlignment="0" applyProtection="0"/>
    <xf numFmtId="0" fontId="2" fillId="18" borderId="0" applyNumberFormat="0" applyBorder="0" applyAlignment="0" applyProtection="0"/>
    <xf numFmtId="0" fontId="1" fillId="0" borderId="0"/>
    <xf numFmtId="9" fontId="1" fillId="0" borderId="0" applyFont="0" applyFill="0" applyBorder="0" applyAlignment="0" applyProtection="0"/>
  </cellStyleXfs>
  <cellXfs count="460">
    <xf numFmtId="0" fontId="0" fillId="0" borderId="0" xfId="0">
      <alignment horizontal="center" vertical="center"/>
    </xf>
    <xf numFmtId="0" fontId="6" fillId="0" borderId="21" xfId="0" applyFont="1" applyBorder="1">
      <alignment horizontal="center" vertical="center"/>
    </xf>
    <xf numFmtId="0" fontId="7" fillId="0" borderId="0" xfId="0" applyFont="1" applyAlignment="1">
      <alignment horizontal="center"/>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3" xfId="0" applyFont="1" applyBorder="1">
      <alignment horizontal="center" vertical="center"/>
    </xf>
    <xf numFmtId="0" fontId="9" fillId="0" borderId="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 xfId="0" applyFont="1" applyFill="1" applyBorder="1" applyAlignment="1">
      <alignment horizontal="center" vertical="center" wrapText="1"/>
    </xf>
    <xf numFmtId="0" fontId="9" fillId="0" borderId="2" xfId="0" applyFont="1" applyFill="1" applyBorder="1">
      <alignment horizontal="center" vertical="center"/>
    </xf>
    <xf numFmtId="0" fontId="9" fillId="0" borderId="3" xfId="0" applyFont="1" applyBorder="1" applyAlignment="1">
      <alignment horizontal="center" vertical="center" wrapText="1"/>
    </xf>
    <xf numFmtId="0" fontId="9" fillId="0" borderId="2" xfId="0" applyFont="1" applyFill="1" applyBorder="1" applyAlignment="1">
      <alignment horizontal="center" vertical="center" wrapText="1"/>
    </xf>
    <xf numFmtId="0" fontId="11" fillId="0" borderId="0" xfId="0" applyFont="1" applyAlignment="1">
      <alignment horizontal="left" vertical="center"/>
    </xf>
    <xf numFmtId="0" fontId="12" fillId="0" borderId="0" xfId="0" applyFont="1">
      <alignment horizontal="center" vertical="center"/>
    </xf>
    <xf numFmtId="0" fontId="12" fillId="13" borderId="0" xfId="0" applyFont="1" applyFill="1">
      <alignment horizontal="center" vertical="center"/>
    </xf>
    <xf numFmtId="0" fontId="13" fillId="13" borderId="0" xfId="0" applyFont="1" applyFill="1" applyAlignment="1">
      <alignment horizontal="left" vertical="center"/>
    </xf>
    <xf numFmtId="0" fontId="14" fillId="13" borderId="0" xfId="0" applyFont="1" applyFill="1" applyAlignment="1">
      <alignment horizontal="left" vertical="top" wrapText="1"/>
    </xf>
    <xf numFmtId="0" fontId="12" fillId="13" borderId="0" xfId="0" applyFont="1" applyFill="1" applyAlignment="1">
      <alignment horizontal="left" vertical="center"/>
    </xf>
    <xf numFmtId="0" fontId="13" fillId="0" borderId="0" xfId="0" applyFont="1" applyAlignment="1">
      <alignment horizontal="left" vertical="center"/>
    </xf>
    <xf numFmtId="0" fontId="12" fillId="0" borderId="0" xfId="0" applyFont="1" applyAlignment="1"/>
    <xf numFmtId="0" fontId="14" fillId="0" borderId="0" xfId="0" applyFont="1" applyAlignment="1"/>
    <xf numFmtId="0" fontId="15" fillId="0" borderId="0" xfId="2" applyFont="1"/>
    <xf numFmtId="0" fontId="12" fillId="0" borderId="0" xfId="0" applyFont="1" applyAlignment="1">
      <alignment vertical="center" wrapText="1"/>
    </xf>
    <xf numFmtId="0" fontId="17" fillId="0" borderId="0" xfId="0" applyFont="1" applyAlignment="1">
      <alignment horizontal="left" vertical="center"/>
    </xf>
    <xf numFmtId="0" fontId="17" fillId="0" borderId="0" xfId="0" applyFont="1" applyAlignment="1">
      <alignment horizontal="left"/>
    </xf>
    <xf numFmtId="0" fontId="14" fillId="0" borderId="0" xfId="2" applyFont="1"/>
    <xf numFmtId="0" fontId="18" fillId="0" borderId="0" xfId="2" applyFont="1"/>
    <xf numFmtId="0" fontId="20" fillId="0" borderId="0" xfId="2" applyFont="1"/>
    <xf numFmtId="0" fontId="6" fillId="0" borderId="0" xfId="2" applyFont="1" applyAlignment="1">
      <alignment horizontal="center" wrapText="1"/>
    </xf>
    <xf numFmtId="0" fontId="6" fillId="4" borderId="3" xfId="2" applyFont="1" applyFill="1" applyBorder="1"/>
    <xf numFmtId="0" fontId="6" fillId="2" borderId="4" xfId="2" applyFont="1" applyFill="1" applyBorder="1" applyAlignment="1">
      <alignment horizontal="center"/>
    </xf>
    <xf numFmtId="0" fontId="6" fillId="2" borderId="4" xfId="2" applyFont="1" applyFill="1" applyBorder="1" applyAlignment="1">
      <alignment horizontal="center" wrapText="1"/>
    </xf>
    <xf numFmtId="0" fontId="6" fillId="3" borderId="5" xfId="2" applyFont="1" applyFill="1" applyBorder="1" applyAlignment="1">
      <alignment horizontal="center"/>
    </xf>
    <xf numFmtId="0" fontId="6" fillId="3" borderId="6" xfId="2" applyFont="1" applyFill="1" applyBorder="1" applyAlignment="1">
      <alignment horizontal="center" wrapText="1"/>
    </xf>
    <xf numFmtId="0" fontId="6" fillId="3" borderId="4" xfId="2" applyFont="1" applyFill="1" applyBorder="1" applyAlignment="1">
      <alignment horizontal="center"/>
    </xf>
    <xf numFmtId="0" fontId="6" fillId="2" borderId="3" xfId="2" applyFont="1" applyFill="1" applyBorder="1" applyAlignment="1">
      <alignment horizontal="center"/>
    </xf>
    <xf numFmtId="0" fontId="6" fillId="3" borderId="3" xfId="2" applyFont="1" applyFill="1" applyBorder="1" applyAlignment="1">
      <alignment horizontal="center"/>
    </xf>
    <xf numFmtId="0" fontId="6" fillId="0" borderId="1" xfId="2" applyFont="1" applyBorder="1"/>
    <xf numFmtId="165" fontId="14" fillId="0" borderId="4" xfId="2" applyNumberFormat="1" applyFont="1" applyBorder="1"/>
    <xf numFmtId="11" fontId="14" fillId="0" borderId="7" xfId="2" applyNumberFormat="1" applyFont="1" applyBorder="1"/>
    <xf numFmtId="165" fontId="14" fillId="0" borderId="5" xfId="2" applyNumberFormat="1" applyFont="1" applyBorder="1"/>
    <xf numFmtId="167" fontId="14" fillId="0" borderId="8" xfId="3" applyNumberFormat="1" applyFont="1" applyFill="1" applyBorder="1"/>
    <xf numFmtId="167" fontId="14" fillId="0" borderId="4" xfId="3" applyNumberFormat="1" applyFont="1" applyFill="1" applyBorder="1"/>
    <xf numFmtId="167" fontId="14" fillId="0" borderId="0" xfId="2" applyNumberFormat="1" applyFont="1"/>
    <xf numFmtId="167" fontId="14" fillId="0" borderId="4" xfId="2" applyNumberFormat="1" applyFont="1" applyBorder="1"/>
    <xf numFmtId="166" fontId="14" fillId="0" borderId="0" xfId="3" applyNumberFormat="1" applyFont="1"/>
    <xf numFmtId="165" fontId="14" fillId="0" borderId="9" xfId="2" applyNumberFormat="1" applyFont="1" applyBorder="1"/>
    <xf numFmtId="11" fontId="14" fillId="0" borderId="0" xfId="2" applyNumberFormat="1" applyFont="1"/>
    <xf numFmtId="165" fontId="14" fillId="0" borderId="6" xfId="2" applyNumberFormat="1" applyFont="1" applyBorder="1"/>
    <xf numFmtId="167" fontId="14" fillId="0" borderId="10" xfId="3" applyNumberFormat="1" applyFont="1" applyFill="1" applyBorder="1"/>
    <xf numFmtId="167" fontId="14" fillId="0" borderId="9" xfId="3" applyNumberFormat="1" applyFont="1" applyFill="1" applyBorder="1"/>
    <xf numFmtId="167" fontId="14" fillId="0" borderId="9" xfId="2" applyNumberFormat="1" applyFont="1" applyBorder="1"/>
    <xf numFmtId="165" fontId="14" fillId="0" borderId="11" xfId="2" applyNumberFormat="1" applyFont="1" applyBorder="1"/>
    <xf numFmtId="11" fontId="14" fillId="0" borderId="12" xfId="2" applyNumberFormat="1" applyFont="1" applyBorder="1"/>
    <xf numFmtId="165" fontId="14" fillId="0" borderId="13" xfId="2" applyNumberFormat="1" applyFont="1" applyBorder="1"/>
    <xf numFmtId="167" fontId="14" fillId="0" borderId="14" xfId="3" applyNumberFormat="1" applyFont="1" applyFill="1" applyBorder="1"/>
    <xf numFmtId="167" fontId="14" fillId="0" borderId="11" xfId="2" applyNumberFormat="1" applyFont="1" applyBorder="1"/>
    <xf numFmtId="0" fontId="14" fillId="4" borderId="3" xfId="2" applyFont="1" applyFill="1" applyBorder="1"/>
    <xf numFmtId="11" fontId="14" fillId="4" borderId="3" xfId="2" applyNumberFormat="1" applyFont="1" applyFill="1" applyBorder="1"/>
    <xf numFmtId="1" fontId="14" fillId="4" borderId="3" xfId="2" applyNumberFormat="1" applyFont="1" applyFill="1" applyBorder="1"/>
    <xf numFmtId="167" fontId="14" fillId="4" borderId="14" xfId="3" applyNumberFormat="1" applyFont="1" applyFill="1" applyBorder="1"/>
    <xf numFmtId="167" fontId="14" fillId="4" borderId="3" xfId="3" applyNumberFormat="1" applyFont="1" applyFill="1" applyBorder="1"/>
    <xf numFmtId="167" fontId="14" fillId="4" borderId="2" xfId="2" applyNumberFormat="1" applyFont="1" applyFill="1" applyBorder="1"/>
    <xf numFmtId="167" fontId="14" fillId="4" borderId="3" xfId="2" applyNumberFormat="1" applyFont="1" applyFill="1" applyBorder="1"/>
    <xf numFmtId="0" fontId="6" fillId="0" borderId="0" xfId="2" applyFont="1"/>
    <xf numFmtId="0" fontId="6" fillId="0" borderId="0" xfId="2" applyFont="1" applyAlignment="1">
      <alignment horizontal="center"/>
    </xf>
    <xf numFmtId="0" fontId="6" fillId="3" borderId="6" xfId="2" applyFont="1" applyFill="1" applyBorder="1" applyAlignment="1">
      <alignment horizontal="center"/>
    </xf>
    <xf numFmtId="165" fontId="14" fillId="0" borderId="8" xfId="2" applyNumberFormat="1" applyFont="1" applyBorder="1"/>
    <xf numFmtId="11" fontId="14" fillId="0" borderId="4" xfId="2" applyNumberFormat="1" applyFont="1" applyBorder="1"/>
    <xf numFmtId="165" fontId="14" fillId="0" borderId="7" xfId="2" applyNumberFormat="1" applyFont="1" applyBorder="1"/>
    <xf numFmtId="11" fontId="14" fillId="0" borderId="8" xfId="2" applyNumberFormat="1" applyFont="1" applyBorder="1"/>
    <xf numFmtId="167" fontId="14" fillId="0" borderId="8" xfId="3" applyNumberFormat="1" applyFont="1" applyBorder="1"/>
    <xf numFmtId="167" fontId="14" fillId="0" borderId="4" xfId="3" applyNumberFormat="1" applyFont="1" applyBorder="1"/>
    <xf numFmtId="10" fontId="14" fillId="0" borderId="0" xfId="3" applyNumberFormat="1" applyFont="1"/>
    <xf numFmtId="165" fontId="14" fillId="0" borderId="10" xfId="2" applyNumberFormat="1" applyFont="1" applyBorder="1"/>
    <xf numFmtId="11" fontId="14" fillId="0" borderId="9" xfId="2" applyNumberFormat="1" applyFont="1" applyBorder="1"/>
    <xf numFmtId="165" fontId="14" fillId="0" borderId="0" xfId="2" applyNumberFormat="1" applyFont="1"/>
    <xf numFmtId="11" fontId="14" fillId="0" borderId="10" xfId="2" applyNumberFormat="1" applyFont="1" applyBorder="1"/>
    <xf numFmtId="167" fontId="14" fillId="0" borderId="10" xfId="3" applyNumberFormat="1" applyFont="1" applyBorder="1"/>
    <xf numFmtId="167" fontId="14" fillId="0" borderId="9" xfId="3" applyNumberFormat="1" applyFont="1" applyBorder="1"/>
    <xf numFmtId="0" fontId="6" fillId="0" borderId="8" xfId="2" applyFont="1" applyBorder="1"/>
    <xf numFmtId="165" fontId="14" fillId="0" borderId="14" xfId="2" applyNumberFormat="1" applyFont="1" applyBorder="1"/>
    <xf numFmtId="11" fontId="14" fillId="0" borderId="11" xfId="2" applyNumberFormat="1" applyFont="1" applyBorder="1"/>
    <xf numFmtId="165" fontId="14" fillId="0" borderId="12" xfId="2" applyNumberFormat="1" applyFont="1" applyBorder="1"/>
    <xf numFmtId="11" fontId="14" fillId="0" borderId="14" xfId="2" applyNumberFormat="1" applyFont="1" applyBorder="1"/>
    <xf numFmtId="167" fontId="14" fillId="0" borderId="14" xfId="3" applyNumberFormat="1" applyFont="1" applyBorder="1"/>
    <xf numFmtId="167" fontId="14" fillId="0" borderId="11" xfId="3" applyNumberFormat="1" applyFont="1" applyBorder="1"/>
    <xf numFmtId="0" fontId="14" fillId="0" borderId="7" xfId="2" applyFont="1" applyBorder="1"/>
    <xf numFmtId="164" fontId="14" fillId="0" borderId="0" xfId="2" applyNumberFormat="1" applyFont="1"/>
    <xf numFmtId="4" fontId="14" fillId="0" borderId="0" xfId="2" applyNumberFormat="1" applyFont="1"/>
    <xf numFmtId="2" fontId="14" fillId="0" borderId="0" xfId="2" applyNumberFormat="1" applyFont="1"/>
    <xf numFmtId="10" fontId="14" fillId="0" borderId="0" xfId="3" applyNumberFormat="1" applyFont="1" applyFill="1" applyBorder="1"/>
    <xf numFmtId="0" fontId="14" fillId="0" borderId="0" xfId="2" applyFont="1" applyAlignment="1">
      <alignment horizontal="center"/>
    </xf>
    <xf numFmtId="0" fontId="6" fillId="0" borderId="0" xfId="2" applyFont="1" applyAlignment="1">
      <alignment vertical="center"/>
    </xf>
    <xf numFmtId="0" fontId="6" fillId="0" borderId="0" xfId="2" applyFont="1" applyAlignment="1">
      <alignment horizontal="center" vertical="center" wrapText="1"/>
    </xf>
    <xf numFmtId="0" fontId="6" fillId="0" borderId="0" xfId="0" applyFont="1" applyAlignment="1">
      <alignment horizontal="center" vertical="center" wrapText="1"/>
    </xf>
    <xf numFmtId="0" fontId="14" fillId="0" borderId="0" xfId="2" applyFont="1" applyAlignment="1">
      <alignment wrapText="1"/>
    </xf>
    <xf numFmtId="1" fontId="18" fillId="0" borderId="0" xfId="2" applyNumberFormat="1" applyFont="1" applyAlignment="1">
      <alignment horizontal="center" vertical="center" wrapText="1"/>
    </xf>
    <xf numFmtId="1" fontId="18" fillId="0" borderId="0" xfId="2" applyNumberFormat="1" applyFont="1" applyAlignment="1">
      <alignment horizontal="center" vertical="center"/>
    </xf>
    <xf numFmtId="1" fontId="18" fillId="0" borderId="0" xfId="6" applyNumberFormat="1" applyFont="1" applyAlignment="1">
      <alignment horizontal="center" vertical="center"/>
    </xf>
    <xf numFmtId="9" fontId="18" fillId="0" borderId="0" xfId="6" applyFont="1" applyAlignment="1">
      <alignment horizontal="center" vertical="center"/>
    </xf>
    <xf numFmtId="9" fontId="18" fillId="0" borderId="0" xfId="1" applyFont="1"/>
    <xf numFmtId="9" fontId="18" fillId="0" borderId="0" xfId="2" applyNumberFormat="1" applyFont="1"/>
    <xf numFmtId="0" fontId="18" fillId="0" borderId="0" xfId="2" applyFont="1" applyAlignment="1">
      <alignment wrapText="1"/>
    </xf>
    <xf numFmtId="1" fontId="18" fillId="0" borderId="0" xfId="2" applyNumberFormat="1" applyFont="1"/>
    <xf numFmtId="0" fontId="22" fillId="15" borderId="27" xfId="0" applyFont="1" applyFill="1" applyBorder="1" applyAlignment="1">
      <alignment vertical="top" wrapText="1"/>
    </xf>
    <xf numFmtId="0" fontId="23" fillId="15" borderId="27" xfId="0" applyFont="1" applyFill="1" applyBorder="1" applyAlignment="1">
      <alignment horizontal="left" vertical="center" wrapText="1" readingOrder="1"/>
    </xf>
    <xf numFmtId="0" fontId="24" fillId="16" borderId="28" xfId="0" applyFont="1" applyFill="1" applyBorder="1" applyAlignment="1">
      <alignment horizontal="left" vertical="center" wrapText="1" readingOrder="1"/>
    </xf>
    <xf numFmtId="9" fontId="22" fillId="16" borderId="28" xfId="1" applyFont="1" applyFill="1" applyBorder="1" applyAlignment="1">
      <alignment vertical="top" wrapText="1"/>
    </xf>
    <xf numFmtId="0" fontId="24" fillId="17" borderId="29" xfId="0" applyFont="1" applyFill="1" applyBorder="1" applyAlignment="1">
      <alignment horizontal="left" vertical="center" wrapText="1" readingOrder="1"/>
    </xf>
    <xf numFmtId="0" fontId="24" fillId="16" borderId="29" xfId="0" applyFont="1" applyFill="1" applyBorder="1" applyAlignment="1">
      <alignment horizontal="left" vertical="center" wrapText="1" readingOrder="1"/>
    </xf>
    <xf numFmtId="0" fontId="12" fillId="0" borderId="0" xfId="0" applyFont="1" applyAlignment="1">
      <alignment horizontal="left" vertical="center"/>
    </xf>
    <xf numFmtId="0" fontId="12" fillId="0" borderId="4" xfId="0" applyFont="1" applyBorder="1">
      <alignment horizontal="center" vertical="center"/>
    </xf>
    <xf numFmtId="0" fontId="7" fillId="0" borderId="9" xfId="0" applyFont="1" applyBorder="1">
      <alignment horizontal="center" vertical="center"/>
    </xf>
    <xf numFmtId="0" fontId="12" fillId="0" borderId="0" xfId="0" applyFont="1" applyBorder="1">
      <alignment horizontal="center" vertical="center"/>
    </xf>
    <xf numFmtId="0" fontId="12" fillId="0" borderId="6" xfId="0" applyFont="1" applyBorder="1">
      <alignment horizontal="center" vertical="center"/>
    </xf>
    <xf numFmtId="0" fontId="12" fillId="0" borderId="9" xfId="0" applyFont="1" applyBorder="1">
      <alignment horizontal="center" vertical="center"/>
    </xf>
    <xf numFmtId="0" fontId="12" fillId="0" borderId="11" xfId="0" applyFont="1" applyBorder="1">
      <alignment horizontal="center" vertical="center"/>
    </xf>
    <xf numFmtId="0" fontId="12" fillId="0" borderId="12" xfId="0" applyFont="1" applyBorder="1">
      <alignment horizontal="center" vertical="center"/>
    </xf>
    <xf numFmtId="0" fontId="12" fillId="0" borderId="13" xfId="0" applyFont="1" applyBorder="1">
      <alignment horizontal="center" vertical="center"/>
    </xf>
    <xf numFmtId="0" fontId="12" fillId="12" borderId="6" xfId="0" applyFont="1" applyFill="1" applyBorder="1">
      <alignment horizontal="center" vertical="center"/>
    </xf>
    <xf numFmtId="0" fontId="12" fillId="0" borderId="0" xfId="0" applyFont="1" applyFill="1" applyBorder="1" applyAlignment="1">
      <alignment horizontal="center" vertical="center" wrapText="1"/>
    </xf>
    <xf numFmtId="0" fontId="12" fillId="0" borderId="0" xfId="0" applyFont="1" applyFill="1" applyBorder="1">
      <alignment horizontal="center" vertical="center"/>
    </xf>
    <xf numFmtId="0" fontId="12" fillId="12" borderId="0" xfId="0" applyFont="1" applyFill="1" applyBorder="1">
      <alignment horizontal="center" vertical="center"/>
    </xf>
    <xf numFmtId="0" fontId="17" fillId="0" borderId="0" xfId="0" applyFont="1">
      <alignment horizontal="center" vertical="center"/>
    </xf>
    <xf numFmtId="0" fontId="25" fillId="18" borderId="3" xfId="7" applyFont="1" applyBorder="1"/>
    <xf numFmtId="0" fontId="25" fillId="18" borderId="3" xfId="7" applyFont="1" applyBorder="1" applyAlignment="1">
      <alignment horizontal="left"/>
    </xf>
    <xf numFmtId="0" fontId="25" fillId="18" borderId="3" xfId="7" applyFont="1" applyBorder="1" applyAlignment="1"/>
    <xf numFmtId="0" fontId="25" fillId="18" borderId="10" xfId="7" applyFont="1" applyBorder="1" applyAlignment="1"/>
    <xf numFmtId="0" fontId="25" fillId="0" borderId="0" xfId="5" applyFont="1"/>
    <xf numFmtId="2" fontId="12" fillId="0" borderId="0" xfId="0" applyNumberFormat="1" applyFont="1">
      <alignment horizontal="center" vertical="center"/>
    </xf>
    <xf numFmtId="9" fontId="12" fillId="0" borderId="0" xfId="0" applyNumberFormat="1" applyFont="1">
      <alignment horizontal="center" vertical="center"/>
    </xf>
    <xf numFmtId="0" fontId="25" fillId="14" borderId="0" xfId="5" applyFont="1" applyFill="1"/>
    <xf numFmtId="0" fontId="26" fillId="0" borderId="0" xfId="0" applyFont="1" applyAlignment="1">
      <alignment horizontal="center" vertical="center" wrapText="1" readingOrder="1"/>
    </xf>
    <xf numFmtId="11" fontId="25" fillId="0" borderId="0" xfId="5" applyNumberFormat="1" applyFont="1"/>
    <xf numFmtId="11" fontId="25" fillId="14" borderId="0" xfId="5" applyNumberFormat="1" applyFont="1" applyFill="1"/>
    <xf numFmtId="11" fontId="25" fillId="13" borderId="0" xfId="5" applyNumberFormat="1" applyFont="1" applyFill="1"/>
    <xf numFmtId="0" fontId="25" fillId="13" borderId="0" xfId="5" applyFont="1" applyFill="1"/>
    <xf numFmtId="11" fontId="27" fillId="0" borderId="0" xfId="0" applyNumberFormat="1" applyFont="1">
      <alignment horizontal="center" vertical="center"/>
    </xf>
    <xf numFmtId="0" fontId="28" fillId="0" borderId="0" xfId="0" applyFont="1">
      <alignment horizontal="center" vertical="center"/>
    </xf>
    <xf numFmtId="0" fontId="28" fillId="0" borderId="0" xfId="0" applyFont="1" applyFill="1">
      <alignment horizontal="center" vertical="center"/>
    </xf>
    <xf numFmtId="0" fontId="25" fillId="0" borderId="0" xfId="8" applyFont="1" applyAlignment="1">
      <alignment horizontal="left" vertical="center"/>
    </xf>
    <xf numFmtId="0" fontId="30" fillId="0" borderId="0" xfId="8" applyFont="1" applyAlignment="1">
      <alignment horizontal="left" vertical="center"/>
    </xf>
    <xf numFmtId="0" fontId="32" fillId="0" borderId="0" xfId="8" applyFont="1" applyAlignment="1">
      <alignment horizontal="left" vertical="center"/>
    </xf>
    <xf numFmtId="165" fontId="25" fillId="0" borderId="0" xfId="8" applyNumberFormat="1" applyFont="1" applyAlignment="1">
      <alignment horizontal="left" vertical="center"/>
    </xf>
    <xf numFmtId="0" fontId="33" fillId="0" borderId="0" xfId="8" applyFont="1" applyAlignment="1">
      <alignment horizontal="left" vertical="center"/>
    </xf>
    <xf numFmtId="9" fontId="32" fillId="0" borderId="0" xfId="9" applyFont="1" applyAlignment="1">
      <alignment horizontal="left" vertical="center"/>
    </xf>
    <xf numFmtId="0" fontId="17" fillId="0" borderId="0" xfId="0" applyFont="1" applyFill="1">
      <alignment horizontal="center" vertical="center"/>
    </xf>
    <xf numFmtId="0" fontId="25" fillId="0" borderId="0" xfId="8" applyFont="1" applyAlignment="1">
      <alignment vertical="center"/>
    </xf>
    <xf numFmtId="165" fontId="32" fillId="0" borderId="0" xfId="8" applyNumberFormat="1" applyFont="1" applyAlignment="1">
      <alignment horizontal="left" vertical="center"/>
    </xf>
    <xf numFmtId="10" fontId="32" fillId="0" borderId="0" xfId="9" applyNumberFormat="1" applyFont="1" applyAlignment="1">
      <alignment horizontal="left" vertical="center"/>
    </xf>
    <xf numFmtId="0" fontId="35" fillId="0" borderId="0" xfId="8" applyFont="1" applyAlignment="1">
      <alignment horizontal="left" vertical="center"/>
    </xf>
    <xf numFmtId="0" fontId="14" fillId="0" borderId="0" xfId="0" applyFont="1" applyBorder="1">
      <alignment horizontal="center" vertical="center"/>
    </xf>
    <xf numFmtId="0" fontId="14" fillId="0" borderId="0" xfId="0" applyFont="1">
      <alignment horizontal="center" vertical="center"/>
    </xf>
    <xf numFmtId="0" fontId="14" fillId="0" borderId="16" xfId="0" applyFont="1" applyBorder="1">
      <alignment horizontal="center" vertical="center"/>
    </xf>
    <xf numFmtId="0" fontId="14" fillId="0" borderId="0" xfId="0" applyFont="1" applyFill="1">
      <alignment horizontal="center" vertical="center"/>
    </xf>
    <xf numFmtId="0" fontId="6" fillId="7" borderId="21" xfId="0" applyFont="1" applyFill="1" applyBorder="1" applyAlignment="1">
      <alignment vertical="center"/>
    </xf>
    <xf numFmtId="0" fontId="6" fillId="5" borderId="0" xfId="0" applyFont="1" applyFill="1" applyBorder="1">
      <alignment horizontal="center" vertical="center"/>
    </xf>
    <xf numFmtId="0" fontId="6" fillId="9" borderId="0" xfId="0" applyFont="1" applyFill="1" applyBorder="1">
      <alignment horizontal="center" vertical="center"/>
    </xf>
    <xf numFmtId="11" fontId="14" fillId="0" borderId="0" xfId="0" applyNumberFormat="1" applyFont="1" applyBorder="1">
      <alignment horizontal="center" vertical="center"/>
    </xf>
    <xf numFmtId="11" fontId="14" fillId="7" borderId="0" xfId="0" applyNumberFormat="1" applyFont="1" applyFill="1" applyBorder="1">
      <alignment horizontal="center" vertical="center"/>
    </xf>
    <xf numFmtId="11" fontId="14" fillId="7" borderId="16" xfId="0" applyNumberFormat="1" applyFont="1" applyFill="1" applyBorder="1">
      <alignment horizontal="center" vertical="center"/>
    </xf>
    <xf numFmtId="0" fontId="14" fillId="7" borderId="0" xfId="0" applyFont="1" applyFill="1" applyBorder="1" applyAlignment="1">
      <alignment horizontal="center" vertical="center" wrapText="1"/>
    </xf>
    <xf numFmtId="0" fontId="14" fillId="7" borderId="16" xfId="0" applyFont="1" applyFill="1" applyBorder="1">
      <alignment horizontal="center" vertical="center"/>
    </xf>
    <xf numFmtId="0" fontId="14" fillId="7" borderId="0" xfId="0" applyFont="1" applyFill="1" applyBorder="1">
      <alignment horizontal="center" vertical="center"/>
    </xf>
    <xf numFmtId="0" fontId="14" fillId="7" borderId="16" xfId="0" applyFont="1" applyFill="1" applyBorder="1" applyAlignment="1">
      <alignment horizontal="center" vertical="center" wrapText="1"/>
    </xf>
    <xf numFmtId="2" fontId="14" fillId="0" borderId="0" xfId="0" applyNumberFormat="1" applyFont="1" applyBorder="1">
      <alignment horizontal="center" vertical="center"/>
    </xf>
    <xf numFmtId="2" fontId="14" fillId="7" borderId="0" xfId="0" applyNumberFormat="1" applyFont="1" applyFill="1" applyBorder="1">
      <alignment horizontal="center" vertical="center"/>
    </xf>
    <xf numFmtId="2" fontId="14" fillId="7" borderId="16" xfId="0" applyNumberFormat="1" applyFont="1" applyFill="1" applyBorder="1">
      <alignment horizontal="center" vertical="center"/>
    </xf>
    <xf numFmtId="165" fontId="14" fillId="0" borderId="0" xfId="0" applyNumberFormat="1" applyFont="1" applyBorder="1">
      <alignment horizontal="center" vertical="center"/>
    </xf>
    <xf numFmtId="165" fontId="14" fillId="7" borderId="0" xfId="0" applyNumberFormat="1" applyFont="1" applyFill="1" applyBorder="1">
      <alignment horizontal="center" vertical="center"/>
    </xf>
    <xf numFmtId="165" fontId="14" fillId="7" borderId="16" xfId="0" applyNumberFormat="1" applyFont="1" applyFill="1" applyBorder="1">
      <alignment horizontal="center" vertical="center"/>
    </xf>
    <xf numFmtId="2" fontId="14" fillId="0" borderId="0" xfId="1" applyNumberFormat="1" applyFont="1" applyBorder="1" applyAlignment="1">
      <alignment horizontal="center" vertical="center"/>
    </xf>
    <xf numFmtId="2" fontId="14" fillId="7" borderId="0" xfId="1" applyNumberFormat="1" applyFont="1" applyFill="1" applyBorder="1" applyAlignment="1">
      <alignment horizontal="center" vertical="center"/>
    </xf>
    <xf numFmtId="2" fontId="14" fillId="7" borderId="16" xfId="1" applyNumberFormat="1" applyFont="1" applyFill="1" applyBorder="1" applyAlignment="1">
      <alignment horizontal="center" vertical="center"/>
    </xf>
    <xf numFmtId="0" fontId="6" fillId="11" borderId="0" xfId="0" applyFont="1" applyFill="1" applyBorder="1">
      <alignment horizontal="center" vertical="center"/>
    </xf>
    <xf numFmtId="11" fontId="12" fillId="0" borderId="0" xfId="0" applyNumberFormat="1" applyFont="1" applyAlignment="1"/>
    <xf numFmtId="0" fontId="6" fillId="6" borderId="18" xfId="0" applyFont="1" applyFill="1" applyBorder="1">
      <alignment horizontal="center" vertical="center"/>
    </xf>
    <xf numFmtId="0" fontId="6" fillId="9" borderId="18" xfId="0" applyFont="1" applyFill="1" applyBorder="1">
      <alignment horizontal="center" vertical="center"/>
    </xf>
    <xf numFmtId="0" fontId="6" fillId="6" borderId="19" xfId="0" applyFont="1" applyFill="1" applyBorder="1">
      <alignment horizontal="center" vertical="center"/>
    </xf>
    <xf numFmtId="0" fontId="6" fillId="9" borderId="19" xfId="0" applyFont="1" applyFill="1" applyBorder="1">
      <alignment horizontal="center" vertical="center"/>
    </xf>
    <xf numFmtId="0" fontId="6" fillId="5" borderId="19" xfId="0" applyFont="1" applyFill="1" applyBorder="1">
      <alignment horizontal="center" vertical="center"/>
    </xf>
    <xf numFmtId="0" fontId="14" fillId="0" borderId="0" xfId="0" applyFont="1" applyAlignment="1">
      <alignment horizontal="center" vertical="center" wrapText="1"/>
    </xf>
    <xf numFmtId="0" fontId="6" fillId="6" borderId="0" xfId="0" applyFont="1" applyFill="1" applyBorder="1">
      <alignment horizontal="center" vertical="center"/>
    </xf>
    <xf numFmtId="11" fontId="14" fillId="0" borderId="0" xfId="1" applyNumberFormat="1" applyFont="1" applyBorder="1" applyAlignment="1">
      <alignment horizontal="center" vertical="center"/>
    </xf>
    <xf numFmtId="11" fontId="14" fillId="7" borderId="0" xfId="1" applyNumberFormat="1" applyFont="1" applyFill="1" applyBorder="1" applyAlignment="1">
      <alignment horizontal="center" vertical="center"/>
    </xf>
    <xf numFmtId="11" fontId="14" fillId="7" borderId="16" xfId="1" applyNumberFormat="1" applyFont="1" applyFill="1" applyBorder="1" applyAlignment="1">
      <alignment horizontal="center" vertical="center"/>
    </xf>
    <xf numFmtId="0" fontId="6" fillId="11" borderId="19" xfId="0" applyFont="1" applyFill="1" applyBorder="1">
      <alignment horizontal="center" vertical="center"/>
    </xf>
    <xf numFmtId="0" fontId="6" fillId="6" borderId="20" xfId="0" applyFont="1" applyFill="1" applyBorder="1">
      <alignment horizontal="center" vertical="center"/>
    </xf>
    <xf numFmtId="0" fontId="6" fillId="6" borderId="15" xfId="0" applyFont="1" applyFill="1" applyBorder="1">
      <alignment horizontal="center" vertical="center"/>
    </xf>
    <xf numFmtId="11" fontId="14" fillId="0" borderId="15" xfId="0" applyNumberFormat="1" applyFont="1" applyBorder="1">
      <alignment horizontal="center" vertical="center"/>
    </xf>
    <xf numFmtId="11" fontId="14" fillId="7" borderId="15" xfId="0" applyNumberFormat="1" applyFont="1" applyFill="1" applyBorder="1">
      <alignment horizontal="center" vertical="center"/>
    </xf>
    <xf numFmtId="11" fontId="14" fillId="7" borderId="17" xfId="0" applyNumberFormat="1" applyFont="1" applyFill="1" applyBorder="1">
      <alignment horizontal="center" vertical="center"/>
    </xf>
    <xf numFmtId="0" fontId="14" fillId="7" borderId="15" xfId="0" applyFont="1" applyFill="1" applyBorder="1" applyAlignment="1">
      <alignment horizontal="center" vertical="center" wrapText="1"/>
    </xf>
    <xf numFmtId="0" fontId="14" fillId="0" borderId="15" xfId="0" applyFont="1" applyBorder="1">
      <alignment horizontal="center" vertical="center"/>
    </xf>
    <xf numFmtId="0" fontId="14" fillId="7" borderId="17" xfId="0" applyFont="1" applyFill="1" applyBorder="1">
      <alignment horizontal="center" vertical="center"/>
    </xf>
    <xf numFmtId="0" fontId="14" fillId="0" borderId="0" xfId="0" applyFont="1" applyFill="1" applyAlignment="1">
      <alignment horizontal="center" vertical="center" wrapText="1"/>
    </xf>
    <xf numFmtId="0" fontId="14" fillId="7" borderId="0" xfId="0" applyFont="1" applyFill="1">
      <alignment horizontal="center" vertical="center"/>
    </xf>
    <xf numFmtId="0" fontId="14" fillId="7" borderId="0" xfId="0" applyFont="1" applyFill="1" applyAlignment="1">
      <alignment horizontal="center" vertical="center" wrapText="1"/>
    </xf>
    <xf numFmtId="0" fontId="6" fillId="8" borderId="23" xfId="0" applyFont="1" applyFill="1" applyBorder="1" applyAlignment="1">
      <alignment vertical="center"/>
    </xf>
    <xf numFmtId="0" fontId="6" fillId="5" borderId="20" xfId="0" applyFont="1" applyFill="1" applyBorder="1">
      <alignment horizontal="center" vertical="center"/>
    </xf>
    <xf numFmtId="0" fontId="6" fillId="7" borderId="23" xfId="0" applyFont="1" applyFill="1" applyBorder="1" applyAlignment="1">
      <alignment horizontal="left" vertical="center" wrapText="1"/>
    </xf>
    <xf numFmtId="0" fontId="6" fillId="8" borderId="23" xfId="0" applyFont="1" applyFill="1" applyBorder="1" applyAlignment="1">
      <alignment horizontal="left" vertical="center"/>
    </xf>
    <xf numFmtId="0" fontId="6" fillId="7" borderId="22" xfId="0" applyFont="1" applyFill="1" applyBorder="1" applyAlignment="1">
      <alignment horizontal="left" vertical="center"/>
    </xf>
    <xf numFmtId="0" fontId="6" fillId="0" borderId="23" xfId="0" applyFont="1" applyBorder="1" applyAlignment="1">
      <alignment horizontal="left" vertical="center"/>
    </xf>
    <xf numFmtId="11" fontId="14" fillId="0" borderId="0" xfId="0" applyNumberFormat="1" applyFont="1" applyFill="1">
      <alignment horizontal="center" vertical="center"/>
    </xf>
    <xf numFmtId="0" fontId="6" fillId="7" borderId="23" xfId="0" applyFont="1" applyFill="1" applyBorder="1" applyAlignment="1">
      <alignment horizontal="left" vertical="center"/>
    </xf>
    <xf numFmtId="11" fontId="14" fillId="0" borderId="0" xfId="0" applyNumberFormat="1" applyFont="1">
      <alignment horizontal="center" vertical="center"/>
    </xf>
    <xf numFmtId="0" fontId="36" fillId="0" borderId="0" xfId="0" applyFont="1" applyAlignment="1">
      <alignment horizontal="left" vertical="center"/>
    </xf>
    <xf numFmtId="0" fontId="7" fillId="0" borderId="0" xfId="0" applyFont="1">
      <alignment horizontal="center" vertical="center"/>
    </xf>
    <xf numFmtId="0" fontId="7" fillId="0" borderId="0" xfId="0" applyFont="1" applyAlignment="1">
      <alignment horizontal="center" vertical="center" wrapText="1"/>
    </xf>
    <xf numFmtId="11" fontId="12" fillId="0" borderId="0" xfId="0" applyNumberFormat="1" applyFont="1">
      <alignment horizontal="center" vertical="center"/>
    </xf>
    <xf numFmtId="0" fontId="9" fillId="0" borderId="0" xfId="0" applyFont="1" applyAlignment="1">
      <alignment horizontal="left" vertical="center"/>
    </xf>
    <xf numFmtId="0" fontId="17" fillId="0" borderId="0" xfId="0" applyFont="1" applyBorder="1" applyAlignment="1">
      <alignment horizontal="center" vertical="center" wrapText="1"/>
    </xf>
    <xf numFmtId="0" fontId="17" fillId="0" borderId="0" xfId="0" applyFont="1" applyBorder="1">
      <alignment horizontal="center" vertical="center"/>
    </xf>
    <xf numFmtId="0" fontId="17" fillId="0" borderId="0" xfId="0" applyFont="1" applyAlignment="1">
      <alignment vertical="center"/>
    </xf>
    <xf numFmtId="0" fontId="12" fillId="0" borderId="3" xfId="0" applyFont="1" applyBorder="1">
      <alignment horizontal="center" vertical="center"/>
    </xf>
    <xf numFmtId="0" fontId="17" fillId="0" borderId="10" xfId="0" applyFont="1" applyBorder="1" applyAlignment="1">
      <alignment horizontal="center" vertical="center" wrapText="1"/>
    </xf>
    <xf numFmtId="168" fontId="17" fillId="0" borderId="8" xfId="0" applyNumberFormat="1" applyFont="1" applyBorder="1" applyAlignment="1">
      <alignment horizontal="center" vertical="center" wrapText="1" readingOrder="1"/>
    </xf>
    <xf numFmtId="0" fontId="17" fillId="0" borderId="7" xfId="0" applyFont="1" applyBorder="1" applyAlignment="1">
      <alignment horizontal="center" vertical="center" wrapText="1" readingOrder="1"/>
    </xf>
    <xf numFmtId="0" fontId="17" fillId="0" borderId="5" xfId="0" applyFont="1" applyBorder="1" applyAlignment="1">
      <alignment horizontal="center" vertical="center" wrapText="1" readingOrder="1"/>
    </xf>
    <xf numFmtId="11" fontId="17" fillId="0" borderId="0" xfId="0" applyNumberFormat="1" applyFont="1" applyBorder="1" applyAlignment="1">
      <alignment horizontal="center" wrapText="1"/>
    </xf>
    <xf numFmtId="11" fontId="17" fillId="0" borderId="0" xfId="0" applyNumberFormat="1" applyFont="1" applyBorder="1" applyAlignment="1">
      <alignment horizontal="center" vertical="center" wrapText="1"/>
    </xf>
    <xf numFmtId="11" fontId="17" fillId="0" borderId="6" xfId="0" applyNumberFormat="1" applyFont="1" applyBorder="1" applyAlignment="1">
      <alignment horizontal="center" vertical="center" wrapText="1"/>
    </xf>
    <xf numFmtId="0" fontId="17" fillId="0" borderId="8" xfId="0" applyFont="1" applyBorder="1" applyAlignment="1">
      <alignment horizontal="center" vertical="center" wrapText="1"/>
    </xf>
    <xf numFmtId="11" fontId="32" fillId="0" borderId="5" xfId="5" applyNumberFormat="1" applyFont="1" applyBorder="1" applyAlignment="1">
      <alignment horizontal="center" wrapText="1"/>
    </xf>
    <xf numFmtId="168" fontId="17" fillId="0" borderId="10" xfId="0" applyNumberFormat="1" applyFont="1" applyBorder="1" applyAlignment="1">
      <alignment horizontal="center" vertical="center" wrapText="1" readingOrder="1"/>
    </xf>
    <xf numFmtId="0" fontId="17" fillId="0" borderId="6" xfId="0" applyFont="1" applyBorder="1">
      <alignment horizontal="center" vertical="center"/>
    </xf>
    <xf numFmtId="11" fontId="32" fillId="0" borderId="6" xfId="5" applyNumberFormat="1" applyFont="1" applyBorder="1" applyAlignment="1">
      <alignment horizontal="center" wrapText="1"/>
    </xf>
    <xf numFmtId="164" fontId="17" fillId="0" borderId="0" xfId="0" applyNumberFormat="1" applyFont="1" applyFill="1" applyBorder="1" applyAlignment="1">
      <alignment horizontal="center" vertical="center" wrapText="1" readingOrder="1"/>
    </xf>
    <xf numFmtId="1" fontId="17" fillId="0" borderId="6" xfId="0" applyNumberFormat="1" applyFont="1" applyFill="1" applyBorder="1" applyAlignment="1">
      <alignment horizontal="center" vertical="center" wrapText="1" readingOrder="1"/>
    </xf>
    <xf numFmtId="0" fontId="17" fillId="0" borderId="0" xfId="0" applyFont="1" applyFill="1" applyBorder="1">
      <alignment horizontal="center" vertical="center"/>
    </xf>
    <xf numFmtId="0" fontId="17" fillId="0" borderId="6" xfId="0" applyFont="1" applyFill="1" applyBorder="1">
      <alignment horizontal="center" vertical="center"/>
    </xf>
    <xf numFmtId="4" fontId="17" fillId="0" borderId="0" xfId="0" applyNumberFormat="1" applyFont="1" applyFill="1" applyBorder="1" applyAlignment="1">
      <alignment horizontal="center"/>
    </xf>
    <xf numFmtId="4" fontId="17" fillId="0" borderId="6" xfId="0" applyNumberFormat="1" applyFont="1" applyFill="1" applyBorder="1" applyAlignment="1">
      <alignment horizontal="center"/>
    </xf>
    <xf numFmtId="0" fontId="17" fillId="0" borderId="0" xfId="0" applyFont="1" applyFill="1" applyBorder="1" applyAlignment="1">
      <alignment horizontal="center" vertical="center" wrapText="1" readingOrder="1"/>
    </xf>
    <xf numFmtId="0" fontId="17" fillId="0" borderId="6" xfId="0" applyFont="1" applyFill="1" applyBorder="1" applyAlignment="1">
      <alignment horizontal="center" vertical="center" wrapText="1" readingOrder="1"/>
    </xf>
    <xf numFmtId="0" fontId="17" fillId="0" borderId="10" xfId="0" applyFont="1" applyBorder="1" applyAlignment="1">
      <alignment horizontal="center" wrapText="1"/>
    </xf>
    <xf numFmtId="0" fontId="17" fillId="0" borderId="6" xfId="0" applyFont="1" applyFill="1" applyBorder="1" applyAlignment="1">
      <alignment horizontal="center" vertical="center" wrapText="1"/>
    </xf>
    <xf numFmtId="0" fontId="17" fillId="0" borderId="0" xfId="0" applyFont="1" applyFill="1" applyBorder="1" applyAlignment="1">
      <alignment horizontal="center" vertical="center" wrapText="1"/>
    </xf>
    <xf numFmtId="11" fontId="17" fillId="0" borderId="0" xfId="0" applyNumberFormat="1" applyFont="1" applyFill="1" applyBorder="1" applyAlignment="1">
      <alignment horizontal="center" wrapText="1"/>
    </xf>
    <xf numFmtId="11" fontId="17" fillId="0" borderId="6" xfId="0" applyNumberFormat="1" applyFont="1" applyFill="1" applyBorder="1" applyAlignment="1">
      <alignment horizontal="center" wrapText="1"/>
    </xf>
    <xf numFmtId="0" fontId="17" fillId="0" borderId="10" xfId="0" applyFont="1" applyFill="1" applyBorder="1" applyAlignment="1">
      <alignment horizontal="center" vertical="center" wrapText="1" readingOrder="1"/>
    </xf>
    <xf numFmtId="165" fontId="17" fillId="0" borderId="0" xfId="0" applyNumberFormat="1" applyFont="1" applyBorder="1" applyAlignment="1">
      <alignment horizontal="center" vertical="center" wrapText="1" readingOrder="1"/>
    </xf>
    <xf numFmtId="165" fontId="17" fillId="0" borderId="6" xfId="0" applyNumberFormat="1" applyFont="1" applyBorder="1" applyAlignment="1">
      <alignment horizontal="center" vertical="center" wrapText="1" readingOrder="1"/>
    </xf>
    <xf numFmtId="165" fontId="17" fillId="0" borderId="0" xfId="4" applyNumberFormat="1" applyFont="1" applyFill="1" applyBorder="1" applyAlignment="1">
      <alignment horizontal="center" vertical="center" wrapText="1"/>
    </xf>
    <xf numFmtId="165" fontId="17" fillId="0" borderId="6" xfId="4" applyNumberFormat="1" applyFont="1" applyBorder="1" applyAlignment="1">
      <alignment horizontal="center" wrapText="1"/>
    </xf>
    <xf numFmtId="0" fontId="17" fillId="0" borderId="9" xfId="0" applyFont="1" applyBorder="1" applyAlignment="1">
      <alignment horizontal="center" vertical="center" wrapText="1"/>
    </xf>
    <xf numFmtId="0" fontId="17" fillId="0" borderId="14" xfId="0" applyFont="1" applyFill="1" applyBorder="1" applyAlignment="1">
      <alignment horizontal="center" vertical="center" wrapText="1" readingOrder="1"/>
    </xf>
    <xf numFmtId="168" fontId="17" fillId="0" borderId="14" xfId="0" applyNumberFormat="1" applyFont="1" applyBorder="1" applyAlignment="1">
      <alignment horizontal="center" vertical="center" wrapText="1" readingOrder="1"/>
    </xf>
    <xf numFmtId="165" fontId="17" fillId="0" borderId="12" xfId="4" applyNumberFormat="1" applyFont="1" applyFill="1" applyBorder="1" applyAlignment="1">
      <alignment horizontal="center" vertical="center" wrapText="1"/>
    </xf>
    <xf numFmtId="165" fontId="17" fillId="0" borderId="13" xfId="4" applyNumberFormat="1" applyFont="1" applyBorder="1" applyAlignment="1">
      <alignment horizontal="center" wrapText="1"/>
    </xf>
    <xf numFmtId="11" fontId="17" fillId="0" borderId="12" xfId="0" applyNumberFormat="1" applyFont="1" applyBorder="1" applyAlignment="1">
      <alignment horizontal="center" wrapText="1"/>
    </xf>
    <xf numFmtId="11" fontId="17" fillId="0" borderId="12" xfId="0" applyNumberFormat="1" applyFont="1" applyBorder="1" applyAlignment="1">
      <alignment horizontal="center" vertical="center" wrapText="1"/>
    </xf>
    <xf numFmtId="11" fontId="17" fillId="0" borderId="13" xfId="0" applyNumberFormat="1" applyFont="1" applyBorder="1" applyAlignment="1">
      <alignment horizontal="center" vertical="center" wrapText="1"/>
    </xf>
    <xf numFmtId="0" fontId="17" fillId="0" borderId="14" xfId="0" applyFont="1" applyBorder="1" applyAlignment="1">
      <alignment horizontal="center" vertical="center" wrapText="1"/>
    </xf>
    <xf numFmtId="11" fontId="32" fillId="0" borderId="13" xfId="5" applyNumberFormat="1" applyFont="1" applyBorder="1" applyAlignment="1">
      <alignment horizontal="center" wrapText="1"/>
    </xf>
    <xf numFmtId="0" fontId="17" fillId="0" borderId="0" xfId="0" applyFont="1" applyAlignment="1"/>
    <xf numFmtId="0" fontId="9" fillId="0" borderId="0" xfId="0" applyFont="1" applyAlignment="1"/>
    <xf numFmtId="0" fontId="17" fillId="0" borderId="0" xfId="0" applyFont="1" applyFill="1" applyBorder="1" applyAlignment="1"/>
    <xf numFmtId="0" fontId="9" fillId="0" borderId="0" xfId="0" applyFont="1" applyFill="1" applyBorder="1" applyAlignment="1"/>
    <xf numFmtId="2" fontId="17" fillId="0" borderId="0" xfId="4" applyNumberFormat="1" applyFont="1" applyAlignment="1">
      <alignment horizontal="center"/>
    </xf>
    <xf numFmtId="167" fontId="17" fillId="0" borderId="0" xfId="1" applyNumberFormat="1" applyFont="1" applyFill="1" applyAlignment="1">
      <alignment horizontal="center"/>
    </xf>
    <xf numFmtId="2" fontId="17" fillId="0" borderId="0" xfId="4" applyNumberFormat="1" applyFont="1" applyFill="1" applyAlignment="1">
      <alignment horizontal="center"/>
    </xf>
    <xf numFmtId="2" fontId="17" fillId="0" borderId="0" xfId="0" applyNumberFormat="1" applyFont="1" applyFill="1" applyBorder="1" applyAlignment="1">
      <alignment horizontal="center"/>
    </xf>
    <xf numFmtId="0" fontId="17" fillId="0" borderId="0" xfId="0" applyFont="1" applyBorder="1" applyAlignment="1">
      <alignment horizontal="center" vertical="center" wrapText="1" readingOrder="1"/>
    </xf>
    <xf numFmtId="0" fontId="17" fillId="0" borderId="6" xfId="0" applyFont="1" applyBorder="1" applyAlignment="1">
      <alignment horizontal="center" vertical="center" wrapText="1" readingOrder="1"/>
    </xf>
    <xf numFmtId="11" fontId="17" fillId="0" borderId="10" xfId="0" applyNumberFormat="1" applyFont="1" applyBorder="1" applyAlignment="1">
      <alignment horizontal="center" wrapText="1"/>
    </xf>
    <xf numFmtId="164" fontId="17" fillId="0" borderId="0" xfId="0" applyNumberFormat="1" applyFont="1" applyBorder="1" applyAlignment="1">
      <alignment horizontal="center" vertical="center" wrapText="1" readingOrder="1"/>
    </xf>
    <xf numFmtId="1" fontId="17" fillId="0" borderId="6" xfId="0" applyNumberFormat="1" applyFont="1" applyBorder="1" applyAlignment="1">
      <alignment horizontal="center" vertical="center" wrapText="1" readingOrder="1"/>
    </xf>
    <xf numFmtId="2" fontId="12" fillId="0" borderId="0" xfId="0" applyNumberFormat="1" applyFont="1" applyBorder="1">
      <alignment horizontal="center" vertical="center"/>
    </xf>
    <xf numFmtId="0" fontId="17" fillId="0" borderId="9" xfId="0" applyFont="1" applyBorder="1" applyAlignment="1">
      <alignment horizontal="center" wrapText="1"/>
    </xf>
    <xf numFmtId="0" fontId="17" fillId="0" borderId="6" xfId="0" applyFont="1" applyBorder="1" applyAlignment="1">
      <alignment horizontal="center" vertical="center" wrapText="1"/>
    </xf>
    <xf numFmtId="11" fontId="17" fillId="0" borderId="6" xfId="0" applyNumberFormat="1" applyFont="1" applyBorder="1" applyAlignment="1">
      <alignment horizontal="center" wrapText="1"/>
    </xf>
    <xf numFmtId="0" fontId="17" fillId="0" borderId="9" xfId="0" applyFont="1" applyFill="1" applyBorder="1" applyAlignment="1">
      <alignment horizontal="center" vertical="center" wrapText="1" readingOrder="1"/>
    </xf>
    <xf numFmtId="165" fontId="17" fillId="0" borderId="0" xfId="0" applyNumberFormat="1" applyFont="1" applyBorder="1" applyAlignment="1">
      <alignment horizontal="center" wrapText="1"/>
    </xf>
    <xf numFmtId="165" fontId="17" fillId="0" borderId="6" xfId="0" applyNumberFormat="1" applyFont="1" applyBorder="1" applyAlignment="1">
      <alignment horizontal="center" wrapText="1"/>
    </xf>
    <xf numFmtId="0" fontId="17" fillId="0" borderId="11" xfId="0" applyFont="1" applyFill="1" applyBorder="1" applyAlignment="1">
      <alignment horizontal="center" vertical="center" wrapText="1" readingOrder="1"/>
    </xf>
    <xf numFmtId="165" fontId="17" fillId="0" borderId="12" xfId="0" applyNumberFormat="1" applyFont="1" applyBorder="1" applyAlignment="1">
      <alignment horizontal="center" vertical="center" wrapText="1"/>
    </xf>
    <xf numFmtId="165" fontId="17" fillId="0" borderId="13" xfId="0" applyNumberFormat="1" applyFont="1" applyBorder="1" applyAlignment="1">
      <alignment horizontal="center" vertical="center" wrapText="1"/>
    </xf>
    <xf numFmtId="11" fontId="17" fillId="0" borderId="14" xfId="0" applyNumberFormat="1" applyFont="1" applyBorder="1" applyAlignment="1">
      <alignment horizontal="center" wrapText="1"/>
    </xf>
    <xf numFmtId="0" fontId="36" fillId="0" borderId="0" xfId="0" applyFont="1" applyBorder="1" applyAlignment="1">
      <alignment horizontal="left" vertical="center"/>
    </xf>
    <xf numFmtId="0" fontId="17" fillId="0" borderId="9" xfId="0" applyFont="1" applyBorder="1">
      <alignment horizontal="center" vertical="center"/>
    </xf>
    <xf numFmtId="11" fontId="17" fillId="0" borderId="10" xfId="0" applyNumberFormat="1" applyFont="1" applyBorder="1" applyAlignment="1">
      <alignment horizontal="center"/>
    </xf>
    <xf numFmtId="11" fontId="17" fillId="0" borderId="0" xfId="0" applyNumberFormat="1" applyFont="1" applyBorder="1">
      <alignment horizontal="center" vertical="center"/>
    </xf>
    <xf numFmtId="11" fontId="17" fillId="0" borderId="6" xfId="0" applyNumberFormat="1" applyFont="1" applyBorder="1">
      <alignment horizontal="center" vertical="center"/>
    </xf>
    <xf numFmtId="0" fontId="17" fillId="0" borderId="10" xfId="0" applyFont="1" applyBorder="1">
      <alignment horizontal="center" vertical="center"/>
    </xf>
    <xf numFmtId="11" fontId="32" fillId="0" borderId="6" xfId="5" applyNumberFormat="1" applyFont="1" applyBorder="1" applyAlignment="1">
      <alignment horizontal="center"/>
    </xf>
    <xf numFmtId="0" fontId="37" fillId="0" borderId="0" xfId="0" applyFont="1">
      <alignment horizontal="center" vertical="center"/>
    </xf>
    <xf numFmtId="11" fontId="28" fillId="0" borderId="0" xfId="0" applyNumberFormat="1" applyFont="1">
      <alignment horizontal="center" vertical="center"/>
    </xf>
    <xf numFmtId="0" fontId="17" fillId="0" borderId="9" xfId="0" applyFont="1" applyBorder="1" applyAlignment="1">
      <alignment horizontal="center"/>
    </xf>
    <xf numFmtId="4" fontId="17" fillId="0" borderId="0" xfId="0" applyNumberFormat="1" applyFont="1" applyBorder="1">
      <alignment horizontal="center" vertical="center"/>
    </xf>
    <xf numFmtId="4" fontId="17" fillId="0" borderId="6" xfId="0" applyNumberFormat="1" applyFont="1" applyBorder="1">
      <alignment horizontal="center" vertical="center"/>
    </xf>
    <xf numFmtId="11" fontId="17" fillId="0" borderId="0" xfId="0" applyNumberFormat="1" applyFont="1" applyBorder="1" applyAlignment="1">
      <alignment horizontal="center"/>
    </xf>
    <xf numFmtId="11" fontId="17" fillId="0" borderId="6" xfId="0" applyNumberFormat="1" applyFont="1" applyBorder="1" applyAlignment="1">
      <alignment horizontal="center"/>
    </xf>
    <xf numFmtId="165" fontId="17" fillId="0" borderId="0" xfId="4" applyNumberFormat="1" applyFont="1" applyFill="1" applyBorder="1" applyAlignment="1">
      <alignment horizontal="center" vertical="center"/>
    </xf>
    <xf numFmtId="165" fontId="17" fillId="0" borderId="6" xfId="4" applyNumberFormat="1" applyFont="1" applyBorder="1" applyAlignment="1">
      <alignment horizontal="center"/>
    </xf>
    <xf numFmtId="165" fontId="17" fillId="0" borderId="0" xfId="0" applyNumberFormat="1" applyFont="1" applyBorder="1" applyAlignment="1">
      <alignment horizontal="center"/>
    </xf>
    <xf numFmtId="165" fontId="17" fillId="0" borderId="6" xfId="0" applyNumberFormat="1" applyFont="1" applyBorder="1" applyAlignment="1">
      <alignment horizontal="center"/>
    </xf>
    <xf numFmtId="165" fontId="17" fillId="0" borderId="12" xfId="0" applyNumberFormat="1" applyFont="1" applyBorder="1">
      <alignment horizontal="center" vertical="center"/>
    </xf>
    <xf numFmtId="165" fontId="17" fillId="0" borderId="13" xfId="0" applyNumberFormat="1" applyFont="1" applyBorder="1">
      <alignment horizontal="center" vertical="center"/>
    </xf>
    <xf numFmtId="11" fontId="17" fillId="0" borderId="14" xfId="0" applyNumberFormat="1" applyFont="1" applyBorder="1" applyAlignment="1">
      <alignment horizontal="center"/>
    </xf>
    <xf numFmtId="11" fontId="17" fillId="0" borderId="12" xfId="0" applyNumberFormat="1" applyFont="1" applyBorder="1">
      <alignment horizontal="center" vertical="center"/>
    </xf>
    <xf numFmtId="11" fontId="17" fillId="0" borderId="13" xfId="0" applyNumberFormat="1" applyFont="1" applyBorder="1">
      <alignment horizontal="center" vertical="center"/>
    </xf>
    <xf numFmtId="0" fontId="17" fillId="0" borderId="14" xfId="0" applyFont="1" applyBorder="1">
      <alignment horizontal="center" vertical="center"/>
    </xf>
    <xf numFmtId="11" fontId="32" fillId="0" borderId="13" xfId="5" applyNumberFormat="1" applyFont="1" applyBorder="1" applyAlignment="1">
      <alignment horizontal="center"/>
    </xf>
    <xf numFmtId="0" fontId="6" fillId="8" borderId="21" xfId="0" applyFont="1" applyFill="1" applyBorder="1" applyAlignment="1">
      <alignment vertical="center"/>
    </xf>
    <xf numFmtId="0" fontId="6" fillId="0" borderId="21" xfId="0" applyFont="1" applyBorder="1" applyAlignment="1">
      <alignment horizontal="left" vertical="center"/>
    </xf>
    <xf numFmtId="0" fontId="6" fillId="7" borderId="21" xfId="0" applyFont="1" applyFill="1" applyBorder="1" applyAlignment="1">
      <alignment horizontal="left" vertical="center"/>
    </xf>
    <xf numFmtId="0" fontId="6" fillId="7" borderId="21" xfId="0" applyFont="1" applyFill="1" applyBorder="1" applyAlignment="1">
      <alignment horizontal="left" vertical="center" wrapText="1"/>
    </xf>
    <xf numFmtId="0" fontId="6" fillId="8" borderId="21" xfId="0" applyFont="1" applyFill="1" applyBorder="1" applyAlignment="1">
      <alignment horizontal="left" vertical="center"/>
    </xf>
    <xf numFmtId="0" fontId="6" fillId="5" borderId="7" xfId="0" applyFont="1" applyFill="1" applyBorder="1">
      <alignment horizontal="center" vertical="center"/>
    </xf>
    <xf numFmtId="0" fontId="6" fillId="9" borderId="7" xfId="0" applyFont="1" applyFill="1" applyBorder="1">
      <alignment horizontal="center" vertical="center"/>
    </xf>
    <xf numFmtId="0" fontId="14" fillId="7" borderId="7" xfId="0" applyFont="1" applyFill="1" applyBorder="1" applyAlignment="1">
      <alignment horizontal="center" vertical="center" wrapText="1"/>
    </xf>
    <xf numFmtId="0" fontId="14" fillId="0" borderId="7" xfId="0" applyFont="1" applyBorder="1">
      <alignment horizontal="center" vertical="center"/>
    </xf>
    <xf numFmtId="0" fontId="14" fillId="7" borderId="34" xfId="0" applyFont="1" applyFill="1" applyBorder="1">
      <alignment horizontal="center" vertical="center"/>
    </xf>
    <xf numFmtId="0" fontId="14" fillId="7" borderId="35" xfId="0" applyFont="1" applyFill="1" applyBorder="1">
      <alignment horizontal="center" vertical="center"/>
    </xf>
    <xf numFmtId="0" fontId="14" fillId="7" borderId="35" xfId="0" applyFont="1" applyFill="1" applyBorder="1" applyAlignment="1">
      <alignment horizontal="center" vertical="center" wrapText="1"/>
    </xf>
    <xf numFmtId="0" fontId="14" fillId="13" borderId="35" xfId="0" applyFont="1" applyFill="1" applyBorder="1">
      <alignment horizontal="center" vertical="center"/>
    </xf>
    <xf numFmtId="0" fontId="7" fillId="0" borderId="0" xfId="0" applyFont="1" applyBorder="1" applyAlignment="1">
      <alignment horizontal="center"/>
    </xf>
    <xf numFmtId="0" fontId="14" fillId="0" borderId="6" xfId="0" applyFont="1" applyFill="1" applyBorder="1">
      <alignment horizontal="center" vertical="center"/>
    </xf>
    <xf numFmtId="0" fontId="17" fillId="13" borderId="0" xfId="0" applyFont="1" applyFill="1" applyBorder="1">
      <alignment horizontal="center" vertical="center"/>
    </xf>
    <xf numFmtId="0" fontId="7" fillId="0" borderId="12" xfId="0" applyFont="1" applyBorder="1" applyAlignment="1">
      <alignment horizontal="center"/>
    </xf>
    <xf numFmtId="0" fontId="17" fillId="0" borderId="12" xfId="0" applyFont="1" applyBorder="1">
      <alignment horizontal="center" vertical="center"/>
    </xf>
    <xf numFmtId="0" fontId="17" fillId="13" borderId="12" xfId="0" applyFont="1" applyFill="1" applyBorder="1">
      <alignment horizontal="center" vertical="center"/>
    </xf>
    <xf numFmtId="0" fontId="14" fillId="7" borderId="12" xfId="0" applyFont="1" applyFill="1" applyBorder="1" applyAlignment="1">
      <alignment horizontal="center" vertical="center" wrapText="1"/>
    </xf>
    <xf numFmtId="0" fontId="14" fillId="0" borderId="12" xfId="0" applyFont="1" applyBorder="1">
      <alignment horizontal="center" vertical="center"/>
    </xf>
    <xf numFmtId="0" fontId="14" fillId="0" borderId="13" xfId="0" applyFont="1" applyFill="1" applyBorder="1">
      <alignment horizontal="center" vertical="center"/>
    </xf>
    <xf numFmtId="0" fontId="14" fillId="0" borderId="5" xfId="0" applyFont="1" applyFill="1" applyBorder="1">
      <alignment horizontal="center" vertical="center"/>
    </xf>
    <xf numFmtId="0" fontId="6" fillId="5" borderId="15" xfId="0" applyFont="1" applyFill="1" applyBorder="1">
      <alignment horizontal="center" vertical="center"/>
    </xf>
    <xf numFmtId="0" fontId="7" fillId="0" borderId="7" xfId="0" applyFont="1" applyBorder="1" applyAlignment="1">
      <alignment horizontal="center"/>
    </xf>
    <xf numFmtId="0" fontId="14" fillId="7" borderId="6" xfId="0" applyFont="1" applyFill="1" applyBorder="1">
      <alignment horizontal="center" vertical="center"/>
    </xf>
    <xf numFmtId="0" fontId="14" fillId="7" borderId="13" xfId="0" applyFont="1" applyFill="1" applyBorder="1">
      <alignment horizontal="center" vertical="center"/>
    </xf>
    <xf numFmtId="0" fontId="6" fillId="9" borderId="25" xfId="0" applyFont="1" applyFill="1" applyBorder="1">
      <alignment horizontal="center" vertical="center"/>
    </xf>
    <xf numFmtId="0" fontId="14" fillId="7" borderId="25" xfId="0" applyFont="1" applyFill="1" applyBorder="1" applyAlignment="1">
      <alignment horizontal="center" vertical="center" wrapText="1"/>
    </xf>
    <xf numFmtId="0" fontId="14" fillId="0" borderId="25" xfId="0" applyFont="1" applyBorder="1">
      <alignment horizontal="center" vertical="center"/>
    </xf>
    <xf numFmtId="0" fontId="14" fillId="7" borderId="20" xfId="0" applyFont="1" applyFill="1" applyBorder="1">
      <alignment horizontal="center" vertical="center"/>
    </xf>
    <xf numFmtId="0" fontId="14" fillId="7" borderId="17" xfId="0" applyFont="1" applyFill="1" applyBorder="1" applyAlignment="1">
      <alignment horizontal="center" vertical="center" wrapText="1"/>
    </xf>
    <xf numFmtId="0" fontId="14" fillId="13" borderId="17" xfId="0" applyFont="1" applyFill="1" applyBorder="1">
      <alignment horizontal="center" vertical="center"/>
    </xf>
    <xf numFmtId="0" fontId="12" fillId="0" borderId="0" xfId="0" applyFont="1" applyBorder="1" applyAlignment="1"/>
    <xf numFmtId="0" fontId="14" fillId="0" borderId="0" xfId="0" applyFont="1" applyFill="1" applyBorder="1" applyAlignment="1">
      <alignment horizontal="center" vertical="center" wrapText="1"/>
    </xf>
    <xf numFmtId="0" fontId="14" fillId="0" borderId="0" xfId="0" applyFont="1" applyFill="1" applyBorder="1">
      <alignment horizontal="center" vertical="center"/>
    </xf>
    <xf numFmtId="0" fontId="14" fillId="0" borderId="15" xfId="0" applyFont="1" applyFill="1" applyBorder="1">
      <alignment horizontal="center" vertical="center"/>
    </xf>
    <xf numFmtId="0" fontId="14" fillId="0" borderId="16" xfId="0" applyFont="1" applyFill="1" applyBorder="1">
      <alignment horizontal="center" vertical="center"/>
    </xf>
    <xf numFmtId="0" fontId="17" fillId="0" borderId="16" xfId="0" applyFont="1" applyBorder="1">
      <alignment horizontal="center" vertical="center"/>
    </xf>
    <xf numFmtId="0" fontId="14" fillId="0" borderId="17" xfId="0" applyFont="1" applyFill="1" applyBorder="1">
      <alignment horizontal="center" vertical="center"/>
    </xf>
    <xf numFmtId="169" fontId="14" fillId="0" borderId="0" xfId="4" applyNumberFormat="1" applyFont="1" applyBorder="1" applyAlignment="1">
      <alignment horizontal="center" vertical="center"/>
    </xf>
    <xf numFmtId="169" fontId="14" fillId="7" borderId="0" xfId="4" applyNumberFormat="1" applyFont="1" applyFill="1" applyBorder="1" applyAlignment="1">
      <alignment horizontal="center" vertical="center"/>
    </xf>
    <xf numFmtId="169" fontId="14" fillId="7" borderId="16" xfId="4" applyNumberFormat="1" applyFont="1" applyFill="1" applyBorder="1" applyAlignment="1">
      <alignment horizontal="center" vertical="center"/>
    </xf>
    <xf numFmtId="169" fontId="14" fillId="0" borderId="0" xfId="1" applyNumberFormat="1" applyFont="1" applyBorder="1" applyAlignment="1">
      <alignment horizontal="center" vertical="center"/>
    </xf>
    <xf numFmtId="169" fontId="14" fillId="7" borderId="0" xfId="1" applyNumberFormat="1" applyFont="1" applyFill="1" applyBorder="1" applyAlignment="1">
      <alignment horizontal="center" vertical="center"/>
    </xf>
    <xf numFmtId="169" fontId="14" fillId="7" borderId="16" xfId="1" applyNumberFormat="1" applyFont="1" applyFill="1" applyBorder="1" applyAlignment="1">
      <alignment horizontal="center" vertical="center"/>
    </xf>
    <xf numFmtId="169" fontId="12" fillId="10" borderId="0" xfId="0" applyNumberFormat="1" applyFont="1" applyFill="1" applyBorder="1" applyAlignment="1" applyProtection="1">
      <alignment horizontal="center"/>
      <protection locked="0"/>
    </xf>
    <xf numFmtId="169" fontId="14" fillId="0" borderId="7" xfId="0" applyNumberFormat="1" applyFont="1" applyBorder="1">
      <alignment horizontal="center" vertical="center"/>
    </xf>
    <xf numFmtId="169" fontId="14" fillId="7" borderId="7" xfId="0" applyNumberFormat="1" applyFont="1" applyFill="1" applyBorder="1">
      <alignment horizontal="center" vertical="center"/>
    </xf>
    <xf numFmtId="169" fontId="14" fillId="7" borderId="33" xfId="0" applyNumberFormat="1" applyFont="1" applyFill="1" applyBorder="1">
      <alignment horizontal="center" vertical="center"/>
    </xf>
    <xf numFmtId="169" fontId="14" fillId="0" borderId="0" xfId="0" applyNumberFormat="1" applyFont="1" applyBorder="1">
      <alignment horizontal="center" vertical="center"/>
    </xf>
    <xf numFmtId="169" fontId="14" fillId="7" borderId="0" xfId="0" applyNumberFormat="1" applyFont="1" applyFill="1" applyBorder="1">
      <alignment horizontal="center" vertical="center"/>
    </xf>
    <xf numFmtId="169" fontId="14" fillId="7" borderId="16" xfId="0" applyNumberFormat="1" applyFont="1" applyFill="1" applyBorder="1">
      <alignment horizontal="center" vertical="center"/>
    </xf>
    <xf numFmtId="169" fontId="14" fillId="13" borderId="0" xfId="0" applyNumberFormat="1" applyFont="1" applyFill="1" applyBorder="1">
      <alignment horizontal="center" vertical="center"/>
    </xf>
    <xf numFmtId="169" fontId="12" fillId="0" borderId="7" xfId="0" applyNumberFormat="1" applyFont="1" applyBorder="1" applyAlignment="1">
      <alignment horizontal="center"/>
    </xf>
    <xf numFmtId="169" fontId="12" fillId="0" borderId="12" xfId="0" applyNumberFormat="1" applyFont="1" applyBorder="1" applyAlignment="1">
      <alignment horizontal="center"/>
    </xf>
    <xf numFmtId="169" fontId="17" fillId="0" borderId="0" xfId="0" applyNumberFormat="1" applyFont="1" applyBorder="1">
      <alignment horizontal="center" vertical="center"/>
    </xf>
    <xf numFmtId="169" fontId="17" fillId="0" borderId="12" xfId="0" applyNumberFormat="1" applyFont="1" applyBorder="1">
      <alignment horizontal="center" vertical="center"/>
    </xf>
    <xf numFmtId="169" fontId="17" fillId="0" borderId="8" xfId="0" applyNumberFormat="1" applyFont="1" applyBorder="1">
      <alignment horizontal="center" vertical="center"/>
    </xf>
    <xf numFmtId="169" fontId="17" fillId="0" borderId="7" xfId="0" applyNumberFormat="1" applyFont="1" applyBorder="1">
      <alignment horizontal="center" vertical="center"/>
    </xf>
    <xf numFmtId="169" fontId="17" fillId="0" borderId="10" xfId="0" applyNumberFormat="1" applyFont="1" applyBorder="1">
      <alignment horizontal="center" vertical="center"/>
    </xf>
    <xf numFmtId="169" fontId="14" fillId="0" borderId="25" xfId="0" applyNumberFormat="1" applyFont="1" applyBorder="1">
      <alignment horizontal="center" vertical="center"/>
    </xf>
    <xf numFmtId="169" fontId="14" fillId="7" borderId="25" xfId="0" applyNumberFormat="1" applyFont="1" applyFill="1" applyBorder="1">
      <alignment horizontal="center" vertical="center"/>
    </xf>
    <xf numFmtId="169" fontId="14" fillId="7" borderId="19" xfId="0" applyNumberFormat="1" applyFont="1" applyFill="1" applyBorder="1">
      <alignment horizontal="center" vertical="center"/>
    </xf>
    <xf numFmtId="169" fontId="14" fillId="0" borderId="15" xfId="0" applyNumberFormat="1" applyFont="1" applyBorder="1">
      <alignment horizontal="center" vertical="center"/>
    </xf>
    <xf numFmtId="169" fontId="14" fillId="7" borderId="15" xfId="0" applyNumberFormat="1" applyFont="1" applyFill="1" applyBorder="1">
      <alignment horizontal="center" vertical="center"/>
    </xf>
    <xf numFmtId="169" fontId="14" fillId="7" borderId="17" xfId="0" applyNumberFormat="1" applyFont="1" applyFill="1" applyBorder="1">
      <alignment horizontal="center" vertical="center"/>
    </xf>
    <xf numFmtId="169" fontId="12" fillId="0" borderId="0" xfId="0" applyNumberFormat="1" applyFont="1" applyBorder="1" applyAlignment="1">
      <alignment horizontal="center"/>
    </xf>
    <xf numFmtId="169" fontId="17" fillId="0" borderId="16" xfId="0" applyNumberFormat="1" applyFont="1" applyBorder="1">
      <alignment horizontal="center" vertical="center"/>
    </xf>
    <xf numFmtId="0" fontId="38" fillId="0" borderId="1" xfId="0" applyFont="1" applyBorder="1" applyAlignment="1">
      <alignment horizontal="center" vertical="center" wrapText="1"/>
    </xf>
    <xf numFmtId="0" fontId="38" fillId="0" borderId="2" xfId="0" applyFont="1" applyBorder="1" applyAlignment="1">
      <alignment horizontal="center" vertical="center" wrapText="1"/>
    </xf>
    <xf numFmtId="11" fontId="32" fillId="0" borderId="0" xfId="5" applyNumberFormat="1" applyFont="1" applyAlignment="1">
      <alignment horizontal="center"/>
    </xf>
    <xf numFmtId="11" fontId="28" fillId="0" borderId="0" xfId="0" applyNumberFormat="1" applyFont="1" applyBorder="1">
      <alignment horizontal="center" vertical="center"/>
    </xf>
    <xf numFmtId="0" fontId="28" fillId="0" borderId="0" xfId="0" applyFont="1" applyBorder="1">
      <alignment horizontal="center" vertical="center"/>
    </xf>
    <xf numFmtId="0" fontId="17" fillId="0" borderId="0" xfId="0" applyFont="1" applyBorder="1" applyAlignment="1">
      <alignment horizontal="center"/>
    </xf>
    <xf numFmtId="11" fontId="10" fillId="0" borderId="0" xfId="0" applyNumberFormat="1" applyFont="1" applyBorder="1" applyAlignment="1">
      <alignment horizontal="left" vertical="center"/>
    </xf>
    <xf numFmtId="11" fontId="10" fillId="0" borderId="12" xfId="0" applyNumberFormat="1" applyFont="1" applyBorder="1" applyAlignment="1">
      <alignment horizontal="left" vertical="center"/>
    </xf>
    <xf numFmtId="0" fontId="38" fillId="0" borderId="32" xfId="0" applyFont="1" applyBorder="1" applyAlignment="1">
      <alignment horizontal="center" vertical="center" wrapText="1"/>
    </xf>
    <xf numFmtId="0" fontId="17" fillId="0" borderId="4" xfId="0" applyFont="1" applyBorder="1">
      <alignment horizontal="center" vertical="center"/>
    </xf>
    <xf numFmtId="0" fontId="25" fillId="0" borderId="9" xfId="5" applyFont="1" applyBorder="1"/>
    <xf numFmtId="0" fontId="25" fillId="0" borderId="11" xfId="5" applyFont="1" applyBorder="1"/>
    <xf numFmtId="11" fontId="10" fillId="0" borderId="10" xfId="0" applyNumberFormat="1" applyFont="1" applyBorder="1" applyAlignment="1">
      <alignment horizontal="left" vertical="center"/>
    </xf>
    <xf numFmtId="11" fontId="10" fillId="0" borderId="14" xfId="0" applyNumberFormat="1" applyFont="1" applyBorder="1" applyAlignment="1">
      <alignment horizontal="left" vertical="center"/>
    </xf>
    <xf numFmtId="11" fontId="10" fillId="0" borderId="6" xfId="0" applyNumberFormat="1" applyFont="1" applyBorder="1" applyAlignment="1">
      <alignment horizontal="left" vertical="center"/>
    </xf>
    <xf numFmtId="11" fontId="10" fillId="0" borderId="13" xfId="0" applyNumberFormat="1" applyFont="1" applyBorder="1" applyAlignment="1">
      <alignment horizontal="left" vertical="center"/>
    </xf>
    <xf numFmtId="11" fontId="10" fillId="0" borderId="8" xfId="0" applyNumberFormat="1" applyFont="1" applyBorder="1" applyAlignment="1">
      <alignment horizontal="left" vertical="center"/>
    </xf>
    <xf numFmtId="11" fontId="10" fillId="0" borderId="5" xfId="0" applyNumberFormat="1" applyFont="1" applyBorder="1" applyAlignment="1">
      <alignment horizontal="left" vertical="center"/>
    </xf>
    <xf numFmtId="11" fontId="10" fillId="0" borderId="7" xfId="0" applyNumberFormat="1" applyFont="1" applyBorder="1" applyAlignment="1">
      <alignment horizontal="left" vertical="center"/>
    </xf>
    <xf numFmtId="0" fontId="25" fillId="18" borderId="1" xfId="7" applyFont="1" applyBorder="1" applyAlignment="1"/>
    <xf numFmtId="0" fontId="25" fillId="0" borderId="0" xfId="7" applyFont="1" applyFill="1" applyBorder="1"/>
    <xf numFmtId="0" fontId="25" fillId="0" borderId="0" xfId="7" applyFont="1" applyFill="1" applyBorder="1" applyAlignment="1">
      <alignment horizontal="left"/>
    </xf>
    <xf numFmtId="0" fontId="25" fillId="0" borderId="0" xfId="7" applyFont="1" applyFill="1" applyBorder="1" applyAlignment="1"/>
    <xf numFmtId="0" fontId="12" fillId="0" borderId="7" xfId="0" applyFont="1" applyBorder="1">
      <alignment horizontal="center" vertical="center"/>
    </xf>
    <xf numFmtId="0" fontId="25" fillId="0" borderId="7" xfId="5" applyFont="1" applyBorder="1"/>
    <xf numFmtId="0" fontId="12" fillId="0" borderId="5" xfId="0" applyFont="1" applyBorder="1">
      <alignment horizontal="center" vertical="center"/>
    </xf>
    <xf numFmtId="0" fontId="25" fillId="0" borderId="12" xfId="5" applyFont="1" applyBorder="1"/>
    <xf numFmtId="0" fontId="25" fillId="18" borderId="2" xfId="7" applyFont="1" applyBorder="1"/>
    <xf numFmtId="0" fontId="12" fillId="0" borderId="32" xfId="0" applyFont="1" applyBorder="1">
      <alignment horizontal="center" vertical="center"/>
    </xf>
    <xf numFmtId="0" fontId="25" fillId="18" borderId="2" xfId="7" applyFont="1" applyBorder="1" applyAlignment="1">
      <alignment horizontal="center"/>
    </xf>
    <xf numFmtId="0" fontId="25" fillId="0" borderId="5" xfId="5" applyFont="1" applyBorder="1" applyAlignment="1">
      <alignment horizontal="center"/>
    </xf>
    <xf numFmtId="0" fontId="25" fillId="0" borderId="6" xfId="5" applyFont="1" applyBorder="1" applyAlignment="1">
      <alignment horizontal="center"/>
    </xf>
    <xf numFmtId="0" fontId="25" fillId="0" borderId="13" xfId="5" applyFont="1" applyBorder="1" applyAlignment="1">
      <alignment horizontal="center"/>
    </xf>
    <xf numFmtId="2" fontId="32" fillId="0" borderId="0" xfId="8" applyNumberFormat="1" applyFont="1" applyAlignment="1">
      <alignment horizontal="center" vertical="center"/>
    </xf>
    <xf numFmtId="2" fontId="17" fillId="0" borderId="0" xfId="0" applyNumberFormat="1" applyFont="1">
      <alignment horizontal="center" vertical="center"/>
    </xf>
    <xf numFmtId="0" fontId="14" fillId="13" borderId="0" xfId="0" applyFont="1" applyFill="1" applyAlignment="1">
      <alignment horizontal="left" vertical="top" wrapText="1"/>
    </xf>
    <xf numFmtId="0" fontId="12" fillId="13" borderId="0" xfId="0" applyFont="1" applyFill="1" applyAlignment="1">
      <alignment horizontal="center" vertical="top" wrapText="1"/>
    </xf>
    <xf numFmtId="0" fontId="14" fillId="13" borderId="0" xfId="0" applyFont="1" applyFill="1" applyAlignment="1">
      <alignment horizontal="center" vertical="top" wrapText="1"/>
    </xf>
    <xf numFmtId="0" fontId="17" fillId="0" borderId="0"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32" xfId="0" applyFont="1" applyBorder="1">
      <alignment horizontal="center" vertical="center"/>
    </xf>
    <xf numFmtId="0" fontId="17" fillId="0" borderId="2" xfId="0" applyFont="1" applyBorder="1">
      <alignment horizontal="center" vertical="center"/>
    </xf>
    <xf numFmtId="0" fontId="17" fillId="0" borderId="1" xfId="0" applyFont="1" applyBorder="1">
      <alignment horizontal="center" vertical="center"/>
    </xf>
    <xf numFmtId="0" fontId="12" fillId="0" borderId="0" xfId="0" applyFont="1" applyAlignment="1">
      <alignment horizontal="center" vertical="center" wrapText="1"/>
    </xf>
    <xf numFmtId="0" fontId="6" fillId="5" borderId="19" xfId="0" applyFont="1" applyFill="1" applyBorder="1">
      <alignment horizontal="center" vertical="center"/>
    </xf>
    <xf numFmtId="0" fontId="14" fillId="5" borderId="19" xfId="0" applyFont="1" applyFill="1" applyBorder="1">
      <alignment horizontal="center" vertical="center"/>
    </xf>
    <xf numFmtId="0" fontId="14" fillId="5" borderId="20" xfId="0" applyFont="1" applyFill="1" applyBorder="1">
      <alignment horizontal="center" vertical="center"/>
    </xf>
    <xf numFmtId="0" fontId="6" fillId="6" borderId="18" xfId="0" applyFont="1" applyFill="1" applyBorder="1">
      <alignment horizontal="center" vertical="center"/>
    </xf>
    <xf numFmtId="0" fontId="14" fillId="6" borderId="19" xfId="0" applyFont="1" applyFill="1" applyBorder="1">
      <alignment horizontal="center" vertical="center"/>
    </xf>
    <xf numFmtId="0" fontId="14" fillId="6" borderId="20" xfId="0" applyFont="1" applyFill="1" applyBorder="1">
      <alignment horizontal="center" vertical="center"/>
    </xf>
    <xf numFmtId="0" fontId="14" fillId="0" borderId="0" xfId="0" applyFont="1" applyFill="1">
      <alignment horizontal="center" vertical="center"/>
    </xf>
    <xf numFmtId="0" fontId="6" fillId="0" borderId="24" xfId="0" applyFont="1" applyBorder="1">
      <alignment horizontal="center" vertical="center"/>
    </xf>
    <xf numFmtId="0" fontId="6" fillId="0" borderId="25" xfId="0" applyFont="1" applyBorder="1">
      <alignment horizontal="center" vertical="center"/>
    </xf>
    <xf numFmtId="0" fontId="6" fillId="0" borderId="26" xfId="0" applyFont="1" applyBorder="1">
      <alignment horizontal="center" vertical="center"/>
    </xf>
    <xf numFmtId="0" fontId="6" fillId="5" borderId="21" xfId="0" applyFont="1" applyFill="1" applyBorder="1">
      <alignment horizontal="center" vertical="center"/>
    </xf>
    <xf numFmtId="0" fontId="6" fillId="5" borderId="23" xfId="0" applyFont="1" applyFill="1" applyBorder="1">
      <alignment horizontal="center" vertical="center"/>
    </xf>
    <xf numFmtId="0" fontId="6" fillId="6" borderId="21" xfId="0" applyFont="1" applyFill="1" applyBorder="1">
      <alignment horizontal="center" vertical="center"/>
    </xf>
    <xf numFmtId="0" fontId="6" fillId="6" borderId="23" xfId="0" applyFont="1" applyFill="1" applyBorder="1">
      <alignment horizontal="center" vertical="center"/>
    </xf>
    <xf numFmtId="0" fontId="6" fillId="6" borderId="22" xfId="0" applyFont="1" applyFill="1" applyBorder="1">
      <alignment horizontal="center" vertical="center"/>
    </xf>
    <xf numFmtId="0" fontId="32" fillId="0" borderId="0" xfId="8" applyFont="1" applyAlignment="1">
      <alignment horizontal="left" vertical="center"/>
    </xf>
    <xf numFmtId="0" fontId="29" fillId="0" borderId="0" xfId="8" applyFont="1" applyAlignment="1">
      <alignment horizontal="left" vertical="center"/>
    </xf>
    <xf numFmtId="0" fontId="25" fillId="0" borderId="0" xfId="8" applyFont="1" applyAlignment="1">
      <alignment horizontal="left" vertical="center"/>
    </xf>
    <xf numFmtId="0" fontId="30" fillId="0" borderId="0" xfId="8" applyFont="1" applyAlignment="1">
      <alignment horizontal="left" vertical="center"/>
    </xf>
    <xf numFmtId="0" fontId="7" fillId="0" borderId="7" xfId="0" applyFont="1" applyBorder="1">
      <alignment horizontal="center" vertical="center"/>
    </xf>
    <xf numFmtId="0" fontId="7" fillId="0" borderId="5" xfId="0" applyFont="1" applyBorder="1">
      <alignment horizontal="center" vertical="center"/>
    </xf>
    <xf numFmtId="9" fontId="22" fillId="16" borderId="30" xfId="1" applyFont="1" applyFill="1" applyBorder="1" applyAlignment="1">
      <alignment horizontal="center" vertical="top" wrapText="1"/>
    </xf>
    <xf numFmtId="9" fontId="22" fillId="16" borderId="31" xfId="1" applyFont="1" applyFill="1" applyBorder="1" applyAlignment="1">
      <alignment horizontal="center" vertical="top" wrapText="1"/>
    </xf>
    <xf numFmtId="0" fontId="18" fillId="0" borderId="0" xfId="2" applyFont="1" applyAlignment="1">
      <alignment horizontal="center"/>
    </xf>
    <xf numFmtId="0" fontId="6" fillId="4" borderId="1" xfId="2" applyFont="1" applyFill="1" applyBorder="1" applyAlignment="1">
      <alignment horizontal="center"/>
    </xf>
    <xf numFmtId="0" fontId="6" fillId="4" borderId="2" xfId="2" applyFont="1" applyFill="1" applyBorder="1" applyAlignment="1">
      <alignment horizontal="center"/>
    </xf>
    <xf numFmtId="0" fontId="6" fillId="0" borderId="0" xfId="2" applyFont="1" applyAlignment="1">
      <alignment horizontal="center"/>
    </xf>
    <xf numFmtId="0" fontId="6" fillId="2" borderId="1" xfId="2" applyFont="1" applyFill="1" applyBorder="1" applyAlignment="1">
      <alignment horizontal="center"/>
    </xf>
    <xf numFmtId="0" fontId="6" fillId="2" borderId="2" xfId="2" applyFont="1" applyFill="1" applyBorder="1" applyAlignment="1">
      <alignment horizontal="center"/>
    </xf>
    <xf numFmtId="0" fontId="6" fillId="3" borderId="1" xfId="2" applyFont="1" applyFill="1" applyBorder="1" applyAlignment="1">
      <alignment horizontal="center"/>
    </xf>
    <xf numFmtId="0" fontId="6" fillId="3" borderId="2" xfId="2" applyFont="1" applyFill="1" applyBorder="1" applyAlignment="1">
      <alignment horizontal="center"/>
    </xf>
    <xf numFmtId="0" fontId="14" fillId="0" borderId="0" xfId="2" applyFont="1" applyAlignment="1">
      <alignment horizontal="center" wrapText="1"/>
    </xf>
    <xf numFmtId="0" fontId="19" fillId="0" borderId="0" xfId="2" applyFont="1" applyAlignment="1">
      <alignment horizontal="center" vertical="center"/>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3" borderId="1" xfId="2" applyFont="1" applyFill="1" applyBorder="1" applyAlignment="1">
      <alignment horizontal="center" vertical="center"/>
    </xf>
    <xf numFmtId="0" fontId="6" fillId="3" borderId="2" xfId="2" applyFont="1" applyFill="1" applyBorder="1" applyAlignment="1">
      <alignment horizontal="center" vertical="center"/>
    </xf>
    <xf numFmtId="0" fontId="12" fillId="0" borderId="0" xfId="0" applyFont="1" applyAlignment="1">
      <alignment vertical="center" wrapText="1"/>
    </xf>
  </cellXfs>
  <cellStyles count="10">
    <cellStyle name="40% - Accent4" xfId="7" builtinId="43"/>
    <cellStyle name="Comma" xfId="4" builtinId="3"/>
    <cellStyle name="Normal" xfId="0" builtinId="0"/>
    <cellStyle name="Normal 2" xfId="2" xr:uid="{05FC3FEE-61A4-4013-A16B-BF7958E3E6DD}"/>
    <cellStyle name="Normal 3" xfId="5" xr:uid="{153469F4-8181-DF4A-B748-DC3540C76DA9}"/>
    <cellStyle name="Normal 4" xfId="8" xr:uid="{F6AB471B-1AD9-7848-9C83-EA5A58088532}"/>
    <cellStyle name="Percent" xfId="1" builtinId="5"/>
    <cellStyle name="Percent 2" xfId="6" xr:uid="{8D501840-86D6-6442-9DBF-B7E3E0018917}"/>
    <cellStyle name="Percent 3" xfId="9" xr:uid="{C71026E6-1CF7-CF48-B2EB-5D36ED3AC872}"/>
    <cellStyle name="Pourcentage 2" xfId="3" xr:uid="{7641C0A2-8F7E-470E-B9EE-D9C49A25D9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8</xdr:col>
      <xdr:colOff>19050</xdr:colOff>
      <xdr:row>4</xdr:row>
      <xdr:rowOff>12700</xdr:rowOff>
    </xdr:to>
    <xdr:pic>
      <xdr:nvPicPr>
        <xdr:cNvPr id="2" name="Picture 2" descr="esupp new graphic">
          <a:extLst>
            <a:ext uri="{FF2B5EF4-FFF2-40B4-BE49-F238E27FC236}">
              <a16:creationId xmlns:a16="http://schemas.microsoft.com/office/drawing/2014/main" id="{DA85BABC-ADF2-4E4E-968A-78CED3EF0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15900"/>
          <a:ext cx="6769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SimpleBox/SimpleBox-xl4plastic_v4.0.2/rivm-syso-SimpleBox-932ab2c/20221111%20SimpleBox4plastic.xlsx" TargetMode="External"/><Relationship Id="rId1" Type="http://schemas.openxmlformats.org/officeDocument/2006/relationships/externalLinkPath" Target="file:///C:/Users/louve/Documents/Maitrise_CIRAIG/Travail%20ma&#238;trise/SimpleBox/SimpleBox-xl4plastic_v4.0.2/rivm-syso-SimpleBox-932ab2c/20221111%20SimpleBox4plast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Projet_ma&#238;trise_JLouvet.xlsx" TargetMode="External"/><Relationship Id="rId1" Type="http://schemas.openxmlformats.org/officeDocument/2006/relationships/externalLinkPath" Target="file:///C:/Users/louve/Documents/Maitrise_CIRAIG/Travail%20ma&#238;trise/Projet_ma&#238;trise_JLouve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ouve/Documents/Maitrise_CIRAIG/Mod&#232;les_ACV/USEtox_2.13/USEtox2.13.xlsm" TargetMode="External"/><Relationship Id="rId1" Type="http://schemas.openxmlformats.org/officeDocument/2006/relationships/externalLinkPath" Target="file:///C:/Users/louve/Documents/Maitrise_CIRAIG/Mod&#232;les_ACV/USEtox_2.13/USEtox2.1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ll species output"/>
      <sheetName val="nano micro output"/>
      <sheetName val="input"/>
      <sheetName val="regional"/>
      <sheetName val="continental"/>
      <sheetName val="global"/>
      <sheetName val="engine"/>
      <sheetName val="dynamicR"/>
      <sheetName val="substances"/>
      <sheetName val="scenarios"/>
      <sheetName val="cases"/>
      <sheetName val="formulas_only_conventional"/>
      <sheetName val="extra_ENP_mass_output"/>
    </sheetNames>
    <sheetDataSet>
      <sheetData sheetId="0"/>
      <sheetData sheetId="1"/>
      <sheetData sheetId="2"/>
      <sheetData sheetId="3">
        <row r="10">
          <cell r="L10" t="str">
            <v>defaults only</v>
          </cell>
        </row>
        <row r="259">
          <cell r="L259">
            <v>228570000000</v>
          </cell>
        </row>
        <row r="260">
          <cell r="L260">
            <v>1000000000</v>
          </cell>
        </row>
        <row r="269">
          <cell r="L269">
            <v>100</v>
          </cell>
        </row>
        <row r="270">
          <cell r="L270">
            <v>3</v>
          </cell>
        </row>
        <row r="287">
          <cell r="L287">
            <v>3485840000000</v>
          </cell>
        </row>
        <row r="288">
          <cell r="L288">
            <v>3713410000000</v>
          </cell>
        </row>
        <row r="291">
          <cell r="L291">
            <v>2.5000000000000001E-3</v>
          </cell>
        </row>
        <row r="292">
          <cell r="L292">
            <v>2.75E-2</v>
          </cell>
        </row>
        <row r="293">
          <cell r="L293">
            <v>0.27</v>
          </cell>
        </row>
        <row r="294">
          <cell r="L294">
            <v>0.6</v>
          </cell>
        </row>
        <row r="295">
          <cell r="L295">
            <v>0.1</v>
          </cell>
        </row>
        <row r="299">
          <cell r="L299">
            <v>100</v>
          </cell>
        </row>
        <row r="300">
          <cell r="L300">
            <v>3</v>
          </cell>
        </row>
      </sheetData>
      <sheetData sheetId="4">
        <row r="16">
          <cell r="L16">
            <v>229570000000</v>
          </cell>
        </row>
      </sheetData>
      <sheetData sheetId="5">
        <row r="16">
          <cell r="L16">
            <v>7199250000000</v>
          </cell>
        </row>
      </sheetData>
      <sheetData sheetId="6"/>
      <sheetData sheetId="7"/>
      <sheetData sheetId="8"/>
      <sheetData sheetId="9"/>
      <sheetData sheetId="10"/>
      <sheetData sheetId="11">
        <row r="4">
          <cell r="G4" t="str">
            <v>Variable Name</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chéancier"/>
      <sheetName val="Echéancier 2"/>
      <sheetName val="To do"/>
      <sheetName val="Dégradation"/>
      <sheetName val="SSDR_littérature"/>
      <sheetName val="SSDR_moyennes"/>
      <sheetName val="Echelles du modèle"/>
    </sheetNames>
    <sheetDataSet>
      <sheetData sheetId="0">
        <row r="2">
          <cell r="H2">
            <v>43</v>
          </cell>
        </row>
      </sheetData>
      <sheetData sheetId="1"/>
      <sheetData sheetId="2"/>
      <sheetData sheetId="3"/>
      <sheetData sheetId="4">
        <row r="2">
          <cell r="C2">
            <v>11.70312499999997</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greement"/>
      <sheetName val="Instructions"/>
      <sheetName val="Run"/>
      <sheetName val="Results"/>
      <sheetName val="Substance data"/>
      <sheetName val="Landscape &amp; indoor data"/>
      <sheetName val="Fate"/>
      <sheetName val="Human exposure"/>
      <sheetName val="Indoor exposure"/>
      <sheetName val="Ecotox effect"/>
      <sheetName val="Human tox effect"/>
      <sheetName val="Conversion table"/>
      <sheetName val="Lists"/>
      <sheetName val="Code inputs"/>
      <sheetName val="avlogEC50"/>
      <sheetName val="Human tox ED50"/>
    </sheetNames>
    <sheetDataSet>
      <sheetData sheetId="0" refreshError="1"/>
      <sheetData sheetId="1" refreshError="1"/>
      <sheetData sheetId="2" refreshError="1"/>
      <sheetData sheetId="3">
        <row r="10">
          <cell r="F10">
            <v>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Nadim Saadi" id="{C8A499B8-484E-BA4F-AFCD-B1211A9B691D}" userId="S::nadim.saadi@etud.polymtl.ca::0f2eb231-103a-476b-8cd9-b4509e21ab0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11-07T20:15:25.86" personId="{C8A499B8-484E-BA4F-AFCD-B1211A9B691D}" id="{C402102B-9080-2242-AD0F-68B591C851D6}">
    <text>no enzyme that can degrade it. k_deg=0 in subsoil, sediments and water column.</text>
  </threadedComment>
  <threadedComment ref="T1" dT="2025-11-07T20:22:51.88" personId="{C8A499B8-484E-BA4F-AFCD-B1211A9B691D}" id="{2087AA55-313C-A846-828B-C98F7E0358A4}">
    <text>check if they degrade in subsoil, sediments, (no UV)</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538A-26E6-47D2-AEF1-CF583F1A9D9B}">
  <dimension ref="B3:M34"/>
  <sheetViews>
    <sheetView workbookViewId="0">
      <selection activeCell="B10" sqref="B10:H12"/>
    </sheetView>
  </sheetViews>
  <sheetFormatPr baseColWidth="10" defaultRowHeight="15" x14ac:dyDescent="0.2"/>
  <cols>
    <col min="1" max="4" width="10.83203125" style="15"/>
    <col min="5" max="5" width="15" style="15" customWidth="1"/>
    <col min="6" max="16384" width="10.83203125" style="15"/>
  </cols>
  <sheetData>
    <row r="3" spans="2:13" ht="22" x14ac:dyDescent="0.2">
      <c r="B3" s="14" t="s">
        <v>18</v>
      </c>
    </row>
    <row r="5" spans="2:13" x14ac:dyDescent="0.2">
      <c r="B5" s="413" t="s">
        <v>21</v>
      </c>
      <c r="C5" s="413"/>
      <c r="D5" s="413"/>
      <c r="E5" s="413"/>
      <c r="F5" s="413"/>
      <c r="G5" s="413"/>
      <c r="H5" s="16"/>
      <c r="I5" s="16"/>
      <c r="J5" s="16"/>
      <c r="K5" s="16"/>
      <c r="L5" s="16"/>
      <c r="M5" s="16"/>
    </row>
    <row r="6" spans="2:13" x14ac:dyDescent="0.2">
      <c r="B6" s="413"/>
      <c r="C6" s="413"/>
      <c r="D6" s="413"/>
      <c r="E6" s="413"/>
      <c r="F6" s="413"/>
      <c r="G6" s="413"/>
      <c r="H6" s="16"/>
      <c r="I6" s="16"/>
      <c r="J6" s="16"/>
      <c r="K6" s="16"/>
      <c r="L6" s="16"/>
      <c r="M6" s="16"/>
    </row>
    <row r="7" spans="2:13" x14ac:dyDescent="0.2">
      <c r="B7" s="413"/>
      <c r="C7" s="413"/>
      <c r="D7" s="413"/>
      <c r="E7" s="413"/>
      <c r="F7" s="413"/>
      <c r="G7" s="413"/>
      <c r="H7" s="16"/>
      <c r="I7" s="16"/>
      <c r="J7" s="16"/>
      <c r="K7" s="16"/>
      <c r="L7" s="16"/>
      <c r="M7" s="16"/>
    </row>
    <row r="8" spans="2:13" x14ac:dyDescent="0.2">
      <c r="B8" s="16"/>
      <c r="C8" s="16"/>
      <c r="D8" s="16"/>
      <c r="E8" s="16"/>
      <c r="F8" s="16"/>
      <c r="G8" s="16"/>
      <c r="H8" s="16"/>
      <c r="I8" s="16"/>
      <c r="J8" s="16"/>
      <c r="K8" s="16"/>
      <c r="L8" s="16"/>
      <c r="M8" s="16"/>
    </row>
    <row r="9" spans="2:13" ht="16" x14ac:dyDescent="0.2">
      <c r="B9" s="17" t="s">
        <v>20</v>
      </c>
      <c r="C9" s="16"/>
      <c r="D9" s="16"/>
      <c r="E9" s="16"/>
      <c r="F9" s="16"/>
      <c r="G9" s="16"/>
      <c r="H9" s="16"/>
      <c r="I9" s="16"/>
      <c r="J9" s="16"/>
      <c r="K9" s="16"/>
      <c r="L9" s="16"/>
      <c r="M9" s="16"/>
    </row>
    <row r="10" spans="2:13" ht="14.5" customHeight="1" x14ac:dyDescent="0.2">
      <c r="B10" s="414" t="s">
        <v>356</v>
      </c>
      <c r="C10" s="414"/>
      <c r="D10" s="414"/>
      <c r="E10" s="414"/>
      <c r="F10" s="414"/>
      <c r="G10" s="414"/>
      <c r="H10" s="414"/>
      <c r="I10" s="16"/>
      <c r="J10" s="16"/>
      <c r="K10" s="16"/>
      <c r="L10" s="16"/>
      <c r="M10" s="16"/>
    </row>
    <row r="11" spans="2:13" x14ac:dyDescent="0.2">
      <c r="B11" s="414"/>
      <c r="C11" s="414"/>
      <c r="D11" s="414"/>
      <c r="E11" s="414"/>
      <c r="F11" s="414"/>
      <c r="G11" s="414"/>
      <c r="H11" s="414"/>
      <c r="I11" s="16"/>
      <c r="J11" s="16"/>
      <c r="K11" s="16"/>
      <c r="L11" s="16"/>
      <c r="M11" s="16"/>
    </row>
    <row r="12" spans="2:13" x14ac:dyDescent="0.2">
      <c r="B12" s="414"/>
      <c r="C12" s="414"/>
      <c r="D12" s="414"/>
      <c r="E12" s="414"/>
      <c r="F12" s="414"/>
      <c r="G12" s="414"/>
      <c r="H12" s="414"/>
      <c r="I12" s="16"/>
      <c r="J12" s="16"/>
      <c r="K12" s="16"/>
      <c r="L12" s="16"/>
      <c r="M12" s="16"/>
    </row>
    <row r="13" spans="2:13" ht="16" x14ac:dyDescent="0.2">
      <c r="B13" s="16"/>
      <c r="C13" s="16"/>
      <c r="D13" s="16"/>
      <c r="E13" s="16"/>
      <c r="F13" s="16"/>
      <c r="G13" s="16"/>
      <c r="H13" s="17"/>
      <c r="I13" s="16"/>
      <c r="J13" s="16"/>
      <c r="K13" s="16"/>
      <c r="L13" s="16"/>
      <c r="M13" s="16"/>
    </row>
    <row r="14" spans="2:13" ht="16" x14ac:dyDescent="0.2">
      <c r="B14" s="17" t="s">
        <v>19</v>
      </c>
      <c r="C14" s="16"/>
      <c r="D14" s="16"/>
      <c r="E14" s="16"/>
      <c r="F14" s="16"/>
      <c r="G14" s="16"/>
      <c r="H14" s="412"/>
      <c r="I14" s="412"/>
      <c r="J14" s="412"/>
      <c r="K14" s="412"/>
      <c r="L14" s="412"/>
      <c r="M14" s="412"/>
    </row>
    <row r="15" spans="2:13" ht="16" x14ac:dyDescent="0.2">
      <c r="B15" s="17"/>
      <c r="C15" s="16"/>
      <c r="D15" s="16"/>
      <c r="E15" s="16"/>
      <c r="F15" s="16"/>
      <c r="G15" s="16"/>
      <c r="H15" s="18"/>
      <c r="I15" s="18"/>
      <c r="J15" s="18"/>
      <c r="K15" s="18"/>
      <c r="L15" s="18"/>
      <c r="M15" s="18"/>
    </row>
    <row r="16" spans="2:13" x14ac:dyDescent="0.2">
      <c r="B16" s="19" t="s">
        <v>22</v>
      </c>
      <c r="C16" s="16"/>
      <c r="D16" s="16"/>
      <c r="E16" s="16"/>
      <c r="F16" s="16"/>
      <c r="G16" s="16"/>
      <c r="H16" s="16"/>
      <c r="I16" s="16"/>
      <c r="J16" s="16"/>
      <c r="K16" s="16"/>
      <c r="L16" s="16"/>
      <c r="M16" s="16"/>
    </row>
    <row r="17" spans="2:13" x14ac:dyDescent="0.2">
      <c r="B17" s="19" t="s">
        <v>23</v>
      </c>
      <c r="C17" s="19"/>
      <c r="D17" s="19"/>
      <c r="E17" s="19"/>
      <c r="F17" s="16"/>
      <c r="G17" s="16"/>
      <c r="H17" s="16"/>
      <c r="I17" s="16"/>
      <c r="J17" s="16"/>
      <c r="K17" s="16"/>
      <c r="L17" s="16"/>
      <c r="M17" s="16"/>
    </row>
    <row r="18" spans="2:13" x14ac:dyDescent="0.2">
      <c r="B18" s="19" t="s">
        <v>24</v>
      </c>
      <c r="C18" s="19"/>
      <c r="D18" s="19"/>
      <c r="E18" s="19"/>
      <c r="F18" s="16"/>
      <c r="G18" s="16"/>
      <c r="H18" s="16"/>
      <c r="I18" s="16"/>
      <c r="J18" s="16"/>
      <c r="K18" s="16"/>
      <c r="L18" s="16"/>
      <c r="M18" s="16"/>
    </row>
    <row r="19" spans="2:13" x14ac:dyDescent="0.2">
      <c r="B19" s="19" t="s">
        <v>25</v>
      </c>
      <c r="C19" s="19"/>
      <c r="D19" s="19"/>
      <c r="E19" s="19"/>
      <c r="F19" s="16"/>
      <c r="G19" s="16"/>
      <c r="H19" s="16"/>
      <c r="I19" s="16"/>
      <c r="J19" s="16"/>
      <c r="K19" s="16"/>
      <c r="L19" s="16"/>
      <c r="M19" s="16"/>
    </row>
    <row r="20" spans="2:13" x14ac:dyDescent="0.2">
      <c r="B20" s="19" t="s">
        <v>26</v>
      </c>
      <c r="C20" s="19"/>
      <c r="D20" s="19"/>
      <c r="E20" s="19"/>
      <c r="F20" s="16"/>
      <c r="G20" s="16"/>
      <c r="H20" s="16"/>
      <c r="I20" s="16"/>
      <c r="J20" s="16"/>
      <c r="K20" s="16"/>
      <c r="L20" s="16"/>
      <c r="M20" s="16"/>
    </row>
    <row r="21" spans="2:13" x14ac:dyDescent="0.2">
      <c r="B21" s="19" t="s">
        <v>27</v>
      </c>
      <c r="C21" s="16"/>
      <c r="D21" s="16"/>
      <c r="E21" s="16"/>
      <c r="F21" s="16"/>
      <c r="G21" s="16"/>
      <c r="H21" s="16"/>
      <c r="I21" s="16"/>
      <c r="J21" s="16"/>
      <c r="K21" s="16"/>
      <c r="L21" s="16"/>
      <c r="M21" s="16"/>
    </row>
    <row r="22" spans="2:13" x14ac:dyDescent="0.2">
      <c r="B22" s="19" t="s">
        <v>28</v>
      </c>
      <c r="C22" s="16"/>
      <c r="D22" s="16"/>
      <c r="E22" s="16"/>
      <c r="F22" s="16"/>
      <c r="G22" s="16"/>
      <c r="H22" s="16"/>
      <c r="I22" s="16"/>
      <c r="J22" s="16"/>
      <c r="K22" s="16"/>
      <c r="L22" s="16"/>
      <c r="M22" s="16"/>
    </row>
    <row r="23" spans="2:13" x14ac:dyDescent="0.2">
      <c r="B23" s="19" t="s">
        <v>34</v>
      </c>
      <c r="C23" s="16"/>
      <c r="D23" s="16"/>
      <c r="E23" s="16"/>
      <c r="F23" s="16"/>
      <c r="G23" s="16"/>
      <c r="H23" s="16"/>
      <c r="I23" s="16"/>
      <c r="J23" s="16"/>
      <c r="K23" s="16"/>
      <c r="L23" s="16"/>
      <c r="M23" s="16"/>
    </row>
    <row r="25" spans="2:13" ht="16" x14ac:dyDescent="0.2">
      <c r="B25" s="20"/>
      <c r="C25" s="21"/>
      <c r="D25" s="21"/>
      <c r="E25" s="21"/>
      <c r="F25" s="21"/>
      <c r="G25" s="21"/>
      <c r="H25" s="21"/>
    </row>
    <row r="26" spans="2:13" x14ac:dyDescent="0.2">
      <c r="B26" s="22"/>
      <c r="C26" s="22"/>
      <c r="D26" s="21"/>
      <c r="E26" s="21"/>
      <c r="F26" s="22"/>
      <c r="G26" s="22"/>
      <c r="H26" s="21"/>
    </row>
    <row r="27" spans="2:13" x14ac:dyDescent="0.2">
      <c r="B27" s="22"/>
      <c r="C27" s="22"/>
      <c r="D27" s="21"/>
      <c r="E27" s="21"/>
      <c r="F27" s="22"/>
      <c r="G27" s="22"/>
      <c r="H27" s="21"/>
    </row>
    <row r="28" spans="2:13" x14ac:dyDescent="0.2">
      <c r="B28" s="22"/>
      <c r="C28" s="22"/>
      <c r="D28" s="21"/>
      <c r="E28" s="21"/>
      <c r="F28" s="21"/>
      <c r="G28" s="21"/>
      <c r="H28" s="21"/>
    </row>
    <row r="29" spans="2:13" x14ac:dyDescent="0.2">
      <c r="B29" s="22"/>
      <c r="C29" s="22"/>
      <c r="D29" s="21"/>
      <c r="E29" s="21"/>
      <c r="F29" s="21"/>
      <c r="G29" s="21"/>
      <c r="H29" s="21"/>
    </row>
    <row r="30" spans="2:13" x14ac:dyDescent="0.2">
      <c r="B30" s="22"/>
      <c r="C30" s="22"/>
      <c r="D30" s="21"/>
      <c r="E30" s="21"/>
      <c r="F30" s="21"/>
      <c r="G30" s="21"/>
      <c r="H30" s="21"/>
    </row>
    <row r="31" spans="2:13" x14ac:dyDescent="0.2">
      <c r="B31" s="22"/>
      <c r="C31" s="22"/>
      <c r="D31" s="21"/>
      <c r="E31" s="21"/>
      <c r="F31" s="21"/>
      <c r="G31" s="21"/>
      <c r="H31" s="21"/>
    </row>
    <row r="32" spans="2:13" x14ac:dyDescent="0.2">
      <c r="B32" s="22"/>
      <c r="C32" s="22"/>
      <c r="D32" s="21"/>
      <c r="E32" s="21"/>
      <c r="F32" s="21"/>
      <c r="G32" s="21"/>
      <c r="H32" s="21"/>
    </row>
    <row r="33" spans="2:8" x14ac:dyDescent="0.2">
      <c r="B33" s="22"/>
      <c r="C33" s="22"/>
      <c r="D33" s="21"/>
      <c r="E33" s="21"/>
      <c r="F33" s="21"/>
      <c r="G33" s="21"/>
      <c r="H33" s="21"/>
    </row>
    <row r="34" spans="2:8" x14ac:dyDescent="0.2">
      <c r="B34" s="22"/>
      <c r="C34" s="22"/>
      <c r="D34" s="21"/>
      <c r="E34" s="21"/>
      <c r="F34" s="21"/>
      <c r="G34" s="21"/>
      <c r="H34" s="21"/>
    </row>
  </sheetData>
  <mergeCells count="3">
    <mergeCell ref="H14:M14"/>
    <mergeCell ref="B5:G7"/>
    <mergeCell ref="B10:H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DD58-AAA9-4C14-89FB-9EABC6C395E3}">
  <dimension ref="A2:N33"/>
  <sheetViews>
    <sheetView workbookViewId="0">
      <selection activeCell="B4" sqref="B4:J4"/>
    </sheetView>
  </sheetViews>
  <sheetFormatPr baseColWidth="10" defaultRowHeight="15" x14ac:dyDescent="0.2"/>
  <cols>
    <col min="1" max="1" width="10.83203125" style="116"/>
    <col min="2" max="2" width="13.6640625" style="116" bestFit="1" customWidth="1"/>
    <col min="3" max="3" width="26.83203125" style="116" customWidth="1"/>
    <col min="4" max="4" width="21.33203125" style="116" customWidth="1"/>
    <col min="5" max="5" width="18.6640625" style="116" customWidth="1"/>
    <col min="6" max="6" width="16.1640625" style="116" customWidth="1"/>
    <col min="7" max="16384" width="10.83203125" style="116"/>
  </cols>
  <sheetData>
    <row r="2" spans="1:14" ht="19" x14ac:dyDescent="0.2">
      <c r="B2" s="283" t="s">
        <v>11</v>
      </c>
    </row>
    <row r="3" spans="1:14" ht="19" x14ac:dyDescent="0.2">
      <c r="B3" s="283"/>
    </row>
    <row r="4" spans="1:14" ht="80" customHeight="1" x14ac:dyDescent="0.2">
      <c r="A4" s="216"/>
      <c r="B4" s="415" t="s">
        <v>355</v>
      </c>
      <c r="C4" s="415"/>
      <c r="D4" s="415"/>
      <c r="E4" s="415"/>
      <c r="F4" s="415"/>
      <c r="G4" s="415"/>
      <c r="H4" s="415"/>
      <c r="I4" s="415"/>
      <c r="J4" s="415"/>
    </row>
    <row r="5" spans="1:14" ht="32" x14ac:dyDescent="0.2">
      <c r="A5" s="216"/>
      <c r="B5" s="216"/>
      <c r="C5" s="216"/>
      <c r="D5" s="216"/>
      <c r="E5" s="216"/>
      <c r="F5" s="216"/>
      <c r="G5" s="216"/>
      <c r="H5" s="216"/>
      <c r="I5" s="215" t="s">
        <v>348</v>
      </c>
      <c r="J5" s="216" t="s">
        <v>351</v>
      </c>
      <c r="K5" s="126">
        <v>2.5760000000000001</v>
      </c>
    </row>
    <row r="6" spans="1:14" ht="36.5" customHeight="1" x14ac:dyDescent="0.2">
      <c r="A6" s="216"/>
      <c r="B6" s="6" t="s">
        <v>12</v>
      </c>
      <c r="C6" s="7" t="s">
        <v>345</v>
      </c>
      <c r="D6" s="8" t="s">
        <v>346</v>
      </c>
      <c r="E6" s="9" t="s">
        <v>347</v>
      </c>
      <c r="F6" s="7" t="s">
        <v>344</v>
      </c>
      <c r="G6" s="8" t="s">
        <v>342</v>
      </c>
      <c r="H6" s="9" t="s">
        <v>343</v>
      </c>
      <c r="I6" s="10" t="s">
        <v>349</v>
      </c>
      <c r="J6" s="11" t="s">
        <v>350</v>
      </c>
    </row>
    <row r="7" spans="1:14" ht="15" customHeight="1" x14ac:dyDescent="0.2">
      <c r="A7" s="215"/>
      <c r="B7" s="284" t="s">
        <v>5</v>
      </c>
      <c r="C7" s="228">
        <f>GEOMEAN(D7,E7)</f>
        <v>3.1622776601683791E-2</v>
      </c>
      <c r="D7" s="267">
        <v>1E-3</v>
      </c>
      <c r="E7" s="268">
        <v>1</v>
      </c>
      <c r="F7" s="285">
        <f>GEOMEAN(G7:H7)</f>
        <v>1.0027516679884511E-15</v>
      </c>
      <c r="G7" s="286">
        <f t="shared" ref="G7:G16" si="0">(D7*0.000001)/(365*24*3600)</f>
        <v>3.1709791983764588E-17</v>
      </c>
      <c r="H7" s="287">
        <f t="shared" ref="H7:H16" si="1">(E7*0.000001)/(365*24*3600)</f>
        <v>3.1709791983764584E-14</v>
      </c>
      <c r="I7" s="288">
        <f>LN(F7)</f>
        <v>-34.536028505829982</v>
      </c>
      <c r="J7" s="289">
        <f>(LN(H7)-LN(G7))/(2*$K$5)</f>
        <v>1.3407910091192035</v>
      </c>
    </row>
    <row r="8" spans="1:14" ht="16" x14ac:dyDescent="0.2">
      <c r="A8" s="215"/>
      <c r="B8" s="284" t="s">
        <v>0</v>
      </c>
      <c r="C8" s="228">
        <f t="shared" ref="C8:C11" si="2">GEOMEAN(D8,E8)</f>
        <v>0.10954451150103323</v>
      </c>
      <c r="D8" s="270">
        <v>1E-3</v>
      </c>
      <c r="E8" s="271">
        <v>12</v>
      </c>
      <c r="F8" s="285">
        <f t="shared" ref="F8:F29" si="3">GEOMEAN(G8:H8)</f>
        <v>3.473633672660871E-15</v>
      </c>
      <c r="G8" s="286">
        <f t="shared" si="0"/>
        <v>3.1709791983764588E-17</v>
      </c>
      <c r="H8" s="287">
        <f t="shared" si="1"/>
        <v>3.8051750380517506E-13</v>
      </c>
      <c r="I8" s="288">
        <f t="shared" ref="I8:I9" si="4">LN(F8)</f>
        <v>-33.293575180935981</v>
      </c>
      <c r="J8" s="289">
        <f t="shared" ref="J8:J29" si="5">(LN(H8)-LN(G8))/(2*$K$5)</f>
        <v>1.8231098464227753</v>
      </c>
    </row>
    <row r="9" spans="1:14" ht="16" x14ac:dyDescent="0.2">
      <c r="A9" s="215"/>
      <c r="B9" s="284" t="s">
        <v>1</v>
      </c>
      <c r="C9" s="228">
        <f t="shared" si="2"/>
        <v>0.19498717906570168</v>
      </c>
      <c r="D9" s="267">
        <v>1E-3</v>
      </c>
      <c r="E9" s="268">
        <v>38.020000000000003</v>
      </c>
      <c r="F9" s="285">
        <f t="shared" si="3"/>
        <v>6.1830028876744562E-15</v>
      </c>
      <c r="G9" s="286">
        <f t="shared" si="0"/>
        <v>3.1709791983764588E-17</v>
      </c>
      <c r="H9" s="287">
        <f t="shared" si="1"/>
        <v>1.2056062912227296E-12</v>
      </c>
      <c r="I9" s="288">
        <f t="shared" si="4"/>
        <v>-32.716972337299836</v>
      </c>
      <c r="J9" s="289">
        <f t="shared" si="5"/>
        <v>2.0469463540455011</v>
      </c>
    </row>
    <row r="10" spans="1:14" ht="16" x14ac:dyDescent="0.2">
      <c r="A10" s="215"/>
      <c r="B10" s="284" t="s">
        <v>13</v>
      </c>
      <c r="C10" s="228">
        <f t="shared" si="2"/>
        <v>3.2</v>
      </c>
      <c r="D10" s="270">
        <v>3.2000000000000001E-2</v>
      </c>
      <c r="E10" s="271">
        <v>320</v>
      </c>
      <c r="F10" s="285">
        <f t="shared" si="3"/>
        <v>1.0147133434804666E-13</v>
      </c>
      <c r="G10" s="286">
        <f t="shared" si="0"/>
        <v>1.0147133434804668E-15</v>
      </c>
      <c r="H10" s="287">
        <f t="shared" si="1"/>
        <v>1.0147133434804666E-11</v>
      </c>
      <c r="I10" s="288">
        <f t="shared" ref="I10:I29" si="6">LN(F10)</f>
        <v>-29.919000056533232</v>
      </c>
      <c r="J10" s="289">
        <f t="shared" si="5"/>
        <v>1.7877213454922709</v>
      </c>
    </row>
    <row r="11" spans="1:14" ht="16" x14ac:dyDescent="0.2">
      <c r="A11" s="215"/>
      <c r="B11" s="284" t="s">
        <v>2</v>
      </c>
      <c r="C11" s="228">
        <f t="shared" si="2"/>
        <v>0.32403703492039299</v>
      </c>
      <c r="D11" s="267">
        <v>1E-3</v>
      </c>
      <c r="E11" s="268">
        <v>105</v>
      </c>
      <c r="F11" s="285">
        <f t="shared" si="3"/>
        <v>1.0275146972361524E-14</v>
      </c>
      <c r="G11" s="286">
        <f t="shared" si="0"/>
        <v>3.1709791983764588E-17</v>
      </c>
      <c r="H11" s="287">
        <f t="shared" si="1"/>
        <v>3.3295281582952814E-12</v>
      </c>
      <c r="I11" s="288">
        <f t="shared" si="6"/>
        <v>-32.209048330751216</v>
      </c>
      <c r="J11" s="289">
        <f t="shared" si="5"/>
        <v>2.2441218224261767</v>
      </c>
    </row>
    <row r="12" spans="1:14" ht="20" x14ac:dyDescent="0.2">
      <c r="A12" s="215"/>
      <c r="B12" s="284" t="s">
        <v>3</v>
      </c>
      <c r="C12" s="228">
        <f>GEOMEAN(D12,E12)</f>
        <v>1.2328828005937953</v>
      </c>
      <c r="D12" s="267">
        <v>0.2</v>
      </c>
      <c r="E12" s="268">
        <v>7.6</v>
      </c>
      <c r="F12" s="285">
        <f t="shared" si="3"/>
        <v>3.9094457147190363E-14</v>
      </c>
      <c r="G12" s="286">
        <f t="shared" si="0"/>
        <v>6.3419583967529173E-15</v>
      </c>
      <c r="H12" s="287">
        <f t="shared" si="1"/>
        <v>2.4099441907661082E-13</v>
      </c>
      <c r="I12" s="288">
        <f t="shared" si="6"/>
        <v>-30.872795698909819</v>
      </c>
      <c r="J12" s="289">
        <f t="shared" si="5"/>
        <v>0.70605321423260525</v>
      </c>
      <c r="L12" s="290"/>
      <c r="M12" s="290"/>
      <c r="N12" s="290"/>
    </row>
    <row r="13" spans="1:14" ht="20" x14ac:dyDescent="0.2">
      <c r="A13" s="215"/>
      <c r="B13" s="284" t="s">
        <v>8</v>
      </c>
      <c r="C13" s="228">
        <f>GEOMEAN(D13,E13)</f>
        <v>3.1622776601683791E-2</v>
      </c>
      <c r="D13" s="267">
        <v>1E-3</v>
      </c>
      <c r="E13" s="268">
        <v>1</v>
      </c>
      <c r="F13" s="285">
        <f t="shared" si="3"/>
        <v>1.0027516679884511E-15</v>
      </c>
      <c r="G13" s="286">
        <f t="shared" si="0"/>
        <v>3.1709791983764588E-17</v>
      </c>
      <c r="H13" s="287">
        <f t="shared" si="1"/>
        <v>3.1709791983764584E-14</v>
      </c>
      <c r="I13" s="288">
        <f t="shared" si="6"/>
        <v>-34.536028505829982</v>
      </c>
      <c r="J13" s="289">
        <f t="shared" si="5"/>
        <v>1.3407910091192035</v>
      </c>
      <c r="L13" s="291"/>
      <c r="M13" s="291"/>
      <c r="N13" s="141"/>
    </row>
    <row r="14" spans="1:14" ht="20" x14ac:dyDescent="0.2">
      <c r="A14" s="215"/>
      <c r="B14" s="284" t="s">
        <v>4</v>
      </c>
      <c r="C14" s="228">
        <f>GEOMEAN(D14,E14)</f>
        <v>0.01</v>
      </c>
      <c r="D14" s="267">
        <v>1E-3</v>
      </c>
      <c r="E14" s="268">
        <v>0.1</v>
      </c>
      <c r="F14" s="285">
        <f t="shared" si="3"/>
        <v>3.1709791983764586E-16</v>
      </c>
      <c r="G14" s="286">
        <f t="shared" si="0"/>
        <v>3.1709791983764588E-17</v>
      </c>
      <c r="H14" s="287">
        <f t="shared" si="1"/>
        <v>3.1709791983764586E-15</v>
      </c>
      <c r="I14" s="288">
        <f t="shared" si="6"/>
        <v>-35.687321052327007</v>
      </c>
      <c r="J14" s="289">
        <f t="shared" si="5"/>
        <v>0.89386067274613612</v>
      </c>
      <c r="L14" s="291"/>
      <c r="M14" s="291"/>
      <c r="N14" s="141"/>
    </row>
    <row r="15" spans="1:14" ht="20" x14ac:dyDescent="0.2">
      <c r="A15" s="215"/>
      <c r="B15" s="284" t="s">
        <v>263</v>
      </c>
      <c r="C15" s="228">
        <f t="shared" ref="C15:C29" si="7">GEOMEAN(D15,E15)</f>
        <v>0.25248762345905196</v>
      </c>
      <c r="D15" s="267">
        <v>1E-3</v>
      </c>
      <c r="E15" s="268">
        <v>63.75</v>
      </c>
      <c r="F15" s="285">
        <f t="shared" si="3"/>
        <v>8.0063300183616164E-15</v>
      </c>
      <c r="G15" s="286">
        <f t="shared" si="0"/>
        <v>3.1709791983764588E-17</v>
      </c>
      <c r="H15" s="287">
        <f t="shared" si="1"/>
        <v>2.021499238964992E-12</v>
      </c>
      <c r="I15" s="288">
        <f t="shared" si="6"/>
        <v>-32.458543913810715</v>
      </c>
      <c r="J15" s="289">
        <f t="shared" si="5"/>
        <v>2.1472679470148819</v>
      </c>
      <c r="L15" s="291"/>
      <c r="M15" s="291"/>
      <c r="N15" s="141"/>
    </row>
    <row r="16" spans="1:14" ht="16" x14ac:dyDescent="0.2">
      <c r="A16" s="215"/>
      <c r="B16" s="292" t="s">
        <v>10</v>
      </c>
      <c r="C16" s="228">
        <f t="shared" si="7"/>
        <v>0.01</v>
      </c>
      <c r="D16" s="267">
        <v>1E-3</v>
      </c>
      <c r="E16" s="229">
        <v>0.1</v>
      </c>
      <c r="F16" s="285">
        <f t="shared" si="3"/>
        <v>3.1709791983764586E-16</v>
      </c>
      <c r="G16" s="286">
        <f t="shared" si="0"/>
        <v>3.1709791983764588E-17</v>
      </c>
      <c r="H16" s="287">
        <f t="shared" si="1"/>
        <v>3.1709791983764586E-15</v>
      </c>
      <c r="I16" s="288">
        <f t="shared" si="6"/>
        <v>-35.687321052327007</v>
      </c>
      <c r="J16" s="289">
        <f t="shared" si="5"/>
        <v>0.89386067274613612</v>
      </c>
    </row>
    <row r="17" spans="1:10" ht="16" x14ac:dyDescent="0.2">
      <c r="A17" s="215"/>
      <c r="B17" s="284" t="s">
        <v>6</v>
      </c>
      <c r="C17" s="288" t="s">
        <v>14</v>
      </c>
      <c r="D17" s="216" t="s">
        <v>14</v>
      </c>
      <c r="E17" s="229" t="s">
        <v>14</v>
      </c>
      <c r="F17" s="285">
        <f t="shared" si="3"/>
        <v>3.3287915597856226E-15</v>
      </c>
      <c r="G17" s="286">
        <v>3.16881E-17</v>
      </c>
      <c r="H17" s="287">
        <v>3.4968499999999999E-13</v>
      </c>
      <c r="I17" s="288">
        <f t="shared" si="6"/>
        <v>-33.336167051739913</v>
      </c>
      <c r="J17" s="289">
        <f t="shared" si="5"/>
        <v>1.8068413843437594</v>
      </c>
    </row>
    <row r="18" spans="1:10" ht="16" x14ac:dyDescent="0.2">
      <c r="A18" s="215"/>
      <c r="B18" s="284" t="s">
        <v>7</v>
      </c>
      <c r="C18" s="228">
        <f t="shared" si="7"/>
        <v>112.6232658024087</v>
      </c>
      <c r="D18" s="293">
        <v>7.55</v>
      </c>
      <c r="E18" s="294">
        <v>1680</v>
      </c>
      <c r="F18" s="285">
        <f t="shared" si="3"/>
        <v>3.5712603311266074E-12</v>
      </c>
      <c r="G18" s="286">
        <f t="shared" ref="G18:G29" si="8">(D18*0.000001)/(365*24*3600)</f>
        <v>2.394089294774226E-13</v>
      </c>
      <c r="H18" s="287">
        <f t="shared" ref="H18:H29" si="9">(E18*0.000001)/(365*24*3600)</f>
        <v>5.3272450532724503E-11</v>
      </c>
      <c r="I18" s="288">
        <f t="shared" si="6"/>
        <v>-26.358102548509795</v>
      </c>
      <c r="J18" s="289">
        <f t="shared" si="5"/>
        <v>1.0491074357795753</v>
      </c>
    </row>
    <row r="19" spans="1:10" ht="16" x14ac:dyDescent="0.2">
      <c r="A19" s="215"/>
      <c r="B19" s="284" t="s">
        <v>29</v>
      </c>
      <c r="C19" s="228">
        <f t="shared" si="7"/>
        <v>8.6602540378443865E-2</v>
      </c>
      <c r="D19" s="267">
        <v>1E-3</v>
      </c>
      <c r="E19" s="268">
        <v>7.5</v>
      </c>
      <c r="F19" s="285">
        <f t="shared" si="3"/>
        <v>2.7461485406660283E-15</v>
      </c>
      <c r="G19" s="286">
        <f t="shared" si="8"/>
        <v>3.1709791983764588E-17</v>
      </c>
      <c r="H19" s="287">
        <f t="shared" si="9"/>
        <v>2.3782343987823439E-13</v>
      </c>
      <c r="I19" s="288">
        <f t="shared" si="6"/>
        <v>-33.528576995558851</v>
      </c>
      <c r="J19" s="289">
        <f t="shared" si="5"/>
        <v>1.7318824339138983</v>
      </c>
    </row>
    <row r="20" spans="1:10" ht="16" x14ac:dyDescent="0.2">
      <c r="A20" s="215"/>
      <c r="B20" s="284" t="s">
        <v>264</v>
      </c>
      <c r="C20" s="228">
        <f t="shared" si="7"/>
        <v>14.839903216935076</v>
      </c>
      <c r="D20" s="295">
        <v>1.31416</v>
      </c>
      <c r="E20" s="296">
        <v>167.57679999999999</v>
      </c>
      <c r="F20" s="285">
        <f t="shared" si="3"/>
        <v>4.705702440682101E-13</v>
      </c>
      <c r="G20" s="286">
        <f t="shared" si="8"/>
        <v>4.1671740233384066E-14</v>
      </c>
      <c r="H20" s="287">
        <f t="shared" si="9"/>
        <v>5.3138254693049209E-12</v>
      </c>
      <c r="I20" s="288">
        <f t="shared" si="6"/>
        <v>-28.38483115039082</v>
      </c>
      <c r="J20" s="289">
        <f t="shared" si="5"/>
        <v>0.94104116370236246</v>
      </c>
    </row>
    <row r="21" spans="1:10" ht="16" x14ac:dyDescent="0.2">
      <c r="A21" s="215"/>
      <c r="B21" s="284" t="s">
        <v>265</v>
      </c>
      <c r="C21" s="228">
        <f t="shared" si="7"/>
        <v>1.5655184444777392</v>
      </c>
      <c r="D21" s="295">
        <v>0.6080000000000001</v>
      </c>
      <c r="E21" s="296">
        <v>4.0309999999999997</v>
      </c>
      <c r="F21" s="285">
        <f t="shared" si="3"/>
        <v>4.9642264221135818E-14</v>
      </c>
      <c r="G21" s="286">
        <f t="shared" si="8"/>
        <v>1.9279553526128871E-14</v>
      </c>
      <c r="H21" s="287">
        <f t="shared" si="9"/>
        <v>1.2782217148655502E-13</v>
      </c>
      <c r="I21" s="288">
        <f t="shared" si="6"/>
        <v>-30.633933822779383</v>
      </c>
      <c r="J21" s="289">
        <f t="shared" si="5"/>
        <v>0.36715739152775634</v>
      </c>
    </row>
    <row r="22" spans="1:10" ht="16" x14ac:dyDescent="0.2">
      <c r="A22" s="215"/>
      <c r="B22" s="284" t="s">
        <v>15</v>
      </c>
      <c r="C22" s="288">
        <v>101.29</v>
      </c>
      <c r="D22" s="216">
        <f>C22/10</f>
        <v>10.129000000000001</v>
      </c>
      <c r="E22" s="229">
        <f>C22*10</f>
        <v>1012.9000000000001</v>
      </c>
      <c r="F22" s="285">
        <f t="shared" si="3"/>
        <v>3.2118848300355151E-12</v>
      </c>
      <c r="G22" s="286">
        <f t="shared" si="8"/>
        <v>3.2118848300355151E-13</v>
      </c>
      <c r="H22" s="287">
        <f t="shared" si="9"/>
        <v>3.211884830035515E-11</v>
      </c>
      <c r="I22" s="288">
        <f t="shared" si="6"/>
        <v>-26.464163176640206</v>
      </c>
      <c r="J22" s="289">
        <f t="shared" si="5"/>
        <v>0.89386067274613545</v>
      </c>
    </row>
    <row r="23" spans="1:10" ht="16" x14ac:dyDescent="0.2">
      <c r="A23" s="215"/>
      <c r="B23" s="284" t="s">
        <v>9</v>
      </c>
      <c r="C23" s="228">
        <f t="shared" si="7"/>
        <v>11.752935803449281</v>
      </c>
      <c r="D23" s="216">
        <v>10.27</v>
      </c>
      <c r="E23" s="229">
        <v>13.45</v>
      </c>
      <c r="F23" s="285">
        <f t="shared" si="3"/>
        <v>3.7268314952591578E-13</v>
      </c>
      <c r="G23" s="286">
        <f t="shared" si="8"/>
        <v>3.256595636732623E-13</v>
      </c>
      <c r="H23" s="287">
        <f t="shared" si="9"/>
        <v>4.2649670218163365E-13</v>
      </c>
      <c r="I23" s="288">
        <f t="shared" si="6"/>
        <v>-28.618047801344755</v>
      </c>
      <c r="J23" s="289">
        <f t="shared" si="5"/>
        <v>5.2358711589165545E-2</v>
      </c>
    </row>
    <row r="24" spans="1:10" ht="16" x14ac:dyDescent="0.2">
      <c r="A24" s="215"/>
      <c r="B24" s="276" t="s">
        <v>195</v>
      </c>
      <c r="C24" s="228">
        <f t="shared" si="7"/>
        <v>18.300785781166141</v>
      </c>
      <c r="D24" s="245">
        <v>5.9971846965914954</v>
      </c>
      <c r="E24" s="246">
        <v>55.845997272434197</v>
      </c>
      <c r="F24" s="285">
        <f t="shared" si="3"/>
        <v>5.8031411026021495E-13</v>
      </c>
      <c r="G24" s="286">
        <f t="shared" si="8"/>
        <v>1.9016947921713265E-13</v>
      </c>
      <c r="H24" s="287">
        <f t="shared" si="9"/>
        <v>1.7708649566347727E-12</v>
      </c>
      <c r="I24" s="288">
        <f t="shared" si="6"/>
        <v>-28.175206868551847</v>
      </c>
      <c r="J24" s="289">
        <f t="shared" si="5"/>
        <v>0.43309544095908975</v>
      </c>
    </row>
    <row r="25" spans="1:10" ht="16" x14ac:dyDescent="0.2">
      <c r="A25" s="215"/>
      <c r="B25" s="276" t="s">
        <v>196</v>
      </c>
      <c r="C25" s="228">
        <f t="shared" si="7"/>
        <v>32.689902110590666</v>
      </c>
      <c r="D25" s="297">
        <v>21.74</v>
      </c>
      <c r="E25" s="298">
        <v>49.155000000000001</v>
      </c>
      <c r="F25" s="285">
        <f t="shared" si="3"/>
        <v>1.0365899958964569E-12</v>
      </c>
      <c r="G25" s="286">
        <f t="shared" si="8"/>
        <v>6.8937087772704204E-13</v>
      </c>
      <c r="H25" s="287">
        <f t="shared" si="9"/>
        <v>1.5586948249619483E-12</v>
      </c>
      <c r="I25" s="288">
        <f t="shared" si="6"/>
        <v>-27.595084640082938</v>
      </c>
      <c r="J25" s="289">
        <f t="shared" si="5"/>
        <v>0.1583510654359134</v>
      </c>
    </row>
    <row r="26" spans="1:10" ht="16" x14ac:dyDescent="0.2">
      <c r="A26" s="216"/>
      <c r="B26" s="276" t="s">
        <v>197</v>
      </c>
      <c r="C26" s="228">
        <f t="shared" si="7"/>
        <v>24.559331080628528</v>
      </c>
      <c r="D26" s="245">
        <v>21.922320656141004</v>
      </c>
      <c r="E26" s="246">
        <v>27.513544418435725</v>
      </c>
      <c r="F26" s="285">
        <f t="shared" si="3"/>
        <v>7.78771279827135E-13</v>
      </c>
      <c r="G26" s="286">
        <f t="shared" si="8"/>
        <v>6.9515222780761679E-13</v>
      </c>
      <c r="H26" s="287">
        <f t="shared" si="9"/>
        <v>8.7244877024466395E-13</v>
      </c>
      <c r="I26" s="288">
        <f t="shared" si="6"/>
        <v>-27.881058999561642</v>
      </c>
      <c r="J26" s="289">
        <f t="shared" si="5"/>
        <v>4.4094154096165475E-2</v>
      </c>
    </row>
    <row r="27" spans="1:10" ht="16" x14ac:dyDescent="0.2">
      <c r="A27" s="216"/>
      <c r="B27" s="276" t="s">
        <v>198</v>
      </c>
      <c r="C27" s="228">
        <f t="shared" si="7"/>
        <v>24.559331080628528</v>
      </c>
      <c r="D27" s="245">
        <v>21.922320656141004</v>
      </c>
      <c r="E27" s="246">
        <v>27.513544418435725</v>
      </c>
      <c r="F27" s="285">
        <f t="shared" si="3"/>
        <v>7.78771279827135E-13</v>
      </c>
      <c r="G27" s="286">
        <f t="shared" si="8"/>
        <v>6.9515222780761679E-13</v>
      </c>
      <c r="H27" s="287">
        <f t="shared" si="9"/>
        <v>8.7244877024466395E-13</v>
      </c>
      <c r="I27" s="288">
        <f t="shared" si="6"/>
        <v>-27.881058999561642</v>
      </c>
      <c r="J27" s="289">
        <f t="shared" si="5"/>
        <v>4.4094154096165475E-2</v>
      </c>
    </row>
    <row r="28" spans="1:10" ht="16" x14ac:dyDescent="0.2">
      <c r="A28" s="216"/>
      <c r="B28" s="276" t="s">
        <v>199</v>
      </c>
      <c r="C28" s="228">
        <f t="shared" si="7"/>
        <v>39.899770897340453</v>
      </c>
      <c r="D28" s="299">
        <v>37.799366578210353</v>
      </c>
      <c r="E28" s="300">
        <v>42.116888767600891</v>
      </c>
      <c r="F28" s="285">
        <f t="shared" si="3"/>
        <v>1.26521343535453E-12</v>
      </c>
      <c r="G28" s="286">
        <f t="shared" si="8"/>
        <v>1.1986100513131138E-12</v>
      </c>
      <c r="H28" s="287">
        <f t="shared" si="9"/>
        <v>1.3355177818239756E-12</v>
      </c>
      <c r="I28" s="288">
        <f t="shared" si="6"/>
        <v>-27.395780284380873</v>
      </c>
      <c r="J28" s="289">
        <f t="shared" si="5"/>
        <v>2.0993104294683172E-2</v>
      </c>
    </row>
    <row r="29" spans="1:10" ht="16" x14ac:dyDescent="0.2">
      <c r="A29" s="216"/>
      <c r="B29" s="279" t="s">
        <v>200</v>
      </c>
      <c r="C29" s="251">
        <f t="shared" si="7"/>
        <v>51.909814469849337</v>
      </c>
      <c r="D29" s="301">
        <v>49.8341591296277</v>
      </c>
      <c r="E29" s="302">
        <v>54.071923462879354</v>
      </c>
      <c r="F29" s="303">
        <f t="shared" si="3"/>
        <v>1.6460494187547354E-12</v>
      </c>
      <c r="G29" s="304">
        <f t="shared" si="8"/>
        <v>1.5802308196863173E-12</v>
      </c>
      <c r="H29" s="305">
        <f t="shared" si="9"/>
        <v>1.714609445169944E-12</v>
      </c>
      <c r="I29" s="306">
        <f t="shared" si="6"/>
        <v>-27.132642990579573</v>
      </c>
      <c r="J29" s="307">
        <f t="shared" si="5"/>
        <v>1.5841304569453384E-2</v>
      </c>
    </row>
    <row r="30" spans="1:10" x14ac:dyDescent="0.2">
      <c r="A30" s="216"/>
      <c r="B30" s="216"/>
      <c r="C30" s="216"/>
      <c r="D30" s="216"/>
      <c r="E30" s="216"/>
      <c r="F30" s="216"/>
      <c r="G30" s="216"/>
      <c r="H30" s="216"/>
      <c r="I30" s="216"/>
      <c r="J30" s="233"/>
    </row>
    <row r="31" spans="1:10" x14ac:dyDescent="0.2">
      <c r="A31" s="216"/>
      <c r="B31" s="216"/>
      <c r="C31" s="216"/>
      <c r="D31" s="216"/>
      <c r="E31" s="216"/>
      <c r="F31" s="216"/>
      <c r="G31" s="216"/>
      <c r="H31" s="216"/>
      <c r="I31" s="216"/>
      <c r="J31" s="216"/>
    </row>
    <row r="32" spans="1:10" x14ac:dyDescent="0.2">
      <c r="A32" s="216"/>
      <c r="B32" s="216"/>
      <c r="C32" s="216"/>
      <c r="D32" s="216"/>
      <c r="E32" s="216"/>
      <c r="F32" s="216"/>
      <c r="G32" s="216"/>
      <c r="H32" s="216"/>
      <c r="I32" s="216"/>
      <c r="J32" s="216"/>
    </row>
    <row r="33" spans="1:10" x14ac:dyDescent="0.2">
      <c r="A33" s="216"/>
      <c r="B33" s="216"/>
      <c r="C33" s="216"/>
      <c r="D33" s="216"/>
      <c r="E33" s="216"/>
      <c r="F33" s="216"/>
      <c r="G33" s="216"/>
      <c r="H33" s="216"/>
      <c r="I33" s="216"/>
      <c r="J33" s="216"/>
    </row>
  </sheetData>
  <mergeCells count="1">
    <mergeCell ref="B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CA39-770C-4F35-A894-6729CCF7C01D}">
  <dimension ref="A2:K31"/>
  <sheetViews>
    <sheetView workbookViewId="0">
      <selection activeCell="B4" sqref="B4:J4"/>
    </sheetView>
  </sheetViews>
  <sheetFormatPr baseColWidth="10" defaultRowHeight="15" x14ac:dyDescent="0.2"/>
  <cols>
    <col min="1" max="1" width="10.83203125" style="15"/>
    <col min="2" max="2" width="20" style="15" customWidth="1"/>
    <col min="3" max="3" width="26.83203125" style="15" customWidth="1"/>
    <col min="4" max="4" width="21.33203125" style="15" customWidth="1"/>
    <col min="5" max="6" width="18.6640625" style="15" customWidth="1"/>
    <col min="7" max="7" width="16.1640625" style="15" customWidth="1"/>
    <col min="8" max="8" width="11" style="15" bestFit="1" customWidth="1"/>
    <col min="9" max="9" width="12.33203125" style="15" bestFit="1" customWidth="1"/>
    <col min="10" max="11" width="11" style="15" bestFit="1" customWidth="1"/>
    <col min="12" max="16384" width="10.83203125" style="15"/>
  </cols>
  <sheetData>
    <row r="2" spans="1:11" ht="19" x14ac:dyDescent="0.2">
      <c r="B2" s="210" t="s">
        <v>16</v>
      </c>
    </row>
    <row r="3" spans="1:11" ht="19" x14ac:dyDescent="0.2">
      <c r="B3" s="210"/>
    </row>
    <row r="4" spans="1:11" ht="89" customHeight="1" x14ac:dyDescent="0.2">
      <c r="B4" s="415" t="s">
        <v>355</v>
      </c>
      <c r="C4" s="415"/>
      <c r="D4" s="415"/>
      <c r="E4" s="415"/>
      <c r="F4" s="415"/>
      <c r="G4" s="415"/>
      <c r="H4" s="415"/>
      <c r="I4" s="415"/>
      <c r="J4" s="415"/>
    </row>
    <row r="5" spans="1:11" ht="32" x14ac:dyDescent="0.2">
      <c r="B5" s="216"/>
      <c r="C5" s="216"/>
      <c r="D5" s="216"/>
      <c r="E5" s="216"/>
      <c r="F5" s="216"/>
      <c r="G5" s="216"/>
      <c r="H5" s="216"/>
      <c r="I5" s="215" t="s">
        <v>348</v>
      </c>
      <c r="J5" s="216" t="s">
        <v>351</v>
      </c>
      <c r="K5" s="126">
        <v>2.5760000000000001</v>
      </c>
    </row>
    <row r="6" spans="1:11" ht="36.5" customHeight="1" x14ac:dyDescent="0.2">
      <c r="B6" s="12" t="s">
        <v>12</v>
      </c>
      <c r="C6" s="7" t="s">
        <v>345</v>
      </c>
      <c r="D6" s="8" t="s">
        <v>346</v>
      </c>
      <c r="E6" s="9" t="s">
        <v>347</v>
      </c>
      <c r="F6" s="7" t="s">
        <v>344</v>
      </c>
      <c r="G6" s="8" t="s">
        <v>342</v>
      </c>
      <c r="H6" s="9" t="s">
        <v>343</v>
      </c>
      <c r="I6" s="10" t="s">
        <v>349</v>
      </c>
      <c r="J6" s="13" t="s">
        <v>350</v>
      </c>
      <c r="K6" s="116"/>
    </row>
    <row r="7" spans="1:11" ht="16" x14ac:dyDescent="0.2">
      <c r="A7" s="24"/>
      <c r="B7" s="249" t="s">
        <v>5</v>
      </c>
      <c r="C7" s="228">
        <f>GEOMEAN(D7,E7)</f>
        <v>3.1622776601683791E-2</v>
      </c>
      <c r="D7" s="267">
        <v>1E-3</v>
      </c>
      <c r="E7" s="268">
        <v>1</v>
      </c>
      <c r="F7" s="269">
        <f>GEOMEAN(G7:H7)</f>
        <v>1.0027516679884511E-15</v>
      </c>
      <c r="G7" s="224">
        <f t="shared" ref="G7:G16" si="0">(D7*0.000001)/(365*24*3600)</f>
        <v>3.1709791983764588E-17</v>
      </c>
      <c r="H7" s="225">
        <f t="shared" ref="H7:H16" si="1">(E7*0.000001)/(365*24*3600)</f>
        <v>3.1709791983764584E-14</v>
      </c>
      <c r="I7" s="219">
        <f>LN(F7)</f>
        <v>-34.536028505829982</v>
      </c>
      <c r="J7" s="230">
        <f>(LN(H7)-LN(G7))/(2*$K$5)</f>
        <v>1.3407910091192035</v>
      </c>
      <c r="K7" s="116"/>
    </row>
    <row r="8" spans="1:11" ht="16" x14ac:dyDescent="0.2">
      <c r="A8" s="24"/>
      <c r="B8" s="249" t="s">
        <v>0</v>
      </c>
      <c r="C8" s="228">
        <f t="shared" ref="C8:C11" si="2">GEOMEAN(D8,E8)</f>
        <v>0.10954451150103323</v>
      </c>
      <c r="D8" s="270">
        <v>1E-3</v>
      </c>
      <c r="E8" s="271">
        <v>12</v>
      </c>
      <c r="F8" s="269">
        <f t="shared" ref="F8:F29" si="3">GEOMEAN(G8:H8)</f>
        <v>3.473633672660871E-15</v>
      </c>
      <c r="G8" s="224">
        <f t="shared" si="0"/>
        <v>3.1709791983764588E-17</v>
      </c>
      <c r="H8" s="225">
        <f t="shared" si="1"/>
        <v>3.8051750380517506E-13</v>
      </c>
      <c r="I8" s="219">
        <f t="shared" ref="I8:I29" si="4">LN(F8)</f>
        <v>-33.293575180935981</v>
      </c>
      <c r="J8" s="230">
        <f t="shared" ref="J8:J29" si="5">(LN(H8)-LN(G8))/(2*$K$5)</f>
        <v>1.8231098464227753</v>
      </c>
      <c r="K8" s="116"/>
    </row>
    <row r="9" spans="1:11" ht="16" x14ac:dyDescent="0.2">
      <c r="A9" s="24"/>
      <c r="B9" s="249" t="s">
        <v>1</v>
      </c>
      <c r="C9" s="228">
        <f t="shared" si="2"/>
        <v>0.70413066969135785</v>
      </c>
      <c r="D9" s="272">
        <v>0.67</v>
      </c>
      <c r="E9" s="272">
        <v>0.74</v>
      </c>
      <c r="F9" s="269">
        <f t="shared" si="3"/>
        <v>2.2327837065301807E-14</v>
      </c>
      <c r="G9" s="224">
        <f t="shared" si="0"/>
        <v>2.1245560629122276E-14</v>
      </c>
      <c r="H9" s="225">
        <f t="shared" si="1"/>
        <v>2.3465246067985794E-14</v>
      </c>
      <c r="I9" s="219">
        <f t="shared" si="4"/>
        <v>-31.432942196029437</v>
      </c>
      <c r="J9" s="230">
        <f t="shared" si="5"/>
        <v>1.9288135445109562E-2</v>
      </c>
      <c r="K9" s="116"/>
    </row>
    <row r="10" spans="1:11" ht="16" x14ac:dyDescent="0.2">
      <c r="A10" s="24"/>
      <c r="B10" s="249" t="s">
        <v>13</v>
      </c>
      <c r="C10" s="228">
        <f t="shared" si="2"/>
        <v>3.2</v>
      </c>
      <c r="D10" s="270">
        <v>3.2000000000000001E-2</v>
      </c>
      <c r="E10" s="271">
        <v>320</v>
      </c>
      <c r="F10" s="269">
        <f t="shared" si="3"/>
        <v>1.0147133434804666E-13</v>
      </c>
      <c r="G10" s="224">
        <f t="shared" si="0"/>
        <v>1.0147133434804668E-15</v>
      </c>
      <c r="H10" s="225">
        <f t="shared" si="1"/>
        <v>1.0147133434804666E-11</v>
      </c>
      <c r="I10" s="219">
        <f t="shared" si="4"/>
        <v>-29.919000056533232</v>
      </c>
      <c r="J10" s="230">
        <f t="shared" si="5"/>
        <v>1.7877213454922709</v>
      </c>
      <c r="K10" s="116"/>
    </row>
    <row r="11" spans="1:11" ht="16" x14ac:dyDescent="0.2">
      <c r="A11" s="24"/>
      <c r="B11" s="249" t="s">
        <v>2</v>
      </c>
      <c r="C11" s="228">
        <f t="shared" si="2"/>
        <v>0.32403703492039299</v>
      </c>
      <c r="D11" s="267">
        <v>1E-3</v>
      </c>
      <c r="E11" s="268">
        <v>105</v>
      </c>
      <c r="F11" s="269">
        <f t="shared" si="3"/>
        <v>1.0275146972361524E-14</v>
      </c>
      <c r="G11" s="224">
        <f t="shared" si="0"/>
        <v>3.1709791983764588E-17</v>
      </c>
      <c r="H11" s="225">
        <f t="shared" si="1"/>
        <v>3.3295281582952814E-12</v>
      </c>
      <c r="I11" s="219">
        <f t="shared" si="4"/>
        <v>-32.209048330751216</v>
      </c>
      <c r="J11" s="230">
        <f t="shared" si="5"/>
        <v>2.2441218224261767</v>
      </c>
      <c r="K11" s="116"/>
    </row>
    <row r="12" spans="1:11" ht="16" x14ac:dyDescent="0.2">
      <c r="A12" s="24"/>
      <c r="B12" s="249" t="s">
        <v>3</v>
      </c>
      <c r="C12" s="228">
        <f>GEOMEAN(D12,E12)</f>
        <v>1.2328828005937953</v>
      </c>
      <c r="D12" s="267">
        <v>0.2</v>
      </c>
      <c r="E12" s="268">
        <v>7.6</v>
      </c>
      <c r="F12" s="269">
        <f t="shared" si="3"/>
        <v>3.9094457147190363E-14</v>
      </c>
      <c r="G12" s="224">
        <f t="shared" si="0"/>
        <v>6.3419583967529173E-15</v>
      </c>
      <c r="H12" s="225">
        <f t="shared" si="1"/>
        <v>2.4099441907661082E-13</v>
      </c>
      <c r="I12" s="219">
        <f t="shared" si="4"/>
        <v>-30.872795698909819</v>
      </c>
      <c r="J12" s="230">
        <f t="shared" si="5"/>
        <v>0.70605321423260525</v>
      </c>
      <c r="K12" s="116"/>
    </row>
    <row r="13" spans="1:11" ht="16" x14ac:dyDescent="0.2">
      <c r="A13" s="24"/>
      <c r="B13" s="249" t="s">
        <v>8</v>
      </c>
      <c r="C13" s="228">
        <f>GEOMEAN(D13,E13)</f>
        <v>3.1622776601683791E-2</v>
      </c>
      <c r="D13" s="267">
        <v>1E-3</v>
      </c>
      <c r="E13" s="268">
        <v>1</v>
      </c>
      <c r="F13" s="269">
        <f t="shared" si="3"/>
        <v>1.0027516679884511E-15</v>
      </c>
      <c r="G13" s="224">
        <f t="shared" si="0"/>
        <v>3.1709791983764588E-17</v>
      </c>
      <c r="H13" s="225">
        <f t="shared" si="1"/>
        <v>3.1709791983764584E-14</v>
      </c>
      <c r="I13" s="219">
        <f t="shared" si="4"/>
        <v>-34.536028505829982</v>
      </c>
      <c r="J13" s="230">
        <f t="shared" si="5"/>
        <v>1.3407910091192035</v>
      </c>
      <c r="K13" s="116"/>
    </row>
    <row r="14" spans="1:11" ht="16" x14ac:dyDescent="0.2">
      <c r="A14" s="24"/>
      <c r="B14" s="249" t="s">
        <v>4</v>
      </c>
      <c r="C14" s="228">
        <f>GEOMEAN(D14,E14)</f>
        <v>0.01</v>
      </c>
      <c r="D14" s="267">
        <v>1E-3</v>
      </c>
      <c r="E14" s="268">
        <v>0.1</v>
      </c>
      <c r="F14" s="269">
        <f t="shared" si="3"/>
        <v>3.1709791983764586E-16</v>
      </c>
      <c r="G14" s="224">
        <f t="shared" si="0"/>
        <v>3.1709791983764588E-17</v>
      </c>
      <c r="H14" s="225">
        <f t="shared" si="1"/>
        <v>3.1709791983764586E-15</v>
      </c>
      <c r="I14" s="219">
        <f t="shared" si="4"/>
        <v>-35.687321052327007</v>
      </c>
      <c r="J14" s="230">
        <f t="shared" si="5"/>
        <v>0.89386067274613612</v>
      </c>
      <c r="K14" s="116"/>
    </row>
    <row r="15" spans="1:11" ht="16" x14ac:dyDescent="0.2">
      <c r="A15" s="24"/>
      <c r="B15" s="249" t="s">
        <v>263</v>
      </c>
      <c r="C15" s="228">
        <f t="shared" ref="C15:C29" si="6">GEOMEAN(D15,E15)</f>
        <v>0.25248762345905196</v>
      </c>
      <c r="D15" s="267">
        <v>1E-3</v>
      </c>
      <c r="E15" s="268">
        <v>63.75</v>
      </c>
      <c r="F15" s="269">
        <f t="shared" si="3"/>
        <v>8.0063300183616164E-15</v>
      </c>
      <c r="G15" s="224">
        <f t="shared" si="0"/>
        <v>3.1709791983764588E-17</v>
      </c>
      <c r="H15" s="225">
        <f t="shared" si="1"/>
        <v>2.021499238964992E-12</v>
      </c>
      <c r="I15" s="219">
        <f t="shared" si="4"/>
        <v>-32.458543913810715</v>
      </c>
      <c r="J15" s="230">
        <f t="shared" si="5"/>
        <v>2.1472679470148819</v>
      </c>
      <c r="K15" s="116"/>
    </row>
    <row r="16" spans="1:11" ht="16" x14ac:dyDescent="0.2">
      <c r="A16" s="24"/>
      <c r="B16" s="273" t="s">
        <v>10</v>
      </c>
      <c r="C16" s="228">
        <f t="shared" si="6"/>
        <v>0.01</v>
      </c>
      <c r="D16" s="267">
        <v>1E-3</v>
      </c>
      <c r="E16" s="274">
        <v>0.1</v>
      </c>
      <c r="F16" s="269">
        <f t="shared" si="3"/>
        <v>3.1709791983764586E-16</v>
      </c>
      <c r="G16" s="224">
        <f t="shared" si="0"/>
        <v>3.1709791983764588E-17</v>
      </c>
      <c r="H16" s="225">
        <f t="shared" si="1"/>
        <v>3.1709791983764586E-15</v>
      </c>
      <c r="I16" s="219">
        <f t="shared" si="4"/>
        <v>-35.687321052327007</v>
      </c>
      <c r="J16" s="230">
        <f t="shared" si="5"/>
        <v>0.89386067274613612</v>
      </c>
      <c r="K16" s="116"/>
    </row>
    <row r="17" spans="1:11" ht="16" x14ac:dyDescent="0.2">
      <c r="A17" s="24"/>
      <c r="B17" s="249" t="s">
        <v>6</v>
      </c>
      <c r="C17" s="219" t="s">
        <v>14</v>
      </c>
      <c r="D17" s="215" t="s">
        <v>14</v>
      </c>
      <c r="E17" s="274" t="s">
        <v>14</v>
      </c>
      <c r="F17" s="269">
        <f t="shared" si="3"/>
        <v>3.3287915597856226E-15</v>
      </c>
      <c r="G17" s="224">
        <v>3.16881E-17</v>
      </c>
      <c r="H17" s="225">
        <v>3.4968499999999999E-13</v>
      </c>
      <c r="I17" s="219">
        <f t="shared" si="4"/>
        <v>-33.336167051739913</v>
      </c>
      <c r="J17" s="230">
        <f t="shared" si="5"/>
        <v>1.8068413843437594</v>
      </c>
      <c r="K17" s="116"/>
    </row>
    <row r="18" spans="1:11" ht="16" x14ac:dyDescent="0.2">
      <c r="A18" s="24"/>
      <c r="B18" s="249" t="s">
        <v>7</v>
      </c>
      <c r="C18" s="228">
        <f t="shared" si="6"/>
        <v>6.1773214259903941</v>
      </c>
      <c r="D18" s="116">
        <v>0.23</v>
      </c>
      <c r="E18" s="116">
        <v>165.91</v>
      </c>
      <c r="F18" s="269">
        <f t="shared" si="3"/>
        <v>1.9588157743500745E-13</v>
      </c>
      <c r="G18" s="224">
        <f t="shared" ref="G18:G29" si="7">(D18*0.000001)/(365*24*3600)</f>
        <v>7.2932521562658555E-15</v>
      </c>
      <c r="H18" s="225">
        <f t="shared" ref="H18:H29" si="8">(E18*0.000001)/(365*24*3600)</f>
        <v>5.2609715880263822E-12</v>
      </c>
      <c r="I18" s="219">
        <f t="shared" si="4"/>
        <v>-29.261266115040751</v>
      </c>
      <c r="J18" s="230">
        <f t="shared" si="5"/>
        <v>1.2773915843777568</v>
      </c>
      <c r="K18" s="116"/>
    </row>
    <row r="19" spans="1:11" ht="16" x14ac:dyDescent="0.2">
      <c r="A19" s="24"/>
      <c r="B19" s="249" t="s">
        <v>29</v>
      </c>
      <c r="C19" s="228">
        <f t="shared" si="6"/>
        <v>8.6602540378443865E-2</v>
      </c>
      <c r="D19" s="267">
        <v>1E-3</v>
      </c>
      <c r="E19" s="268">
        <v>7.5</v>
      </c>
      <c r="F19" s="269">
        <f t="shared" si="3"/>
        <v>2.7461485406660283E-15</v>
      </c>
      <c r="G19" s="224">
        <f t="shared" si="7"/>
        <v>3.1709791983764588E-17</v>
      </c>
      <c r="H19" s="225">
        <f t="shared" si="8"/>
        <v>2.3782343987823439E-13</v>
      </c>
      <c r="I19" s="219">
        <f t="shared" si="4"/>
        <v>-33.528576995558851</v>
      </c>
      <c r="J19" s="230">
        <f t="shared" si="5"/>
        <v>1.7318824339138983</v>
      </c>
      <c r="K19" s="116"/>
    </row>
    <row r="20" spans="1:11" ht="16" x14ac:dyDescent="0.2">
      <c r="A20" s="24"/>
      <c r="B20" s="249" t="s">
        <v>264</v>
      </c>
      <c r="C20" s="228">
        <f t="shared" si="6"/>
        <v>14.839903216935076</v>
      </c>
      <c r="D20" s="223">
        <v>1.31416</v>
      </c>
      <c r="E20" s="275">
        <v>167.57679999999999</v>
      </c>
      <c r="F20" s="269">
        <f t="shared" si="3"/>
        <v>4.705702440682101E-13</v>
      </c>
      <c r="G20" s="224">
        <f t="shared" si="7"/>
        <v>4.1671740233384066E-14</v>
      </c>
      <c r="H20" s="225">
        <f t="shared" si="8"/>
        <v>5.3138254693049209E-12</v>
      </c>
      <c r="I20" s="219">
        <f t="shared" si="4"/>
        <v>-28.38483115039082</v>
      </c>
      <c r="J20" s="230">
        <f t="shared" si="5"/>
        <v>0.94104116370236246</v>
      </c>
      <c r="K20" s="116"/>
    </row>
    <row r="21" spans="1:11" ht="16" x14ac:dyDescent="0.2">
      <c r="A21" s="24"/>
      <c r="B21" s="249" t="s">
        <v>265</v>
      </c>
      <c r="C21" s="228">
        <f t="shared" si="6"/>
        <v>1.5655184444777392</v>
      </c>
      <c r="D21" s="223">
        <v>0.6080000000000001</v>
      </c>
      <c r="E21" s="275">
        <v>4.0309999999999997</v>
      </c>
      <c r="F21" s="269">
        <f t="shared" si="3"/>
        <v>4.9642264221135818E-14</v>
      </c>
      <c r="G21" s="224">
        <f t="shared" si="7"/>
        <v>1.9279553526128871E-14</v>
      </c>
      <c r="H21" s="225">
        <f t="shared" si="8"/>
        <v>1.2782217148655502E-13</v>
      </c>
      <c r="I21" s="219">
        <f t="shared" si="4"/>
        <v>-30.633933822779383</v>
      </c>
      <c r="J21" s="230">
        <f t="shared" si="5"/>
        <v>0.36715739152775634</v>
      </c>
      <c r="K21" s="116"/>
    </row>
    <row r="22" spans="1:11" ht="16" x14ac:dyDescent="0.2">
      <c r="A22" s="24"/>
      <c r="B22" s="249" t="s">
        <v>15</v>
      </c>
      <c r="C22" s="219">
        <v>101.29</v>
      </c>
      <c r="D22" s="215">
        <f>C22/10</f>
        <v>10.129000000000001</v>
      </c>
      <c r="E22" s="274">
        <f>C22*10</f>
        <v>1012.9000000000001</v>
      </c>
      <c r="F22" s="269">
        <f t="shared" si="3"/>
        <v>3.2118848300355151E-12</v>
      </c>
      <c r="G22" s="224">
        <f t="shared" si="7"/>
        <v>3.2118848300355151E-13</v>
      </c>
      <c r="H22" s="225">
        <f t="shared" si="8"/>
        <v>3.211884830035515E-11</v>
      </c>
      <c r="I22" s="219">
        <f t="shared" si="4"/>
        <v>-26.464163176640206</v>
      </c>
      <c r="J22" s="230">
        <f t="shared" si="5"/>
        <v>0.89386067274613545</v>
      </c>
      <c r="K22" s="116"/>
    </row>
    <row r="23" spans="1:11" ht="16" x14ac:dyDescent="0.2">
      <c r="A23" s="24"/>
      <c r="B23" s="249" t="s">
        <v>9</v>
      </c>
      <c r="C23" s="228">
        <f t="shared" si="6"/>
        <v>11.752935803449281</v>
      </c>
      <c r="D23" s="215">
        <v>10.27</v>
      </c>
      <c r="E23" s="274">
        <v>13.45</v>
      </c>
      <c r="F23" s="269">
        <f t="shared" si="3"/>
        <v>3.7268314952591578E-13</v>
      </c>
      <c r="G23" s="224">
        <f t="shared" si="7"/>
        <v>3.256595636732623E-13</v>
      </c>
      <c r="H23" s="225">
        <f t="shared" si="8"/>
        <v>4.2649670218163365E-13</v>
      </c>
      <c r="I23" s="219">
        <f t="shared" si="4"/>
        <v>-28.618047801344755</v>
      </c>
      <c r="J23" s="230">
        <f t="shared" si="5"/>
        <v>5.2358711589165545E-2</v>
      </c>
      <c r="K23" s="116"/>
    </row>
    <row r="24" spans="1:11" ht="16" x14ac:dyDescent="0.2">
      <c r="A24" s="24"/>
      <c r="B24" s="276" t="s">
        <v>195</v>
      </c>
      <c r="C24" s="228">
        <f t="shared" si="6"/>
        <v>18.300785781166141</v>
      </c>
      <c r="D24" s="245">
        <v>5.9971846965914954</v>
      </c>
      <c r="E24" s="246">
        <v>55.845997272434197</v>
      </c>
      <c r="F24" s="269">
        <f t="shared" si="3"/>
        <v>5.8031411026021495E-13</v>
      </c>
      <c r="G24" s="224">
        <f t="shared" si="7"/>
        <v>1.9016947921713265E-13</v>
      </c>
      <c r="H24" s="225">
        <f t="shared" si="8"/>
        <v>1.7708649566347727E-12</v>
      </c>
      <c r="I24" s="219">
        <f t="shared" si="4"/>
        <v>-28.175206868551847</v>
      </c>
      <c r="J24" s="230">
        <f t="shared" si="5"/>
        <v>0.43309544095908975</v>
      </c>
      <c r="K24" s="116"/>
    </row>
    <row r="25" spans="1:11" ht="16" x14ac:dyDescent="0.2">
      <c r="A25" s="24"/>
      <c r="B25" s="276" t="s">
        <v>196</v>
      </c>
      <c r="C25" s="228">
        <f t="shared" si="6"/>
        <v>32.689902110590666</v>
      </c>
      <c r="D25" s="247">
        <v>21.74</v>
      </c>
      <c r="E25" s="248">
        <v>49.155000000000001</v>
      </c>
      <c r="F25" s="269">
        <f t="shared" si="3"/>
        <v>1.0365899958964569E-12</v>
      </c>
      <c r="G25" s="224">
        <f t="shared" si="7"/>
        <v>6.8937087772704204E-13</v>
      </c>
      <c r="H25" s="225">
        <f t="shared" si="8"/>
        <v>1.5586948249619483E-12</v>
      </c>
      <c r="I25" s="219">
        <f t="shared" si="4"/>
        <v>-27.595084640082938</v>
      </c>
      <c r="J25" s="230">
        <f t="shared" si="5"/>
        <v>0.1583510654359134</v>
      </c>
      <c r="K25" s="116"/>
    </row>
    <row r="26" spans="1:11" ht="16" x14ac:dyDescent="0.2">
      <c r="A26" s="24"/>
      <c r="B26" s="276" t="s">
        <v>197</v>
      </c>
      <c r="C26" s="228">
        <f t="shared" si="6"/>
        <v>24.559331080628528</v>
      </c>
      <c r="D26" s="245">
        <v>21.922320656141004</v>
      </c>
      <c r="E26" s="246">
        <v>27.513544418435725</v>
      </c>
      <c r="F26" s="269">
        <f t="shared" si="3"/>
        <v>7.78771279827135E-13</v>
      </c>
      <c r="G26" s="224">
        <f t="shared" si="7"/>
        <v>6.9515222780761679E-13</v>
      </c>
      <c r="H26" s="225">
        <f t="shared" si="8"/>
        <v>8.7244877024466395E-13</v>
      </c>
      <c r="I26" s="219">
        <f t="shared" si="4"/>
        <v>-27.881058999561642</v>
      </c>
      <c r="J26" s="230">
        <f t="shared" si="5"/>
        <v>4.4094154096165475E-2</v>
      </c>
      <c r="K26" s="116"/>
    </row>
    <row r="27" spans="1:11" ht="16" x14ac:dyDescent="0.2">
      <c r="A27" s="24"/>
      <c r="B27" s="276" t="s">
        <v>198</v>
      </c>
      <c r="C27" s="228">
        <f t="shared" si="6"/>
        <v>24.559331080628528</v>
      </c>
      <c r="D27" s="245">
        <v>21.922320656141004</v>
      </c>
      <c r="E27" s="246">
        <v>27.513544418435725</v>
      </c>
      <c r="F27" s="269">
        <f t="shared" si="3"/>
        <v>7.78771279827135E-13</v>
      </c>
      <c r="G27" s="224">
        <f t="shared" si="7"/>
        <v>6.9515222780761679E-13</v>
      </c>
      <c r="H27" s="225">
        <f t="shared" si="8"/>
        <v>8.7244877024466395E-13</v>
      </c>
      <c r="I27" s="219">
        <f t="shared" si="4"/>
        <v>-27.881058999561642</v>
      </c>
      <c r="J27" s="230">
        <f t="shared" si="5"/>
        <v>4.4094154096165475E-2</v>
      </c>
      <c r="K27" s="116"/>
    </row>
    <row r="28" spans="1:11" ht="16" x14ac:dyDescent="0.2">
      <c r="A28" s="24"/>
      <c r="B28" s="276" t="s">
        <v>199</v>
      </c>
      <c r="C28" s="228">
        <f t="shared" si="6"/>
        <v>39.899770897340453</v>
      </c>
      <c r="D28" s="277">
        <v>37.799366578210353</v>
      </c>
      <c r="E28" s="278">
        <v>42.116888767600891</v>
      </c>
      <c r="F28" s="269">
        <f t="shared" si="3"/>
        <v>1.26521343535453E-12</v>
      </c>
      <c r="G28" s="224">
        <f t="shared" si="7"/>
        <v>1.1986100513131138E-12</v>
      </c>
      <c r="H28" s="225">
        <f t="shared" si="8"/>
        <v>1.3355177818239756E-12</v>
      </c>
      <c r="I28" s="219">
        <f t="shared" si="4"/>
        <v>-27.395780284380873</v>
      </c>
      <c r="J28" s="230">
        <f t="shared" si="5"/>
        <v>2.0993104294683172E-2</v>
      </c>
      <c r="K28" s="116"/>
    </row>
    <row r="29" spans="1:11" ht="16" x14ac:dyDescent="0.2">
      <c r="A29" s="24"/>
      <c r="B29" s="279" t="s">
        <v>200</v>
      </c>
      <c r="C29" s="251">
        <f t="shared" si="6"/>
        <v>51.909814469849337</v>
      </c>
      <c r="D29" s="280">
        <v>49.8341591296277</v>
      </c>
      <c r="E29" s="281">
        <v>54.071923462879354</v>
      </c>
      <c r="F29" s="282">
        <f t="shared" si="3"/>
        <v>1.6460494187547354E-12</v>
      </c>
      <c r="G29" s="255">
        <f t="shared" si="7"/>
        <v>1.5802308196863173E-12</v>
      </c>
      <c r="H29" s="256">
        <f t="shared" si="8"/>
        <v>1.714609445169944E-12</v>
      </c>
      <c r="I29" s="257">
        <f t="shared" si="4"/>
        <v>-27.132642990579573</v>
      </c>
      <c r="J29" s="258">
        <f t="shared" si="5"/>
        <v>1.5841304569453384E-2</v>
      </c>
      <c r="K29" s="116"/>
    </row>
    <row r="30" spans="1:11" x14ac:dyDescent="0.2">
      <c r="A30" s="24"/>
    </row>
    <row r="31" spans="1:11" x14ac:dyDescent="0.2">
      <c r="A31" s="24"/>
    </row>
  </sheetData>
  <mergeCells count="1">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460A-93CC-41D5-9138-0A28D6FAD039}">
  <dimension ref="A2:K40"/>
  <sheetViews>
    <sheetView workbookViewId="0">
      <selection activeCell="K25" sqref="K25:K29"/>
    </sheetView>
  </sheetViews>
  <sheetFormatPr baseColWidth="10" defaultRowHeight="15" x14ac:dyDescent="0.2"/>
  <cols>
    <col min="1" max="1" width="10.83203125" style="126"/>
    <col min="2" max="2" width="20" style="126" customWidth="1"/>
    <col min="3" max="3" width="26.83203125" style="126" customWidth="1"/>
    <col min="4" max="4" width="27.33203125" style="126" customWidth="1"/>
    <col min="5" max="5" width="21.33203125" style="126" customWidth="1"/>
    <col min="6" max="7" width="18.6640625" style="126" customWidth="1"/>
    <col min="8" max="8" width="16.1640625" style="126" customWidth="1"/>
    <col min="9" max="9" width="12.5" style="126" bestFit="1" customWidth="1"/>
    <col min="10" max="10" width="10.83203125" style="126"/>
    <col min="11" max="11" width="37.6640625" style="126" customWidth="1"/>
    <col min="12" max="20" width="10.83203125" style="126"/>
    <col min="21" max="21" width="23.6640625" style="126" customWidth="1"/>
    <col min="22" max="16384" width="10.83203125" style="126"/>
  </cols>
  <sheetData>
    <row r="2" spans="1:11" x14ac:dyDescent="0.2">
      <c r="B2" s="214" t="s">
        <v>17</v>
      </c>
    </row>
    <row r="3" spans="1:11" x14ac:dyDescent="0.2">
      <c r="B3" s="214"/>
    </row>
    <row r="4" spans="1:11" ht="64.5" customHeight="1" x14ac:dyDescent="0.2">
      <c r="B4" s="415" t="s">
        <v>355</v>
      </c>
      <c r="C4" s="415"/>
      <c r="D4" s="415"/>
      <c r="E4" s="415"/>
      <c r="F4" s="415"/>
      <c r="G4" s="415"/>
      <c r="H4" s="415"/>
      <c r="I4" s="415"/>
      <c r="J4" s="415"/>
    </row>
    <row r="5" spans="1:11" ht="32" x14ac:dyDescent="0.2">
      <c r="B5" s="216"/>
      <c r="C5" s="216"/>
      <c r="D5" s="216"/>
      <c r="E5" s="216"/>
      <c r="F5" s="216"/>
      <c r="G5" s="216"/>
      <c r="H5" s="216"/>
      <c r="I5" s="215" t="s">
        <v>348</v>
      </c>
      <c r="J5" s="216" t="s">
        <v>351</v>
      </c>
      <c r="K5" s="126">
        <v>2.5760000000000001</v>
      </c>
    </row>
    <row r="6" spans="1:11" ht="36.5" customHeight="1" x14ac:dyDescent="0.2">
      <c r="A6" s="217"/>
      <c r="B6" s="12" t="s">
        <v>12</v>
      </c>
      <c r="C6" s="3" t="s">
        <v>345</v>
      </c>
      <c r="D6" s="4" t="s">
        <v>346</v>
      </c>
      <c r="E6" s="5" t="s">
        <v>347</v>
      </c>
      <c r="F6" s="7" t="s">
        <v>344</v>
      </c>
      <c r="G6" s="8" t="s">
        <v>342</v>
      </c>
      <c r="H6" s="9" t="s">
        <v>343</v>
      </c>
      <c r="I6" s="10" t="s">
        <v>349</v>
      </c>
      <c r="J6" s="13" t="s">
        <v>350</v>
      </c>
      <c r="K6" s="218" t="s">
        <v>192</v>
      </c>
    </row>
    <row r="7" spans="1:11" ht="16" x14ac:dyDescent="0.2">
      <c r="A7" s="217"/>
      <c r="B7" s="219" t="s">
        <v>5</v>
      </c>
      <c r="C7" s="220">
        <f>GEOMEAN(D7,E7)</f>
        <v>3.1622776601683791E-2</v>
      </c>
      <c r="D7" s="221">
        <v>1E-3</v>
      </c>
      <c r="E7" s="222">
        <v>1</v>
      </c>
      <c r="F7" s="223">
        <f>GEOMEAN(G7:H7)</f>
        <v>1.0027516679884511E-15</v>
      </c>
      <c r="G7" s="224">
        <f t="shared" ref="G7:G16" si="0">(D7*0.000001)/(365*24*3600)</f>
        <v>3.1709791983764588E-17</v>
      </c>
      <c r="H7" s="225">
        <f t="shared" ref="H7:H16" si="1">(E7*0.000001)/(365*24*3600)</f>
        <v>3.1709791983764584E-14</v>
      </c>
      <c r="I7" s="226">
        <f>LN(F7)</f>
        <v>-34.536028505829982</v>
      </c>
      <c r="J7" s="227">
        <f>(LN(H7)-LN(G7))/(2*$K$5)</f>
        <v>1.3407910091192035</v>
      </c>
      <c r="K7" s="114"/>
    </row>
    <row r="8" spans="1:11" ht="16" x14ac:dyDescent="0.2">
      <c r="A8" s="217"/>
      <c r="B8" s="219" t="s">
        <v>0</v>
      </c>
      <c r="C8" s="228">
        <f t="shared" ref="C8:C11" si="2">GEOMEAN(D8,E8)</f>
        <v>1.1401754250991381</v>
      </c>
      <c r="D8" s="216">
        <v>1</v>
      </c>
      <c r="E8" s="229">
        <v>1.3</v>
      </c>
      <c r="F8" s="223">
        <f t="shared" ref="F8:F29" si="3">GEOMEAN(G8:H8)</f>
        <v>3.6154725554894023E-14</v>
      </c>
      <c r="G8" s="224">
        <f t="shared" si="0"/>
        <v>3.1709791983764584E-14</v>
      </c>
      <c r="H8" s="225">
        <f t="shared" si="1"/>
        <v>4.1222729578893964E-14</v>
      </c>
      <c r="I8" s="219">
        <f t="shared" ref="I8:I29" si="4">LN(F8)</f>
        <v>-30.950968734105167</v>
      </c>
      <c r="J8" s="230">
        <f t="shared" ref="J8:J29" si="5">(LN(H8)-LN(G8))/(2*$K$5)</f>
        <v>5.0924740773969926E-2</v>
      </c>
      <c r="K8" s="118"/>
    </row>
    <row r="9" spans="1:11" ht="16" x14ac:dyDescent="0.2">
      <c r="A9" s="217"/>
      <c r="B9" s="219" t="s">
        <v>1</v>
      </c>
      <c r="C9" s="228">
        <f t="shared" si="2"/>
        <v>15.556349186104045</v>
      </c>
      <c r="D9" s="216">
        <v>11</v>
      </c>
      <c r="E9" s="229">
        <v>22</v>
      </c>
      <c r="F9" s="223">
        <f t="shared" si="3"/>
        <v>4.9328859671816477E-13</v>
      </c>
      <c r="G9" s="224">
        <f t="shared" si="0"/>
        <v>3.4880771182141044E-13</v>
      </c>
      <c r="H9" s="225">
        <f t="shared" si="1"/>
        <v>6.9761542364282087E-13</v>
      </c>
      <c r="I9" s="219">
        <f t="shared" si="4"/>
        <v>-28.337682003260568</v>
      </c>
      <c r="J9" s="230">
        <f t="shared" si="5"/>
        <v>0.13453943722048595</v>
      </c>
      <c r="K9" s="118"/>
    </row>
    <row r="10" spans="1:11" ht="16" x14ac:dyDescent="0.2">
      <c r="A10" s="217"/>
      <c r="B10" s="219" t="s">
        <v>13</v>
      </c>
      <c r="C10" s="228">
        <f t="shared" si="2"/>
        <v>3.2</v>
      </c>
      <c r="D10" s="231">
        <v>3.2000000000000001E-2</v>
      </c>
      <c r="E10" s="232">
        <v>320</v>
      </c>
      <c r="F10" s="223">
        <f t="shared" si="3"/>
        <v>1.0147133434804666E-13</v>
      </c>
      <c r="G10" s="224">
        <f t="shared" si="0"/>
        <v>1.0147133434804668E-15</v>
      </c>
      <c r="H10" s="225">
        <f t="shared" si="1"/>
        <v>1.0147133434804666E-11</v>
      </c>
      <c r="I10" s="219">
        <f t="shared" si="4"/>
        <v>-29.919000056533232</v>
      </c>
      <c r="J10" s="230">
        <f t="shared" si="5"/>
        <v>1.7877213454922709</v>
      </c>
      <c r="K10" s="118"/>
    </row>
    <row r="11" spans="1:11" ht="16" x14ac:dyDescent="0.2">
      <c r="A11" s="217"/>
      <c r="B11" s="219" t="s">
        <v>2</v>
      </c>
      <c r="C11" s="228">
        <f t="shared" si="2"/>
        <v>0.59219929077971711</v>
      </c>
      <c r="D11" s="233">
        <v>0.21</v>
      </c>
      <c r="E11" s="234">
        <v>1.67</v>
      </c>
      <c r="F11" s="223">
        <f t="shared" si="3"/>
        <v>1.8778516323557749E-14</v>
      </c>
      <c r="G11" s="224">
        <f t="shared" si="0"/>
        <v>6.6590563165905625E-15</v>
      </c>
      <c r="H11" s="225">
        <f t="shared" si="1"/>
        <v>5.2955352612886857E-14</v>
      </c>
      <c r="I11" s="219">
        <f t="shared" si="4"/>
        <v>-31.606062927256914</v>
      </c>
      <c r="J11" s="230">
        <f t="shared" si="5"/>
        <v>0.40245950595755631</v>
      </c>
      <c r="K11" s="118"/>
    </row>
    <row r="12" spans="1:11" ht="16" x14ac:dyDescent="0.2">
      <c r="A12" s="217"/>
      <c r="B12" s="219" t="s">
        <v>3</v>
      </c>
      <c r="C12" s="228">
        <f>GEOMEAN(D12,E12)</f>
        <v>0.69107851774070783</v>
      </c>
      <c r="D12" s="235">
        <v>0.29775984121096721</v>
      </c>
      <c r="E12" s="236">
        <v>1.603942008231777</v>
      </c>
      <c r="F12" s="223">
        <f t="shared" si="3"/>
        <v>2.1913956042006208E-14</v>
      </c>
      <c r="G12" s="224">
        <f t="shared" si="0"/>
        <v>9.4419026259185443E-15</v>
      </c>
      <c r="H12" s="225">
        <f t="shared" si="1"/>
        <v>5.0860667435051271E-14</v>
      </c>
      <c r="I12" s="219">
        <f t="shared" si="4"/>
        <v>-31.451652698861494</v>
      </c>
      <c r="J12" s="230">
        <f t="shared" si="5"/>
        <v>0.3268502278122466</v>
      </c>
      <c r="K12" s="118"/>
    </row>
    <row r="13" spans="1:11" ht="16" x14ac:dyDescent="0.2">
      <c r="A13" s="217"/>
      <c r="B13" s="219" t="s">
        <v>8</v>
      </c>
      <c r="C13" s="228">
        <f>GEOMEAN(D13,E13)</f>
        <v>3.1622776601683791E-2</v>
      </c>
      <c r="D13" s="237">
        <v>1E-3</v>
      </c>
      <c r="E13" s="238">
        <v>1</v>
      </c>
      <c r="F13" s="223">
        <f t="shared" si="3"/>
        <v>1.0027516679884511E-15</v>
      </c>
      <c r="G13" s="224">
        <f t="shared" si="0"/>
        <v>3.1709791983764588E-17</v>
      </c>
      <c r="H13" s="225">
        <f t="shared" si="1"/>
        <v>3.1709791983764584E-14</v>
      </c>
      <c r="I13" s="219">
        <f t="shared" si="4"/>
        <v>-34.536028505829982</v>
      </c>
      <c r="J13" s="230">
        <f t="shared" si="5"/>
        <v>1.3407910091192035</v>
      </c>
      <c r="K13" s="118"/>
    </row>
    <row r="14" spans="1:11" ht="16" x14ac:dyDescent="0.2">
      <c r="A14" s="217"/>
      <c r="B14" s="219" t="s">
        <v>4</v>
      </c>
      <c r="C14" s="228">
        <f>GEOMEAN(D14,E14)</f>
        <v>0.01</v>
      </c>
      <c r="D14" s="237">
        <v>1E-3</v>
      </c>
      <c r="E14" s="238">
        <v>0.1</v>
      </c>
      <c r="F14" s="223">
        <f t="shared" si="3"/>
        <v>3.1709791983764586E-16</v>
      </c>
      <c r="G14" s="224">
        <f t="shared" si="0"/>
        <v>3.1709791983764588E-17</v>
      </c>
      <c r="H14" s="225">
        <f t="shared" si="1"/>
        <v>3.1709791983764586E-15</v>
      </c>
      <c r="I14" s="219">
        <f t="shared" si="4"/>
        <v>-35.687321052327007</v>
      </c>
      <c r="J14" s="230">
        <f t="shared" si="5"/>
        <v>0.89386067274613612</v>
      </c>
      <c r="K14" s="118"/>
    </row>
    <row r="15" spans="1:11" ht="16" x14ac:dyDescent="0.2">
      <c r="A15" s="217"/>
      <c r="B15" s="219" t="s">
        <v>263</v>
      </c>
      <c r="C15" s="228">
        <f t="shared" ref="C15:C29" si="6">GEOMEAN(D15,E15)</f>
        <v>0.25248762345905196</v>
      </c>
      <c r="D15" s="237">
        <v>1E-3</v>
      </c>
      <c r="E15" s="238">
        <v>63.75</v>
      </c>
      <c r="F15" s="223">
        <f t="shared" si="3"/>
        <v>8.0063300183616164E-15</v>
      </c>
      <c r="G15" s="224">
        <f t="shared" si="0"/>
        <v>3.1709791983764588E-17</v>
      </c>
      <c r="H15" s="225">
        <f t="shared" si="1"/>
        <v>2.021499238964992E-12</v>
      </c>
      <c r="I15" s="219">
        <f t="shared" si="4"/>
        <v>-32.458543913810715</v>
      </c>
      <c r="J15" s="230">
        <f t="shared" si="5"/>
        <v>2.1472679470148819</v>
      </c>
      <c r="K15" s="118"/>
    </row>
    <row r="16" spans="1:11" ht="16" x14ac:dyDescent="0.2">
      <c r="A16" s="217"/>
      <c r="B16" s="239" t="s">
        <v>10</v>
      </c>
      <c r="C16" s="228">
        <f t="shared" si="6"/>
        <v>0.01</v>
      </c>
      <c r="D16" s="237">
        <v>1E-3</v>
      </c>
      <c r="E16" s="240">
        <v>0.1</v>
      </c>
      <c r="F16" s="223">
        <f t="shared" si="3"/>
        <v>3.1709791983764586E-16</v>
      </c>
      <c r="G16" s="224">
        <f t="shared" si="0"/>
        <v>3.1709791983764588E-17</v>
      </c>
      <c r="H16" s="225">
        <f t="shared" si="1"/>
        <v>3.1709791983764586E-15</v>
      </c>
      <c r="I16" s="219">
        <f t="shared" si="4"/>
        <v>-35.687321052327007</v>
      </c>
      <c r="J16" s="230">
        <f t="shared" si="5"/>
        <v>0.89386067274613612</v>
      </c>
      <c r="K16" s="118"/>
    </row>
    <row r="17" spans="1:11" ht="16" x14ac:dyDescent="0.2">
      <c r="A17" s="217"/>
      <c r="B17" s="219" t="s">
        <v>6</v>
      </c>
      <c r="C17" s="219" t="s">
        <v>14</v>
      </c>
      <c r="D17" s="241" t="s">
        <v>14</v>
      </c>
      <c r="E17" s="240" t="s">
        <v>14</v>
      </c>
      <c r="F17" s="223">
        <f t="shared" si="3"/>
        <v>2.6740141936609089E-13</v>
      </c>
      <c r="G17" s="224">
        <v>6.1504700000000002E-14</v>
      </c>
      <c r="H17" s="225">
        <v>1.16257E-12</v>
      </c>
      <c r="I17" s="219">
        <f t="shared" si="4"/>
        <v>-28.95002542223116</v>
      </c>
      <c r="J17" s="230">
        <f t="shared" si="5"/>
        <v>0.57051140451199345</v>
      </c>
      <c r="K17" s="118"/>
    </row>
    <row r="18" spans="1:11" ht="16" x14ac:dyDescent="0.2">
      <c r="A18" s="217"/>
      <c r="B18" s="219" t="s">
        <v>7</v>
      </c>
      <c r="C18" s="228">
        <f t="shared" si="6"/>
        <v>1194.744585675114</v>
      </c>
      <c r="D18" s="233">
        <v>912.5</v>
      </c>
      <c r="E18" s="234">
        <v>1564.29</v>
      </c>
      <c r="F18" s="223">
        <f t="shared" si="3"/>
        <v>3.7885102285486868E-11</v>
      </c>
      <c r="G18" s="224">
        <f t="shared" ref="G18:G29" si="7">(D18*0.000001)/(365*24*3600)</f>
        <v>2.8935185185185184E-11</v>
      </c>
      <c r="H18" s="225">
        <f t="shared" ref="H18:H29" si="8">(E18*0.000001)/(365*24*3600)</f>
        <v>4.9603310502283099E-11</v>
      </c>
      <c r="I18" s="219">
        <f t="shared" si="4"/>
        <v>-23.996463160654784</v>
      </c>
      <c r="J18" s="230">
        <f t="shared" si="5"/>
        <v>0.10461941779017071</v>
      </c>
      <c r="K18" s="118"/>
    </row>
    <row r="19" spans="1:11" ht="16" x14ac:dyDescent="0.2">
      <c r="A19" s="217"/>
      <c r="B19" s="219" t="s">
        <v>29</v>
      </c>
      <c r="C19" s="228">
        <f t="shared" si="6"/>
        <v>121.05226887588684</v>
      </c>
      <c r="D19" s="233">
        <v>78.69</v>
      </c>
      <c r="E19" s="234">
        <v>186.22</v>
      </c>
      <c r="F19" s="223">
        <f t="shared" si="3"/>
        <v>3.838542265217111E-12</v>
      </c>
      <c r="G19" s="224">
        <f t="shared" si="7"/>
        <v>2.4952435312024351E-12</v>
      </c>
      <c r="H19" s="225">
        <f t="shared" si="8"/>
        <v>5.9049974632166407E-12</v>
      </c>
      <c r="I19" s="219">
        <f t="shared" si="4"/>
        <v>-26.285928439835274</v>
      </c>
      <c r="J19" s="230">
        <f t="shared" si="5"/>
        <v>0.16719966768507238</v>
      </c>
      <c r="K19" s="118"/>
    </row>
    <row r="20" spans="1:11" ht="16" x14ac:dyDescent="0.2">
      <c r="A20" s="217"/>
      <c r="B20" s="219" t="s">
        <v>264</v>
      </c>
      <c r="C20" s="228">
        <f t="shared" si="6"/>
        <v>14.839903216935076</v>
      </c>
      <c r="D20" s="242">
        <v>1.31416</v>
      </c>
      <c r="E20" s="243">
        <v>167.57679999999999</v>
      </c>
      <c r="F20" s="223">
        <f t="shared" si="3"/>
        <v>4.705702440682101E-13</v>
      </c>
      <c r="G20" s="224">
        <f t="shared" si="7"/>
        <v>4.1671740233384066E-14</v>
      </c>
      <c r="H20" s="225">
        <f t="shared" si="8"/>
        <v>5.3138254693049209E-12</v>
      </c>
      <c r="I20" s="219">
        <f t="shared" si="4"/>
        <v>-28.38483115039082</v>
      </c>
      <c r="J20" s="230">
        <f t="shared" si="5"/>
        <v>0.94104116370236246</v>
      </c>
      <c r="K20" s="118"/>
    </row>
    <row r="21" spans="1:11" ht="16" x14ac:dyDescent="0.2">
      <c r="A21" s="217"/>
      <c r="B21" s="219" t="s">
        <v>265</v>
      </c>
      <c r="C21" s="228">
        <f t="shared" si="6"/>
        <v>44.722870199760628</v>
      </c>
      <c r="D21" s="235">
        <v>39.673913043478265</v>
      </c>
      <c r="E21" s="236">
        <v>50.414364640883996</v>
      </c>
      <c r="F21" s="223">
        <f t="shared" si="3"/>
        <v>1.4181529109513134E-12</v>
      </c>
      <c r="G21" s="224">
        <f t="shared" si="7"/>
        <v>1.2580515297906603E-12</v>
      </c>
      <c r="H21" s="225">
        <f t="shared" si="8"/>
        <v>1.5986290157560879E-12</v>
      </c>
      <c r="I21" s="219">
        <f t="shared" si="4"/>
        <v>-27.28166585798273</v>
      </c>
      <c r="J21" s="230">
        <f t="shared" si="5"/>
        <v>4.6502771284427306E-2</v>
      </c>
      <c r="K21" s="118"/>
    </row>
    <row r="22" spans="1:11" ht="16" x14ac:dyDescent="0.2">
      <c r="A22" s="217"/>
      <c r="B22" s="219" t="s">
        <v>15</v>
      </c>
      <c r="C22" s="219">
        <v>101.29</v>
      </c>
      <c r="D22" s="233">
        <v>42.74</v>
      </c>
      <c r="E22" s="234">
        <v>2556.9</v>
      </c>
      <c r="F22" s="223">
        <f t="shared" si="3"/>
        <v>1.0482564022803663E-11</v>
      </c>
      <c r="G22" s="224">
        <f t="shared" si="7"/>
        <v>1.3552765093860984E-12</v>
      </c>
      <c r="H22" s="225">
        <f t="shared" si="8"/>
        <v>8.1078767123287676E-11</v>
      </c>
      <c r="I22" s="219">
        <f t="shared" si="4"/>
        <v>-25.281307808295232</v>
      </c>
      <c r="J22" s="230">
        <f t="shared" si="5"/>
        <v>0.79414122987293512</v>
      </c>
      <c r="K22" s="118"/>
    </row>
    <row r="23" spans="1:11" ht="16" x14ac:dyDescent="0.2">
      <c r="A23" s="217"/>
      <c r="B23" s="219" t="s">
        <v>9</v>
      </c>
      <c r="C23" s="228">
        <f t="shared" si="6"/>
        <v>5.4221766846903838</v>
      </c>
      <c r="D23" s="233">
        <v>1.96</v>
      </c>
      <c r="E23" s="234">
        <v>15</v>
      </c>
      <c r="F23" s="223">
        <f t="shared" si="3"/>
        <v>1.7193609477075036E-13</v>
      </c>
      <c r="G23" s="224">
        <f t="shared" si="7"/>
        <v>6.2151192288178581E-14</v>
      </c>
      <c r="H23" s="225">
        <f t="shared" si="8"/>
        <v>4.7564687975646877E-13</v>
      </c>
      <c r="I23" s="219">
        <f t="shared" si="4"/>
        <v>-29.391653529166593</v>
      </c>
      <c r="J23" s="230">
        <f t="shared" si="5"/>
        <v>0.39501275773675909</v>
      </c>
      <c r="K23" s="118"/>
    </row>
    <row r="24" spans="1:11" ht="16" x14ac:dyDescent="0.2">
      <c r="A24" s="217"/>
      <c r="B24" s="244" t="s">
        <v>195</v>
      </c>
      <c r="C24" s="228">
        <f t="shared" si="6"/>
        <v>3.9632421857174061</v>
      </c>
      <c r="D24" s="245">
        <f>H35</f>
        <v>1.8766595106346127</v>
      </c>
      <c r="E24" s="246">
        <f>H36</f>
        <v>8.3698127090398469</v>
      </c>
      <c r="F24" s="223">
        <f t="shared" si="3"/>
        <v>1.2567358529037943E-13</v>
      </c>
      <c r="G24" s="224">
        <f t="shared" si="7"/>
        <v>5.9508482706577007E-14</v>
      </c>
      <c r="H24" s="225">
        <f t="shared" si="8"/>
        <v>2.6540501994672272E-13</v>
      </c>
      <c r="I24" s="219">
        <f t="shared" si="4"/>
        <v>-29.705088442285167</v>
      </c>
      <c r="J24" s="230">
        <f t="shared" si="5"/>
        <v>0.29020538965003162</v>
      </c>
      <c r="K24" s="118"/>
    </row>
    <row r="25" spans="1:11" ht="16" x14ac:dyDescent="0.2">
      <c r="A25" s="217"/>
      <c r="B25" s="244" t="s">
        <v>196</v>
      </c>
      <c r="C25" s="228">
        <f t="shared" si="6"/>
        <v>3.9632421857174061</v>
      </c>
      <c r="D25" s="247">
        <f>D24</f>
        <v>1.8766595106346127</v>
      </c>
      <c r="E25" s="248">
        <f>E24</f>
        <v>8.3698127090398469</v>
      </c>
      <c r="F25" s="223">
        <f t="shared" si="3"/>
        <v>1.2567358529037943E-13</v>
      </c>
      <c r="G25" s="224">
        <f t="shared" si="7"/>
        <v>5.9508482706577007E-14</v>
      </c>
      <c r="H25" s="225">
        <f t="shared" si="8"/>
        <v>2.6540501994672272E-13</v>
      </c>
      <c r="I25" s="219">
        <f t="shared" si="4"/>
        <v>-29.705088442285167</v>
      </c>
      <c r="J25" s="230">
        <f t="shared" si="5"/>
        <v>0.29020538965003162</v>
      </c>
      <c r="K25" s="416" t="s">
        <v>352</v>
      </c>
    </row>
    <row r="26" spans="1:11" ht="16" x14ac:dyDescent="0.2">
      <c r="A26" s="217"/>
      <c r="B26" s="244" t="s">
        <v>197</v>
      </c>
      <c r="C26" s="228">
        <f t="shared" si="6"/>
        <v>3.9632421857174061</v>
      </c>
      <c r="D26" s="247">
        <f t="shared" ref="D26:D29" si="9">D25</f>
        <v>1.8766595106346127</v>
      </c>
      <c r="E26" s="248">
        <f t="shared" ref="E26:E29" si="10">E25</f>
        <v>8.3698127090398469</v>
      </c>
      <c r="F26" s="223">
        <f t="shared" si="3"/>
        <v>1.2567358529037943E-13</v>
      </c>
      <c r="G26" s="224">
        <f t="shared" si="7"/>
        <v>5.9508482706577007E-14</v>
      </c>
      <c r="H26" s="225">
        <f t="shared" si="8"/>
        <v>2.6540501994672272E-13</v>
      </c>
      <c r="I26" s="219">
        <f t="shared" si="4"/>
        <v>-29.705088442285167</v>
      </c>
      <c r="J26" s="230">
        <f t="shared" si="5"/>
        <v>0.29020538965003162</v>
      </c>
      <c r="K26" s="416"/>
    </row>
    <row r="27" spans="1:11" ht="16" x14ac:dyDescent="0.2">
      <c r="A27" s="217"/>
      <c r="B27" s="244" t="s">
        <v>198</v>
      </c>
      <c r="C27" s="228">
        <f t="shared" si="6"/>
        <v>3.9632421857174061</v>
      </c>
      <c r="D27" s="247">
        <f t="shared" si="9"/>
        <v>1.8766595106346127</v>
      </c>
      <c r="E27" s="248">
        <f t="shared" si="10"/>
        <v>8.3698127090398469</v>
      </c>
      <c r="F27" s="223">
        <f t="shared" si="3"/>
        <v>1.2567358529037943E-13</v>
      </c>
      <c r="G27" s="224">
        <f t="shared" si="7"/>
        <v>5.9508482706577007E-14</v>
      </c>
      <c r="H27" s="225">
        <f t="shared" si="8"/>
        <v>2.6540501994672272E-13</v>
      </c>
      <c r="I27" s="219">
        <f t="shared" si="4"/>
        <v>-29.705088442285167</v>
      </c>
      <c r="J27" s="230">
        <f t="shared" si="5"/>
        <v>0.29020538965003162</v>
      </c>
      <c r="K27" s="416"/>
    </row>
    <row r="28" spans="1:11" ht="16" x14ac:dyDescent="0.2">
      <c r="A28" s="217"/>
      <c r="B28" s="244" t="s">
        <v>199</v>
      </c>
      <c r="C28" s="228">
        <f t="shared" si="6"/>
        <v>3.9632421857174061</v>
      </c>
      <c r="D28" s="247">
        <f t="shared" si="9"/>
        <v>1.8766595106346127</v>
      </c>
      <c r="E28" s="248">
        <f t="shared" si="10"/>
        <v>8.3698127090398469</v>
      </c>
      <c r="F28" s="223">
        <f t="shared" si="3"/>
        <v>1.2567358529037943E-13</v>
      </c>
      <c r="G28" s="224">
        <f t="shared" si="7"/>
        <v>5.9508482706577007E-14</v>
      </c>
      <c r="H28" s="225">
        <f t="shared" si="8"/>
        <v>2.6540501994672272E-13</v>
      </c>
      <c r="I28" s="219">
        <f t="shared" si="4"/>
        <v>-29.705088442285167</v>
      </c>
      <c r="J28" s="230">
        <f t="shared" si="5"/>
        <v>0.29020538965003162</v>
      </c>
      <c r="K28" s="416"/>
    </row>
    <row r="29" spans="1:11" ht="16" x14ac:dyDescent="0.2">
      <c r="A29" s="217"/>
      <c r="B29" s="250" t="s">
        <v>200</v>
      </c>
      <c r="C29" s="251">
        <f t="shared" si="6"/>
        <v>3.9632421857174061</v>
      </c>
      <c r="D29" s="252">
        <f t="shared" si="9"/>
        <v>1.8766595106346127</v>
      </c>
      <c r="E29" s="253">
        <f t="shared" si="10"/>
        <v>8.3698127090398469</v>
      </c>
      <c r="F29" s="254">
        <f t="shared" si="3"/>
        <v>1.2567358529037943E-13</v>
      </c>
      <c r="G29" s="255">
        <f t="shared" si="7"/>
        <v>5.9508482706577007E-14</v>
      </c>
      <c r="H29" s="256">
        <f t="shared" si="8"/>
        <v>2.6540501994672272E-13</v>
      </c>
      <c r="I29" s="257">
        <f t="shared" si="4"/>
        <v>-29.705088442285167</v>
      </c>
      <c r="J29" s="258">
        <f t="shared" si="5"/>
        <v>0.29020538965003162</v>
      </c>
      <c r="K29" s="417"/>
    </row>
    <row r="30" spans="1:11" x14ac:dyDescent="0.2">
      <c r="A30" s="217"/>
      <c r="B30" s="217"/>
      <c r="C30" s="217"/>
      <c r="D30" s="217"/>
      <c r="E30" s="217"/>
      <c r="F30" s="217"/>
      <c r="G30" s="217"/>
      <c r="H30" s="217"/>
    </row>
    <row r="31" spans="1:11" x14ac:dyDescent="0.2">
      <c r="A31" s="217"/>
      <c r="B31" s="217"/>
      <c r="C31" s="217"/>
      <c r="D31" s="217"/>
      <c r="E31" s="217"/>
      <c r="F31" s="217"/>
      <c r="G31" s="217"/>
      <c r="H31" s="217"/>
      <c r="K31" s="233"/>
    </row>
    <row r="32" spans="1:11" x14ac:dyDescent="0.2">
      <c r="A32" s="217"/>
      <c r="B32" s="25" t="s">
        <v>315</v>
      </c>
      <c r="K32" s="233"/>
    </row>
    <row r="33" spans="1:11" x14ac:dyDescent="0.2">
      <c r="B33" s="259"/>
      <c r="C33" s="260"/>
      <c r="F33" s="259"/>
      <c r="I33" s="259"/>
      <c r="J33" s="259"/>
      <c r="K33" s="261"/>
    </row>
    <row r="34" spans="1:11" x14ac:dyDescent="0.2">
      <c r="A34" s="259"/>
      <c r="B34" s="260" t="s">
        <v>312</v>
      </c>
      <c r="C34" s="260" t="s">
        <v>311</v>
      </c>
      <c r="D34" s="260" t="s">
        <v>309</v>
      </c>
      <c r="E34" s="260" t="s">
        <v>310</v>
      </c>
      <c r="F34" s="260" t="s">
        <v>313</v>
      </c>
      <c r="G34" s="260" t="s">
        <v>318</v>
      </c>
      <c r="H34" s="262" t="s">
        <v>314</v>
      </c>
      <c r="I34" s="262" t="s">
        <v>317</v>
      </c>
    </row>
    <row r="35" spans="1:11" x14ac:dyDescent="0.2">
      <c r="A35" s="260"/>
      <c r="B35" s="259" t="s">
        <v>195</v>
      </c>
      <c r="C35" s="259" t="s">
        <v>316</v>
      </c>
      <c r="D35" s="263">
        <v>2</v>
      </c>
      <c r="E35" s="264">
        <v>0.2</v>
      </c>
      <c r="F35" s="263">
        <f>154/365</f>
        <v>0.42191780821917807</v>
      </c>
      <c r="G35" s="265">
        <v>15</v>
      </c>
      <c r="H35" s="266">
        <f>1/2*G35/F35*(1-(1-E35)^(1/D35))</f>
        <v>1.8766595106346127</v>
      </c>
      <c r="I35" s="126">
        <f>H35/(365*24*3600)/1000000</f>
        <v>5.9508482706577007E-14</v>
      </c>
    </row>
    <row r="36" spans="1:11" x14ac:dyDescent="0.2">
      <c r="A36" s="259"/>
      <c r="B36" s="259" t="s">
        <v>195</v>
      </c>
      <c r="C36" s="259" t="s">
        <v>316</v>
      </c>
      <c r="D36" s="263">
        <v>2</v>
      </c>
      <c r="E36" s="264">
        <v>0.72</v>
      </c>
      <c r="F36" s="263">
        <f>154/365</f>
        <v>0.42191780821917807</v>
      </c>
      <c r="G36" s="265">
        <v>15</v>
      </c>
      <c r="H36" s="266">
        <f>1/2*G36/F36*(1-(1-E36)^(1/D36))</f>
        <v>8.3698127090398469</v>
      </c>
      <c r="I36" s="126">
        <f t="shared" ref="I36:I38" si="11">H36/(365*24*3600)/1000000</f>
        <v>2.6540501994672272E-13</v>
      </c>
    </row>
    <row r="37" spans="1:11" x14ac:dyDescent="0.2">
      <c r="B37" s="259" t="s">
        <v>195</v>
      </c>
      <c r="C37" s="259" t="s">
        <v>319</v>
      </c>
      <c r="D37" s="263">
        <v>2</v>
      </c>
      <c r="E37" s="264">
        <v>0.16</v>
      </c>
      <c r="F37" s="263">
        <f>90/365</f>
        <v>0.24657534246575341</v>
      </c>
      <c r="G37" s="265">
        <v>15</v>
      </c>
      <c r="H37" s="266">
        <f>1/2*G37/F37*(1-(1-E37)^(1/D37))</f>
        <v>2.5393311890186405</v>
      </c>
      <c r="I37" s="126">
        <f t="shared" si="11"/>
        <v>8.0521663781666674E-14</v>
      </c>
    </row>
    <row r="38" spans="1:11" x14ac:dyDescent="0.2">
      <c r="B38" s="259" t="s">
        <v>195</v>
      </c>
      <c r="C38" s="259" t="s">
        <v>319</v>
      </c>
      <c r="D38" s="263">
        <v>2</v>
      </c>
      <c r="E38" s="264">
        <v>0.28000000000000003</v>
      </c>
      <c r="F38" s="263">
        <f>90/365</f>
        <v>0.24657534246575341</v>
      </c>
      <c r="G38" s="265">
        <v>15</v>
      </c>
      <c r="H38" s="266">
        <f>1/2*G38/F38*(1-(1-E38)^(1/D38))</f>
        <v>4.6072691533576826</v>
      </c>
      <c r="I38" s="126">
        <f t="shared" si="11"/>
        <v>1.460955464661873E-13</v>
      </c>
    </row>
    <row r="40" spans="1:11" x14ac:dyDescent="0.2">
      <c r="K40" s="233"/>
    </row>
  </sheetData>
  <mergeCells count="2">
    <mergeCell ref="K25:K29"/>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326B-A7C2-714F-BE68-28965D8487FF}">
  <dimension ref="A1:V38"/>
  <sheetViews>
    <sheetView workbookViewId="0">
      <selection activeCell="E9" sqref="E9"/>
    </sheetView>
  </sheetViews>
  <sheetFormatPr baseColWidth="10" defaultRowHeight="15" x14ac:dyDescent="0.2"/>
  <cols>
    <col min="1" max="1" width="10.83203125" style="15"/>
    <col min="2" max="2" width="14.1640625" style="15" customWidth="1"/>
    <col min="3" max="16384" width="10.83203125" style="15"/>
  </cols>
  <sheetData>
    <row r="1" spans="1:22" x14ac:dyDescent="0.2">
      <c r="A1" s="116"/>
      <c r="B1" s="116"/>
      <c r="C1" s="116"/>
      <c r="D1" s="116"/>
      <c r="E1" s="116"/>
      <c r="F1" s="116"/>
      <c r="G1" s="116"/>
      <c r="H1" s="116"/>
      <c r="I1" s="116"/>
      <c r="J1" s="116"/>
      <c r="K1" s="116"/>
      <c r="L1" s="116"/>
      <c r="M1" s="116"/>
      <c r="N1" s="116"/>
    </row>
    <row r="2" spans="1:22" ht="19" x14ac:dyDescent="0.2">
      <c r="A2" s="116"/>
      <c r="B2" s="283" t="s">
        <v>302</v>
      </c>
      <c r="C2" s="116"/>
      <c r="D2" s="116"/>
      <c r="E2" s="116"/>
      <c r="F2" s="116"/>
      <c r="G2" s="116"/>
      <c r="H2" s="116"/>
      <c r="I2" s="116"/>
      <c r="J2" s="116"/>
      <c r="K2" s="116"/>
      <c r="L2" s="116"/>
      <c r="M2" s="116"/>
      <c r="N2" s="116"/>
    </row>
    <row r="3" spans="1:22" ht="19" x14ac:dyDescent="0.2">
      <c r="A3" s="116"/>
      <c r="B3" s="283"/>
      <c r="C3" s="116"/>
      <c r="D3" s="116"/>
      <c r="E3" s="116"/>
      <c r="F3" s="116"/>
      <c r="G3" s="116"/>
      <c r="H3" s="116"/>
      <c r="I3" s="116"/>
      <c r="J3" s="116"/>
      <c r="K3" s="116"/>
      <c r="L3" s="116"/>
      <c r="M3" s="116"/>
      <c r="N3" s="116"/>
    </row>
    <row r="4" spans="1:22" ht="68" customHeight="1" x14ac:dyDescent="0.2">
      <c r="A4" s="216"/>
      <c r="B4" s="415" t="s">
        <v>420</v>
      </c>
      <c r="C4" s="415"/>
      <c r="D4" s="415"/>
      <c r="E4" s="415"/>
      <c r="F4" s="415"/>
      <c r="G4" s="415"/>
      <c r="H4" s="415"/>
      <c r="I4" s="415"/>
      <c r="J4" s="415"/>
      <c r="K4" s="116"/>
      <c r="L4" s="116"/>
      <c r="M4" s="116"/>
      <c r="N4" s="116"/>
    </row>
    <row r="5" spans="1:22" x14ac:dyDescent="0.2">
      <c r="A5" s="216"/>
      <c r="B5" s="215"/>
      <c r="C5" s="215"/>
      <c r="D5" s="215"/>
      <c r="E5" s="215"/>
      <c r="F5" s="215"/>
      <c r="G5" s="215"/>
      <c r="H5" s="215"/>
      <c r="I5" s="215"/>
      <c r="J5" s="215"/>
      <c r="K5" s="116"/>
      <c r="L5" s="116"/>
      <c r="M5" s="116"/>
      <c r="N5" s="116"/>
      <c r="O5" s="116"/>
      <c r="P5" s="116"/>
    </row>
    <row r="6" spans="1:22" x14ac:dyDescent="0.2">
      <c r="A6" s="216"/>
      <c r="B6" s="386"/>
      <c r="C6" s="420" t="s">
        <v>0</v>
      </c>
      <c r="D6" s="418"/>
      <c r="E6" s="418"/>
      <c r="F6" s="419"/>
      <c r="G6" s="420" t="s">
        <v>1</v>
      </c>
      <c r="H6" s="418"/>
      <c r="I6" s="418"/>
      <c r="J6" s="419"/>
      <c r="K6" s="420" t="s">
        <v>2</v>
      </c>
      <c r="L6" s="418"/>
      <c r="M6" s="418"/>
      <c r="N6" s="419"/>
      <c r="O6" s="420" t="s">
        <v>3</v>
      </c>
      <c r="P6" s="418"/>
      <c r="Q6" s="418"/>
      <c r="R6" s="419"/>
      <c r="S6" s="418" t="s">
        <v>8</v>
      </c>
      <c r="T6" s="418"/>
      <c r="U6" s="418"/>
      <c r="V6" s="419"/>
    </row>
    <row r="7" spans="1:22" ht="32" x14ac:dyDescent="0.2">
      <c r="A7" s="216"/>
      <c r="B7" s="6" t="s">
        <v>12</v>
      </c>
      <c r="C7" s="377" t="s">
        <v>418</v>
      </c>
      <c r="D7" s="385" t="s">
        <v>419</v>
      </c>
      <c r="E7" s="10" t="s">
        <v>349</v>
      </c>
      <c r="F7" s="11" t="s">
        <v>350</v>
      </c>
      <c r="G7" s="377" t="s">
        <v>418</v>
      </c>
      <c r="H7" s="378" t="s">
        <v>419</v>
      </c>
      <c r="I7" s="10" t="s">
        <v>349</v>
      </c>
      <c r="J7" s="11" t="s">
        <v>350</v>
      </c>
      <c r="K7" s="377" t="s">
        <v>418</v>
      </c>
      <c r="L7" s="385" t="s">
        <v>419</v>
      </c>
      <c r="M7" s="10" t="s">
        <v>349</v>
      </c>
      <c r="N7" s="11" t="s">
        <v>350</v>
      </c>
      <c r="O7" s="377" t="s">
        <v>418</v>
      </c>
      <c r="P7" s="385" t="s">
        <v>419</v>
      </c>
      <c r="Q7" s="10" t="s">
        <v>349</v>
      </c>
      <c r="R7" s="11" t="s">
        <v>350</v>
      </c>
      <c r="S7" s="385" t="s">
        <v>418</v>
      </c>
      <c r="T7" s="385" t="s">
        <v>419</v>
      </c>
      <c r="U7" s="10" t="s">
        <v>349</v>
      </c>
      <c r="V7" s="11" t="s">
        <v>350</v>
      </c>
    </row>
    <row r="8" spans="1:22" ht="16" x14ac:dyDescent="0.2">
      <c r="A8" s="215"/>
      <c r="B8" s="387" t="s">
        <v>422</v>
      </c>
      <c r="C8" s="389">
        <v>1.0262753023911369E-2</v>
      </c>
      <c r="D8" s="383">
        <v>8.8522568518694625E-4</v>
      </c>
      <c r="E8" s="288">
        <f>LN(C8)</f>
        <v>-4.5792341493151865</v>
      </c>
      <c r="F8" s="289">
        <f>D8</f>
        <v>8.8522568518694625E-4</v>
      </c>
      <c r="G8" s="389">
        <v>1.1050589923981958E-2</v>
      </c>
      <c r="H8" s="391">
        <v>5.7046216926572363E-3</v>
      </c>
      <c r="I8" s="288">
        <f>LN(G8)</f>
        <v>-4.5052714656577013</v>
      </c>
      <c r="J8" s="289">
        <f>H8</f>
        <v>5.7046216926572363E-3</v>
      </c>
      <c r="K8" s="389">
        <v>2.432762664179211E-4</v>
      </c>
      <c r="L8" s="383">
        <v>2.9524825547148014E-4</v>
      </c>
      <c r="M8" s="288">
        <f>LN(K8)</f>
        <v>-8.3213128615646177</v>
      </c>
      <c r="N8" s="289">
        <f>L8</f>
        <v>2.9524825547148014E-4</v>
      </c>
      <c r="O8" s="393">
        <v>5.498191491131529E-3</v>
      </c>
      <c r="P8" s="394">
        <v>5.095161679579672E-3</v>
      </c>
      <c r="Q8" s="288">
        <f>LN(O8)</f>
        <v>-5.2033360606110612</v>
      </c>
      <c r="R8" s="289">
        <f>P8</f>
        <v>5.095161679579672E-3</v>
      </c>
      <c r="S8" s="393">
        <v>2.7325414959528186E-4</v>
      </c>
      <c r="T8" s="395">
        <v>2.0039698122812592E-4</v>
      </c>
      <c r="U8" s="288">
        <f>LN(S8)</f>
        <v>-8.2051082449468797</v>
      </c>
      <c r="V8" s="289">
        <f>T8</f>
        <v>2.0039698122812592E-4</v>
      </c>
    </row>
    <row r="9" spans="1:22" ht="16" x14ac:dyDescent="0.2">
      <c r="A9" s="215"/>
      <c r="B9" s="387" t="s">
        <v>423</v>
      </c>
      <c r="C9" s="389">
        <v>3.358408094206361E-11</v>
      </c>
      <c r="D9" s="383">
        <v>0.18031551631660608</v>
      </c>
      <c r="E9" s="288">
        <f>LN(C9)</f>
        <v>-24.116968942715502</v>
      </c>
      <c r="F9" s="289">
        <f t="shared" ref="F9:F13" si="0">D9</f>
        <v>0.18031551631660608</v>
      </c>
      <c r="G9" s="389">
        <v>4.9999999999999827E-13</v>
      </c>
      <c r="H9" s="391">
        <v>0.10974721132064617</v>
      </c>
      <c r="I9" s="288">
        <f t="shared" ref="I9:I13" si="1">LN(G9)</f>
        <v>-28.324168296488498</v>
      </c>
      <c r="J9" s="289">
        <f t="shared" ref="J9:J13" si="2">H9</f>
        <v>0.10974721132064617</v>
      </c>
      <c r="K9" s="389">
        <v>0.79097577099168459</v>
      </c>
      <c r="L9" s="383">
        <v>0.19332889713928206</v>
      </c>
      <c r="M9" s="288">
        <f t="shared" ref="M9:M13" si="3">LN(K9)</f>
        <v>-0.23448794254115907</v>
      </c>
      <c r="N9" s="289">
        <f t="shared" ref="N9:N13" si="4">L9</f>
        <v>0.19332889713928206</v>
      </c>
      <c r="O9" s="389">
        <v>1.3720790802151868E-2</v>
      </c>
      <c r="P9" s="391">
        <v>0.11216725202724696</v>
      </c>
      <c r="Q9" s="288">
        <f t="shared" ref="Q9:Q13" si="5">LN(O9)</f>
        <v>-4.2888430197046334</v>
      </c>
      <c r="R9" s="289">
        <f t="shared" ref="R9:R13" si="6">P9</f>
        <v>0.11216725202724696</v>
      </c>
      <c r="S9" s="389">
        <v>0.24329239036966804</v>
      </c>
      <c r="T9" s="383">
        <v>6.755047266342272E-2</v>
      </c>
      <c r="U9" s="288">
        <f t="shared" ref="U9:U13" si="7">LN(S9)</f>
        <v>-1.4134913064196912</v>
      </c>
      <c r="V9" s="289">
        <f t="shared" ref="V9:V13" si="8">T9</f>
        <v>6.755047266342272E-2</v>
      </c>
    </row>
    <row r="10" spans="1:22" ht="16" x14ac:dyDescent="0.2">
      <c r="A10" s="215"/>
      <c r="B10" s="387" t="s">
        <v>424</v>
      </c>
      <c r="C10" s="389">
        <v>2.1825283888841857E-3</v>
      </c>
      <c r="D10" s="383">
        <v>4.2838610360828892E-3</v>
      </c>
      <c r="E10" s="288">
        <f t="shared" ref="E10:E13" si="9">LN(C10)</f>
        <v>-6.1272712628280415</v>
      </c>
      <c r="F10" s="289">
        <f t="shared" si="0"/>
        <v>4.2838610360828892E-3</v>
      </c>
      <c r="G10" s="389">
        <v>1.0314560124374485E-2</v>
      </c>
      <c r="H10" s="391">
        <v>6.1122893201501606E-3</v>
      </c>
      <c r="I10" s="288">
        <f t="shared" si="1"/>
        <v>-4.5741987776363207</v>
      </c>
      <c r="J10" s="289">
        <f t="shared" si="2"/>
        <v>6.1122893201501606E-3</v>
      </c>
      <c r="K10" s="389">
        <v>1.3261955767881682E-5</v>
      </c>
      <c r="L10" s="383">
        <v>2.1960388534196288E-5</v>
      </c>
      <c r="M10" s="288">
        <f t="shared" si="3"/>
        <v>-11.230611090275636</v>
      </c>
      <c r="N10" s="289">
        <f t="shared" si="4"/>
        <v>2.1960388534196288E-5</v>
      </c>
      <c r="O10" s="389">
        <v>1.7245229542043029E-2</v>
      </c>
      <c r="P10" s="391">
        <v>1.6245854917083305E-3</v>
      </c>
      <c r="Q10" s="288">
        <f t="shared" si="5"/>
        <v>-4.0602197220386582</v>
      </c>
      <c r="R10" s="289">
        <f t="shared" si="6"/>
        <v>1.6245854917083305E-3</v>
      </c>
      <c r="S10" s="389">
        <v>1.4446952203994605E-2</v>
      </c>
      <c r="T10" s="383">
        <v>4.3872181235929018E-6</v>
      </c>
      <c r="U10" s="288">
        <f t="shared" si="7"/>
        <v>-4.2372718068092583</v>
      </c>
      <c r="V10" s="289">
        <f t="shared" si="8"/>
        <v>4.3872181235929018E-6</v>
      </c>
    </row>
    <row r="11" spans="1:22" ht="16" x14ac:dyDescent="0.2">
      <c r="A11" s="215"/>
      <c r="B11" s="387" t="s">
        <v>425</v>
      </c>
      <c r="C11" s="389">
        <v>0.29904863199407866</v>
      </c>
      <c r="D11" s="383">
        <v>0.56576349322207697</v>
      </c>
      <c r="E11" s="288">
        <f t="shared" si="9"/>
        <v>-1.2071490700077065</v>
      </c>
      <c r="F11" s="289">
        <f t="shared" si="0"/>
        <v>0.56576349322207697</v>
      </c>
      <c r="G11" s="389">
        <v>4.362022267738264E-3</v>
      </c>
      <c r="H11" s="391">
        <v>3.6211086630142278E-5</v>
      </c>
      <c r="I11" s="288">
        <f t="shared" si="1"/>
        <v>-5.4348195062780258</v>
      </c>
      <c r="J11" s="289">
        <f t="shared" si="2"/>
        <v>3.6211086630142278E-5</v>
      </c>
      <c r="K11" s="389">
        <v>1.8763022076137708</v>
      </c>
      <c r="L11" s="383">
        <v>0.22318783126059411</v>
      </c>
      <c r="M11" s="288">
        <f t="shared" si="3"/>
        <v>0.62930292908874985</v>
      </c>
      <c r="N11" s="289">
        <f t="shared" si="4"/>
        <v>0.22318783126059411</v>
      </c>
      <c r="O11" s="389">
        <v>0.70549281899550453</v>
      </c>
      <c r="P11" s="391">
        <v>0.38047219974999136</v>
      </c>
      <c r="Q11" s="288">
        <f t="shared" si="5"/>
        <v>-0.3488586863441826</v>
      </c>
      <c r="R11" s="289">
        <f t="shared" si="6"/>
        <v>0.38047219974999136</v>
      </c>
      <c r="S11" s="389">
        <v>1.0090731771779824</v>
      </c>
      <c r="T11" s="383">
        <v>0.16004412598369772</v>
      </c>
      <c r="U11" s="288">
        <f t="shared" si="7"/>
        <v>9.0322631995621971E-3</v>
      </c>
      <c r="V11" s="289">
        <f t="shared" si="8"/>
        <v>0.16004412598369772</v>
      </c>
    </row>
    <row r="12" spans="1:22" ht="16" x14ac:dyDescent="0.2">
      <c r="A12" s="215"/>
      <c r="B12" s="387" t="s">
        <v>426</v>
      </c>
      <c r="C12" s="389">
        <v>3.780320604053785E-4</v>
      </c>
      <c r="D12" s="383">
        <v>1.0821863165152337E-3</v>
      </c>
      <c r="E12" s="288">
        <f t="shared" si="9"/>
        <v>-7.8805315500541058</v>
      </c>
      <c r="F12" s="289">
        <f t="shared" si="0"/>
        <v>1.0821863165152337E-3</v>
      </c>
      <c r="G12" s="389">
        <v>1.0475542749963076E-4</v>
      </c>
      <c r="H12" s="391">
        <v>4.4412819089122309E-4</v>
      </c>
      <c r="I12" s="288">
        <f t="shared" si="1"/>
        <v>-9.1638821866653597</v>
      </c>
      <c r="J12" s="289">
        <f t="shared" si="2"/>
        <v>4.4412819089122309E-4</v>
      </c>
      <c r="K12" s="389">
        <v>1.5217890973559184E-2</v>
      </c>
      <c r="L12" s="383">
        <v>4.4013893320794464E-6</v>
      </c>
      <c r="M12" s="288">
        <f t="shared" si="3"/>
        <v>-4.1852835055615794</v>
      </c>
      <c r="N12" s="289">
        <f t="shared" si="4"/>
        <v>4.4013893320794464E-6</v>
      </c>
      <c r="O12" s="389">
        <v>1.6158543822027385E-5</v>
      </c>
      <c r="P12" s="391">
        <v>3.8147496202113584E-5</v>
      </c>
      <c r="Q12" s="288">
        <f t="shared" si="5"/>
        <v>-11.033061618954534</v>
      </c>
      <c r="R12" s="289">
        <f t="shared" si="6"/>
        <v>3.8147496202113584E-5</v>
      </c>
      <c r="S12" s="389">
        <v>6.2330521521325821E-5</v>
      </c>
      <c r="T12" s="383">
        <v>1.7657693967440435E-4</v>
      </c>
      <c r="U12" s="288">
        <f t="shared" si="7"/>
        <v>-9.6830593400787937</v>
      </c>
      <c r="V12" s="289">
        <f t="shared" si="8"/>
        <v>1.7657693967440435E-4</v>
      </c>
    </row>
    <row r="13" spans="1:22" ht="16" x14ac:dyDescent="0.2">
      <c r="A13" s="215"/>
      <c r="B13" s="388" t="s">
        <v>427</v>
      </c>
      <c r="C13" s="390">
        <v>0.21648776963088343</v>
      </c>
      <c r="D13" s="384">
        <v>0.17415973531339507</v>
      </c>
      <c r="E13" s="306">
        <f t="shared" si="9"/>
        <v>-1.5302212244476034</v>
      </c>
      <c r="F13" s="307">
        <f t="shared" si="0"/>
        <v>0.17415973531339507</v>
      </c>
      <c r="G13" s="390">
        <v>0.32405972126395782</v>
      </c>
      <c r="H13" s="392">
        <v>0.19223313230112987</v>
      </c>
      <c r="I13" s="306">
        <f t="shared" si="1"/>
        <v>-1.1268274552867941</v>
      </c>
      <c r="J13" s="307">
        <f t="shared" si="2"/>
        <v>0.19223313230112987</v>
      </c>
      <c r="K13" s="390">
        <v>7.8461949501476475E-2</v>
      </c>
      <c r="L13" s="384">
        <v>4.5684842445671371E-2</v>
      </c>
      <c r="M13" s="306">
        <f t="shared" si="3"/>
        <v>-2.5451414914347712</v>
      </c>
      <c r="N13" s="307">
        <f t="shared" si="4"/>
        <v>4.5684842445671371E-2</v>
      </c>
      <c r="O13" s="390">
        <v>0.4421091864971286</v>
      </c>
      <c r="P13" s="392">
        <v>0.11138573469379663</v>
      </c>
      <c r="Q13" s="306">
        <f t="shared" si="5"/>
        <v>-0.81619839913685255</v>
      </c>
      <c r="R13" s="307">
        <f t="shared" si="6"/>
        <v>0.11138573469379663</v>
      </c>
      <c r="S13" s="390">
        <v>0.49603678909463539</v>
      </c>
      <c r="T13" s="384">
        <v>0.12211789796236601</v>
      </c>
      <c r="U13" s="306">
        <f t="shared" si="7"/>
        <v>-0.70110518344601891</v>
      </c>
      <c r="V13" s="307">
        <f t="shared" si="8"/>
        <v>0.12211789796236601</v>
      </c>
    </row>
    <row r="14" spans="1:22" ht="20" x14ac:dyDescent="0.2">
      <c r="A14" s="215"/>
      <c r="B14" s="116"/>
      <c r="C14" s="286"/>
      <c r="D14" s="286"/>
      <c r="E14" s="216"/>
      <c r="F14" s="379"/>
      <c r="G14" s="116"/>
      <c r="H14" s="380"/>
      <c r="I14" s="380"/>
      <c r="J14" s="381"/>
      <c r="K14" s="116"/>
      <c r="L14" s="116"/>
      <c r="M14" s="116"/>
      <c r="N14" s="116"/>
      <c r="O14" s="116"/>
      <c r="P14" s="116"/>
    </row>
    <row r="15" spans="1:22" ht="20" x14ac:dyDescent="0.2">
      <c r="A15" s="215"/>
      <c r="B15" s="216"/>
      <c r="C15" s="286"/>
      <c r="D15" s="286"/>
      <c r="E15" s="216"/>
      <c r="F15" s="379"/>
      <c r="G15" s="116"/>
      <c r="H15" s="380"/>
      <c r="I15" s="380"/>
      <c r="J15" s="381"/>
      <c r="K15" s="116"/>
      <c r="L15" s="116"/>
      <c r="M15" s="116"/>
      <c r="N15" s="116"/>
      <c r="O15" s="116"/>
      <c r="P15" s="116"/>
    </row>
    <row r="16" spans="1:22" ht="20" x14ac:dyDescent="0.2">
      <c r="A16" s="215"/>
      <c r="B16" s="216"/>
      <c r="C16" s="286"/>
      <c r="D16" s="286"/>
      <c r="E16" s="216"/>
      <c r="F16" s="379"/>
      <c r="G16" s="116"/>
      <c r="H16" s="380"/>
      <c r="I16" s="380"/>
      <c r="J16" s="381"/>
      <c r="K16" s="116"/>
      <c r="L16" s="116"/>
      <c r="M16" s="116"/>
      <c r="N16" s="116"/>
      <c r="O16" s="116"/>
      <c r="P16" s="116"/>
    </row>
    <row r="17" spans="1:16" ht="16" x14ac:dyDescent="0.2">
      <c r="A17" s="215"/>
      <c r="B17" s="382"/>
      <c r="C17" s="286"/>
      <c r="D17" s="286"/>
      <c r="E17" s="216"/>
      <c r="F17" s="379"/>
      <c r="G17" s="116"/>
      <c r="H17" s="116"/>
      <c r="I17" s="116"/>
      <c r="J17" s="116"/>
      <c r="K17" s="116"/>
      <c r="L17" s="116"/>
      <c r="M17" s="116"/>
      <c r="N17" s="116"/>
      <c r="O17" s="116"/>
      <c r="P17" s="116"/>
    </row>
    <row r="18" spans="1:16" ht="16" x14ac:dyDescent="0.2">
      <c r="A18" s="215"/>
      <c r="B18" s="216"/>
      <c r="C18" s="286"/>
      <c r="D18" s="286"/>
      <c r="E18" s="216"/>
      <c r="F18" s="379"/>
      <c r="G18" s="116"/>
      <c r="H18" s="116"/>
      <c r="I18" s="116"/>
      <c r="J18" s="116"/>
      <c r="K18" s="116"/>
      <c r="L18" s="116"/>
      <c r="M18" s="116"/>
      <c r="N18" s="116"/>
      <c r="O18" s="116"/>
      <c r="P18" s="116"/>
    </row>
    <row r="19" spans="1:16" ht="16" x14ac:dyDescent="0.2">
      <c r="A19" s="215"/>
      <c r="B19" s="216"/>
      <c r="C19" s="286"/>
      <c r="D19" s="286"/>
      <c r="E19" s="216"/>
      <c r="F19" s="379"/>
      <c r="G19" s="116"/>
      <c r="H19" s="116"/>
      <c r="I19" s="116"/>
      <c r="J19" s="116"/>
      <c r="K19" s="116"/>
      <c r="L19" s="116"/>
      <c r="M19" s="116"/>
      <c r="N19" s="116"/>
      <c r="O19" s="116"/>
      <c r="P19" s="116"/>
    </row>
    <row r="20" spans="1:16" ht="16" x14ac:dyDescent="0.2">
      <c r="A20" s="215"/>
      <c r="B20" s="216"/>
      <c r="C20" s="286"/>
      <c r="D20" s="286"/>
      <c r="E20" s="216"/>
      <c r="F20" s="379"/>
      <c r="G20" s="116"/>
      <c r="H20" s="116"/>
      <c r="I20" s="116"/>
      <c r="J20" s="116"/>
      <c r="K20" s="116"/>
      <c r="L20" s="116"/>
      <c r="M20" s="116"/>
      <c r="N20" s="116"/>
      <c r="O20" s="116"/>
      <c r="P20" s="116"/>
    </row>
    <row r="21" spans="1:16" ht="16" x14ac:dyDescent="0.2">
      <c r="A21" s="215"/>
      <c r="B21" s="216"/>
      <c r="C21" s="286"/>
      <c r="D21" s="286"/>
      <c r="E21" s="216"/>
      <c r="F21" s="379"/>
      <c r="G21" s="116"/>
      <c r="H21" s="116"/>
      <c r="I21" s="116"/>
      <c r="J21" s="116"/>
      <c r="K21" s="116"/>
      <c r="L21" s="116"/>
      <c r="M21" s="116"/>
      <c r="N21" s="116"/>
      <c r="O21" s="116"/>
      <c r="P21" s="116"/>
    </row>
    <row r="22" spans="1:16" ht="16" x14ac:dyDescent="0.2">
      <c r="A22" s="215"/>
      <c r="B22" s="216"/>
      <c r="C22" s="286"/>
      <c r="D22" s="286"/>
      <c r="E22" s="216"/>
      <c r="F22" s="379"/>
      <c r="G22" s="116"/>
      <c r="H22" s="116"/>
      <c r="I22" s="116"/>
      <c r="J22" s="116"/>
      <c r="K22" s="116"/>
      <c r="L22" s="116"/>
      <c r="M22" s="116"/>
      <c r="N22" s="116"/>
      <c r="O22" s="116"/>
      <c r="P22" s="116"/>
    </row>
    <row r="23" spans="1:16" ht="16" x14ac:dyDescent="0.2">
      <c r="A23" s="215"/>
      <c r="B23" s="216"/>
      <c r="C23" s="286"/>
      <c r="D23" s="286"/>
      <c r="E23" s="216"/>
      <c r="F23" s="379"/>
      <c r="G23" s="116"/>
      <c r="H23" s="116"/>
      <c r="I23" s="116"/>
      <c r="J23" s="116"/>
      <c r="K23" s="116"/>
      <c r="L23" s="116"/>
      <c r="M23" s="116"/>
      <c r="N23" s="116"/>
      <c r="O23" s="116"/>
      <c r="P23" s="116"/>
    </row>
    <row r="24" spans="1:16" ht="16" x14ac:dyDescent="0.2">
      <c r="A24" s="215"/>
      <c r="B24" s="216"/>
      <c r="C24" s="286"/>
      <c r="D24" s="286"/>
      <c r="E24" s="216"/>
      <c r="F24" s="379"/>
      <c r="G24" s="116"/>
      <c r="H24" s="116"/>
      <c r="I24" s="116"/>
      <c r="J24" s="116"/>
      <c r="K24" s="116"/>
      <c r="L24" s="116"/>
      <c r="M24" s="116"/>
      <c r="N24" s="116"/>
      <c r="O24" s="116"/>
      <c r="P24" s="116"/>
    </row>
    <row r="25" spans="1:16" ht="16" x14ac:dyDescent="0.2">
      <c r="A25" s="215"/>
      <c r="B25" s="237"/>
      <c r="C25" s="286"/>
      <c r="D25" s="286"/>
      <c r="E25" s="216"/>
      <c r="F25" s="379"/>
      <c r="G25" s="116"/>
      <c r="H25" s="116"/>
      <c r="I25" s="116"/>
      <c r="J25" s="116"/>
      <c r="K25" s="116"/>
      <c r="L25" s="116"/>
      <c r="M25" s="116"/>
      <c r="N25" s="116"/>
      <c r="O25" s="116"/>
      <c r="P25" s="116"/>
    </row>
    <row r="26" spans="1:16" ht="16" x14ac:dyDescent="0.2">
      <c r="A26" s="215"/>
      <c r="B26" s="237"/>
      <c r="C26" s="286"/>
      <c r="D26" s="286"/>
      <c r="E26" s="216"/>
      <c r="F26" s="379"/>
      <c r="G26" s="116"/>
      <c r="H26" s="116"/>
      <c r="I26" s="116"/>
      <c r="J26" s="116"/>
      <c r="K26" s="116"/>
      <c r="L26" s="116"/>
      <c r="M26" s="116"/>
      <c r="N26" s="116"/>
      <c r="O26" s="116"/>
      <c r="P26" s="116"/>
    </row>
    <row r="27" spans="1:16" ht="16" x14ac:dyDescent="0.2">
      <c r="A27" s="216"/>
      <c r="B27" s="237"/>
      <c r="C27" s="286"/>
      <c r="D27" s="286"/>
      <c r="E27" s="216"/>
      <c r="F27" s="379"/>
      <c r="G27" s="116"/>
      <c r="H27" s="116"/>
      <c r="I27" s="116"/>
      <c r="J27" s="116"/>
      <c r="K27" s="116"/>
      <c r="L27" s="116"/>
      <c r="M27" s="116"/>
      <c r="N27" s="116"/>
      <c r="O27" s="116"/>
      <c r="P27" s="116"/>
    </row>
    <row r="28" spans="1:16" ht="16" x14ac:dyDescent="0.2">
      <c r="A28" s="216"/>
      <c r="B28" s="237"/>
      <c r="C28" s="286"/>
      <c r="D28" s="286"/>
      <c r="E28" s="216"/>
      <c r="F28" s="379"/>
      <c r="G28" s="116"/>
      <c r="H28" s="116"/>
      <c r="I28" s="116"/>
      <c r="J28" s="116"/>
      <c r="K28" s="116"/>
      <c r="L28" s="116"/>
      <c r="M28" s="116"/>
      <c r="N28" s="116"/>
      <c r="O28" s="116"/>
      <c r="P28" s="116"/>
    </row>
    <row r="29" spans="1:16" ht="16" x14ac:dyDescent="0.2">
      <c r="A29" s="216"/>
      <c r="B29" s="237"/>
      <c r="C29" s="286"/>
      <c r="D29" s="286"/>
      <c r="E29" s="216"/>
      <c r="F29" s="379"/>
      <c r="G29" s="116"/>
      <c r="H29" s="116"/>
      <c r="I29" s="116"/>
      <c r="J29" s="116"/>
      <c r="K29" s="116"/>
      <c r="L29" s="116"/>
      <c r="M29" s="116"/>
      <c r="N29" s="116"/>
      <c r="O29" s="116"/>
      <c r="P29" s="116"/>
    </row>
    <row r="30" spans="1:16" ht="16" x14ac:dyDescent="0.2">
      <c r="A30" s="216"/>
      <c r="B30" s="237"/>
      <c r="C30" s="286"/>
      <c r="D30" s="286"/>
      <c r="E30" s="216"/>
      <c r="F30" s="379"/>
      <c r="G30" s="116"/>
      <c r="H30" s="116"/>
      <c r="I30" s="116"/>
      <c r="J30" s="116"/>
      <c r="K30" s="116"/>
      <c r="L30" s="116"/>
      <c r="M30" s="116"/>
      <c r="N30" s="116"/>
      <c r="O30" s="116"/>
      <c r="P30" s="116"/>
    </row>
    <row r="31" spans="1:16" x14ac:dyDescent="0.2">
      <c r="A31" s="216"/>
      <c r="B31" s="216"/>
      <c r="C31" s="216"/>
      <c r="D31" s="216"/>
      <c r="E31" s="216"/>
      <c r="F31" s="216"/>
      <c r="G31" s="216"/>
      <c r="H31" s="216"/>
      <c r="I31" s="216"/>
      <c r="J31" s="233"/>
      <c r="K31" s="116"/>
      <c r="L31" s="116"/>
      <c r="M31" s="116"/>
      <c r="N31" s="116"/>
      <c r="O31" s="116"/>
      <c r="P31" s="116"/>
    </row>
    <row r="32" spans="1:16" x14ac:dyDescent="0.2">
      <c r="A32" s="216"/>
      <c r="B32" s="216"/>
      <c r="C32" s="216"/>
      <c r="D32" s="216"/>
      <c r="E32" s="216"/>
      <c r="F32" s="216"/>
      <c r="G32" s="216"/>
      <c r="H32" s="216"/>
      <c r="I32" s="216"/>
      <c r="J32" s="216"/>
      <c r="K32" s="116"/>
      <c r="L32" s="116"/>
      <c r="M32" s="116"/>
      <c r="N32" s="116"/>
      <c r="O32" s="116"/>
      <c r="P32" s="116"/>
    </row>
    <row r="33" spans="1:16" x14ac:dyDescent="0.2">
      <c r="A33" s="216"/>
      <c r="B33" s="216"/>
      <c r="C33" s="216"/>
      <c r="D33" s="216"/>
      <c r="E33" s="216"/>
      <c r="F33" s="216"/>
      <c r="G33" s="216"/>
      <c r="H33" s="216"/>
      <c r="I33" s="216"/>
      <c r="J33" s="216"/>
      <c r="K33" s="116"/>
      <c r="L33" s="116"/>
      <c r="M33" s="116"/>
      <c r="N33" s="116"/>
      <c r="O33" s="116"/>
      <c r="P33" s="116"/>
    </row>
    <row r="34" spans="1:16" x14ac:dyDescent="0.2">
      <c r="A34" s="216"/>
      <c r="B34" s="216"/>
      <c r="C34" s="216"/>
      <c r="D34" s="216"/>
      <c r="E34" s="216"/>
      <c r="F34" s="216"/>
      <c r="G34" s="216"/>
      <c r="H34" s="216"/>
      <c r="I34" s="216"/>
      <c r="J34" s="216"/>
      <c r="K34" s="116"/>
      <c r="L34" s="116"/>
      <c r="M34" s="116"/>
      <c r="N34" s="116"/>
      <c r="O34" s="116"/>
      <c r="P34" s="116"/>
    </row>
    <row r="35" spans="1:16" x14ac:dyDescent="0.2">
      <c r="A35" s="116"/>
      <c r="B35" s="116"/>
      <c r="C35" s="116"/>
      <c r="D35" s="116"/>
      <c r="E35" s="116"/>
      <c r="F35" s="116"/>
      <c r="G35" s="116"/>
      <c r="H35" s="116"/>
      <c r="I35" s="116"/>
      <c r="J35" s="116"/>
      <c r="K35" s="116"/>
      <c r="L35" s="116"/>
      <c r="M35" s="116"/>
      <c r="N35" s="116"/>
      <c r="O35" s="116"/>
      <c r="P35" s="116"/>
    </row>
    <row r="36" spans="1:16" x14ac:dyDescent="0.2">
      <c r="A36" s="116"/>
      <c r="B36" s="116"/>
      <c r="C36" s="116"/>
      <c r="D36" s="116"/>
      <c r="E36" s="116"/>
      <c r="F36" s="116"/>
      <c r="G36" s="116"/>
      <c r="H36" s="116"/>
      <c r="I36" s="116"/>
      <c r="J36" s="116"/>
      <c r="K36" s="116"/>
      <c r="L36" s="116"/>
      <c r="M36" s="116"/>
      <c r="N36" s="116"/>
    </row>
    <row r="37" spans="1:16" x14ac:dyDescent="0.2">
      <c r="A37" s="116"/>
      <c r="B37" s="116"/>
      <c r="C37" s="116"/>
      <c r="D37" s="116"/>
      <c r="E37" s="116"/>
      <c r="F37" s="116"/>
      <c r="G37" s="116"/>
      <c r="H37" s="116"/>
      <c r="I37" s="116"/>
      <c r="J37" s="116"/>
      <c r="K37" s="116"/>
      <c r="L37" s="116"/>
      <c r="M37" s="116"/>
      <c r="N37" s="116"/>
    </row>
    <row r="38" spans="1:16" x14ac:dyDescent="0.2">
      <c r="A38" s="116"/>
      <c r="B38" s="116"/>
      <c r="C38" s="116"/>
      <c r="D38" s="116"/>
      <c r="E38" s="116"/>
      <c r="F38" s="116"/>
      <c r="G38" s="116"/>
      <c r="H38" s="116"/>
      <c r="I38" s="116"/>
      <c r="J38" s="116"/>
      <c r="K38" s="116"/>
      <c r="L38" s="116"/>
      <c r="M38" s="116"/>
      <c r="N38" s="116"/>
    </row>
  </sheetData>
  <mergeCells count="6">
    <mergeCell ref="S6:V6"/>
    <mergeCell ref="B4:J4"/>
    <mergeCell ref="C6:F6"/>
    <mergeCell ref="G6:J6"/>
    <mergeCell ref="K6:N6"/>
    <mergeCell ref="O6:R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D16C-E59C-4180-A0FC-CE569A0DE423}">
  <dimension ref="B2:E10"/>
  <sheetViews>
    <sheetView zoomScale="125" workbookViewId="0">
      <selection activeCell="D27" sqref="D27"/>
    </sheetView>
  </sheetViews>
  <sheetFormatPr baseColWidth="10" defaultRowHeight="15" x14ac:dyDescent="0.2"/>
  <cols>
    <col min="1" max="1" width="10.83203125" style="15"/>
    <col min="2" max="2" width="15.33203125" style="15" customWidth="1"/>
    <col min="3" max="3" width="20.6640625" style="15" customWidth="1"/>
    <col min="4" max="4" width="16.33203125" style="15" customWidth="1"/>
    <col min="5" max="16384" width="10.83203125" style="15"/>
  </cols>
  <sheetData>
    <row r="2" spans="2:5" ht="19" x14ac:dyDescent="0.2">
      <c r="B2" s="210" t="s">
        <v>37</v>
      </c>
    </row>
    <row r="4" spans="2:5" ht="85" customHeight="1" x14ac:dyDescent="0.2">
      <c r="B4" s="421" t="s">
        <v>357</v>
      </c>
      <c r="C4" s="421"/>
      <c r="D4" s="421"/>
      <c r="E4" s="421"/>
    </row>
    <row r="5" spans="2:5" x14ac:dyDescent="0.2">
      <c r="D5" s="15">
        <v>100</v>
      </c>
      <c r="E5" s="15" t="s">
        <v>169</v>
      </c>
    </row>
    <row r="6" spans="2:5" ht="32" x14ac:dyDescent="0.2">
      <c r="B6" s="211" t="s">
        <v>35</v>
      </c>
      <c r="C6" s="212" t="s">
        <v>36</v>
      </c>
      <c r="D6" s="212" t="s">
        <v>168</v>
      </c>
    </row>
    <row r="7" spans="2:5" x14ac:dyDescent="0.2">
      <c r="B7" s="15" t="s">
        <v>5</v>
      </c>
      <c r="C7" s="213">
        <v>8.3499999999999998E-13</v>
      </c>
      <c r="D7" s="213">
        <f>C7*$D$5</f>
        <v>8.3499999999999996E-11</v>
      </c>
      <c r="E7" s="15" t="s">
        <v>167</v>
      </c>
    </row>
    <row r="8" spans="2:5" x14ac:dyDescent="0.2">
      <c r="B8" s="15" t="s">
        <v>3</v>
      </c>
      <c r="C8" s="213">
        <v>5.6700000000000001E-10</v>
      </c>
      <c r="D8" s="213">
        <f>C8*$D$5</f>
        <v>5.6699999999999998E-8</v>
      </c>
      <c r="E8" s="15" t="s">
        <v>167</v>
      </c>
    </row>
    <row r="9" spans="2:5" x14ac:dyDescent="0.2">
      <c r="B9" s="15" t="s">
        <v>0</v>
      </c>
      <c r="C9" s="213">
        <v>5.6700000000000001E-10</v>
      </c>
      <c r="D9" s="213">
        <f>C9*$D$5</f>
        <v>5.6699999999999998E-8</v>
      </c>
      <c r="E9" s="15" t="s">
        <v>167</v>
      </c>
    </row>
    <row r="10" spans="2:5" x14ac:dyDescent="0.2">
      <c r="B10" s="15" t="s">
        <v>1</v>
      </c>
      <c r="C10" s="213">
        <v>5.6700000000000001E-10</v>
      </c>
      <c r="D10" s="213">
        <f>C10*$D$5</f>
        <v>5.6699999999999998E-8</v>
      </c>
      <c r="E10" s="15" t="s">
        <v>167</v>
      </c>
    </row>
  </sheetData>
  <mergeCells count="1">
    <mergeCell ref="B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DD269-1CF3-5E45-9482-260C7984C90D}">
  <dimension ref="A2:KL104"/>
  <sheetViews>
    <sheetView zoomScale="75" workbookViewId="0">
      <pane xSplit="1" topLeftCell="Y1" activePane="topRight" state="frozen"/>
      <selection activeCell="D27" sqref="D27"/>
      <selection pane="topRight" activeCell="AI57" sqref="AI57"/>
    </sheetView>
  </sheetViews>
  <sheetFormatPr baseColWidth="10" defaultRowHeight="15" x14ac:dyDescent="0.2"/>
  <cols>
    <col min="1" max="1" width="19.33203125" style="155" customWidth="1"/>
    <col min="2" max="3" width="17.6640625" style="155" customWidth="1"/>
    <col min="4" max="4" width="17.1640625" style="155" customWidth="1"/>
    <col min="5" max="5" width="17.33203125" style="155" customWidth="1"/>
    <col min="6" max="6" width="22.6640625" style="155" customWidth="1"/>
    <col min="7" max="7" width="21.5" style="155" customWidth="1"/>
    <col min="8" max="8" width="19.33203125" style="155" customWidth="1"/>
    <col min="9" max="9" width="16.6640625" style="155" customWidth="1"/>
    <col min="10" max="10" width="14.5" style="155" customWidth="1"/>
    <col min="11" max="11" width="16.5" style="155" customWidth="1"/>
    <col min="12" max="12" width="15.6640625" style="155" customWidth="1"/>
    <col min="13" max="13" width="15.5" style="155" customWidth="1"/>
    <col min="14" max="14" width="16.1640625" style="155" customWidth="1"/>
    <col min="15" max="15" width="15.5" style="155" customWidth="1"/>
    <col min="16" max="16" width="23.33203125" style="155" customWidth="1"/>
    <col min="17" max="17" width="19.33203125" style="155" customWidth="1"/>
    <col min="18" max="18" width="15.5" style="155" customWidth="1"/>
    <col min="19" max="19" width="12.83203125" style="155" bestFit="1" customWidth="1"/>
    <col min="20" max="22" width="13.33203125" style="155" bestFit="1" customWidth="1"/>
    <col min="23" max="23" width="19.6640625" style="155" customWidth="1"/>
    <col min="24" max="24" width="15.83203125" style="155" customWidth="1"/>
    <col min="25" max="25" width="21.83203125" style="155" customWidth="1"/>
    <col min="26" max="26" width="19.5" style="155" customWidth="1"/>
    <col min="27" max="27" width="17.1640625" style="155" customWidth="1"/>
    <col min="28" max="28" width="15.5" style="155" customWidth="1"/>
    <col min="29" max="29" width="13.6640625" style="155" customWidth="1"/>
    <col min="30" max="30" width="16" style="155" customWidth="1"/>
    <col min="31" max="31" width="12.83203125" style="155" bestFit="1" customWidth="1"/>
    <col min="32" max="32" width="15.1640625" style="155" customWidth="1"/>
    <col min="33" max="33" width="14.5" style="155" bestFit="1" customWidth="1"/>
    <col min="34" max="34" width="15.6640625" style="155" customWidth="1"/>
    <col min="35" max="35" width="23.5" style="155" customWidth="1"/>
    <col min="36" max="36" width="23.1640625" style="155" customWidth="1"/>
    <col min="37" max="37" width="15.1640625" style="155" customWidth="1"/>
    <col min="38" max="38" width="12.83203125" style="155" bestFit="1" customWidth="1"/>
    <col min="39" max="39" width="11.1640625" style="155" bestFit="1" customWidth="1"/>
    <col min="40" max="40" width="10.83203125" style="155"/>
    <col min="41" max="41" width="12.1640625" style="155" bestFit="1" customWidth="1"/>
    <col min="42" max="42" width="10.83203125" style="155"/>
    <col min="43" max="43" width="12.1640625" style="155" customWidth="1"/>
    <col min="44" max="16384" width="10.83203125" style="155"/>
  </cols>
  <sheetData>
    <row r="2" spans="1:298" ht="19" x14ac:dyDescent="0.25">
      <c r="A2" s="154"/>
      <c r="B2" s="23" t="s">
        <v>90</v>
      </c>
    </row>
    <row r="3" spans="1:298" ht="16" thickBot="1" x14ac:dyDescent="0.25">
      <c r="A3" s="154"/>
      <c r="B3" s="156"/>
      <c r="C3" s="154"/>
      <c r="D3" s="154"/>
      <c r="E3" s="154"/>
      <c r="F3" s="154"/>
      <c r="G3" s="154"/>
    </row>
    <row r="4" spans="1:298" ht="16" thickBot="1" x14ac:dyDescent="0.25">
      <c r="A4" s="158" t="s">
        <v>59</v>
      </c>
      <c r="B4" s="422" t="s">
        <v>119</v>
      </c>
      <c r="C4" s="423"/>
      <c r="D4" s="423"/>
      <c r="E4" s="423"/>
      <c r="F4" s="423"/>
      <c r="G4" s="423"/>
      <c r="H4" s="423"/>
      <c r="I4" s="423"/>
      <c r="J4" s="423"/>
      <c r="K4" s="423"/>
      <c r="L4" s="423"/>
      <c r="M4" s="423"/>
      <c r="N4" s="423"/>
      <c r="O4" s="423"/>
      <c r="P4" s="423"/>
      <c r="Q4" s="423"/>
      <c r="R4" s="423"/>
      <c r="S4" s="423"/>
      <c r="T4" s="424"/>
      <c r="U4" s="425" t="s">
        <v>120</v>
      </c>
      <c r="V4" s="426"/>
      <c r="W4" s="426"/>
      <c r="X4" s="426"/>
      <c r="Y4" s="426"/>
      <c r="Z4" s="426"/>
      <c r="AA4" s="426"/>
      <c r="AB4" s="426"/>
      <c r="AC4" s="426"/>
      <c r="AD4" s="426"/>
      <c r="AE4" s="426"/>
      <c r="AF4" s="426"/>
      <c r="AG4" s="426"/>
      <c r="AH4" s="426"/>
      <c r="AI4" s="426"/>
      <c r="AJ4" s="426"/>
      <c r="AK4" s="426"/>
      <c r="AL4" s="426"/>
      <c r="AM4" s="42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c r="CE4" s="157"/>
      <c r="CF4" s="157"/>
      <c r="CG4" s="157"/>
      <c r="CH4" s="157"/>
      <c r="CI4" s="157"/>
      <c r="CJ4" s="157"/>
      <c r="CK4" s="157"/>
      <c r="CL4" s="157"/>
      <c r="CM4" s="157"/>
      <c r="CN4" s="157"/>
      <c r="CO4" s="157"/>
      <c r="CP4" s="157"/>
      <c r="CQ4" s="157"/>
      <c r="CR4" s="157"/>
      <c r="CS4" s="157"/>
      <c r="CT4" s="157"/>
      <c r="CU4" s="157"/>
      <c r="CV4" s="157"/>
      <c r="CW4" s="157"/>
      <c r="CX4" s="157"/>
      <c r="CY4" s="157"/>
      <c r="CZ4" s="157"/>
      <c r="DA4" s="157"/>
      <c r="DB4" s="157"/>
      <c r="DC4" s="157"/>
      <c r="DD4" s="157"/>
      <c r="DE4" s="157"/>
      <c r="DF4" s="157"/>
      <c r="DG4" s="157"/>
      <c r="DH4" s="157"/>
      <c r="DI4" s="157"/>
      <c r="DJ4" s="157"/>
      <c r="DK4" s="157"/>
      <c r="DL4" s="157"/>
      <c r="DM4" s="157"/>
      <c r="DN4" s="157"/>
      <c r="DO4" s="157"/>
      <c r="DP4" s="157"/>
      <c r="DQ4" s="157"/>
      <c r="DR4" s="157"/>
      <c r="DS4" s="157"/>
      <c r="DT4" s="157"/>
      <c r="DU4" s="157"/>
      <c r="DV4" s="157"/>
      <c r="DW4" s="157"/>
      <c r="DX4" s="157"/>
      <c r="DY4" s="157"/>
      <c r="DZ4" s="157"/>
      <c r="EA4" s="157"/>
      <c r="EB4" s="157"/>
      <c r="EC4" s="157"/>
      <c r="ED4" s="157"/>
      <c r="EE4" s="157"/>
      <c r="EF4" s="157"/>
      <c r="EG4" s="157"/>
      <c r="EH4" s="157"/>
      <c r="EI4" s="157"/>
      <c r="EJ4" s="157"/>
      <c r="EK4" s="157"/>
      <c r="EL4" s="157"/>
      <c r="EM4" s="157"/>
      <c r="EN4" s="157"/>
      <c r="EO4" s="157"/>
      <c r="EP4" s="157"/>
      <c r="EQ4" s="157"/>
      <c r="ER4" s="157"/>
      <c r="ES4" s="157"/>
      <c r="ET4" s="157"/>
      <c r="EU4" s="157"/>
      <c r="EV4" s="157"/>
      <c r="EW4" s="157"/>
      <c r="EX4" s="157"/>
      <c r="EY4" s="157"/>
      <c r="EZ4" s="157"/>
      <c r="FA4" s="157"/>
      <c r="FB4" s="157"/>
      <c r="FC4" s="157"/>
      <c r="FD4" s="157"/>
      <c r="FE4" s="157"/>
      <c r="FF4" s="157"/>
      <c r="FG4" s="157"/>
      <c r="FH4" s="157"/>
      <c r="FI4" s="157"/>
      <c r="FJ4" s="157"/>
      <c r="FK4" s="157"/>
      <c r="FL4" s="157"/>
      <c r="FM4" s="157"/>
      <c r="FN4" s="157"/>
      <c r="FO4" s="157"/>
      <c r="FP4" s="157"/>
      <c r="FQ4" s="157"/>
      <c r="FR4" s="157"/>
      <c r="FS4" s="157"/>
      <c r="FT4" s="157"/>
      <c r="FU4" s="157"/>
      <c r="FV4" s="157"/>
      <c r="FW4" s="157"/>
      <c r="FX4" s="157"/>
      <c r="FY4" s="157"/>
      <c r="FZ4" s="157"/>
      <c r="GA4" s="157"/>
      <c r="GB4" s="157"/>
      <c r="GC4" s="157"/>
      <c r="GD4" s="157"/>
      <c r="GE4" s="157"/>
      <c r="GF4" s="157"/>
      <c r="GG4" s="157"/>
      <c r="GH4" s="157"/>
      <c r="GI4" s="157"/>
      <c r="GJ4" s="157"/>
      <c r="GK4" s="157"/>
      <c r="GL4" s="157"/>
      <c r="GM4" s="157"/>
      <c r="GN4" s="157"/>
      <c r="GO4" s="157"/>
      <c r="GP4" s="157"/>
      <c r="GQ4" s="157"/>
      <c r="GR4" s="157"/>
      <c r="GS4" s="157"/>
      <c r="GT4" s="157"/>
      <c r="GU4" s="157"/>
      <c r="GV4" s="157"/>
      <c r="GW4" s="157"/>
      <c r="GX4" s="157"/>
      <c r="GY4" s="157"/>
      <c r="GZ4" s="157"/>
      <c r="HA4" s="157"/>
      <c r="HB4" s="157"/>
      <c r="HC4" s="157"/>
      <c r="HD4" s="157"/>
      <c r="HE4" s="157"/>
      <c r="HF4" s="157"/>
      <c r="HG4" s="157"/>
      <c r="HH4" s="157"/>
      <c r="HI4" s="157"/>
      <c r="HJ4" s="157"/>
      <c r="HK4" s="157"/>
      <c r="HL4" s="157"/>
      <c r="HM4" s="157"/>
      <c r="HN4" s="157"/>
      <c r="HO4" s="157"/>
      <c r="HP4" s="157"/>
      <c r="HQ4" s="157"/>
      <c r="HR4" s="157"/>
      <c r="HS4" s="157"/>
      <c r="HT4" s="157"/>
      <c r="HU4" s="157"/>
      <c r="HV4" s="157"/>
      <c r="HW4" s="157"/>
      <c r="HX4" s="157"/>
      <c r="HY4" s="157"/>
      <c r="HZ4" s="157"/>
      <c r="IA4" s="157"/>
      <c r="IB4" s="157"/>
      <c r="IC4" s="157"/>
      <c r="ID4" s="157"/>
      <c r="IE4" s="157"/>
      <c r="IF4" s="157"/>
      <c r="IG4" s="157"/>
      <c r="IH4" s="157"/>
      <c r="II4" s="157"/>
      <c r="IJ4" s="157"/>
      <c r="IK4" s="157"/>
      <c r="IL4" s="157"/>
      <c r="IM4" s="157"/>
      <c r="IN4" s="157"/>
      <c r="IO4" s="157"/>
      <c r="IP4" s="157"/>
      <c r="IQ4" s="157"/>
      <c r="IR4" s="157"/>
      <c r="IS4" s="157"/>
      <c r="IT4" s="157"/>
      <c r="IU4" s="157"/>
      <c r="IV4" s="157"/>
      <c r="IW4" s="157"/>
      <c r="IX4" s="157"/>
      <c r="IY4" s="157"/>
      <c r="IZ4" s="157"/>
      <c r="JA4" s="157"/>
      <c r="JB4" s="157"/>
      <c r="JC4" s="157"/>
      <c r="JD4" s="157"/>
      <c r="JE4" s="157"/>
      <c r="JF4" s="157"/>
      <c r="JG4" s="157"/>
      <c r="JH4" s="157"/>
      <c r="JI4" s="157"/>
      <c r="JJ4" s="157"/>
      <c r="JK4" s="157"/>
      <c r="JL4" s="157"/>
      <c r="JM4" s="157"/>
      <c r="JN4" s="157"/>
      <c r="JO4" s="157"/>
      <c r="JP4" s="157"/>
      <c r="JQ4" s="157"/>
      <c r="JR4" s="157"/>
      <c r="JS4" s="157"/>
      <c r="JT4" s="157"/>
      <c r="JU4" s="157"/>
      <c r="JV4" s="157"/>
      <c r="JW4" s="157"/>
      <c r="JX4" s="157"/>
      <c r="JY4" s="157"/>
      <c r="JZ4" s="157"/>
      <c r="KA4" s="157"/>
      <c r="KB4" s="157"/>
      <c r="KC4" s="157"/>
      <c r="KD4" s="157"/>
      <c r="KE4" s="157"/>
      <c r="KF4" s="157"/>
      <c r="KG4" s="157"/>
      <c r="KH4" s="157"/>
      <c r="KI4" s="157"/>
      <c r="KJ4" s="157"/>
      <c r="KK4" s="157"/>
      <c r="KL4" s="157"/>
    </row>
    <row r="5" spans="1:298" ht="16" thickBot="1" x14ac:dyDescent="0.25">
      <c r="A5" s="201" t="s">
        <v>126</v>
      </c>
      <c r="B5" s="183" t="s">
        <v>60</v>
      </c>
      <c r="C5" s="183" t="s">
        <v>61</v>
      </c>
      <c r="D5" s="183" t="s">
        <v>131</v>
      </c>
      <c r="E5" s="183" t="s">
        <v>62</v>
      </c>
      <c r="F5" s="183" t="s">
        <v>63</v>
      </c>
      <c r="G5" s="183" t="s">
        <v>64</v>
      </c>
      <c r="H5" s="183" t="s">
        <v>132</v>
      </c>
      <c r="I5" s="183" t="s">
        <v>65</v>
      </c>
      <c r="J5" s="183" t="s">
        <v>66</v>
      </c>
      <c r="K5" s="183" t="s">
        <v>67</v>
      </c>
      <c r="L5" s="183" t="s">
        <v>68</v>
      </c>
      <c r="M5" s="183" t="s">
        <v>133</v>
      </c>
      <c r="N5" s="183" t="s">
        <v>69</v>
      </c>
      <c r="O5" s="183" t="s">
        <v>70</v>
      </c>
      <c r="P5" s="183" t="s">
        <v>134</v>
      </c>
      <c r="Q5" s="183" t="s">
        <v>71</v>
      </c>
      <c r="R5" s="183" t="s">
        <v>72</v>
      </c>
      <c r="S5" s="183" t="s">
        <v>73</v>
      </c>
      <c r="T5" s="202" t="s">
        <v>74</v>
      </c>
      <c r="U5" s="179" t="s">
        <v>75</v>
      </c>
      <c r="V5" s="181" t="s">
        <v>76</v>
      </c>
      <c r="W5" s="181" t="s">
        <v>135</v>
      </c>
      <c r="X5" s="181" t="s">
        <v>77</v>
      </c>
      <c r="Y5" s="181" t="s">
        <v>78</v>
      </c>
      <c r="Z5" s="181" t="s">
        <v>79</v>
      </c>
      <c r="AA5" s="181" t="s">
        <v>136</v>
      </c>
      <c r="AB5" s="181" t="s">
        <v>80</v>
      </c>
      <c r="AC5" s="181" t="s">
        <v>81</v>
      </c>
      <c r="AD5" s="181" t="s">
        <v>82</v>
      </c>
      <c r="AE5" s="181" t="s">
        <v>83</v>
      </c>
      <c r="AF5" s="181" t="s">
        <v>137</v>
      </c>
      <c r="AG5" s="181" t="s">
        <v>84</v>
      </c>
      <c r="AH5" s="181" t="s">
        <v>85</v>
      </c>
      <c r="AI5" s="181" t="s">
        <v>138</v>
      </c>
      <c r="AJ5" s="181" t="s">
        <v>86</v>
      </c>
      <c r="AK5" s="181" t="s">
        <v>87</v>
      </c>
      <c r="AL5" s="181" t="s">
        <v>88</v>
      </c>
      <c r="AM5" s="190" t="s">
        <v>89</v>
      </c>
      <c r="AN5" s="157"/>
      <c r="AO5" s="157" t="s">
        <v>308</v>
      </c>
      <c r="AP5" s="157">
        <v>0.1</v>
      </c>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57"/>
      <c r="BO5" s="157"/>
      <c r="BP5" s="157"/>
      <c r="BQ5" s="157"/>
      <c r="BR5" s="157"/>
      <c r="BS5" s="157"/>
      <c r="BT5" s="157"/>
      <c r="BU5" s="157"/>
      <c r="BV5" s="157"/>
      <c r="BW5" s="157"/>
      <c r="BX5" s="157"/>
      <c r="BY5" s="157"/>
      <c r="BZ5" s="157"/>
      <c r="CA5" s="157"/>
      <c r="CB5" s="157"/>
      <c r="CC5" s="157"/>
      <c r="CD5" s="157"/>
      <c r="CE5" s="157"/>
      <c r="CF5" s="157"/>
      <c r="CG5" s="157"/>
      <c r="CH5" s="157"/>
      <c r="CI5" s="157"/>
      <c r="CJ5" s="157"/>
      <c r="CK5" s="157"/>
      <c r="CL5" s="157"/>
      <c r="CM5" s="157"/>
      <c r="CN5" s="157"/>
      <c r="CO5" s="157"/>
      <c r="CP5" s="157"/>
      <c r="CQ5" s="157"/>
      <c r="CR5" s="157"/>
      <c r="CS5" s="157"/>
      <c r="CT5" s="157"/>
      <c r="CU5" s="157"/>
      <c r="CV5" s="157"/>
      <c r="CW5" s="157"/>
      <c r="CX5" s="157"/>
      <c r="CY5" s="157"/>
      <c r="CZ5" s="157"/>
      <c r="DA5" s="157"/>
      <c r="DB5" s="157"/>
      <c r="DC5" s="157"/>
      <c r="DD5" s="157"/>
      <c r="DE5" s="157"/>
      <c r="DF5" s="157"/>
      <c r="DG5" s="157"/>
      <c r="DH5" s="157"/>
      <c r="DI5" s="157"/>
      <c r="DJ5" s="157"/>
      <c r="DK5" s="157"/>
      <c r="DL5" s="157"/>
      <c r="DM5" s="157"/>
      <c r="DN5" s="157"/>
      <c r="DO5" s="157"/>
      <c r="DP5" s="157"/>
      <c r="DQ5" s="157"/>
      <c r="DR5" s="157"/>
      <c r="DS5" s="157"/>
      <c r="DT5" s="157"/>
      <c r="DU5" s="157"/>
      <c r="DV5" s="157"/>
      <c r="DW5" s="157"/>
      <c r="DX5" s="157"/>
      <c r="DY5" s="157"/>
      <c r="DZ5" s="157"/>
      <c r="EA5" s="157"/>
      <c r="EB5" s="157"/>
      <c r="EC5" s="157"/>
      <c r="ED5" s="157"/>
      <c r="EE5" s="157"/>
      <c r="EF5" s="157"/>
      <c r="EG5" s="157"/>
      <c r="EH5" s="157"/>
      <c r="EI5" s="157"/>
      <c r="EJ5" s="157"/>
      <c r="EK5" s="157"/>
      <c r="EL5" s="157"/>
      <c r="EM5" s="157"/>
      <c r="EN5" s="157"/>
      <c r="EO5" s="157"/>
      <c r="EP5" s="157"/>
      <c r="EQ5" s="157"/>
      <c r="ER5" s="157"/>
      <c r="ES5" s="157"/>
      <c r="ET5" s="157"/>
      <c r="EU5" s="157"/>
      <c r="EV5" s="157"/>
      <c r="EW5" s="157"/>
      <c r="EX5" s="157"/>
      <c r="EY5" s="157"/>
      <c r="EZ5" s="157"/>
      <c r="FA5" s="157"/>
      <c r="FB5" s="157"/>
      <c r="FC5" s="157"/>
      <c r="FD5" s="157"/>
      <c r="FE5" s="157"/>
      <c r="FF5" s="157"/>
      <c r="FG5" s="157"/>
      <c r="FH5" s="157"/>
      <c r="FI5" s="157"/>
      <c r="FJ5" s="157"/>
      <c r="FK5" s="157"/>
      <c r="FL5" s="157"/>
      <c r="FM5" s="157"/>
      <c r="FN5" s="157"/>
      <c r="FO5" s="157"/>
      <c r="FP5" s="157"/>
      <c r="FQ5" s="157"/>
      <c r="FR5" s="157"/>
      <c r="FS5" s="157"/>
      <c r="FT5" s="157"/>
      <c r="FU5" s="157"/>
      <c r="FV5" s="157"/>
      <c r="FW5" s="157"/>
      <c r="FX5" s="157"/>
      <c r="FY5" s="157"/>
      <c r="FZ5" s="157"/>
      <c r="GA5" s="157"/>
      <c r="GB5" s="157"/>
      <c r="GC5" s="157"/>
      <c r="GD5" s="157"/>
      <c r="GE5" s="157"/>
      <c r="GF5" s="157"/>
      <c r="GG5" s="157"/>
      <c r="GH5" s="157"/>
      <c r="GI5" s="157"/>
      <c r="GJ5" s="157"/>
      <c r="GK5" s="157"/>
      <c r="GL5" s="157"/>
      <c r="GM5" s="157"/>
      <c r="GN5" s="157"/>
      <c r="GO5" s="157"/>
      <c r="GP5" s="157"/>
      <c r="GQ5" s="157"/>
      <c r="GR5" s="157"/>
      <c r="GS5" s="157"/>
      <c r="GT5" s="157"/>
      <c r="GU5" s="157"/>
      <c r="GV5" s="157"/>
      <c r="GW5" s="157"/>
      <c r="GX5" s="157"/>
      <c r="GY5" s="157"/>
      <c r="GZ5" s="157"/>
      <c r="HA5" s="157"/>
      <c r="HB5" s="157"/>
      <c r="HC5" s="157"/>
      <c r="HD5" s="157"/>
      <c r="HE5" s="157"/>
      <c r="HF5" s="157"/>
      <c r="HG5" s="157"/>
      <c r="HH5" s="157"/>
      <c r="HI5" s="157"/>
      <c r="HJ5" s="157"/>
      <c r="HK5" s="157"/>
      <c r="HL5" s="157"/>
      <c r="HM5" s="157"/>
      <c r="HN5" s="157"/>
      <c r="HO5" s="157"/>
      <c r="HP5" s="157"/>
      <c r="HQ5" s="157"/>
      <c r="HR5" s="157"/>
      <c r="HS5" s="157"/>
      <c r="HT5" s="157"/>
      <c r="HU5" s="157"/>
      <c r="HV5" s="157"/>
      <c r="HW5" s="157"/>
      <c r="HX5" s="157"/>
      <c r="HY5" s="157"/>
      <c r="HZ5" s="157"/>
      <c r="IA5" s="157"/>
      <c r="IB5" s="157"/>
      <c r="IC5" s="157"/>
      <c r="ID5" s="157"/>
      <c r="IE5" s="157"/>
      <c r="IF5" s="157"/>
      <c r="IG5" s="157"/>
      <c r="IH5" s="157"/>
      <c r="II5" s="157"/>
      <c r="IJ5" s="157"/>
      <c r="IK5" s="157"/>
      <c r="IL5" s="157"/>
      <c r="IM5" s="157"/>
      <c r="IN5" s="157"/>
      <c r="IO5" s="157"/>
      <c r="IP5" s="157"/>
      <c r="IQ5" s="157"/>
      <c r="IR5" s="157"/>
      <c r="IS5" s="157"/>
      <c r="IT5" s="157"/>
      <c r="IU5" s="157"/>
      <c r="IV5" s="157"/>
      <c r="IW5" s="157"/>
      <c r="IX5" s="157"/>
      <c r="IY5" s="157"/>
      <c r="IZ5" s="157"/>
      <c r="JA5" s="157"/>
      <c r="JB5" s="157"/>
      <c r="JC5" s="157"/>
      <c r="JD5" s="157"/>
      <c r="JE5" s="157"/>
      <c r="JF5" s="157"/>
      <c r="JG5" s="157"/>
      <c r="JH5" s="157"/>
      <c r="JI5" s="157"/>
      <c r="JJ5" s="157"/>
      <c r="JK5" s="157"/>
      <c r="JL5" s="157"/>
      <c r="JM5" s="157"/>
      <c r="JN5" s="157"/>
      <c r="JO5" s="157"/>
      <c r="JP5" s="157"/>
      <c r="JQ5" s="157"/>
      <c r="JR5" s="157"/>
      <c r="JS5" s="157"/>
      <c r="JT5" s="157"/>
      <c r="JU5" s="157"/>
      <c r="JV5" s="157"/>
      <c r="JW5" s="157"/>
      <c r="JX5" s="157"/>
      <c r="JY5" s="157"/>
      <c r="JZ5" s="157"/>
      <c r="KA5" s="157"/>
      <c r="KB5" s="157"/>
      <c r="KC5" s="157"/>
      <c r="KD5" s="157"/>
      <c r="KE5" s="157"/>
      <c r="KF5" s="157"/>
      <c r="KG5" s="157"/>
      <c r="KH5" s="157"/>
      <c r="KI5" s="157"/>
      <c r="KJ5" s="157"/>
      <c r="KK5" s="157"/>
      <c r="KL5" s="157"/>
    </row>
    <row r="6" spans="1:298" s="200" customFormat="1" ht="48" x14ac:dyDescent="0.2">
      <c r="A6" s="203" t="s">
        <v>94</v>
      </c>
      <c r="B6" s="164" t="s">
        <v>95</v>
      </c>
      <c r="C6" s="164" t="s">
        <v>96</v>
      </c>
      <c r="D6" s="164" t="s">
        <v>97</v>
      </c>
      <c r="E6" s="164" t="s">
        <v>98</v>
      </c>
      <c r="F6" s="164" t="s">
        <v>99</v>
      </c>
      <c r="G6" s="164" t="s">
        <v>100</v>
      </c>
      <c r="H6" s="164" t="s">
        <v>103</v>
      </c>
      <c r="I6" s="164" t="s">
        <v>104</v>
      </c>
      <c r="J6" s="164" t="s">
        <v>105</v>
      </c>
      <c r="K6" s="164" t="s">
        <v>107</v>
      </c>
      <c r="L6" s="164" t="s">
        <v>109</v>
      </c>
      <c r="M6" s="164" t="s">
        <v>113</v>
      </c>
      <c r="N6" s="164" t="s">
        <v>112</v>
      </c>
      <c r="O6" s="164" t="s">
        <v>111</v>
      </c>
      <c r="P6" s="164" t="s">
        <v>114</v>
      </c>
      <c r="Q6" s="164" t="s">
        <v>117</v>
      </c>
      <c r="R6" s="164" t="s">
        <v>118</v>
      </c>
      <c r="S6" s="164" t="s">
        <v>121</v>
      </c>
      <c r="T6" s="164" t="s">
        <v>122</v>
      </c>
      <c r="U6" s="164" t="s">
        <v>95</v>
      </c>
      <c r="V6" s="164" t="s">
        <v>96</v>
      </c>
      <c r="W6" s="164" t="s">
        <v>97</v>
      </c>
      <c r="X6" s="164" t="s">
        <v>98</v>
      </c>
      <c r="Y6" s="164" t="s">
        <v>99</v>
      </c>
      <c r="Z6" s="164" t="s">
        <v>100</v>
      </c>
      <c r="AA6" s="164" t="s">
        <v>103</v>
      </c>
      <c r="AB6" s="164" t="s">
        <v>104</v>
      </c>
      <c r="AC6" s="164" t="s">
        <v>105</v>
      </c>
      <c r="AD6" s="164" t="s">
        <v>107</v>
      </c>
      <c r="AE6" s="164" t="s">
        <v>109</v>
      </c>
      <c r="AF6" s="164" t="s">
        <v>113</v>
      </c>
      <c r="AG6" s="164" t="s">
        <v>112</v>
      </c>
      <c r="AH6" s="164" t="s">
        <v>111</v>
      </c>
      <c r="AI6" s="164" t="s">
        <v>114</v>
      </c>
      <c r="AJ6" s="164" t="s">
        <v>117</v>
      </c>
      <c r="AK6" s="164" t="s">
        <v>118</v>
      </c>
      <c r="AL6" s="164" t="s">
        <v>121</v>
      </c>
      <c r="AM6" s="195" t="s">
        <v>122</v>
      </c>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c r="CY6" s="198"/>
      <c r="CZ6" s="198"/>
      <c r="DA6" s="198"/>
      <c r="DB6" s="198"/>
      <c r="DC6" s="198"/>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198"/>
      <c r="EC6" s="198"/>
      <c r="ED6" s="198"/>
      <c r="EE6" s="198"/>
      <c r="EF6" s="198"/>
      <c r="EG6" s="198"/>
      <c r="EH6" s="198"/>
      <c r="EI6" s="198"/>
      <c r="EJ6" s="198"/>
      <c r="EK6" s="198"/>
      <c r="EL6" s="198"/>
      <c r="EM6" s="198"/>
      <c r="EN6" s="198"/>
      <c r="EO6" s="198"/>
      <c r="EP6" s="198"/>
      <c r="EQ6" s="198"/>
      <c r="ER6" s="198"/>
      <c r="ES6" s="198"/>
      <c r="ET6" s="198"/>
      <c r="EU6" s="198"/>
      <c r="EV6" s="198"/>
      <c r="EW6" s="198"/>
      <c r="EX6" s="198"/>
      <c r="EY6" s="198"/>
      <c r="EZ6" s="198"/>
      <c r="FA6" s="198"/>
      <c r="FB6" s="198"/>
      <c r="FC6" s="198"/>
      <c r="FD6" s="198"/>
      <c r="FE6" s="198"/>
      <c r="FF6" s="198"/>
      <c r="FG6" s="198"/>
      <c r="FH6" s="198"/>
      <c r="FI6" s="198"/>
      <c r="FJ6" s="198"/>
      <c r="FK6" s="198"/>
      <c r="FL6" s="198"/>
      <c r="FM6" s="198"/>
      <c r="FN6" s="198"/>
      <c r="FO6" s="198"/>
      <c r="FP6" s="198"/>
      <c r="FQ6" s="198"/>
      <c r="FR6" s="198"/>
      <c r="FS6" s="198"/>
      <c r="FT6" s="198"/>
      <c r="FU6" s="198"/>
      <c r="FV6" s="198"/>
      <c r="FW6" s="198"/>
      <c r="FX6" s="198"/>
      <c r="FY6" s="198"/>
      <c r="FZ6" s="198"/>
      <c r="GA6" s="198"/>
      <c r="GB6" s="198"/>
      <c r="GC6" s="198"/>
      <c r="GD6" s="198"/>
      <c r="GE6" s="198"/>
      <c r="GF6" s="198"/>
      <c r="GG6" s="198"/>
      <c r="GH6" s="198"/>
      <c r="GI6" s="198"/>
      <c r="GJ6" s="198"/>
      <c r="GK6" s="198"/>
      <c r="GL6" s="198"/>
      <c r="GM6" s="198"/>
      <c r="GN6" s="198"/>
      <c r="GO6" s="198"/>
      <c r="GP6" s="198"/>
      <c r="GQ6" s="198"/>
      <c r="GR6" s="198"/>
      <c r="GS6" s="198"/>
      <c r="GT6" s="198"/>
      <c r="GU6" s="198"/>
      <c r="GV6" s="198"/>
      <c r="GW6" s="198"/>
      <c r="GX6" s="198"/>
      <c r="GY6" s="198"/>
      <c r="GZ6" s="198"/>
      <c r="HA6" s="198"/>
      <c r="HB6" s="198"/>
      <c r="HC6" s="198"/>
      <c r="HD6" s="198"/>
      <c r="HE6" s="198"/>
      <c r="HF6" s="198"/>
      <c r="HG6" s="198"/>
      <c r="HH6" s="198"/>
      <c r="HI6" s="198"/>
      <c r="HJ6" s="198"/>
      <c r="HK6" s="198"/>
      <c r="HL6" s="198"/>
      <c r="HM6" s="198"/>
      <c r="HN6" s="198"/>
      <c r="HO6" s="198"/>
      <c r="HP6" s="198"/>
      <c r="HQ6" s="198"/>
      <c r="HR6" s="198"/>
      <c r="HS6" s="198"/>
      <c r="HT6" s="198"/>
      <c r="HU6" s="198"/>
      <c r="HV6" s="198"/>
      <c r="HW6" s="198"/>
      <c r="HX6" s="198"/>
      <c r="HY6" s="198"/>
      <c r="HZ6" s="198"/>
      <c r="IA6" s="198"/>
      <c r="IB6" s="198"/>
      <c r="IC6" s="198"/>
      <c r="ID6" s="198"/>
      <c r="IE6" s="198"/>
      <c r="IF6" s="198"/>
      <c r="IG6" s="198"/>
      <c r="IH6" s="198"/>
      <c r="II6" s="198"/>
      <c r="IJ6" s="198"/>
      <c r="IK6" s="198"/>
      <c r="IL6" s="198"/>
      <c r="IM6" s="198"/>
      <c r="IN6" s="198"/>
      <c r="IO6" s="198"/>
      <c r="IP6" s="198"/>
      <c r="IQ6" s="198"/>
      <c r="IR6" s="198"/>
      <c r="IS6" s="198"/>
      <c r="IT6" s="198"/>
      <c r="IU6" s="198"/>
      <c r="IV6" s="198"/>
      <c r="IW6" s="198"/>
      <c r="IX6" s="198"/>
      <c r="IY6" s="198"/>
      <c r="IZ6" s="198"/>
      <c r="JA6" s="198"/>
      <c r="JB6" s="198"/>
      <c r="JC6" s="198"/>
      <c r="JD6" s="198"/>
      <c r="JE6" s="198"/>
      <c r="JF6" s="198"/>
      <c r="JG6" s="198"/>
      <c r="JH6" s="198"/>
      <c r="JI6" s="198"/>
      <c r="JJ6" s="198"/>
      <c r="JK6" s="198"/>
      <c r="JL6" s="198"/>
      <c r="JM6" s="198"/>
      <c r="JN6" s="198"/>
      <c r="JO6" s="198"/>
      <c r="JP6" s="198"/>
      <c r="JQ6" s="198"/>
      <c r="JR6" s="198"/>
      <c r="JS6" s="198"/>
      <c r="JT6" s="198"/>
      <c r="JU6" s="198"/>
      <c r="JV6" s="198"/>
      <c r="JW6" s="198"/>
      <c r="JX6" s="198"/>
      <c r="JY6" s="198"/>
      <c r="JZ6" s="198"/>
      <c r="KA6" s="198"/>
      <c r="KB6" s="198"/>
      <c r="KC6" s="198"/>
      <c r="KD6" s="198"/>
      <c r="KE6" s="198"/>
      <c r="KF6" s="198"/>
      <c r="KG6" s="198"/>
      <c r="KH6" s="198"/>
      <c r="KI6" s="198"/>
      <c r="KJ6" s="198"/>
      <c r="KK6" s="198"/>
      <c r="KL6" s="198"/>
    </row>
    <row r="7" spans="1:298" x14ac:dyDescent="0.2">
      <c r="A7" s="204" t="s">
        <v>92</v>
      </c>
      <c r="B7" s="154" t="s">
        <v>93</v>
      </c>
      <c r="C7" s="154" t="s">
        <v>93</v>
      </c>
      <c r="D7" s="154" t="s">
        <v>14</v>
      </c>
      <c r="E7" s="154" t="s">
        <v>14</v>
      </c>
      <c r="F7" s="154" t="s">
        <v>14</v>
      </c>
      <c r="G7" s="154" t="s">
        <v>14</v>
      </c>
      <c r="H7" s="154" t="s">
        <v>14</v>
      </c>
      <c r="I7" s="154" t="s">
        <v>14</v>
      </c>
      <c r="J7" s="154" t="s">
        <v>106</v>
      </c>
      <c r="K7" s="154" t="s">
        <v>108</v>
      </c>
      <c r="L7" s="154" t="s">
        <v>108</v>
      </c>
      <c r="M7" s="154" t="s">
        <v>110</v>
      </c>
      <c r="N7" s="154" t="s">
        <v>110</v>
      </c>
      <c r="O7" s="154" t="s">
        <v>110</v>
      </c>
      <c r="P7" s="154" t="s">
        <v>14</v>
      </c>
      <c r="Q7" s="154" t="s">
        <v>14</v>
      </c>
      <c r="R7" s="154" t="s">
        <v>14</v>
      </c>
      <c r="S7" s="154" t="s">
        <v>108</v>
      </c>
      <c r="T7" s="154" t="s">
        <v>123</v>
      </c>
      <c r="U7" s="154" t="s">
        <v>93</v>
      </c>
      <c r="V7" s="154" t="s">
        <v>93</v>
      </c>
      <c r="W7" s="154" t="s">
        <v>14</v>
      </c>
      <c r="X7" s="154" t="s">
        <v>14</v>
      </c>
      <c r="Y7" s="154" t="s">
        <v>14</v>
      </c>
      <c r="Z7" s="154" t="s">
        <v>14</v>
      </c>
      <c r="AA7" s="154" t="s">
        <v>14</v>
      </c>
      <c r="AB7" s="154" t="s">
        <v>14</v>
      </c>
      <c r="AC7" s="154" t="s">
        <v>106</v>
      </c>
      <c r="AD7" s="154" t="s">
        <v>108</v>
      </c>
      <c r="AE7" s="154" t="s">
        <v>108</v>
      </c>
      <c r="AF7" s="154" t="s">
        <v>110</v>
      </c>
      <c r="AG7" s="154" t="s">
        <v>110</v>
      </c>
      <c r="AH7" s="154" t="s">
        <v>110</v>
      </c>
      <c r="AI7" s="154" t="s">
        <v>14</v>
      </c>
      <c r="AJ7" s="154" t="s">
        <v>14</v>
      </c>
      <c r="AK7" s="154" t="s">
        <v>14</v>
      </c>
      <c r="AL7" s="154" t="s">
        <v>108</v>
      </c>
      <c r="AM7" s="196" t="s">
        <v>123</v>
      </c>
      <c r="AN7" s="157"/>
      <c r="AO7" s="428" t="s">
        <v>306</v>
      </c>
      <c r="AP7" s="428"/>
      <c r="AQ7" s="428"/>
      <c r="AR7" s="428" t="s">
        <v>300</v>
      </c>
      <c r="AS7" s="428"/>
      <c r="AT7" s="428"/>
      <c r="AU7" s="428" t="s">
        <v>307</v>
      </c>
      <c r="AV7" s="428"/>
      <c r="AW7" s="428"/>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7"/>
      <c r="EC7" s="157"/>
      <c r="ED7" s="157"/>
      <c r="EE7" s="157"/>
      <c r="EF7" s="157"/>
      <c r="EG7" s="157"/>
      <c r="EH7" s="157"/>
      <c r="EI7" s="157"/>
      <c r="EJ7" s="157"/>
      <c r="EK7" s="157"/>
      <c r="EL7" s="157"/>
      <c r="EM7" s="157"/>
      <c r="EN7" s="157"/>
      <c r="EO7" s="157"/>
      <c r="EP7" s="157"/>
      <c r="EQ7" s="157"/>
      <c r="ER7" s="157"/>
      <c r="ES7" s="157"/>
      <c r="ET7" s="157"/>
      <c r="EU7" s="157"/>
      <c r="EV7" s="157"/>
      <c r="EW7" s="157"/>
      <c r="EX7" s="157"/>
      <c r="EY7" s="157"/>
      <c r="EZ7" s="157"/>
      <c r="FA7" s="157"/>
      <c r="FB7" s="157"/>
      <c r="FC7" s="157"/>
      <c r="FD7" s="157"/>
      <c r="FE7" s="157"/>
      <c r="FF7" s="157"/>
      <c r="FG7" s="157"/>
      <c r="FH7" s="157"/>
      <c r="FI7" s="157"/>
      <c r="FJ7" s="157"/>
      <c r="FK7" s="157"/>
      <c r="FL7" s="157"/>
      <c r="FM7" s="157"/>
      <c r="FN7" s="157"/>
      <c r="FO7" s="157"/>
      <c r="FP7" s="157"/>
      <c r="FQ7" s="157"/>
      <c r="FR7" s="157"/>
      <c r="FS7" s="157"/>
      <c r="FT7" s="157"/>
      <c r="FU7" s="157"/>
      <c r="FV7" s="157"/>
      <c r="FW7" s="157"/>
      <c r="FX7" s="157"/>
      <c r="FY7" s="157"/>
      <c r="FZ7" s="157"/>
      <c r="GA7" s="157"/>
      <c r="GB7" s="157"/>
      <c r="GC7" s="157"/>
      <c r="GD7" s="157"/>
      <c r="GE7" s="157"/>
      <c r="GF7" s="157"/>
      <c r="GG7" s="157"/>
      <c r="GH7" s="157"/>
      <c r="GI7" s="157"/>
      <c r="GJ7" s="157"/>
      <c r="GK7" s="157"/>
      <c r="GL7" s="157"/>
      <c r="GM7" s="157"/>
      <c r="GN7" s="157"/>
      <c r="GO7" s="157"/>
      <c r="GP7" s="157"/>
      <c r="GQ7" s="157"/>
      <c r="GR7" s="157"/>
      <c r="GS7" s="157"/>
      <c r="GT7" s="157"/>
      <c r="GU7" s="157"/>
      <c r="GV7" s="157"/>
      <c r="GW7" s="157"/>
      <c r="GX7" s="157"/>
      <c r="GY7" s="157"/>
      <c r="GZ7" s="157"/>
      <c r="HA7" s="157"/>
      <c r="HB7" s="157"/>
      <c r="HC7" s="157"/>
      <c r="HD7" s="157"/>
      <c r="HE7" s="157"/>
      <c r="HF7" s="157"/>
      <c r="HG7" s="157"/>
      <c r="HH7" s="157"/>
      <c r="HI7" s="157"/>
      <c r="HJ7" s="157"/>
      <c r="HK7" s="157"/>
      <c r="HL7" s="157"/>
      <c r="HM7" s="157"/>
      <c r="HN7" s="157"/>
      <c r="HO7" s="157"/>
      <c r="HP7" s="157"/>
      <c r="HQ7" s="157"/>
      <c r="HR7" s="157"/>
      <c r="HS7" s="157"/>
      <c r="HT7" s="157"/>
      <c r="HU7" s="157"/>
      <c r="HV7" s="157"/>
      <c r="HW7" s="157"/>
      <c r="HX7" s="157"/>
      <c r="HY7" s="157"/>
      <c r="HZ7" s="157"/>
      <c r="IA7" s="157"/>
      <c r="IB7" s="157"/>
      <c r="IC7" s="157"/>
      <c r="ID7" s="157"/>
      <c r="IE7" s="157"/>
      <c r="IF7" s="157"/>
      <c r="IG7" s="157"/>
      <c r="IH7" s="157"/>
      <c r="II7" s="157"/>
      <c r="IJ7" s="157"/>
      <c r="IK7" s="157"/>
      <c r="IL7" s="157"/>
      <c r="IM7" s="157"/>
      <c r="IN7" s="157"/>
      <c r="IO7" s="157"/>
      <c r="IP7" s="157"/>
      <c r="IQ7" s="157"/>
      <c r="IR7" s="157"/>
      <c r="IS7" s="157"/>
      <c r="IT7" s="157"/>
      <c r="IU7" s="157"/>
      <c r="IV7" s="157"/>
      <c r="IW7" s="157"/>
      <c r="IX7" s="157"/>
      <c r="IY7" s="157"/>
      <c r="IZ7" s="157"/>
      <c r="JA7" s="157"/>
      <c r="JB7" s="157"/>
      <c r="JC7" s="157"/>
      <c r="JD7" s="157"/>
      <c r="JE7" s="157"/>
      <c r="JF7" s="157"/>
      <c r="JG7" s="157"/>
      <c r="JH7" s="157"/>
      <c r="JI7" s="157"/>
      <c r="JJ7" s="157"/>
      <c r="JK7" s="157"/>
      <c r="JL7" s="157"/>
      <c r="JM7" s="157"/>
      <c r="JN7" s="157"/>
      <c r="JO7" s="157"/>
      <c r="JP7" s="157"/>
      <c r="JQ7" s="157"/>
      <c r="JR7" s="157"/>
      <c r="JS7" s="157"/>
      <c r="JT7" s="157"/>
      <c r="JU7" s="157"/>
      <c r="JV7" s="157"/>
      <c r="JW7" s="157"/>
      <c r="JX7" s="157"/>
      <c r="JY7" s="157"/>
      <c r="JZ7" s="157"/>
      <c r="KA7" s="157"/>
      <c r="KB7" s="157"/>
      <c r="KC7" s="157"/>
      <c r="KD7" s="157"/>
      <c r="KE7" s="157"/>
      <c r="KF7" s="157"/>
      <c r="KG7" s="157"/>
      <c r="KH7" s="157"/>
      <c r="KI7" s="157"/>
      <c r="KJ7" s="157"/>
      <c r="KK7" s="157"/>
      <c r="KL7" s="157"/>
    </row>
    <row r="8" spans="1:298" s="199" customFormat="1" ht="65" thickBot="1" x14ac:dyDescent="0.25">
      <c r="A8" s="205" t="s">
        <v>91</v>
      </c>
      <c r="B8" s="165" t="s">
        <v>101</v>
      </c>
      <c r="C8" s="165" t="s">
        <v>101</v>
      </c>
      <c r="D8" s="167" t="s">
        <v>102</v>
      </c>
      <c r="E8" s="167" t="s">
        <v>102</v>
      </c>
      <c r="F8" s="165" t="s">
        <v>101</v>
      </c>
      <c r="G8" s="165" t="s">
        <v>101</v>
      </c>
      <c r="H8" s="167" t="s">
        <v>102</v>
      </c>
      <c r="I8" s="167" t="s">
        <v>102</v>
      </c>
      <c r="J8" s="165" t="s">
        <v>101</v>
      </c>
      <c r="K8" s="165" t="s">
        <v>101</v>
      </c>
      <c r="L8" s="165" t="s">
        <v>101</v>
      </c>
      <c r="M8" s="167" t="s">
        <v>102</v>
      </c>
      <c r="N8" s="167" t="s">
        <v>102</v>
      </c>
      <c r="O8" s="165" t="s">
        <v>101</v>
      </c>
      <c r="P8" s="167" t="s">
        <v>115</v>
      </c>
      <c r="Q8" s="167" t="s">
        <v>116</v>
      </c>
      <c r="R8" s="165" t="s">
        <v>101</v>
      </c>
      <c r="S8" s="165" t="s">
        <v>101</v>
      </c>
      <c r="T8" s="165" t="s">
        <v>101</v>
      </c>
      <c r="U8" s="165" t="s">
        <v>101</v>
      </c>
      <c r="V8" s="165" t="s">
        <v>101</v>
      </c>
      <c r="W8" s="167" t="s">
        <v>102</v>
      </c>
      <c r="X8" s="167" t="s">
        <v>102</v>
      </c>
      <c r="Y8" s="165" t="s">
        <v>101</v>
      </c>
      <c r="Z8" s="165" t="s">
        <v>101</v>
      </c>
      <c r="AA8" s="167" t="s">
        <v>102</v>
      </c>
      <c r="AB8" s="167" t="s">
        <v>102</v>
      </c>
      <c r="AC8" s="165" t="s">
        <v>101</v>
      </c>
      <c r="AD8" s="165" t="s">
        <v>101</v>
      </c>
      <c r="AE8" s="165" t="s">
        <v>101</v>
      </c>
      <c r="AF8" s="167" t="s">
        <v>102</v>
      </c>
      <c r="AG8" s="167" t="s">
        <v>102</v>
      </c>
      <c r="AH8" s="165" t="s">
        <v>101</v>
      </c>
      <c r="AI8" s="167" t="s">
        <v>115</v>
      </c>
      <c r="AJ8" s="167" t="s">
        <v>116</v>
      </c>
      <c r="AK8" s="165" t="s">
        <v>101</v>
      </c>
      <c r="AL8" s="165" t="s">
        <v>101</v>
      </c>
      <c r="AM8" s="197" t="s">
        <v>101</v>
      </c>
      <c r="AN8" s="157"/>
      <c r="AO8" s="157" t="s">
        <v>303</v>
      </c>
      <c r="AP8" s="157" t="s">
        <v>304</v>
      </c>
      <c r="AQ8" s="157" t="s">
        <v>305</v>
      </c>
      <c r="AR8" s="157" t="s">
        <v>303</v>
      </c>
      <c r="AS8" s="157" t="s">
        <v>304</v>
      </c>
      <c r="AT8" s="157" t="s">
        <v>305</v>
      </c>
      <c r="AU8" s="157" t="s">
        <v>303</v>
      </c>
      <c r="AV8" s="157" t="s">
        <v>304</v>
      </c>
      <c r="AW8" s="157" t="s">
        <v>305</v>
      </c>
      <c r="AX8" s="157"/>
      <c r="AY8" s="157"/>
      <c r="AZ8" s="157"/>
      <c r="BA8" s="157"/>
      <c r="BB8" s="157"/>
      <c r="BC8" s="157"/>
      <c r="BD8" s="157"/>
      <c r="BE8" s="157"/>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c r="CQ8" s="157"/>
      <c r="CR8" s="157"/>
      <c r="CS8" s="157"/>
      <c r="CT8" s="157"/>
      <c r="CU8" s="157"/>
      <c r="CV8" s="157"/>
      <c r="CW8" s="157"/>
      <c r="CX8" s="157"/>
      <c r="CY8" s="157"/>
      <c r="CZ8" s="157"/>
      <c r="DA8" s="157"/>
      <c r="DB8" s="157"/>
      <c r="DC8" s="157"/>
      <c r="DD8" s="157"/>
      <c r="DE8" s="157"/>
      <c r="DF8" s="157"/>
      <c r="DG8" s="157"/>
      <c r="DH8" s="157"/>
      <c r="DI8" s="157"/>
      <c r="DJ8" s="157"/>
      <c r="DK8" s="157"/>
      <c r="DL8" s="157"/>
      <c r="DM8" s="157"/>
      <c r="DN8" s="157"/>
      <c r="DO8" s="157"/>
      <c r="DP8" s="157"/>
      <c r="DQ8" s="157"/>
      <c r="DR8" s="157"/>
      <c r="DS8" s="157"/>
      <c r="DT8" s="157"/>
      <c r="DU8" s="157"/>
      <c r="DV8" s="157"/>
      <c r="DW8" s="157"/>
      <c r="DX8" s="157"/>
      <c r="DY8" s="157"/>
      <c r="DZ8" s="157"/>
      <c r="EA8" s="157"/>
      <c r="EB8" s="157"/>
      <c r="EC8" s="157"/>
      <c r="ED8" s="157"/>
      <c r="EE8" s="157"/>
      <c r="EF8" s="157"/>
      <c r="EG8" s="157"/>
      <c r="EH8" s="157"/>
      <c r="EI8" s="157"/>
      <c r="EJ8" s="157"/>
      <c r="EK8" s="157"/>
      <c r="EL8" s="157"/>
      <c r="EM8" s="157"/>
      <c r="EN8" s="157"/>
      <c r="EO8" s="157"/>
      <c r="EP8" s="157"/>
      <c r="EQ8" s="157"/>
      <c r="ER8" s="157"/>
      <c r="ES8" s="157"/>
      <c r="ET8" s="157"/>
      <c r="EU8" s="157"/>
      <c r="EV8" s="157"/>
      <c r="EW8" s="157"/>
      <c r="EX8" s="157"/>
      <c r="EY8" s="157"/>
      <c r="EZ8" s="157"/>
      <c r="FA8" s="157"/>
      <c r="FB8" s="157"/>
      <c r="FC8" s="157"/>
      <c r="FD8" s="157"/>
      <c r="FE8" s="157"/>
      <c r="FF8" s="157"/>
      <c r="FG8" s="157"/>
      <c r="FH8" s="157"/>
      <c r="FI8" s="157"/>
      <c r="FJ8" s="157"/>
      <c r="FK8" s="157"/>
      <c r="FL8" s="157"/>
      <c r="FM8" s="157"/>
      <c r="FN8" s="157"/>
      <c r="FO8" s="157"/>
      <c r="FP8" s="157"/>
      <c r="FQ8" s="157"/>
      <c r="FR8" s="157"/>
      <c r="FS8" s="157"/>
      <c r="FT8" s="157"/>
      <c r="FU8" s="157"/>
      <c r="FV8" s="157"/>
      <c r="FW8" s="157"/>
      <c r="FX8" s="157"/>
      <c r="FY8" s="157"/>
      <c r="FZ8" s="157"/>
      <c r="GA8" s="157"/>
      <c r="GB8" s="157"/>
      <c r="GC8" s="157"/>
      <c r="GD8" s="157"/>
      <c r="GE8" s="157"/>
      <c r="GF8" s="157"/>
      <c r="GG8" s="157"/>
      <c r="GH8" s="157"/>
      <c r="GI8" s="157"/>
      <c r="GJ8" s="157"/>
      <c r="GK8" s="157"/>
      <c r="GL8" s="157"/>
      <c r="GM8" s="157"/>
      <c r="GN8" s="157"/>
      <c r="GO8" s="157"/>
      <c r="GP8" s="157"/>
      <c r="GQ8" s="157"/>
      <c r="GR8" s="157"/>
      <c r="GS8" s="157"/>
      <c r="GT8" s="157"/>
      <c r="GU8" s="157"/>
      <c r="GV8" s="157"/>
      <c r="GW8" s="157"/>
      <c r="GX8" s="157"/>
      <c r="GY8" s="157"/>
      <c r="GZ8" s="157"/>
      <c r="HA8" s="157"/>
      <c r="HB8" s="157"/>
      <c r="HC8" s="157"/>
      <c r="HD8" s="157"/>
      <c r="HE8" s="157"/>
      <c r="HF8" s="157"/>
      <c r="HG8" s="157"/>
      <c r="HH8" s="157"/>
      <c r="HI8" s="157"/>
      <c r="HJ8" s="157"/>
      <c r="HK8" s="157"/>
      <c r="HL8" s="157"/>
      <c r="HM8" s="157"/>
      <c r="HN8" s="157"/>
      <c r="HO8" s="157"/>
      <c r="HP8" s="157"/>
      <c r="HQ8" s="157"/>
      <c r="HR8" s="157"/>
      <c r="HS8" s="157"/>
      <c r="HT8" s="157"/>
      <c r="HU8" s="157"/>
      <c r="HV8" s="157"/>
      <c r="HW8" s="157"/>
      <c r="HX8" s="157"/>
      <c r="HY8" s="157"/>
      <c r="HZ8" s="157"/>
      <c r="IA8" s="157"/>
      <c r="IB8" s="157"/>
      <c r="IC8" s="157"/>
      <c r="ID8" s="157"/>
      <c r="IE8" s="157"/>
      <c r="IF8" s="157"/>
      <c r="IG8" s="157"/>
      <c r="IH8" s="157"/>
      <c r="II8" s="157"/>
      <c r="IJ8" s="157"/>
      <c r="IK8" s="157"/>
      <c r="IL8" s="157"/>
      <c r="IM8" s="157"/>
      <c r="IN8" s="157"/>
      <c r="IO8" s="157"/>
      <c r="IP8" s="157"/>
      <c r="IQ8" s="157"/>
      <c r="IR8" s="157"/>
      <c r="IS8" s="157"/>
      <c r="IT8" s="157"/>
      <c r="IU8" s="157"/>
      <c r="IV8" s="157"/>
      <c r="IW8" s="157"/>
      <c r="IX8" s="157"/>
      <c r="IY8" s="157"/>
      <c r="IZ8" s="157"/>
      <c r="JA8" s="157"/>
      <c r="JB8" s="157"/>
      <c r="JC8" s="157"/>
      <c r="JD8" s="157"/>
      <c r="JE8" s="157"/>
      <c r="JF8" s="157"/>
      <c r="JG8" s="157"/>
      <c r="JH8" s="157"/>
      <c r="JI8" s="157"/>
      <c r="JJ8" s="157"/>
      <c r="JK8" s="157"/>
      <c r="JL8" s="157"/>
      <c r="JM8" s="157"/>
      <c r="JN8" s="157"/>
      <c r="JO8" s="157"/>
      <c r="JP8" s="157"/>
      <c r="JQ8" s="157"/>
      <c r="JR8" s="157"/>
      <c r="JS8" s="157"/>
      <c r="JT8" s="157"/>
      <c r="JU8" s="157"/>
      <c r="JV8" s="157"/>
      <c r="JW8" s="157"/>
      <c r="JX8" s="157"/>
      <c r="JY8" s="157"/>
      <c r="JZ8" s="157"/>
      <c r="KA8" s="157"/>
      <c r="KB8" s="157"/>
      <c r="KC8" s="157"/>
      <c r="KD8" s="157"/>
      <c r="KE8" s="157"/>
      <c r="KF8" s="157"/>
      <c r="KG8" s="157"/>
      <c r="KH8" s="157"/>
      <c r="KI8" s="157"/>
      <c r="KJ8" s="157"/>
      <c r="KK8" s="157"/>
      <c r="KL8" s="157"/>
    </row>
    <row r="9" spans="1:298" x14ac:dyDescent="0.2">
      <c r="A9" s="206" t="s">
        <v>124</v>
      </c>
      <c r="B9" s="161">
        <v>14489979580766.801</v>
      </c>
      <c r="C9" s="154">
        <v>1837407377949.6099</v>
      </c>
      <c r="D9" s="161">
        <v>3.4304356000073844E-3</v>
      </c>
      <c r="E9" s="161">
        <v>8.3169844140130969E-2</v>
      </c>
      <c r="F9" s="161">
        <v>0.63128839415949811</v>
      </c>
      <c r="G9" s="161">
        <v>0.28211132610036338</v>
      </c>
      <c r="H9" s="161">
        <v>3.9612292365580108E-2</v>
      </c>
      <c r="I9" s="161">
        <v>0.96038770763441994</v>
      </c>
      <c r="J9" s="154">
        <v>285.14999999999998</v>
      </c>
      <c r="K9" s="168">
        <v>3</v>
      </c>
      <c r="L9" s="161">
        <v>2.2427397965049099E-8</v>
      </c>
      <c r="M9" s="171">
        <v>2.3696042108892401</v>
      </c>
      <c r="N9" s="171">
        <v>29.533000000000001</v>
      </c>
      <c r="O9" s="171">
        <v>100</v>
      </c>
      <c r="P9" s="174">
        <v>1.4496812264614698E-2</v>
      </c>
      <c r="Q9" s="174">
        <v>0.35147070435432404</v>
      </c>
      <c r="R9" s="168">
        <v>0.26947836230891975</v>
      </c>
      <c r="S9" s="161">
        <v>9.5129375951293795E-13</v>
      </c>
      <c r="T9" s="161">
        <v>196751132562.48169</v>
      </c>
      <c r="U9" s="161">
        <v>123910116220665.27</v>
      </c>
      <c r="V9" s="161">
        <v>362031185573577.38</v>
      </c>
      <c r="W9" s="186">
        <v>3.7256942929988299E-3</v>
      </c>
      <c r="X9" s="161">
        <v>2.3643520987269014E-2</v>
      </c>
      <c r="Y9" s="186">
        <v>0.60856222692615203</v>
      </c>
      <c r="Z9" s="161">
        <v>0.36406855779358038</v>
      </c>
      <c r="AA9" s="161">
        <v>0.13612718723744019</v>
      </c>
      <c r="AB9" s="161">
        <v>0.86387281276255978</v>
      </c>
      <c r="AC9" s="154">
        <v>285.14999999999998</v>
      </c>
      <c r="AD9" s="171">
        <v>3</v>
      </c>
      <c r="AE9" s="161">
        <v>2.219685438863521E-8</v>
      </c>
      <c r="AF9" s="171">
        <v>3.3481104795914902</v>
      </c>
      <c r="AG9" s="171">
        <v>90.805256532189901</v>
      </c>
      <c r="AH9" s="171">
        <v>3682</v>
      </c>
      <c r="AI9" s="161">
        <v>3.4031796809360047E-2</v>
      </c>
      <c r="AJ9" s="161">
        <v>0.21596820319063995</v>
      </c>
      <c r="AK9" s="154">
        <v>0.25</v>
      </c>
      <c r="AL9" s="161">
        <v>9.5129375951293754E-13</v>
      </c>
      <c r="AM9" s="192">
        <v>2722000000000</v>
      </c>
      <c r="AN9" s="157"/>
      <c r="AO9" s="157">
        <f>C9*O9</f>
        <v>183740737794961</v>
      </c>
      <c r="AP9" s="207">
        <f>V9*AH9</f>
        <v>1.3329988252819118E+18</v>
      </c>
      <c r="AQ9" s="207">
        <f>AP9+AO9</f>
        <v>1.3331825660197069E+18</v>
      </c>
      <c r="AR9" s="207">
        <f>B9*E9*N9+B9*D9*M9</f>
        <v>35708870675041.562</v>
      </c>
      <c r="AS9" s="207">
        <f>U9*X9*AG9+U9*W9*AF9</f>
        <v>267575225328408.88</v>
      </c>
      <c r="AT9" s="207">
        <f>AS9+AR9</f>
        <v>303284096003450.44</v>
      </c>
      <c r="AU9" s="207">
        <f>B9*F9*$AP$5+B9*G9*$AP$5</f>
        <v>1323514329564.3501</v>
      </c>
      <c r="AV9" s="207">
        <f>U9*Y9*$AP$5+U9*Z9*$AP$5</f>
        <v>12051879357441.891</v>
      </c>
      <c r="AW9" s="207">
        <f>AV9+AU9</f>
        <v>13375393687006.24</v>
      </c>
      <c r="AX9" s="157"/>
      <c r="AY9" s="157"/>
      <c r="AZ9" s="157"/>
      <c r="BA9" s="157"/>
      <c r="BB9" s="157"/>
      <c r="BC9" s="157"/>
      <c r="BD9" s="157"/>
      <c r="BE9" s="157"/>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c r="CQ9" s="157"/>
      <c r="CR9" s="157"/>
      <c r="CS9" s="157"/>
      <c r="CT9" s="157"/>
      <c r="CU9" s="157"/>
      <c r="CV9" s="157"/>
      <c r="CW9" s="157"/>
      <c r="CX9" s="157"/>
      <c r="CY9" s="157"/>
      <c r="CZ9" s="157"/>
      <c r="DA9" s="157"/>
      <c r="DB9" s="157"/>
      <c r="DC9" s="157"/>
      <c r="DD9" s="157"/>
      <c r="DE9" s="157"/>
      <c r="DF9" s="157"/>
      <c r="DG9" s="157"/>
      <c r="DH9" s="157"/>
      <c r="DI9" s="157"/>
      <c r="DJ9" s="157"/>
      <c r="DK9" s="157"/>
      <c r="DL9" s="157"/>
      <c r="DM9" s="157"/>
      <c r="DN9" s="157"/>
      <c r="DO9" s="157"/>
      <c r="DP9" s="157"/>
      <c r="DQ9" s="157"/>
      <c r="DR9" s="157"/>
      <c r="DS9" s="157"/>
      <c r="DT9" s="157"/>
      <c r="DU9" s="157"/>
      <c r="DV9" s="157"/>
      <c r="DW9" s="157"/>
      <c r="DX9" s="157"/>
      <c r="DY9" s="157"/>
      <c r="DZ9" s="157"/>
      <c r="EA9" s="157"/>
      <c r="EB9" s="157"/>
      <c r="EC9" s="157"/>
      <c r="ED9" s="157"/>
      <c r="EE9" s="157"/>
      <c r="EF9" s="157"/>
      <c r="EG9" s="157"/>
      <c r="EH9" s="157"/>
      <c r="EI9" s="157"/>
      <c r="EJ9" s="157"/>
      <c r="EK9" s="157"/>
      <c r="EL9" s="157"/>
      <c r="EM9" s="157"/>
      <c r="EN9" s="157"/>
      <c r="EO9" s="157"/>
      <c r="EP9" s="157"/>
      <c r="EQ9" s="157"/>
      <c r="ER9" s="157"/>
      <c r="ES9" s="157"/>
      <c r="ET9" s="157"/>
      <c r="EU9" s="157"/>
      <c r="EV9" s="157"/>
      <c r="EW9" s="157"/>
      <c r="EX9" s="157"/>
      <c r="EY9" s="157"/>
      <c r="EZ9" s="157"/>
      <c r="FA9" s="157"/>
      <c r="FB9" s="157"/>
      <c r="FC9" s="157"/>
      <c r="FD9" s="157"/>
      <c r="FE9" s="157"/>
      <c r="FF9" s="157"/>
      <c r="FG9" s="157"/>
      <c r="FH9" s="157"/>
      <c r="FI9" s="157"/>
      <c r="FJ9" s="157"/>
      <c r="FK9" s="157"/>
      <c r="FL9" s="157"/>
      <c r="FM9" s="157"/>
      <c r="FN9" s="157"/>
      <c r="FO9" s="157"/>
      <c r="FP9" s="157"/>
      <c r="FQ9" s="157"/>
      <c r="FR9" s="157"/>
      <c r="FS9" s="157"/>
      <c r="FT9" s="157"/>
      <c r="FU9" s="157"/>
      <c r="FV9" s="157"/>
      <c r="FW9" s="157"/>
      <c r="FX9" s="157"/>
      <c r="FY9" s="157"/>
      <c r="FZ9" s="157"/>
      <c r="GA9" s="157"/>
      <c r="GB9" s="157"/>
      <c r="GC9" s="157"/>
      <c r="GD9" s="157"/>
      <c r="GE9" s="157"/>
      <c r="GF9" s="157"/>
      <c r="GG9" s="157"/>
      <c r="GH9" s="157"/>
      <c r="GI9" s="157"/>
      <c r="GJ9" s="157"/>
      <c r="GK9" s="157"/>
      <c r="GL9" s="157"/>
      <c r="GM9" s="157"/>
      <c r="GN9" s="157"/>
      <c r="GO9" s="157"/>
      <c r="GP9" s="157"/>
      <c r="GQ9" s="157"/>
      <c r="GR9" s="157"/>
      <c r="GS9" s="157"/>
      <c r="GT9" s="157"/>
      <c r="GU9" s="157"/>
      <c r="GV9" s="157"/>
      <c r="GW9" s="157"/>
      <c r="GX9" s="157"/>
      <c r="GY9" s="157"/>
      <c r="GZ9" s="157"/>
      <c r="HA9" s="157"/>
      <c r="HB9" s="157"/>
      <c r="HC9" s="157"/>
      <c r="HD9" s="157"/>
      <c r="HE9" s="157"/>
      <c r="HF9" s="157"/>
      <c r="HG9" s="157"/>
      <c r="HH9" s="157"/>
      <c r="HI9" s="157"/>
      <c r="HJ9" s="157"/>
      <c r="HK9" s="157"/>
      <c r="HL9" s="157"/>
      <c r="HM9" s="157"/>
      <c r="HN9" s="157"/>
      <c r="HO9" s="157"/>
      <c r="HP9" s="157"/>
      <c r="HQ9" s="157"/>
      <c r="HR9" s="157"/>
      <c r="HS9" s="157"/>
      <c r="HT9" s="157"/>
      <c r="HU9" s="157"/>
      <c r="HV9" s="157"/>
      <c r="HW9" s="157"/>
      <c r="HX9" s="157"/>
      <c r="HY9" s="157"/>
      <c r="HZ9" s="157"/>
      <c r="IA9" s="157"/>
      <c r="IB9" s="157"/>
      <c r="IC9" s="157"/>
      <c r="ID9" s="157"/>
      <c r="IE9" s="157"/>
      <c r="IF9" s="157"/>
      <c r="IG9" s="157"/>
      <c r="IH9" s="157"/>
      <c r="II9" s="157"/>
      <c r="IJ9" s="157"/>
      <c r="IK9" s="157"/>
      <c r="IL9" s="157"/>
      <c r="IM9" s="157"/>
      <c r="IN9" s="157"/>
      <c r="IO9" s="157"/>
      <c r="IP9" s="157"/>
      <c r="IQ9" s="157"/>
      <c r="IR9" s="157"/>
      <c r="IS9" s="157"/>
      <c r="IT9" s="157"/>
      <c r="IU9" s="157"/>
      <c r="IV9" s="157"/>
      <c r="IW9" s="157"/>
      <c r="IX9" s="157"/>
      <c r="IY9" s="157"/>
      <c r="IZ9" s="157"/>
      <c r="JA9" s="157"/>
      <c r="JB9" s="157"/>
      <c r="JC9" s="157"/>
      <c r="JD9" s="157"/>
      <c r="JE9" s="157"/>
      <c r="JF9" s="157"/>
      <c r="JG9" s="157"/>
      <c r="JH9" s="157"/>
      <c r="JI9" s="157"/>
      <c r="JJ9" s="157"/>
      <c r="JK9" s="157"/>
      <c r="JL9" s="157"/>
      <c r="JM9" s="157"/>
      <c r="JN9" s="157"/>
      <c r="JO9" s="157"/>
      <c r="JP9" s="157"/>
      <c r="JQ9" s="157"/>
      <c r="JR9" s="157"/>
      <c r="JS9" s="157"/>
      <c r="JT9" s="157"/>
      <c r="JU9" s="157"/>
      <c r="JV9" s="157"/>
      <c r="JW9" s="157"/>
      <c r="JX9" s="157"/>
      <c r="JY9" s="157"/>
      <c r="JZ9" s="157"/>
      <c r="KA9" s="157"/>
      <c r="KB9" s="157"/>
      <c r="KC9" s="157"/>
      <c r="KD9" s="157"/>
      <c r="KE9" s="157"/>
      <c r="KF9" s="157"/>
      <c r="KG9" s="157"/>
      <c r="KH9" s="157"/>
      <c r="KI9" s="157"/>
      <c r="KJ9" s="157"/>
      <c r="KK9" s="157"/>
      <c r="KL9" s="157"/>
    </row>
    <row r="10" spans="1:298" s="199" customFormat="1" x14ac:dyDescent="0.2">
      <c r="A10" s="208" t="s">
        <v>47</v>
      </c>
      <c r="B10" s="162">
        <v>20877899900370.199</v>
      </c>
      <c r="C10" s="166">
        <v>2972896722143.1802</v>
      </c>
      <c r="D10" s="162">
        <v>6.4487284649363975E-3</v>
      </c>
      <c r="E10" s="162">
        <v>1.2684411937745631E-2</v>
      </c>
      <c r="F10" s="162">
        <v>0.65377256005720807</v>
      </c>
      <c r="G10" s="162">
        <v>0.32709429954010982</v>
      </c>
      <c r="H10" s="162">
        <v>0.3370449559881154</v>
      </c>
      <c r="I10" s="162">
        <v>0.66295504401188454</v>
      </c>
      <c r="J10" s="166">
        <v>285.14999999999998</v>
      </c>
      <c r="K10" s="169">
        <v>3</v>
      </c>
      <c r="L10" s="162">
        <v>5.1120311610144309E-8</v>
      </c>
      <c r="M10" s="172">
        <v>4.3917246021722702</v>
      </c>
      <c r="N10" s="172">
        <v>25.706</v>
      </c>
      <c r="O10" s="172">
        <v>100</v>
      </c>
      <c r="P10" s="175">
        <v>0.12852080874953054</v>
      </c>
      <c r="Q10" s="175">
        <v>0.25279570842766858</v>
      </c>
      <c r="R10" s="169">
        <v>0.26947836230891975</v>
      </c>
      <c r="S10" s="162">
        <v>9.5129375951293795E-13</v>
      </c>
      <c r="T10" s="162">
        <v>232770200000</v>
      </c>
      <c r="U10" s="162">
        <v>117522195901061.81</v>
      </c>
      <c r="V10" s="162">
        <v>360895696229383.81</v>
      </c>
      <c r="W10" s="187">
        <v>2.7612917385104558E-3</v>
      </c>
      <c r="X10" s="162">
        <v>3.3374002609103059E-2</v>
      </c>
      <c r="Y10" s="187">
        <v>0.60333261812161854</v>
      </c>
      <c r="Z10" s="162">
        <v>0.36053208753076821</v>
      </c>
      <c r="AA10" s="162">
        <v>7.6415365873249624E-2</v>
      </c>
      <c r="AB10" s="162">
        <v>0.9235846341267504</v>
      </c>
      <c r="AC10" s="166">
        <v>285.14999999999998</v>
      </c>
      <c r="AD10" s="172">
        <v>3</v>
      </c>
      <c r="AE10" s="162">
        <v>2.219685438863521E-8</v>
      </c>
      <c r="AF10" s="172">
        <v>2.7350201240101115</v>
      </c>
      <c r="AG10" s="172">
        <v>66.519702812403409</v>
      </c>
      <c r="AH10" s="172">
        <v>3682</v>
      </c>
      <c r="AI10" s="162">
        <v>1.9103841468312406E-2</v>
      </c>
      <c r="AJ10" s="162">
        <v>0.2308961585316876</v>
      </c>
      <c r="AK10" s="166">
        <v>0.25</v>
      </c>
      <c r="AL10" s="162">
        <v>9.5129375951293754E-13</v>
      </c>
      <c r="AM10" s="193">
        <v>2722000000000</v>
      </c>
      <c r="AN10" s="157"/>
      <c r="AO10" s="157">
        <f t="shared" ref="AO10:AO16" si="0">C10*O10</f>
        <v>297289672214318</v>
      </c>
      <c r="AP10" s="207">
        <f t="shared" ref="AP10:AP16" si="1">V10*AH10</f>
        <v>1.3288179535165911E+18</v>
      </c>
      <c r="AQ10" s="207">
        <f t="shared" ref="AQ10:AQ16" si="2">AP10+AO10</f>
        <v>1.3291152431888054E+18</v>
      </c>
      <c r="AR10" s="207">
        <f t="shared" ref="AR10:AR16" si="3">B10*E10*N10+B10*D10*M10</f>
        <v>7398846556248.4131</v>
      </c>
      <c r="AS10" s="207">
        <f t="shared" ref="AS10:AS16" si="4">U10*X10*AG10+U10*W10*AF10</f>
        <v>261790201699481.97</v>
      </c>
      <c r="AT10" s="207">
        <f t="shared" ref="AT10:AT16" si="5">AS10+AR10</f>
        <v>269189048255730.38</v>
      </c>
      <c r="AU10" s="207">
        <f t="shared" ref="AU10:AU16" si="6">B10*F10*$AP$5+B10*G10*$AP$5</f>
        <v>2047844011026.3274</v>
      </c>
      <c r="AV10" s="207">
        <f t="shared" ref="AV10:AV16" si="7">U10*Y10*$AP$5+U10*Z10*$AP$5</f>
        <v>11327549675979.908</v>
      </c>
      <c r="AW10" s="207">
        <f t="shared" ref="AW10:AW16" si="8">AV10+AU10</f>
        <v>13375393687006.236</v>
      </c>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7"/>
      <c r="CE10" s="157"/>
      <c r="CF10" s="157"/>
      <c r="CG10" s="157"/>
      <c r="CH10" s="157"/>
      <c r="CI10" s="157"/>
      <c r="CJ10" s="157"/>
      <c r="CK10" s="157"/>
      <c r="CL10" s="157"/>
      <c r="CM10" s="157"/>
      <c r="CN10" s="157"/>
      <c r="CO10" s="157"/>
      <c r="CP10" s="157"/>
      <c r="CQ10" s="157"/>
      <c r="CR10" s="157"/>
      <c r="CS10" s="157"/>
      <c r="CT10" s="157"/>
      <c r="CU10" s="157"/>
      <c r="CV10" s="157"/>
      <c r="CW10" s="157"/>
      <c r="CX10" s="157"/>
      <c r="CY10" s="157"/>
      <c r="CZ10" s="157"/>
      <c r="DA10" s="157"/>
      <c r="DB10" s="157"/>
      <c r="DC10" s="157"/>
      <c r="DD10" s="157"/>
      <c r="DE10" s="157"/>
      <c r="DF10" s="157"/>
      <c r="DG10" s="157"/>
      <c r="DH10" s="157"/>
      <c r="DI10" s="157"/>
      <c r="DJ10" s="157"/>
      <c r="DK10" s="157"/>
      <c r="DL10" s="157"/>
      <c r="DM10" s="157"/>
      <c r="DN10" s="157"/>
      <c r="DO10" s="157"/>
      <c r="DP10" s="157"/>
      <c r="DQ10" s="157"/>
      <c r="DR10" s="157"/>
      <c r="DS10" s="157"/>
      <c r="DT10" s="157"/>
      <c r="DU10" s="157"/>
      <c r="DV10" s="157"/>
      <c r="DW10" s="157"/>
      <c r="DX10" s="157"/>
      <c r="DY10" s="157"/>
      <c r="DZ10" s="157"/>
      <c r="EA10" s="157"/>
      <c r="EB10" s="157"/>
      <c r="EC10" s="157"/>
      <c r="ED10" s="157"/>
      <c r="EE10" s="157"/>
      <c r="EF10" s="157"/>
      <c r="EG10" s="157"/>
      <c r="EH10" s="157"/>
      <c r="EI10" s="157"/>
      <c r="EJ10" s="157"/>
      <c r="EK10" s="157"/>
      <c r="EL10" s="157"/>
      <c r="EM10" s="157"/>
      <c r="EN10" s="157"/>
      <c r="EO10" s="157"/>
      <c r="EP10" s="157"/>
      <c r="EQ10" s="157"/>
      <c r="ER10" s="157"/>
      <c r="ES10" s="157"/>
      <c r="ET10" s="157"/>
      <c r="EU10" s="157"/>
      <c r="EV10" s="157"/>
      <c r="EW10" s="157"/>
      <c r="EX10" s="157"/>
      <c r="EY10" s="157"/>
      <c r="EZ10" s="157"/>
      <c r="FA10" s="157"/>
      <c r="FB10" s="157"/>
      <c r="FC10" s="157"/>
      <c r="FD10" s="157"/>
      <c r="FE10" s="157"/>
      <c r="FF10" s="157"/>
      <c r="FG10" s="157"/>
      <c r="FH10" s="157"/>
      <c r="FI10" s="157"/>
      <c r="FJ10" s="157"/>
      <c r="FK10" s="157"/>
      <c r="FL10" s="157"/>
      <c r="FM10" s="157"/>
      <c r="FN10" s="157"/>
      <c r="FO10" s="157"/>
      <c r="FP10" s="157"/>
      <c r="FQ10" s="157"/>
      <c r="FR10" s="157"/>
      <c r="FS10" s="157"/>
      <c r="FT10" s="157"/>
      <c r="FU10" s="157"/>
      <c r="FV10" s="157"/>
      <c r="FW10" s="157"/>
      <c r="FX10" s="157"/>
      <c r="FY10" s="157"/>
      <c r="FZ10" s="157"/>
      <c r="GA10" s="157"/>
      <c r="GB10" s="157"/>
      <c r="GC10" s="157"/>
      <c r="GD10" s="157"/>
      <c r="GE10" s="157"/>
      <c r="GF10" s="157"/>
      <c r="GG10" s="157"/>
      <c r="GH10" s="157"/>
      <c r="GI10" s="157"/>
      <c r="GJ10" s="157"/>
      <c r="GK10" s="157"/>
      <c r="GL10" s="157"/>
      <c r="GM10" s="157"/>
      <c r="GN10" s="157"/>
      <c r="GO10" s="157"/>
      <c r="GP10" s="157"/>
      <c r="GQ10" s="157"/>
      <c r="GR10" s="157"/>
      <c r="GS10" s="157"/>
      <c r="GT10" s="157"/>
      <c r="GU10" s="157"/>
      <c r="GV10" s="157"/>
      <c r="GW10" s="157"/>
      <c r="GX10" s="157"/>
      <c r="GY10" s="157"/>
      <c r="GZ10" s="157"/>
      <c r="HA10" s="157"/>
      <c r="HB10" s="157"/>
      <c r="HC10" s="157"/>
      <c r="HD10" s="157"/>
      <c r="HE10" s="157"/>
      <c r="HF10" s="157"/>
      <c r="HG10" s="157"/>
      <c r="HH10" s="157"/>
      <c r="HI10" s="157"/>
      <c r="HJ10" s="157"/>
      <c r="HK10" s="157"/>
      <c r="HL10" s="157"/>
      <c r="HM10" s="157"/>
      <c r="HN10" s="157"/>
      <c r="HO10" s="157"/>
      <c r="HP10" s="157"/>
      <c r="HQ10" s="157"/>
      <c r="HR10" s="157"/>
      <c r="HS10" s="157"/>
      <c r="HT10" s="157"/>
      <c r="HU10" s="157"/>
      <c r="HV10" s="157"/>
      <c r="HW10" s="157"/>
      <c r="HX10" s="157"/>
      <c r="HY10" s="157"/>
      <c r="HZ10" s="157"/>
      <c r="IA10" s="157"/>
      <c r="IB10" s="157"/>
      <c r="IC10" s="157"/>
      <c r="ID10" s="157"/>
      <c r="IE10" s="157"/>
      <c r="IF10" s="157"/>
      <c r="IG10" s="157"/>
      <c r="IH10" s="157"/>
      <c r="II10" s="157"/>
      <c r="IJ10" s="157"/>
      <c r="IK10" s="157"/>
      <c r="IL10" s="157"/>
      <c r="IM10" s="157"/>
      <c r="IN10" s="157"/>
      <c r="IO10" s="157"/>
      <c r="IP10" s="157"/>
      <c r="IQ10" s="157"/>
      <c r="IR10" s="157"/>
      <c r="IS10" s="157"/>
      <c r="IT10" s="157"/>
      <c r="IU10" s="157"/>
      <c r="IV10" s="157"/>
      <c r="IW10" s="157"/>
      <c r="IX10" s="157"/>
      <c r="IY10" s="157"/>
      <c r="IZ10" s="157"/>
      <c r="JA10" s="157"/>
      <c r="JB10" s="157"/>
      <c r="JC10" s="157"/>
      <c r="JD10" s="157"/>
      <c r="JE10" s="157"/>
      <c r="JF10" s="157"/>
      <c r="JG10" s="157"/>
      <c r="JH10" s="157"/>
      <c r="JI10" s="157"/>
      <c r="JJ10" s="157"/>
      <c r="JK10" s="157"/>
      <c r="JL10" s="157"/>
      <c r="JM10" s="157"/>
      <c r="JN10" s="157"/>
      <c r="JO10" s="157"/>
      <c r="JP10" s="157"/>
      <c r="JQ10" s="157"/>
      <c r="JR10" s="157"/>
      <c r="JS10" s="157"/>
      <c r="JT10" s="157"/>
      <c r="JU10" s="157"/>
      <c r="JV10" s="157"/>
      <c r="JW10" s="157"/>
      <c r="JX10" s="157"/>
      <c r="JY10" s="157"/>
      <c r="JZ10" s="157"/>
      <c r="KA10" s="157"/>
      <c r="KB10" s="157"/>
      <c r="KC10" s="157"/>
      <c r="KD10" s="157"/>
      <c r="KE10" s="157"/>
      <c r="KF10" s="157"/>
      <c r="KG10" s="157"/>
      <c r="KH10" s="157"/>
      <c r="KI10" s="157"/>
      <c r="KJ10" s="157"/>
      <c r="KK10" s="157"/>
      <c r="KL10" s="157"/>
    </row>
    <row r="11" spans="1:298" x14ac:dyDescent="0.2">
      <c r="A11" s="206" t="s">
        <v>30</v>
      </c>
      <c r="B11" s="161">
        <v>8566213575935.6807</v>
      </c>
      <c r="C11" s="154">
        <v>1700186862387.1301</v>
      </c>
      <c r="D11" s="161">
        <v>5.0055028981526159E-3</v>
      </c>
      <c r="E11" s="161">
        <v>2.5460717751545882E-2</v>
      </c>
      <c r="F11" s="161">
        <v>0.58452600122672826</v>
      </c>
      <c r="G11" s="161">
        <v>0.38500777812357329</v>
      </c>
      <c r="H11" s="161">
        <v>0.16429681107171235</v>
      </c>
      <c r="I11" s="161">
        <v>0.83570318892828765</v>
      </c>
      <c r="J11" s="154">
        <v>285.14999999999998</v>
      </c>
      <c r="K11" s="168">
        <v>3</v>
      </c>
      <c r="L11" s="161">
        <v>1.752395778153158E-8</v>
      </c>
      <c r="M11" s="171">
        <v>1.9467368925047399</v>
      </c>
      <c r="N11" s="171">
        <v>26.89</v>
      </c>
      <c r="O11" s="171">
        <v>100</v>
      </c>
      <c r="P11" s="174">
        <v>2.8291285900831659E-2</v>
      </c>
      <c r="Q11" s="174">
        <v>0.14390491021695584</v>
      </c>
      <c r="R11" s="168">
        <v>0.26947836230891975</v>
      </c>
      <c r="S11" s="161">
        <v>9.5129375951293795E-13</v>
      </c>
      <c r="T11" s="161">
        <v>115430499144.41551</v>
      </c>
      <c r="U11" s="161">
        <v>129833882225496.36</v>
      </c>
      <c r="V11" s="161">
        <v>362168406089139.88</v>
      </c>
      <c r="W11" s="186">
        <v>3.2048504184839909E-3</v>
      </c>
      <c r="X11" s="161">
        <v>3.0570453094481791E-2</v>
      </c>
      <c r="Y11" s="186">
        <v>0.6126844262541471</v>
      </c>
      <c r="Z11" s="161">
        <v>0.35354027023288731</v>
      </c>
      <c r="AA11" s="161">
        <v>9.4887390641913899E-2</v>
      </c>
      <c r="AB11" s="161">
        <v>0.90511260935808613</v>
      </c>
      <c r="AC11" s="154">
        <v>285.14999999999998</v>
      </c>
      <c r="AD11" s="171">
        <v>3</v>
      </c>
      <c r="AE11" s="161">
        <v>2.219685438863521E-8</v>
      </c>
      <c r="AF11" s="171">
        <v>3.2415889238524862</v>
      </c>
      <c r="AG11" s="171">
        <v>65.109349963746212</v>
      </c>
      <c r="AH11" s="171">
        <v>3682</v>
      </c>
      <c r="AI11" s="161">
        <v>2.3721847660478475E-2</v>
      </c>
      <c r="AJ11" s="161">
        <v>0.22627815233952153</v>
      </c>
      <c r="AK11" s="154">
        <v>0.25</v>
      </c>
      <c r="AL11" s="161">
        <v>9.5129375951293754E-13</v>
      </c>
      <c r="AM11" s="192">
        <v>2722000000000</v>
      </c>
      <c r="AN11" s="157"/>
      <c r="AO11" s="157">
        <f t="shared" si="0"/>
        <v>170018686238713</v>
      </c>
      <c r="AP11" s="207">
        <f t="shared" si="1"/>
        <v>1.333504071220213E+18</v>
      </c>
      <c r="AQ11" s="207">
        <f t="shared" si="2"/>
        <v>1.3336740899064517E+18</v>
      </c>
      <c r="AR11" s="207">
        <f t="shared" si="3"/>
        <v>5948233916674.29</v>
      </c>
      <c r="AS11" s="207">
        <f t="shared" si="4"/>
        <v>259773077477518.09</v>
      </c>
      <c r="AT11" s="207">
        <f t="shared" si="5"/>
        <v>265721311394192.38</v>
      </c>
      <c r="AU11" s="207">
        <f t="shared" si="6"/>
        <v>830523342299.87817</v>
      </c>
      <c r="AV11" s="207">
        <f t="shared" si="7"/>
        <v>12544870344706.359</v>
      </c>
      <c r="AW11" s="207">
        <f t="shared" si="8"/>
        <v>13375393687006.238</v>
      </c>
      <c r="AX11" s="157"/>
      <c r="AY11" s="157"/>
      <c r="AZ11" s="157"/>
      <c r="BA11" s="157"/>
      <c r="BB11" s="157"/>
      <c r="BC11" s="157"/>
      <c r="BD11" s="157"/>
      <c r="BE11" s="157"/>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c r="CQ11" s="157"/>
      <c r="CR11" s="157"/>
      <c r="CS11" s="157"/>
      <c r="CT11" s="157"/>
      <c r="CU11" s="157"/>
      <c r="CV11" s="157"/>
      <c r="CW11" s="157"/>
      <c r="CX11" s="157"/>
      <c r="CY11" s="157"/>
      <c r="CZ11" s="157"/>
      <c r="DA11" s="157"/>
      <c r="DB11" s="157"/>
      <c r="DC11" s="157"/>
      <c r="DD11" s="157"/>
      <c r="DE11" s="157"/>
      <c r="DF11" s="157"/>
      <c r="DG11" s="157"/>
      <c r="DH11" s="157"/>
      <c r="DI11" s="157"/>
      <c r="DJ11" s="157"/>
      <c r="DK11" s="157"/>
      <c r="DL11" s="157"/>
      <c r="DM11" s="157"/>
      <c r="DN11" s="157"/>
      <c r="DO11" s="157"/>
      <c r="DP11" s="157"/>
      <c r="DQ11" s="157"/>
      <c r="DR11" s="157"/>
      <c r="DS11" s="157"/>
      <c r="DT11" s="157"/>
      <c r="DU11" s="157"/>
      <c r="DV11" s="157"/>
      <c r="DW11" s="157"/>
      <c r="DX11" s="157"/>
      <c r="DY11" s="157"/>
      <c r="DZ11" s="157"/>
      <c r="EA11" s="157"/>
      <c r="EB11" s="157"/>
      <c r="EC11" s="157"/>
      <c r="ED11" s="157"/>
      <c r="EE11" s="157"/>
      <c r="EF11" s="157"/>
      <c r="EG11" s="157"/>
      <c r="EH11" s="157"/>
      <c r="EI11" s="157"/>
      <c r="EJ11" s="157"/>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157"/>
      <c r="FS11" s="157"/>
      <c r="FT11" s="157"/>
      <c r="FU11" s="157"/>
      <c r="FV11" s="157"/>
      <c r="FW11" s="157"/>
      <c r="FX11" s="157"/>
      <c r="FY11" s="157"/>
      <c r="FZ11" s="157"/>
      <c r="GA11" s="157"/>
      <c r="GB11" s="157"/>
      <c r="GC11" s="157"/>
      <c r="GD11" s="157"/>
      <c r="GE11" s="157"/>
      <c r="GF11" s="157"/>
      <c r="GG11" s="157"/>
      <c r="GH11" s="157"/>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157"/>
      <c r="HM11" s="157"/>
      <c r="HN11" s="157"/>
      <c r="HO11" s="157"/>
      <c r="HP11" s="157"/>
      <c r="HQ11" s="157"/>
      <c r="HR11" s="157"/>
      <c r="HS11" s="157"/>
      <c r="HT11" s="157"/>
      <c r="HU11" s="157"/>
      <c r="HV11" s="157"/>
      <c r="HW11" s="157"/>
      <c r="HX11" s="157"/>
      <c r="HY11" s="157"/>
      <c r="HZ11" s="157"/>
      <c r="IA11" s="157"/>
      <c r="IB11" s="157"/>
      <c r="IC11" s="157"/>
      <c r="ID11" s="157"/>
      <c r="IE11" s="157"/>
      <c r="IF11" s="157"/>
      <c r="IG11" s="157"/>
      <c r="IH11" s="157"/>
      <c r="II11" s="157"/>
      <c r="IJ11" s="157"/>
      <c r="IK11" s="157"/>
      <c r="IL11" s="157"/>
      <c r="IM11" s="157"/>
      <c r="IN11" s="157"/>
      <c r="IO11" s="157"/>
      <c r="IP11" s="157"/>
      <c r="IQ11" s="157"/>
      <c r="IR11" s="157"/>
      <c r="IS11" s="157"/>
      <c r="IT11" s="157"/>
      <c r="IU11" s="157"/>
      <c r="IV11" s="157"/>
      <c r="IW11" s="157"/>
      <c r="IX11" s="157"/>
      <c r="IY11" s="157"/>
      <c r="IZ11" s="157"/>
      <c r="JA11" s="157"/>
      <c r="JB11" s="157"/>
      <c r="JC11" s="157"/>
      <c r="JD11" s="157"/>
      <c r="JE11" s="157"/>
      <c r="JF11" s="157"/>
      <c r="JG11" s="157"/>
      <c r="JH11" s="157"/>
      <c r="JI11" s="157"/>
      <c r="JJ11" s="157"/>
      <c r="JK11" s="157"/>
      <c r="JL11" s="157"/>
      <c r="JM11" s="157"/>
      <c r="JN11" s="157"/>
      <c r="JO11" s="157"/>
      <c r="JP11" s="157"/>
      <c r="JQ11" s="157"/>
      <c r="JR11" s="157"/>
      <c r="JS11" s="157"/>
      <c r="JT11" s="157"/>
      <c r="JU11" s="157"/>
      <c r="JV11" s="157"/>
      <c r="JW11" s="157"/>
      <c r="JX11" s="157"/>
      <c r="JY11" s="157"/>
      <c r="JZ11" s="157"/>
      <c r="KA11" s="157"/>
      <c r="KB11" s="157"/>
      <c r="KC11" s="157"/>
      <c r="KD11" s="157"/>
      <c r="KE11" s="157"/>
      <c r="KF11" s="157"/>
      <c r="KG11" s="157"/>
      <c r="KH11" s="157"/>
      <c r="KI11" s="157"/>
      <c r="KJ11" s="157"/>
      <c r="KK11" s="157"/>
      <c r="KL11" s="157"/>
    </row>
    <row r="12" spans="1:298" s="199" customFormat="1" x14ac:dyDescent="0.2">
      <c r="A12" s="208" t="s">
        <v>125</v>
      </c>
      <c r="B12" s="162">
        <v>34298330152064.801</v>
      </c>
      <c r="C12" s="166">
        <v>1590401121051.1799</v>
      </c>
      <c r="D12" s="162">
        <v>1.3076168516333635E-4</v>
      </c>
      <c r="E12" s="162">
        <v>1.3897745698828992E-2</v>
      </c>
      <c r="F12" s="162">
        <v>0.58847301602478064</v>
      </c>
      <c r="G12" s="162">
        <v>0.39749847659122717</v>
      </c>
      <c r="H12" s="162">
        <v>9.3211402741638864E-3</v>
      </c>
      <c r="I12" s="162">
        <v>0.99067885972583614</v>
      </c>
      <c r="J12" s="166">
        <v>285.14999999999998</v>
      </c>
      <c r="K12" s="169">
        <v>3</v>
      </c>
      <c r="L12" s="162">
        <v>2.0870339047358022E-8</v>
      </c>
      <c r="M12" s="172">
        <v>2.47905687385181</v>
      </c>
      <c r="N12" s="172">
        <v>115.86499999999999</v>
      </c>
      <c r="O12" s="172">
        <v>100</v>
      </c>
      <c r="P12" s="175">
        <v>1.7166347871089994E-3</v>
      </c>
      <c r="Q12" s="175">
        <v>0.18244911496210642</v>
      </c>
      <c r="R12" s="169">
        <v>0.26947836230891975</v>
      </c>
      <c r="S12" s="162">
        <v>9.5129375951293795E-13</v>
      </c>
      <c r="T12" s="162">
        <v>272246800000</v>
      </c>
      <c r="U12" s="162">
        <v>104101765649367.27</v>
      </c>
      <c r="V12" s="162">
        <v>362278191830475.81</v>
      </c>
      <c r="W12" s="187">
        <v>4.1965314941155808E-3</v>
      </c>
      <c r="X12" s="162">
        <v>3.5812439800389645E-2</v>
      </c>
      <c r="Y12" s="187">
        <v>0.61834427126322766</v>
      </c>
      <c r="Z12" s="162">
        <v>0.34164675744226736</v>
      </c>
      <c r="AA12" s="162">
        <v>0.10488976242915614</v>
      </c>
      <c r="AB12" s="162">
        <v>0.89511023757084385</v>
      </c>
      <c r="AC12" s="166">
        <v>285.14999999999998</v>
      </c>
      <c r="AD12" s="172">
        <v>3</v>
      </c>
      <c r="AE12" s="162">
        <v>2.219685438863521E-8</v>
      </c>
      <c r="AF12" s="172">
        <v>3.1902082562842287</v>
      </c>
      <c r="AG12" s="172">
        <v>58.824130287627625</v>
      </c>
      <c r="AH12" s="172">
        <v>3682</v>
      </c>
      <c r="AI12" s="162">
        <v>2.6222440607289035E-2</v>
      </c>
      <c r="AJ12" s="162">
        <v>0.22377755939271096</v>
      </c>
      <c r="AK12" s="166">
        <v>0.25</v>
      </c>
      <c r="AL12" s="162">
        <v>9.5129375951293754E-13</v>
      </c>
      <c r="AM12" s="193">
        <v>2722000000000</v>
      </c>
      <c r="AN12" s="157"/>
      <c r="AO12" s="157">
        <f t="shared" si="0"/>
        <v>159040112105118</v>
      </c>
      <c r="AP12" s="207">
        <f t="shared" si="1"/>
        <v>1.3339083023198118E+18</v>
      </c>
      <c r="AQ12" s="207">
        <f t="shared" si="2"/>
        <v>1.3340673424319171E+18</v>
      </c>
      <c r="AR12" s="207">
        <f t="shared" si="3"/>
        <v>55240426522496.531</v>
      </c>
      <c r="AS12" s="207">
        <f t="shared" si="4"/>
        <v>220698182713698.22</v>
      </c>
      <c r="AT12" s="207">
        <f t="shared" si="5"/>
        <v>275938609236194.75</v>
      </c>
      <c r="AU12" s="207">
        <f t="shared" si="6"/>
        <v>3381717577426.7959</v>
      </c>
      <c r="AV12" s="207">
        <f t="shared" si="7"/>
        <v>9993676109579.4453</v>
      </c>
      <c r="AW12" s="207">
        <f t="shared" si="8"/>
        <v>13375393687006.242</v>
      </c>
      <c r="AX12" s="157"/>
      <c r="AY12" s="157"/>
      <c r="AZ12" s="157"/>
      <c r="BA12" s="157"/>
      <c r="BB12" s="157"/>
      <c r="BC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157"/>
      <c r="DJ12" s="157"/>
      <c r="DK12" s="157"/>
      <c r="DL12" s="157"/>
      <c r="DM12" s="157"/>
      <c r="DN12" s="157"/>
      <c r="DO12" s="157"/>
      <c r="DP12" s="157"/>
      <c r="DQ12" s="157"/>
      <c r="DR12" s="157"/>
      <c r="DS12" s="157"/>
      <c r="DT12" s="157"/>
      <c r="DU12" s="157"/>
      <c r="DV12" s="157"/>
      <c r="DW12" s="157"/>
      <c r="DX12" s="157"/>
      <c r="DY12" s="157"/>
      <c r="DZ12" s="157"/>
      <c r="EA12" s="157"/>
      <c r="EB12" s="157"/>
      <c r="EC12" s="157"/>
      <c r="ED12" s="157"/>
      <c r="EE12" s="157"/>
      <c r="EF12" s="157"/>
      <c r="EG12" s="157"/>
      <c r="EH12" s="157"/>
      <c r="EI12" s="157"/>
      <c r="EJ12" s="157"/>
      <c r="EK12" s="157"/>
      <c r="EL12" s="157"/>
      <c r="EM12" s="157"/>
      <c r="EN12" s="157"/>
      <c r="EO12" s="157"/>
      <c r="EP12" s="157"/>
      <c r="EQ12" s="157"/>
      <c r="ER12" s="157"/>
      <c r="ES12" s="157"/>
      <c r="ET12" s="157"/>
      <c r="EU12" s="157"/>
      <c r="EV12" s="157"/>
      <c r="EW12" s="157"/>
      <c r="EX12" s="157"/>
      <c r="EY12" s="157"/>
      <c r="EZ12" s="157"/>
      <c r="FA12" s="157"/>
      <c r="FB12" s="157"/>
      <c r="FC12" s="157"/>
      <c r="FD12" s="157"/>
      <c r="FE12" s="157"/>
      <c r="FF12" s="157"/>
      <c r="FG12" s="157"/>
      <c r="FH12" s="157"/>
      <c r="FI12" s="157"/>
      <c r="FJ12" s="157"/>
      <c r="FK12" s="157"/>
      <c r="FL12" s="157"/>
      <c r="FM12" s="157"/>
      <c r="FN12" s="157"/>
      <c r="FO12" s="157"/>
      <c r="FP12" s="157"/>
      <c r="FQ12" s="157"/>
      <c r="FR12" s="157"/>
      <c r="FS12" s="157"/>
      <c r="FT12" s="157"/>
      <c r="FU12" s="157"/>
      <c r="FV12" s="157"/>
      <c r="FW12" s="157"/>
      <c r="FX12" s="157"/>
      <c r="FY12" s="157"/>
      <c r="FZ12" s="157"/>
      <c r="GA12" s="157"/>
      <c r="GB12" s="157"/>
      <c r="GC12" s="157"/>
      <c r="GD12" s="157"/>
      <c r="GE12" s="157"/>
      <c r="GF12" s="157"/>
      <c r="GG12" s="157"/>
      <c r="GH12" s="157"/>
      <c r="GI12" s="157"/>
      <c r="GJ12" s="157"/>
      <c r="GK12" s="157"/>
      <c r="GL12" s="157"/>
      <c r="GM12" s="157"/>
      <c r="GN12" s="157"/>
      <c r="GO12" s="157"/>
      <c r="GP12" s="157"/>
      <c r="GQ12" s="157"/>
      <c r="GR12" s="157"/>
      <c r="GS12" s="157"/>
      <c r="GT12" s="157"/>
      <c r="GU12" s="157"/>
      <c r="GV12" s="157"/>
      <c r="GW12" s="157"/>
      <c r="GX12" s="157"/>
      <c r="GY12" s="157"/>
      <c r="GZ12" s="157"/>
      <c r="HA12" s="157"/>
      <c r="HB12" s="157"/>
      <c r="HC12" s="157"/>
      <c r="HD12" s="157"/>
      <c r="HE12" s="157"/>
      <c r="HF12" s="157"/>
      <c r="HG12" s="157"/>
      <c r="HH12" s="157"/>
      <c r="HI12" s="157"/>
      <c r="HJ12" s="157"/>
      <c r="HK12" s="157"/>
      <c r="HL12" s="157"/>
      <c r="HM12" s="157"/>
      <c r="HN12" s="157"/>
      <c r="HO12" s="157"/>
      <c r="HP12" s="157"/>
      <c r="HQ12" s="157"/>
      <c r="HR12" s="157"/>
      <c r="HS12" s="157"/>
      <c r="HT12" s="157"/>
      <c r="HU12" s="157"/>
      <c r="HV12" s="157"/>
      <c r="HW12" s="157"/>
      <c r="HX12" s="157"/>
      <c r="HY12" s="157"/>
      <c r="HZ12" s="157"/>
      <c r="IA12" s="157"/>
      <c r="IB12" s="157"/>
      <c r="IC12" s="157"/>
      <c r="ID12" s="157"/>
      <c r="IE12" s="157"/>
      <c r="IF12" s="157"/>
      <c r="IG12" s="157"/>
      <c r="IH12" s="157"/>
      <c r="II12" s="157"/>
      <c r="IJ12" s="157"/>
      <c r="IK12" s="157"/>
      <c r="IL12" s="157"/>
      <c r="IM12" s="157"/>
      <c r="IN12" s="157"/>
      <c r="IO12" s="157"/>
      <c r="IP12" s="157"/>
      <c r="IQ12" s="157"/>
      <c r="IR12" s="157"/>
      <c r="IS12" s="157"/>
      <c r="IT12" s="157"/>
      <c r="IU12" s="157"/>
      <c r="IV12" s="157"/>
      <c r="IW12" s="157"/>
      <c r="IX12" s="157"/>
      <c r="IY12" s="157"/>
      <c r="IZ12" s="157"/>
      <c r="JA12" s="157"/>
      <c r="JB12" s="157"/>
      <c r="JC12" s="157"/>
      <c r="JD12" s="157"/>
      <c r="JE12" s="157"/>
      <c r="JF12" s="157"/>
      <c r="JG12" s="157"/>
      <c r="JH12" s="157"/>
      <c r="JI12" s="157"/>
      <c r="JJ12" s="157"/>
      <c r="JK12" s="157"/>
      <c r="JL12" s="157"/>
      <c r="JM12" s="157"/>
      <c r="JN12" s="157"/>
      <c r="JO12" s="157"/>
      <c r="JP12" s="157"/>
      <c r="JQ12" s="157"/>
      <c r="JR12" s="157"/>
      <c r="JS12" s="157"/>
      <c r="JT12" s="157"/>
      <c r="JU12" s="157"/>
      <c r="JV12" s="157"/>
      <c r="JW12" s="157"/>
      <c r="JX12" s="157"/>
      <c r="JY12" s="157"/>
      <c r="JZ12" s="157"/>
      <c r="KA12" s="157"/>
      <c r="KB12" s="157"/>
      <c r="KC12" s="157"/>
      <c r="KD12" s="157"/>
      <c r="KE12" s="157"/>
      <c r="KF12" s="157"/>
      <c r="KG12" s="157"/>
      <c r="KH12" s="157"/>
      <c r="KI12" s="157"/>
      <c r="KJ12" s="157"/>
      <c r="KK12" s="157"/>
      <c r="KL12" s="157"/>
    </row>
    <row r="13" spans="1:298" x14ac:dyDescent="0.2">
      <c r="A13" s="206" t="s">
        <v>49</v>
      </c>
      <c r="B13" s="161">
        <v>16876935824361.801</v>
      </c>
      <c r="C13" s="154">
        <v>736295687453.38806</v>
      </c>
      <c r="D13" s="161">
        <v>2.2461359140138106E-3</v>
      </c>
      <c r="E13" s="161">
        <v>2.7333048290666514E-2</v>
      </c>
      <c r="F13" s="161">
        <v>0.52138909583025883</v>
      </c>
      <c r="G13" s="161">
        <v>0.44903171996506064</v>
      </c>
      <c r="H13" s="161">
        <v>7.5936371282964724E-2</v>
      </c>
      <c r="I13" s="161">
        <v>0.92406362871703529</v>
      </c>
      <c r="J13" s="154">
        <v>285.14999999999998</v>
      </c>
      <c r="K13" s="168">
        <v>3</v>
      </c>
      <c r="L13" s="161">
        <v>6.9029435409970945E-9</v>
      </c>
      <c r="M13" s="171">
        <v>2.22114142977843</v>
      </c>
      <c r="N13" s="171">
        <v>33.134999999999998</v>
      </c>
      <c r="O13" s="171">
        <v>100</v>
      </c>
      <c r="P13" s="174">
        <v>3.522157729377217E-2</v>
      </c>
      <c r="Q13" s="174">
        <v>0.42860855705021172</v>
      </c>
      <c r="R13" s="168">
        <v>0.26947836230891975</v>
      </c>
      <c r="S13" s="161">
        <v>9.5129375951293795E-13</v>
      </c>
      <c r="T13" s="161">
        <v>224777357080.85178</v>
      </c>
      <c r="U13" s="161">
        <v>121523159977070.28</v>
      </c>
      <c r="V13" s="161">
        <v>363132297264073.62</v>
      </c>
      <c r="W13" s="186">
        <v>3.3368618910302522E-3</v>
      </c>
      <c r="X13" s="161">
        <v>3.0787933239320203E-2</v>
      </c>
      <c r="Y13" s="186">
        <v>0.62337847297023175</v>
      </c>
      <c r="Z13" s="161">
        <v>0.34249673189941798</v>
      </c>
      <c r="AA13" s="161">
        <v>9.7784085685615182E-2</v>
      </c>
      <c r="AB13" s="161">
        <v>0.90221591431438486</v>
      </c>
      <c r="AC13" s="154">
        <v>285.14999999999998</v>
      </c>
      <c r="AD13" s="171">
        <v>3</v>
      </c>
      <c r="AE13" s="161">
        <v>2.219685438863521E-8</v>
      </c>
      <c r="AF13" s="171">
        <v>3.2236167377528071</v>
      </c>
      <c r="AG13" s="171">
        <v>65.859718757561268</v>
      </c>
      <c r="AH13" s="171">
        <v>3682</v>
      </c>
      <c r="AI13" s="161">
        <v>2.4446021421403796E-2</v>
      </c>
      <c r="AJ13" s="161">
        <v>0.22555397857859621</v>
      </c>
      <c r="AK13" s="154">
        <v>0.25</v>
      </c>
      <c r="AL13" s="161">
        <v>9.5129375951293754E-13</v>
      </c>
      <c r="AM13" s="192">
        <v>2722000000000</v>
      </c>
      <c r="AN13" s="157"/>
      <c r="AO13" s="157">
        <f t="shared" si="0"/>
        <v>73629568745338.812</v>
      </c>
      <c r="AP13" s="207">
        <f t="shared" si="1"/>
        <v>1.3370531185263191E+18</v>
      </c>
      <c r="AQ13" s="207">
        <f t="shared" si="2"/>
        <v>1.3371267480950643E+18</v>
      </c>
      <c r="AR13" s="207">
        <f t="shared" si="3"/>
        <v>15369311394696.479</v>
      </c>
      <c r="AS13" s="207">
        <f t="shared" si="4"/>
        <v>247717838911378.78</v>
      </c>
      <c r="AT13" s="207">
        <f t="shared" si="5"/>
        <v>263087150306075.25</v>
      </c>
      <c r="AU13" s="207">
        <f t="shared" si="6"/>
        <v>1637772983080.2432</v>
      </c>
      <c r="AV13" s="207">
        <f t="shared" si="7"/>
        <v>11737620703925.996</v>
      </c>
      <c r="AW13" s="207">
        <f t="shared" si="8"/>
        <v>13375393687006.238</v>
      </c>
      <c r="AX13" s="157"/>
      <c r="AY13" s="157"/>
      <c r="AZ13" s="157"/>
      <c r="BA13" s="157"/>
      <c r="BB13" s="157"/>
      <c r="BC13" s="157"/>
      <c r="BD13" s="157"/>
      <c r="BE13" s="157"/>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7"/>
      <c r="CD13" s="157"/>
      <c r="CE13" s="15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157"/>
      <c r="DN13" s="157"/>
      <c r="DO13" s="157"/>
      <c r="DP13" s="157"/>
      <c r="DQ13" s="157"/>
      <c r="DR13" s="157"/>
      <c r="DS13" s="157"/>
      <c r="DT13" s="157"/>
      <c r="DU13" s="157"/>
      <c r="DV13" s="157"/>
      <c r="DW13" s="157"/>
      <c r="DX13" s="157"/>
      <c r="DY13" s="157"/>
      <c r="DZ13" s="157"/>
      <c r="EA13" s="157"/>
      <c r="EB13" s="157"/>
      <c r="EC13" s="157"/>
      <c r="ED13" s="157"/>
      <c r="EE13" s="157"/>
      <c r="EF13" s="157"/>
      <c r="EG13" s="157"/>
      <c r="EH13" s="157"/>
      <c r="EI13" s="157"/>
      <c r="EJ13" s="157"/>
      <c r="EK13" s="157"/>
      <c r="EL13" s="157"/>
      <c r="EM13" s="157"/>
      <c r="EN13" s="157"/>
      <c r="EO13" s="157"/>
      <c r="EP13" s="157"/>
      <c r="EQ13" s="157"/>
      <c r="ER13" s="157"/>
      <c r="ES13" s="157"/>
      <c r="ET13" s="157"/>
      <c r="EU13" s="157"/>
      <c r="EV13" s="157"/>
      <c r="EW13" s="157"/>
      <c r="EX13" s="157"/>
      <c r="EY13" s="157"/>
      <c r="EZ13" s="157"/>
      <c r="FA13" s="157"/>
      <c r="FB13" s="157"/>
      <c r="FC13" s="157"/>
      <c r="FD13" s="157"/>
      <c r="FE13" s="157"/>
      <c r="FF13" s="157"/>
      <c r="FG13" s="157"/>
      <c r="FH13" s="157"/>
      <c r="FI13" s="157"/>
      <c r="FJ13" s="157"/>
      <c r="FK13" s="157"/>
      <c r="FL13" s="157"/>
      <c r="FM13" s="157"/>
      <c r="FN13" s="157"/>
      <c r="FO13" s="157"/>
      <c r="FP13" s="157"/>
      <c r="FQ13" s="157"/>
      <c r="FR13" s="157"/>
      <c r="FS13" s="157"/>
      <c r="FT13" s="157"/>
      <c r="FU13" s="157"/>
      <c r="FV13" s="157"/>
      <c r="FW13" s="157"/>
      <c r="FX13" s="157"/>
      <c r="FY13" s="157"/>
      <c r="FZ13" s="157"/>
      <c r="GA13" s="157"/>
      <c r="GB13" s="157"/>
      <c r="GC13" s="157"/>
      <c r="GD13" s="157"/>
      <c r="GE13" s="157"/>
      <c r="GF13" s="157"/>
      <c r="GG13" s="157"/>
      <c r="GH13" s="157"/>
      <c r="GI13" s="157"/>
      <c r="GJ13" s="157"/>
      <c r="GK13" s="157"/>
      <c r="GL13" s="157"/>
      <c r="GM13" s="157"/>
      <c r="GN13" s="157"/>
      <c r="GO13" s="157"/>
      <c r="GP13" s="157"/>
      <c r="GQ13" s="157"/>
      <c r="GR13" s="157"/>
      <c r="GS13" s="157"/>
      <c r="GT13" s="157"/>
      <c r="GU13" s="157"/>
      <c r="GV13" s="157"/>
      <c r="GW13" s="157"/>
      <c r="GX13" s="157"/>
      <c r="GY13" s="157"/>
      <c r="GZ13" s="157"/>
      <c r="HA13" s="157"/>
      <c r="HB13" s="157"/>
      <c r="HC13" s="157"/>
      <c r="HD13" s="157"/>
      <c r="HE13" s="157"/>
      <c r="HF13" s="157"/>
      <c r="HG13" s="157"/>
      <c r="HH13" s="157"/>
      <c r="HI13" s="157"/>
      <c r="HJ13" s="157"/>
      <c r="HK13" s="157"/>
      <c r="HL13" s="157"/>
      <c r="HM13" s="157"/>
      <c r="HN13" s="157"/>
      <c r="HO13" s="157"/>
      <c r="HP13" s="157"/>
      <c r="HQ13" s="157"/>
      <c r="HR13" s="157"/>
      <c r="HS13" s="157"/>
      <c r="HT13" s="157"/>
      <c r="HU13" s="157"/>
      <c r="HV13" s="157"/>
      <c r="HW13" s="157"/>
      <c r="HX13" s="157"/>
      <c r="HY13" s="157"/>
      <c r="HZ13" s="157"/>
      <c r="IA13" s="157"/>
      <c r="IB13" s="157"/>
      <c r="IC13" s="157"/>
      <c r="ID13" s="157"/>
      <c r="IE13" s="157"/>
      <c r="IF13" s="157"/>
      <c r="IG13" s="157"/>
      <c r="IH13" s="157"/>
      <c r="II13" s="157"/>
      <c r="IJ13" s="157"/>
      <c r="IK13" s="157"/>
      <c r="IL13" s="157"/>
      <c r="IM13" s="157"/>
      <c r="IN13" s="157"/>
      <c r="IO13" s="157"/>
      <c r="IP13" s="157"/>
      <c r="IQ13" s="157"/>
      <c r="IR13" s="157"/>
      <c r="IS13" s="157"/>
      <c r="IT13" s="157"/>
      <c r="IU13" s="157"/>
      <c r="IV13" s="157"/>
      <c r="IW13" s="157"/>
      <c r="IX13" s="157"/>
      <c r="IY13" s="157"/>
      <c r="IZ13" s="157"/>
      <c r="JA13" s="157"/>
      <c r="JB13" s="157"/>
      <c r="JC13" s="157"/>
      <c r="JD13" s="157"/>
      <c r="JE13" s="157"/>
      <c r="JF13" s="157"/>
      <c r="JG13" s="157"/>
      <c r="JH13" s="157"/>
      <c r="JI13" s="157"/>
      <c r="JJ13" s="157"/>
      <c r="JK13" s="157"/>
      <c r="JL13" s="157"/>
      <c r="JM13" s="157"/>
      <c r="JN13" s="157"/>
      <c r="JO13" s="157"/>
      <c r="JP13" s="157"/>
      <c r="JQ13" s="157"/>
      <c r="JR13" s="157"/>
      <c r="JS13" s="157"/>
      <c r="JT13" s="157"/>
      <c r="JU13" s="157"/>
      <c r="JV13" s="157"/>
      <c r="JW13" s="157"/>
      <c r="JX13" s="157"/>
      <c r="JY13" s="157"/>
      <c r="JZ13" s="157"/>
      <c r="KA13" s="157"/>
      <c r="KB13" s="157"/>
      <c r="KC13" s="157"/>
      <c r="KD13" s="157"/>
      <c r="KE13" s="157"/>
      <c r="KF13" s="157"/>
      <c r="KG13" s="157"/>
      <c r="KH13" s="157"/>
      <c r="KI13" s="157"/>
      <c r="KJ13" s="157"/>
      <c r="KK13" s="157"/>
      <c r="KL13" s="157"/>
    </row>
    <row r="14" spans="1:298" s="199" customFormat="1" x14ac:dyDescent="0.2">
      <c r="A14" s="208" t="s">
        <v>50</v>
      </c>
      <c r="B14" s="162">
        <v>16866063542825.699</v>
      </c>
      <c r="C14" s="166">
        <v>5337404627321.1104</v>
      </c>
      <c r="D14" s="162">
        <v>1.2328111324045821E-2</v>
      </c>
      <c r="E14" s="162">
        <v>2.6854951071182274E-2</v>
      </c>
      <c r="F14" s="162">
        <v>0.49742034593361567</v>
      </c>
      <c r="G14" s="162">
        <v>0.46339659167115632</v>
      </c>
      <c r="H14" s="162">
        <v>0.3146285810867912</v>
      </c>
      <c r="I14" s="162">
        <v>0.68537141891320885</v>
      </c>
      <c r="J14" s="166">
        <v>285.14999999999998</v>
      </c>
      <c r="K14" s="169">
        <v>3</v>
      </c>
      <c r="L14" s="162">
        <v>4.8075939403191273E-8</v>
      </c>
      <c r="M14" s="172">
        <v>3.3070096167614702</v>
      </c>
      <c r="N14" s="172">
        <v>17.388000000000002</v>
      </c>
      <c r="O14" s="172">
        <v>100</v>
      </c>
      <c r="P14" s="175">
        <v>8.2847467788464024E-2</v>
      </c>
      <c r="Q14" s="175">
        <v>0.18047084710299308</v>
      </c>
      <c r="R14" s="169">
        <v>0.26947836230891975</v>
      </c>
      <c r="S14" s="162">
        <v>9.5129375951293795E-13</v>
      </c>
      <c r="T14" s="162">
        <v>1668488490911.5991</v>
      </c>
      <c r="U14" s="162">
        <v>121534032258606.3</v>
      </c>
      <c r="V14" s="162">
        <v>358531188324205.88</v>
      </c>
      <c r="W14" s="187">
        <v>2.6678906513677935E-3</v>
      </c>
      <c r="X14" s="162">
        <v>3.0123705555439164E-2</v>
      </c>
      <c r="Y14" s="187">
        <v>0.62669564754335116</v>
      </c>
      <c r="Z14" s="162">
        <v>0.34051275624984195</v>
      </c>
      <c r="AA14" s="162">
        <v>8.1358974858747074E-2</v>
      </c>
      <c r="AB14" s="162">
        <v>0.9186410251412529</v>
      </c>
      <c r="AC14" s="166">
        <v>285.14999999999998</v>
      </c>
      <c r="AD14" s="172">
        <v>3</v>
      </c>
      <c r="AE14" s="162">
        <v>2.219685438863521E-8</v>
      </c>
      <c r="AF14" s="172">
        <v>3.1509464211344089</v>
      </c>
      <c r="AG14" s="172">
        <v>66.646020138509783</v>
      </c>
      <c r="AH14" s="172">
        <v>3682</v>
      </c>
      <c r="AI14" s="162">
        <v>2.0339743714686769E-2</v>
      </c>
      <c r="AJ14" s="162">
        <v>0.22966025628531322</v>
      </c>
      <c r="AK14" s="166">
        <v>0.25</v>
      </c>
      <c r="AL14" s="162">
        <v>9.5129375951293754E-13</v>
      </c>
      <c r="AM14" s="193">
        <v>2722000000000</v>
      </c>
      <c r="AN14" s="157"/>
      <c r="AO14" s="157">
        <f t="shared" si="0"/>
        <v>533740462732111.06</v>
      </c>
      <c r="AP14" s="207">
        <f t="shared" si="1"/>
        <v>1.320111835409726E+18</v>
      </c>
      <c r="AQ14" s="207">
        <f t="shared" si="2"/>
        <v>1.320645575872458E+18</v>
      </c>
      <c r="AR14" s="207">
        <f t="shared" si="3"/>
        <v>8563289593344.2598</v>
      </c>
      <c r="AS14" s="207">
        <f t="shared" si="4"/>
        <v>245016433416964.09</v>
      </c>
      <c r="AT14" s="207">
        <f t="shared" si="5"/>
        <v>253579723010308.34</v>
      </c>
      <c r="AU14" s="207">
        <f t="shared" si="6"/>
        <v>1620519952266.5281</v>
      </c>
      <c r="AV14" s="207">
        <f t="shared" si="7"/>
        <v>11754873734739.703</v>
      </c>
      <c r="AW14" s="207">
        <f t="shared" si="8"/>
        <v>13375393687006.23</v>
      </c>
      <c r="AX14" s="157"/>
      <c r="AY14" s="157"/>
      <c r="AZ14" s="157"/>
      <c r="BA14" s="157"/>
      <c r="BB14" s="157"/>
      <c r="BC14" s="157"/>
      <c r="BD14" s="157"/>
      <c r="BE14" s="157"/>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157"/>
      <c r="DP14" s="157"/>
      <c r="DQ14" s="157"/>
      <c r="DR14" s="157"/>
      <c r="DS14" s="157"/>
      <c r="DT14" s="157"/>
      <c r="DU14" s="157"/>
      <c r="DV14" s="157"/>
      <c r="DW14" s="157"/>
      <c r="DX14" s="157"/>
      <c r="DY14" s="157"/>
      <c r="DZ14" s="157"/>
      <c r="EA14" s="157"/>
      <c r="EB14" s="157"/>
      <c r="EC14" s="157"/>
      <c r="ED14" s="157"/>
      <c r="EE14" s="157"/>
      <c r="EF14" s="157"/>
      <c r="EG14" s="157"/>
      <c r="EH14" s="157"/>
      <c r="EI14" s="157"/>
      <c r="EJ14" s="157"/>
      <c r="EK14" s="157"/>
      <c r="EL14" s="157"/>
      <c r="EM14" s="157"/>
      <c r="EN14" s="157"/>
      <c r="EO14" s="157"/>
      <c r="EP14" s="157"/>
      <c r="EQ14" s="157"/>
      <c r="ER14" s="157"/>
      <c r="ES14" s="157"/>
      <c r="ET14" s="157"/>
      <c r="EU14" s="157"/>
      <c r="EV14" s="157"/>
      <c r="EW14" s="157"/>
      <c r="EX14" s="157"/>
      <c r="EY14" s="157"/>
      <c r="EZ14" s="157"/>
      <c r="FA14" s="157"/>
      <c r="FB14" s="157"/>
      <c r="FC14" s="157"/>
      <c r="FD14" s="157"/>
      <c r="FE14" s="157"/>
      <c r="FF14" s="157"/>
      <c r="FG14" s="157"/>
      <c r="FH14" s="157"/>
      <c r="FI14" s="157"/>
      <c r="FJ14" s="157"/>
      <c r="FK14" s="157"/>
      <c r="FL14" s="157"/>
      <c r="FM14" s="157"/>
      <c r="FN14" s="157"/>
      <c r="FO14" s="157"/>
      <c r="FP14" s="157"/>
      <c r="FQ14" s="157"/>
      <c r="FR14" s="157"/>
      <c r="FS14" s="157"/>
      <c r="FT14" s="157"/>
      <c r="FU14" s="157"/>
      <c r="FV14" s="157"/>
      <c r="FW14" s="157"/>
      <c r="FX14" s="157"/>
      <c r="FY14" s="157"/>
      <c r="FZ14" s="157"/>
      <c r="GA14" s="157"/>
      <c r="GB14" s="157"/>
      <c r="GC14" s="157"/>
      <c r="GD14" s="157"/>
      <c r="GE14" s="157"/>
      <c r="GF14" s="157"/>
      <c r="GG14" s="157"/>
      <c r="GH14" s="157"/>
      <c r="GI14" s="157"/>
      <c r="GJ14" s="157"/>
      <c r="GK14" s="157"/>
      <c r="GL14" s="157"/>
      <c r="GM14" s="157"/>
      <c r="GN14" s="157"/>
      <c r="GO14" s="157"/>
      <c r="GP14" s="157"/>
      <c r="GQ14" s="157"/>
      <c r="GR14" s="157"/>
      <c r="GS14" s="157"/>
      <c r="GT14" s="157"/>
      <c r="GU14" s="157"/>
      <c r="GV14" s="157"/>
      <c r="GW14" s="157"/>
      <c r="GX14" s="157"/>
      <c r="GY14" s="157"/>
      <c r="GZ14" s="157"/>
      <c r="HA14" s="157"/>
      <c r="HB14" s="157"/>
      <c r="HC14" s="157"/>
      <c r="HD14" s="157"/>
      <c r="HE14" s="157"/>
      <c r="HF14" s="157"/>
      <c r="HG14" s="157"/>
      <c r="HH14" s="157"/>
      <c r="HI14" s="157"/>
      <c r="HJ14" s="157"/>
      <c r="HK14" s="157"/>
      <c r="HL14" s="157"/>
      <c r="HM14" s="157"/>
      <c r="HN14" s="157"/>
      <c r="HO14" s="157"/>
      <c r="HP14" s="157"/>
      <c r="HQ14" s="157"/>
      <c r="HR14" s="157"/>
      <c r="HS14" s="157"/>
      <c r="HT14" s="157"/>
      <c r="HU14" s="157"/>
      <c r="HV14" s="157"/>
      <c r="HW14" s="157"/>
      <c r="HX14" s="157"/>
      <c r="HY14" s="157"/>
      <c r="HZ14" s="157"/>
      <c r="IA14" s="157"/>
      <c r="IB14" s="157"/>
      <c r="IC14" s="157"/>
      <c r="ID14" s="157"/>
      <c r="IE14" s="157"/>
      <c r="IF14" s="157"/>
      <c r="IG14" s="157"/>
      <c r="IH14" s="157"/>
      <c r="II14" s="157"/>
      <c r="IJ14" s="157"/>
      <c r="IK14" s="157"/>
      <c r="IL14" s="157"/>
      <c r="IM14" s="157"/>
      <c r="IN14" s="157"/>
      <c r="IO14" s="157"/>
      <c r="IP14" s="157"/>
      <c r="IQ14" s="157"/>
      <c r="IR14" s="157"/>
      <c r="IS14" s="157"/>
      <c r="IT14" s="157"/>
      <c r="IU14" s="157"/>
      <c r="IV14" s="157"/>
      <c r="IW14" s="157"/>
      <c r="IX14" s="157"/>
      <c r="IY14" s="157"/>
      <c r="IZ14" s="157"/>
      <c r="JA14" s="157"/>
      <c r="JB14" s="157"/>
      <c r="JC14" s="157"/>
      <c r="JD14" s="157"/>
      <c r="JE14" s="157"/>
      <c r="JF14" s="157"/>
      <c r="JG14" s="157"/>
      <c r="JH14" s="157"/>
      <c r="JI14" s="157"/>
      <c r="JJ14" s="157"/>
      <c r="JK14" s="157"/>
      <c r="JL14" s="157"/>
      <c r="JM14" s="157"/>
      <c r="JN14" s="157"/>
      <c r="JO14" s="157"/>
      <c r="JP14" s="157"/>
      <c r="JQ14" s="157"/>
      <c r="JR14" s="157"/>
      <c r="JS14" s="157"/>
      <c r="JT14" s="157"/>
      <c r="JU14" s="157"/>
      <c r="JV14" s="157"/>
      <c r="JW14" s="157"/>
      <c r="JX14" s="157"/>
      <c r="JY14" s="157"/>
      <c r="JZ14" s="157"/>
      <c r="KA14" s="157"/>
      <c r="KB14" s="157"/>
      <c r="KC14" s="157"/>
      <c r="KD14" s="157"/>
      <c r="KE14" s="157"/>
      <c r="KF14" s="157"/>
      <c r="KG14" s="157"/>
      <c r="KH14" s="157"/>
      <c r="KI14" s="157"/>
      <c r="KJ14" s="157"/>
      <c r="KK14" s="157"/>
      <c r="KL14" s="157"/>
    </row>
    <row r="15" spans="1:298" x14ac:dyDescent="0.2">
      <c r="A15" s="206" t="s">
        <v>51</v>
      </c>
      <c r="B15" s="161">
        <v>18299925118543.301</v>
      </c>
      <c r="C15" s="154">
        <v>5624861905886.04</v>
      </c>
      <c r="D15" s="161">
        <v>4.6867292368314396E-3</v>
      </c>
      <c r="E15" s="161">
        <v>5.1861908448400822E-2</v>
      </c>
      <c r="F15" s="161">
        <v>0.82125081990086912</v>
      </c>
      <c r="G15" s="161">
        <v>0.12220054241389856</v>
      </c>
      <c r="H15" s="161">
        <v>8.287961352701842E-2</v>
      </c>
      <c r="I15" s="161">
        <v>0.91712038647298155</v>
      </c>
      <c r="J15" s="154">
        <v>285.14999999999998</v>
      </c>
      <c r="K15" s="168">
        <v>3</v>
      </c>
      <c r="L15" s="161">
        <v>1.5527965468435237E-8</v>
      </c>
      <c r="M15" s="171">
        <v>2.92803772943742</v>
      </c>
      <c r="N15" s="171">
        <v>131.869</v>
      </c>
      <c r="O15" s="171">
        <v>100</v>
      </c>
      <c r="P15" s="174">
        <v>2.9771737796170678E-2</v>
      </c>
      <c r="Q15" s="174">
        <v>0.32944492030836076</v>
      </c>
      <c r="R15" s="168">
        <v>0.26947836230891975</v>
      </c>
      <c r="S15" s="161">
        <v>9.5129375951293795E-13</v>
      </c>
      <c r="T15" s="161">
        <v>968920300.65213537</v>
      </c>
      <c r="U15" s="161">
        <v>120100170682888.8</v>
      </c>
      <c r="V15" s="161">
        <v>358243731045640.94</v>
      </c>
      <c r="W15" s="186">
        <v>3.058070089746998E-3</v>
      </c>
      <c r="X15" s="161">
        <v>2.7011188560264476E-2</v>
      </c>
      <c r="Y15" s="186">
        <v>0.57889629385056318</v>
      </c>
      <c r="Z15" s="161">
        <v>0.39103444749942551</v>
      </c>
      <c r="AA15" s="161">
        <v>0.1017008808012575</v>
      </c>
      <c r="AB15" s="161">
        <v>0.8982991191987425</v>
      </c>
      <c r="AC15" s="154">
        <v>285.14999999999998</v>
      </c>
      <c r="AD15" s="171">
        <v>3</v>
      </c>
      <c r="AE15" s="161">
        <v>2.219685438863521E-8</v>
      </c>
      <c r="AF15" s="171">
        <v>3.2600324704341905</v>
      </c>
      <c r="AG15" s="171">
        <v>39.143976186341142</v>
      </c>
      <c r="AH15" s="171">
        <v>3682</v>
      </c>
      <c r="AI15" s="161">
        <v>2.5425220200314375E-2</v>
      </c>
      <c r="AJ15" s="161">
        <v>0.22457477979968563</v>
      </c>
      <c r="AK15" s="154">
        <v>0.25</v>
      </c>
      <c r="AL15" s="161">
        <v>9.5129375951293754E-13</v>
      </c>
      <c r="AM15" s="192">
        <v>2722000000000</v>
      </c>
      <c r="AN15" s="157"/>
      <c r="AO15" s="157">
        <f t="shared" si="0"/>
        <v>562486190588604</v>
      </c>
      <c r="AP15" s="207">
        <f t="shared" si="1"/>
        <v>1.31905341771005E+18</v>
      </c>
      <c r="AQ15" s="207">
        <f t="shared" si="2"/>
        <v>1.3196159039006387E+18</v>
      </c>
      <c r="AR15" s="207">
        <f t="shared" si="3"/>
        <v>125403913791211.8</v>
      </c>
      <c r="AS15" s="207">
        <f t="shared" si="4"/>
        <v>128182279188767.58</v>
      </c>
      <c r="AT15" s="207">
        <f t="shared" si="5"/>
        <v>253586192979979.38</v>
      </c>
      <c r="AU15" s="207">
        <f t="shared" si="6"/>
        <v>1726508928334.7915</v>
      </c>
      <c r="AV15" s="207">
        <f t="shared" si="7"/>
        <v>11648884758671.451</v>
      </c>
      <c r="AW15" s="207">
        <f t="shared" si="8"/>
        <v>13375393687006.242</v>
      </c>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T15" s="157"/>
      <c r="DU15" s="157"/>
      <c r="DV15" s="157"/>
      <c r="DW15" s="157"/>
      <c r="DX15" s="157"/>
      <c r="DY15" s="157"/>
      <c r="DZ15" s="157"/>
      <c r="EA15" s="157"/>
      <c r="EB15" s="157"/>
      <c r="EC15" s="157"/>
      <c r="ED15" s="157"/>
      <c r="EE15" s="157"/>
      <c r="EF15" s="157"/>
      <c r="EG15" s="157"/>
      <c r="EH15" s="157"/>
      <c r="EI15" s="157"/>
      <c r="EJ15" s="157"/>
      <c r="EK15" s="157"/>
      <c r="EL15" s="157"/>
      <c r="EM15" s="157"/>
      <c r="EN15" s="157"/>
      <c r="EO15" s="157"/>
      <c r="EP15" s="157"/>
      <c r="EQ15" s="157"/>
      <c r="ER15" s="157"/>
      <c r="ES15" s="157"/>
      <c r="ET15" s="157"/>
      <c r="EU15" s="157"/>
      <c r="EV15" s="157"/>
      <c r="EW15" s="157"/>
      <c r="EX15" s="157"/>
      <c r="EY15" s="157"/>
      <c r="EZ15" s="157"/>
      <c r="FA15" s="157"/>
      <c r="FB15" s="157"/>
      <c r="FC15" s="157"/>
      <c r="FD15" s="157"/>
      <c r="FE15" s="157"/>
      <c r="FF15" s="157"/>
      <c r="FG15" s="157"/>
      <c r="FH15" s="157"/>
      <c r="FI15" s="157"/>
      <c r="FJ15" s="157"/>
      <c r="FK15" s="157"/>
      <c r="FL15" s="157"/>
      <c r="FM15" s="157"/>
      <c r="FN15" s="157"/>
      <c r="FO15" s="157"/>
      <c r="FP15" s="157"/>
      <c r="FQ15" s="157"/>
      <c r="FR15" s="157"/>
      <c r="FS15" s="157"/>
      <c r="FT15" s="157"/>
      <c r="FU15" s="157"/>
      <c r="FV15" s="157"/>
      <c r="FW15" s="157"/>
      <c r="FX15" s="157"/>
      <c r="FY15" s="157"/>
      <c r="FZ15" s="157"/>
      <c r="GA15" s="157"/>
      <c r="GB15" s="157"/>
      <c r="GC15" s="157"/>
      <c r="GD15" s="157"/>
      <c r="GE15" s="157"/>
      <c r="GF15" s="157"/>
      <c r="GG15" s="157"/>
      <c r="GH15" s="157"/>
      <c r="GI15" s="157"/>
      <c r="GJ15" s="157"/>
      <c r="GK15" s="157"/>
      <c r="GL15" s="157"/>
      <c r="GM15" s="157"/>
      <c r="GN15" s="157"/>
      <c r="GO15" s="157"/>
      <c r="GP15" s="157"/>
      <c r="GQ15" s="157"/>
      <c r="GR15" s="157"/>
      <c r="GS15" s="157"/>
      <c r="GT15" s="157"/>
      <c r="GU15" s="157"/>
      <c r="GV15" s="157"/>
      <c r="GW15" s="157"/>
      <c r="GX15" s="157"/>
      <c r="GY15" s="157"/>
      <c r="GZ15" s="157"/>
      <c r="HA15" s="157"/>
      <c r="HB15" s="157"/>
      <c r="HC15" s="157"/>
      <c r="HD15" s="157"/>
      <c r="HE15" s="157"/>
      <c r="HF15" s="157"/>
      <c r="HG15" s="157"/>
      <c r="HH15" s="157"/>
      <c r="HI15" s="157"/>
      <c r="HJ15" s="157"/>
      <c r="HK15" s="157"/>
      <c r="HL15" s="157"/>
      <c r="HM15" s="157"/>
      <c r="HN15" s="157"/>
      <c r="HO15" s="157"/>
      <c r="HP15" s="157"/>
      <c r="HQ15" s="157"/>
      <c r="HR15" s="157"/>
      <c r="HS15" s="157"/>
      <c r="HT15" s="157"/>
      <c r="HU15" s="157"/>
      <c r="HV15" s="157"/>
      <c r="HW15" s="157"/>
      <c r="HX15" s="157"/>
      <c r="HY15" s="157"/>
      <c r="HZ15" s="157"/>
      <c r="IA15" s="157"/>
      <c r="IB15" s="157"/>
      <c r="IC15" s="157"/>
      <c r="ID15" s="157"/>
      <c r="IE15" s="157"/>
      <c r="IF15" s="157"/>
      <c r="IG15" s="157"/>
      <c r="IH15" s="157"/>
      <c r="II15" s="157"/>
      <c r="IJ15" s="157"/>
      <c r="IK15" s="157"/>
      <c r="IL15" s="157"/>
      <c r="IM15" s="157"/>
      <c r="IN15" s="157"/>
      <c r="IO15" s="157"/>
      <c r="IP15" s="157"/>
      <c r="IQ15" s="157"/>
      <c r="IR15" s="157"/>
      <c r="IS15" s="157"/>
      <c r="IT15" s="157"/>
      <c r="IU15" s="157"/>
      <c r="IV15" s="157"/>
      <c r="IW15" s="157"/>
      <c r="IX15" s="157"/>
      <c r="IY15" s="157"/>
      <c r="IZ15" s="157"/>
      <c r="JA15" s="157"/>
      <c r="JB15" s="157"/>
      <c r="JC15" s="157"/>
      <c r="JD15" s="157"/>
      <c r="JE15" s="157"/>
      <c r="JF15" s="157"/>
      <c r="JG15" s="157"/>
      <c r="JH15" s="157"/>
      <c r="JI15" s="157"/>
      <c r="JJ15" s="157"/>
      <c r="JK15" s="157"/>
      <c r="JL15" s="157"/>
      <c r="JM15" s="157"/>
      <c r="JN15" s="157"/>
      <c r="JO15" s="157"/>
      <c r="JP15" s="157"/>
      <c r="JQ15" s="157"/>
      <c r="JR15" s="157"/>
      <c r="JS15" s="157"/>
      <c r="JT15" s="157"/>
      <c r="JU15" s="157"/>
      <c r="JV15" s="157"/>
      <c r="JW15" s="157"/>
      <c r="JX15" s="157"/>
      <c r="JY15" s="157"/>
      <c r="JZ15" s="157"/>
      <c r="KA15" s="157"/>
      <c r="KB15" s="157"/>
      <c r="KC15" s="157"/>
      <c r="KD15" s="157"/>
      <c r="KE15" s="157"/>
      <c r="KF15" s="157"/>
      <c r="KG15" s="157"/>
      <c r="KH15" s="157"/>
      <c r="KI15" s="157"/>
      <c r="KJ15" s="157"/>
      <c r="KK15" s="157"/>
      <c r="KL15" s="157"/>
    </row>
    <row r="16" spans="1:298" s="199" customFormat="1" ht="16" thickBot="1" x14ac:dyDescent="0.25">
      <c r="A16" s="205" t="s">
        <v>31</v>
      </c>
      <c r="B16" s="163">
        <v>8124748106563.8301</v>
      </c>
      <c r="C16" s="165">
        <v>2240568531289.3301</v>
      </c>
      <c r="D16" s="163">
        <v>8.9982340465944517E-4</v>
      </c>
      <c r="E16" s="163">
        <v>5.8477675078838082E-3</v>
      </c>
      <c r="F16" s="163">
        <v>0.53527811649280743</v>
      </c>
      <c r="G16" s="163">
        <v>0.45797429259464939</v>
      </c>
      <c r="H16" s="163">
        <v>0.13335476562260801</v>
      </c>
      <c r="I16" s="163">
        <v>0.86664523437739205</v>
      </c>
      <c r="J16" s="165">
        <v>285.14999999999998</v>
      </c>
      <c r="K16" s="170">
        <v>3</v>
      </c>
      <c r="L16" s="163">
        <v>4.108581719551405E-8</v>
      </c>
      <c r="M16" s="173">
        <v>1.0055754452635499</v>
      </c>
      <c r="N16" s="173">
        <v>8.8089999999999993</v>
      </c>
      <c r="O16" s="173">
        <v>100</v>
      </c>
      <c r="P16" s="176">
        <v>2.534326178823661E-2</v>
      </c>
      <c r="Q16" s="176">
        <v>0.16470065355227445</v>
      </c>
      <c r="R16" s="170">
        <v>0.26947836230891975</v>
      </c>
      <c r="S16" s="163">
        <v>9.5129375951293795E-13</v>
      </c>
      <c r="T16" s="163">
        <v>10565999999.999998</v>
      </c>
      <c r="U16" s="163">
        <v>130275347694868.2</v>
      </c>
      <c r="V16" s="163">
        <v>361628024420237.69</v>
      </c>
      <c r="W16" s="188">
        <v>3.3812261696734769E-3</v>
      </c>
      <c r="X16" s="163">
        <v>3.1862099111123296E-2</v>
      </c>
      <c r="Y16" s="188">
        <v>0.61566039747804102</v>
      </c>
      <c r="Z16" s="163">
        <v>0.34909627724116243</v>
      </c>
      <c r="AA16" s="163">
        <v>9.5939476276258873E-2</v>
      </c>
      <c r="AB16" s="163">
        <v>0.90406052372374113</v>
      </c>
      <c r="AC16" s="165">
        <v>285.14999999999998</v>
      </c>
      <c r="AD16" s="173">
        <v>3</v>
      </c>
      <c r="AE16" s="163">
        <v>2.219685438863521E-8</v>
      </c>
      <c r="AF16" s="173">
        <v>3.246641926267948</v>
      </c>
      <c r="AG16" s="173">
        <v>65.281447746446048</v>
      </c>
      <c r="AH16" s="173">
        <v>3682</v>
      </c>
      <c r="AI16" s="163">
        <v>2.3984869069064718E-2</v>
      </c>
      <c r="AJ16" s="163">
        <v>0.22601513093093528</v>
      </c>
      <c r="AK16" s="165">
        <v>0.25</v>
      </c>
      <c r="AL16" s="163">
        <v>9.5129375951293754E-13</v>
      </c>
      <c r="AM16" s="194">
        <v>2722000000000</v>
      </c>
      <c r="AN16" s="157"/>
      <c r="AO16" s="157">
        <f t="shared" si="0"/>
        <v>224056853128933</v>
      </c>
      <c r="AP16" s="207">
        <f t="shared" si="1"/>
        <v>1.3315143859153152E+18</v>
      </c>
      <c r="AQ16" s="207">
        <f t="shared" si="2"/>
        <v>1.3317384427684442E+18</v>
      </c>
      <c r="AR16" s="207">
        <f t="shared" si="3"/>
        <v>425881618713.31909</v>
      </c>
      <c r="AS16" s="207">
        <f t="shared" si="4"/>
        <v>272403353512244.12</v>
      </c>
      <c r="AT16" s="207">
        <f t="shared" si="5"/>
        <v>272829235130957.44</v>
      </c>
      <c r="AU16" s="207">
        <f t="shared" si="6"/>
        <v>806992563007.32776</v>
      </c>
      <c r="AV16" s="207">
        <f t="shared" si="7"/>
        <v>12568401123998.91</v>
      </c>
      <c r="AW16" s="207">
        <f t="shared" si="8"/>
        <v>13375393687006.238</v>
      </c>
      <c r="AX16" s="157"/>
      <c r="AY16" s="157"/>
      <c r="AZ16" s="157"/>
      <c r="BA16" s="157"/>
      <c r="BB16" s="157"/>
      <c r="BC16" s="157"/>
      <c r="BD16" s="157"/>
      <c r="BE16" s="157"/>
      <c r="BF16" s="157"/>
      <c r="BG16" s="157"/>
      <c r="BH16" s="157"/>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57"/>
      <c r="CE16" s="157"/>
      <c r="CF16" s="157"/>
      <c r="CG16" s="157"/>
      <c r="CH16" s="157"/>
      <c r="CI16" s="157"/>
      <c r="CJ16" s="157"/>
      <c r="CK16" s="157"/>
      <c r="CL16" s="157"/>
      <c r="CM16" s="157"/>
      <c r="CN16" s="157"/>
      <c r="CO16" s="157"/>
      <c r="CP16" s="157"/>
      <c r="CQ16" s="157"/>
      <c r="CR16" s="157"/>
      <c r="CS16" s="157"/>
      <c r="CT16" s="157"/>
      <c r="CU16" s="157"/>
      <c r="CV16" s="157"/>
      <c r="CW16" s="157"/>
      <c r="CX16" s="157"/>
      <c r="CY16" s="157"/>
      <c r="CZ16" s="157"/>
      <c r="DA16" s="157"/>
      <c r="DB16" s="157"/>
      <c r="DC16" s="157"/>
      <c r="DD16" s="157"/>
      <c r="DE16" s="157"/>
      <c r="DF16" s="157"/>
      <c r="DG16" s="157"/>
      <c r="DH16" s="157"/>
      <c r="DI16" s="157"/>
      <c r="DJ16" s="157"/>
      <c r="DK16" s="157"/>
      <c r="DL16" s="157"/>
      <c r="DM16" s="157"/>
      <c r="DN16" s="157"/>
      <c r="DO16" s="157"/>
      <c r="DP16" s="157"/>
      <c r="DQ16" s="157"/>
      <c r="DR16" s="157"/>
      <c r="DS16" s="157"/>
      <c r="DT16" s="157"/>
      <c r="DU16" s="157"/>
      <c r="DV16" s="157"/>
      <c r="DW16" s="157"/>
      <c r="DX16" s="157"/>
      <c r="DY16" s="157"/>
      <c r="DZ16" s="157"/>
      <c r="EA16" s="157"/>
      <c r="EB16" s="157"/>
      <c r="EC16" s="157"/>
      <c r="ED16" s="157"/>
      <c r="EE16" s="157"/>
      <c r="EF16" s="157"/>
      <c r="EG16" s="157"/>
      <c r="EH16" s="157"/>
      <c r="EI16" s="157"/>
      <c r="EJ16" s="157"/>
      <c r="EK16" s="157"/>
      <c r="EL16" s="157"/>
      <c r="EM16" s="157"/>
      <c r="EN16" s="157"/>
      <c r="EO16" s="157"/>
      <c r="EP16" s="157"/>
      <c r="EQ16" s="157"/>
      <c r="ER16" s="157"/>
      <c r="ES16" s="157"/>
      <c r="ET16" s="157"/>
      <c r="EU16" s="157"/>
      <c r="EV16" s="157"/>
      <c r="EW16" s="157"/>
      <c r="EX16" s="157"/>
      <c r="EY16" s="157"/>
      <c r="EZ16" s="157"/>
      <c r="FA16" s="157"/>
      <c r="FB16" s="157"/>
      <c r="FC16" s="157"/>
      <c r="FD16" s="157"/>
      <c r="FE16" s="157"/>
      <c r="FF16" s="157"/>
      <c r="FG16" s="157"/>
      <c r="FH16" s="157"/>
      <c r="FI16" s="157"/>
      <c r="FJ16" s="157"/>
      <c r="FK16" s="157"/>
      <c r="FL16" s="157"/>
      <c r="FM16" s="157"/>
      <c r="FN16" s="157"/>
      <c r="FO16" s="157"/>
      <c r="FP16" s="157"/>
      <c r="FQ16" s="157"/>
      <c r="FR16" s="157"/>
      <c r="FS16" s="157"/>
      <c r="FT16" s="157"/>
      <c r="FU16" s="157"/>
      <c r="FV16" s="157"/>
      <c r="FW16" s="157"/>
      <c r="FX16" s="157"/>
      <c r="FY16" s="157"/>
      <c r="FZ16" s="157"/>
      <c r="GA16" s="157"/>
      <c r="GB16" s="157"/>
      <c r="GC16" s="157"/>
      <c r="GD16" s="157"/>
      <c r="GE16" s="157"/>
      <c r="GF16" s="157"/>
      <c r="GG16" s="157"/>
      <c r="GH16" s="157"/>
      <c r="GI16" s="157"/>
      <c r="GJ16" s="157"/>
      <c r="GK16" s="157"/>
      <c r="GL16" s="157"/>
      <c r="GM16" s="157"/>
      <c r="GN16" s="157"/>
      <c r="GO16" s="157"/>
      <c r="GP16" s="157"/>
      <c r="GQ16" s="157"/>
      <c r="GR16" s="157"/>
      <c r="GS16" s="157"/>
      <c r="GT16" s="157"/>
      <c r="GU16" s="157"/>
      <c r="GV16" s="157"/>
      <c r="GW16" s="157"/>
      <c r="GX16" s="157"/>
      <c r="GY16" s="157"/>
      <c r="GZ16" s="157"/>
      <c r="HA16" s="157"/>
      <c r="HB16" s="157"/>
      <c r="HC16" s="157"/>
      <c r="HD16" s="157"/>
      <c r="HE16" s="157"/>
      <c r="HF16" s="157"/>
      <c r="HG16" s="157"/>
      <c r="HH16" s="157"/>
      <c r="HI16" s="157"/>
      <c r="HJ16" s="157"/>
      <c r="HK16" s="157"/>
      <c r="HL16" s="157"/>
      <c r="HM16" s="157"/>
      <c r="HN16" s="157"/>
      <c r="HO16" s="157"/>
      <c r="HP16" s="157"/>
      <c r="HQ16" s="157"/>
      <c r="HR16" s="157"/>
      <c r="HS16" s="157"/>
      <c r="HT16" s="157"/>
      <c r="HU16" s="157"/>
      <c r="HV16" s="157"/>
      <c r="HW16" s="157"/>
      <c r="HX16" s="157"/>
      <c r="HY16" s="157"/>
      <c r="HZ16" s="157"/>
      <c r="IA16" s="157"/>
      <c r="IB16" s="157"/>
      <c r="IC16" s="157"/>
      <c r="ID16" s="157"/>
      <c r="IE16" s="157"/>
      <c r="IF16" s="157"/>
      <c r="IG16" s="157"/>
      <c r="IH16" s="157"/>
      <c r="II16" s="157"/>
      <c r="IJ16" s="157"/>
      <c r="IK16" s="157"/>
      <c r="IL16" s="157"/>
      <c r="IM16" s="157"/>
      <c r="IN16" s="157"/>
      <c r="IO16" s="157"/>
      <c r="IP16" s="157"/>
      <c r="IQ16" s="157"/>
      <c r="IR16" s="157"/>
      <c r="IS16" s="157"/>
      <c r="IT16" s="157"/>
      <c r="IU16" s="157"/>
      <c r="IV16" s="157"/>
      <c r="IW16" s="157"/>
      <c r="IX16" s="157"/>
      <c r="IY16" s="157"/>
      <c r="IZ16" s="157"/>
      <c r="JA16" s="157"/>
      <c r="JB16" s="157"/>
      <c r="JC16" s="157"/>
      <c r="JD16" s="157"/>
      <c r="JE16" s="157"/>
      <c r="JF16" s="157"/>
      <c r="JG16" s="157"/>
      <c r="JH16" s="157"/>
      <c r="JI16" s="157"/>
      <c r="JJ16" s="157"/>
      <c r="JK16" s="157"/>
      <c r="JL16" s="157"/>
      <c r="JM16" s="157"/>
      <c r="JN16" s="157"/>
      <c r="JO16" s="157"/>
      <c r="JP16" s="157"/>
      <c r="JQ16" s="157"/>
      <c r="JR16" s="157"/>
      <c r="JS16" s="157"/>
      <c r="JT16" s="157"/>
      <c r="JU16" s="157"/>
      <c r="JV16" s="157"/>
      <c r="JW16" s="157"/>
      <c r="JX16" s="157"/>
      <c r="JY16" s="157"/>
      <c r="JZ16" s="157"/>
      <c r="KA16" s="157"/>
      <c r="KB16" s="157"/>
      <c r="KC16" s="157"/>
      <c r="KD16" s="157"/>
      <c r="KE16" s="157"/>
      <c r="KF16" s="157"/>
      <c r="KG16" s="157"/>
      <c r="KH16" s="157"/>
      <c r="KI16" s="157"/>
      <c r="KJ16" s="157"/>
      <c r="KK16" s="157"/>
      <c r="KL16" s="157"/>
    </row>
    <row r="17" spans="1:298" x14ac:dyDescent="0.2">
      <c r="A17" s="155" t="s">
        <v>59</v>
      </c>
      <c r="B17" s="21" t="s">
        <v>201</v>
      </c>
      <c r="C17" s="21" t="s">
        <v>202</v>
      </c>
      <c r="D17" s="21" t="s">
        <v>203</v>
      </c>
      <c r="E17" s="21" t="s">
        <v>204</v>
      </c>
      <c r="F17" s="21" t="s">
        <v>205</v>
      </c>
      <c r="G17" s="21" t="s">
        <v>206</v>
      </c>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7"/>
      <c r="BQ17" s="157"/>
      <c r="BR17" s="157"/>
      <c r="BS17" s="157"/>
      <c r="BT17" s="157"/>
      <c r="BU17" s="157"/>
      <c r="BV17" s="157"/>
      <c r="BW17" s="157"/>
      <c r="BX17" s="157"/>
      <c r="BY17" s="157"/>
      <c r="BZ17" s="157"/>
      <c r="CA17" s="157"/>
      <c r="CB17" s="157"/>
      <c r="CC17" s="157"/>
      <c r="CD17" s="157"/>
      <c r="CE17" s="157"/>
      <c r="CF17" s="157"/>
      <c r="CG17" s="157"/>
      <c r="CH17" s="157"/>
      <c r="CI17" s="157"/>
      <c r="CJ17" s="157"/>
      <c r="CK17" s="157"/>
      <c r="CL17" s="157"/>
      <c r="CM17" s="157"/>
      <c r="CN17" s="157"/>
      <c r="CO17" s="157"/>
      <c r="CP17" s="157"/>
      <c r="CQ17" s="157"/>
      <c r="CR17" s="157"/>
      <c r="CS17" s="157"/>
      <c r="CT17" s="157"/>
      <c r="CU17" s="157"/>
      <c r="CV17" s="157"/>
      <c r="CW17" s="157"/>
      <c r="CX17" s="157"/>
      <c r="CY17" s="157"/>
      <c r="CZ17" s="157"/>
      <c r="DA17" s="157"/>
      <c r="DB17" s="157"/>
      <c r="DC17" s="157"/>
      <c r="DD17" s="157"/>
      <c r="DE17" s="157"/>
      <c r="DF17" s="157"/>
      <c r="DG17" s="157"/>
      <c r="DH17" s="157"/>
      <c r="DI17" s="157"/>
      <c r="DJ17" s="157"/>
      <c r="DK17" s="157"/>
      <c r="DL17" s="157"/>
      <c r="DM17" s="157"/>
      <c r="DN17" s="157"/>
      <c r="DO17" s="157"/>
      <c r="DP17" s="157"/>
      <c r="DQ17" s="157"/>
      <c r="DR17" s="157"/>
      <c r="DS17" s="157"/>
      <c r="DT17" s="157"/>
      <c r="DU17" s="157"/>
      <c r="DV17" s="157"/>
      <c r="DW17" s="157"/>
      <c r="DX17" s="157"/>
      <c r="DY17" s="157"/>
      <c r="DZ17" s="157"/>
      <c r="EA17" s="157"/>
      <c r="EB17" s="157"/>
      <c r="EC17" s="157"/>
      <c r="ED17" s="157"/>
      <c r="EE17" s="157"/>
      <c r="EF17" s="157"/>
      <c r="EG17" s="157"/>
      <c r="EH17" s="157"/>
      <c r="EI17" s="157"/>
      <c r="EJ17" s="157"/>
      <c r="EK17" s="157"/>
      <c r="EL17" s="157"/>
      <c r="EM17" s="157"/>
      <c r="EN17" s="157"/>
      <c r="EO17" s="157"/>
      <c r="EP17" s="157"/>
      <c r="EQ17" s="157"/>
      <c r="ER17" s="157"/>
      <c r="ES17" s="157"/>
      <c r="ET17" s="157"/>
      <c r="EU17" s="157"/>
      <c r="EV17" s="157"/>
      <c r="EW17" s="157"/>
      <c r="EX17" s="157"/>
      <c r="EY17" s="157"/>
      <c r="EZ17" s="157"/>
      <c r="FA17" s="157"/>
      <c r="FB17" s="157"/>
      <c r="FC17" s="157"/>
      <c r="FD17" s="157"/>
      <c r="FE17" s="157"/>
      <c r="FF17" s="157"/>
      <c r="FG17" s="157"/>
      <c r="FH17" s="157"/>
      <c r="FI17" s="157"/>
      <c r="FJ17" s="157"/>
      <c r="FK17" s="157"/>
      <c r="FL17" s="157"/>
      <c r="FM17" s="157"/>
      <c r="FN17" s="157"/>
      <c r="FO17" s="157"/>
      <c r="FP17" s="157"/>
      <c r="FQ17" s="157"/>
      <c r="FR17" s="157"/>
      <c r="FS17" s="157"/>
      <c r="FT17" s="157"/>
      <c r="FU17" s="157"/>
      <c r="FV17" s="157"/>
      <c r="FW17" s="157"/>
      <c r="FX17" s="157"/>
      <c r="FY17" s="157"/>
      <c r="FZ17" s="157"/>
      <c r="GA17" s="157"/>
      <c r="GB17" s="157"/>
      <c r="GC17" s="157"/>
      <c r="GD17" s="157"/>
      <c r="GE17" s="157"/>
      <c r="GF17" s="157"/>
      <c r="GG17" s="157"/>
      <c r="GH17" s="157"/>
      <c r="GI17" s="157"/>
      <c r="GJ17" s="157"/>
      <c r="GK17" s="157"/>
      <c r="GL17" s="157"/>
      <c r="GM17" s="157"/>
      <c r="GN17" s="157"/>
      <c r="GO17" s="157"/>
      <c r="GP17" s="157"/>
      <c r="GQ17" s="157"/>
      <c r="GR17" s="157"/>
      <c r="GS17" s="157"/>
      <c r="GT17" s="157"/>
      <c r="GU17" s="157"/>
      <c r="GV17" s="157"/>
      <c r="GW17" s="157"/>
      <c r="GX17" s="157"/>
      <c r="GY17" s="157"/>
      <c r="GZ17" s="157"/>
      <c r="HA17" s="157"/>
      <c r="HB17" s="157"/>
      <c r="HC17" s="157"/>
      <c r="HD17" s="157"/>
      <c r="HE17" s="157"/>
      <c r="HF17" s="157"/>
      <c r="HG17" s="157"/>
      <c r="HH17" s="157"/>
      <c r="HI17" s="157"/>
      <c r="HJ17" s="157"/>
      <c r="HK17" s="157"/>
      <c r="HL17" s="157"/>
      <c r="HM17" s="157"/>
      <c r="HN17" s="157"/>
      <c r="HO17" s="157"/>
      <c r="HP17" s="157"/>
      <c r="HQ17" s="157"/>
      <c r="HR17" s="157"/>
      <c r="HS17" s="157"/>
      <c r="HT17" s="157"/>
      <c r="HU17" s="157"/>
      <c r="HV17" s="157"/>
      <c r="HW17" s="157"/>
      <c r="HX17" s="157"/>
      <c r="HY17" s="157"/>
      <c r="HZ17" s="157"/>
      <c r="IA17" s="157"/>
      <c r="IB17" s="157"/>
      <c r="IC17" s="157"/>
      <c r="ID17" s="157"/>
      <c r="IE17" s="157"/>
      <c r="IF17" s="157"/>
      <c r="IG17" s="157"/>
      <c r="IH17" s="157"/>
      <c r="II17" s="157"/>
      <c r="IJ17" s="157"/>
      <c r="IK17" s="157"/>
      <c r="IL17" s="157"/>
      <c r="IM17" s="157"/>
      <c r="IN17" s="157"/>
      <c r="IO17" s="157"/>
      <c r="IP17" s="157"/>
      <c r="IQ17" s="157"/>
      <c r="IR17" s="157"/>
      <c r="IS17" s="157"/>
      <c r="IT17" s="157"/>
      <c r="IU17" s="157"/>
      <c r="IV17" s="157"/>
      <c r="IW17" s="157"/>
      <c r="IX17" s="157"/>
      <c r="IY17" s="157"/>
      <c r="IZ17" s="157"/>
      <c r="JA17" s="157"/>
      <c r="JB17" s="157"/>
      <c r="JC17" s="157"/>
      <c r="JD17" s="157"/>
      <c r="JE17" s="157"/>
      <c r="JF17" s="157"/>
      <c r="JG17" s="157"/>
      <c r="JH17" s="157"/>
      <c r="JI17" s="157"/>
      <c r="JJ17" s="157"/>
      <c r="JK17" s="157"/>
      <c r="JL17" s="157"/>
      <c r="JM17" s="157"/>
      <c r="JN17" s="157"/>
      <c r="JO17" s="157"/>
      <c r="JP17" s="157"/>
      <c r="JQ17" s="157"/>
      <c r="JR17" s="157"/>
      <c r="JS17" s="157"/>
      <c r="JT17" s="157"/>
      <c r="JU17" s="157"/>
      <c r="JV17" s="157"/>
      <c r="JW17" s="157"/>
      <c r="JX17" s="157"/>
      <c r="JY17" s="157"/>
      <c r="JZ17" s="157"/>
      <c r="KA17" s="157"/>
      <c r="KB17" s="157"/>
      <c r="KC17" s="157"/>
      <c r="KD17" s="157"/>
      <c r="KE17" s="157"/>
      <c r="KF17" s="157"/>
      <c r="KG17" s="157"/>
      <c r="KH17" s="157"/>
      <c r="KI17" s="157"/>
      <c r="KJ17" s="157"/>
      <c r="KK17" s="157"/>
      <c r="KL17" s="157"/>
    </row>
    <row r="18" spans="1:298" x14ac:dyDescent="0.2">
      <c r="A18" s="206" t="s">
        <v>124</v>
      </c>
      <c r="B18" s="178">
        <v>7.4999999999999997E-2</v>
      </c>
      <c r="C18" s="178">
        <v>0.92500000000000004</v>
      </c>
      <c r="D18" s="178">
        <v>0.23319999999999999</v>
      </c>
      <c r="E18" s="178">
        <v>0.76680000000000004</v>
      </c>
      <c r="F18" s="178">
        <v>3.2399999999999998E-2</v>
      </c>
      <c r="G18" s="178">
        <v>0.96760000000000002</v>
      </c>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7"/>
      <c r="BQ18" s="157"/>
      <c r="BR18" s="157"/>
      <c r="BS18" s="157"/>
      <c r="BT18" s="157"/>
      <c r="BU18" s="157"/>
      <c r="BV18" s="157"/>
      <c r="BW18" s="157"/>
      <c r="BX18" s="157"/>
      <c r="BY18" s="157"/>
      <c r="BZ18" s="157"/>
      <c r="CA18" s="157"/>
      <c r="CB18" s="157"/>
      <c r="CC18" s="157"/>
      <c r="CD18" s="157"/>
      <c r="CE18" s="157"/>
      <c r="CF18" s="157"/>
      <c r="CG18" s="157"/>
      <c r="CH18" s="157"/>
      <c r="CI18" s="157"/>
      <c r="CJ18" s="157"/>
      <c r="CK18" s="157"/>
      <c r="CL18" s="157"/>
      <c r="CM18" s="157"/>
      <c r="CN18" s="157"/>
      <c r="CO18" s="157"/>
      <c r="CP18" s="157"/>
      <c r="CQ18" s="157"/>
      <c r="CR18" s="157"/>
      <c r="CS18" s="157"/>
      <c r="CT18" s="157"/>
      <c r="CU18" s="157"/>
      <c r="CV18" s="157"/>
      <c r="CW18" s="157"/>
      <c r="CX18" s="157"/>
      <c r="CY18" s="157"/>
      <c r="CZ18" s="157"/>
      <c r="DA18" s="157"/>
      <c r="DB18" s="157"/>
      <c r="DC18" s="157"/>
      <c r="DD18" s="157"/>
      <c r="DE18" s="157"/>
      <c r="DF18" s="157"/>
      <c r="DG18" s="157"/>
      <c r="DH18" s="157"/>
      <c r="DI18" s="157"/>
      <c r="DJ18" s="157"/>
      <c r="DK18" s="157"/>
      <c r="DL18" s="157"/>
      <c r="DM18" s="157"/>
      <c r="DN18" s="157"/>
      <c r="DO18" s="157"/>
      <c r="DP18" s="157"/>
      <c r="DQ18" s="157"/>
      <c r="DR18" s="157"/>
      <c r="DS18" s="157"/>
      <c r="DT18" s="157"/>
      <c r="DU18" s="157"/>
      <c r="DV18" s="157"/>
      <c r="DW18" s="157"/>
      <c r="DX18" s="157"/>
      <c r="DY18" s="157"/>
      <c r="DZ18" s="157"/>
      <c r="EA18" s="157"/>
      <c r="EB18" s="157"/>
      <c r="EC18" s="157"/>
      <c r="ED18" s="157"/>
      <c r="EE18" s="157"/>
      <c r="EF18" s="157"/>
      <c r="EG18" s="157"/>
      <c r="EH18" s="157"/>
      <c r="EI18" s="157"/>
      <c r="EJ18" s="157"/>
      <c r="EK18" s="157"/>
      <c r="EL18" s="157"/>
      <c r="EM18" s="157"/>
      <c r="EN18" s="157"/>
      <c r="EO18" s="157"/>
      <c r="EP18" s="157"/>
      <c r="EQ18" s="157"/>
      <c r="ER18" s="157"/>
      <c r="ES18" s="157"/>
      <c r="ET18" s="157"/>
      <c r="EU18" s="157"/>
      <c r="EV18" s="157"/>
      <c r="EW18" s="157"/>
      <c r="EX18" s="157"/>
      <c r="EY18" s="157"/>
      <c r="EZ18" s="157"/>
      <c r="FA18" s="157"/>
      <c r="FB18" s="157"/>
      <c r="FC18" s="157"/>
      <c r="FD18" s="157"/>
      <c r="FE18" s="157"/>
      <c r="FF18" s="157"/>
      <c r="FG18" s="157"/>
      <c r="FH18" s="157"/>
      <c r="FI18" s="157"/>
      <c r="FJ18" s="157"/>
      <c r="FK18" s="157"/>
      <c r="FL18" s="157"/>
      <c r="FM18" s="157"/>
      <c r="FN18" s="157"/>
      <c r="FO18" s="157"/>
      <c r="FP18" s="157"/>
      <c r="FQ18" s="157"/>
      <c r="FR18" s="157"/>
      <c r="FS18" s="157"/>
      <c r="FT18" s="157"/>
      <c r="FU18" s="157"/>
      <c r="FV18" s="157"/>
      <c r="FW18" s="157"/>
      <c r="FX18" s="157"/>
      <c r="FY18" s="157"/>
      <c r="FZ18" s="157"/>
      <c r="GA18" s="157"/>
      <c r="GB18" s="157"/>
      <c r="GC18" s="157"/>
      <c r="GD18" s="157"/>
      <c r="GE18" s="157"/>
      <c r="GF18" s="157"/>
      <c r="GG18" s="157"/>
      <c r="GH18" s="157"/>
      <c r="GI18" s="157"/>
      <c r="GJ18" s="157"/>
      <c r="GK18" s="157"/>
      <c r="GL18" s="157"/>
      <c r="GM18" s="157"/>
      <c r="GN18" s="157"/>
      <c r="GO18" s="157"/>
      <c r="GP18" s="157"/>
      <c r="GQ18" s="157"/>
      <c r="GR18" s="157"/>
      <c r="GS18" s="157"/>
      <c r="GT18" s="157"/>
      <c r="GU18" s="157"/>
      <c r="GV18" s="157"/>
      <c r="GW18" s="157"/>
      <c r="GX18" s="157"/>
      <c r="GY18" s="157"/>
      <c r="GZ18" s="157"/>
      <c r="HA18" s="157"/>
      <c r="HB18" s="157"/>
      <c r="HC18" s="157"/>
      <c r="HD18" s="157"/>
      <c r="HE18" s="157"/>
      <c r="HF18" s="157"/>
      <c r="HG18" s="157"/>
      <c r="HH18" s="157"/>
      <c r="HI18" s="157"/>
      <c r="HJ18" s="157"/>
      <c r="HK18" s="157"/>
      <c r="HL18" s="157"/>
      <c r="HM18" s="157"/>
      <c r="HN18" s="157"/>
      <c r="HO18" s="157"/>
      <c r="HP18" s="157"/>
      <c r="HQ18" s="157"/>
      <c r="HR18" s="157"/>
      <c r="HS18" s="157"/>
      <c r="HT18" s="157"/>
      <c r="HU18" s="157"/>
      <c r="HV18" s="157"/>
      <c r="HW18" s="157"/>
      <c r="HX18" s="157"/>
      <c r="HY18" s="157"/>
      <c r="HZ18" s="157"/>
      <c r="IA18" s="157"/>
      <c r="IB18" s="157"/>
      <c r="IC18" s="157"/>
      <c r="ID18" s="157"/>
      <c r="IE18" s="157"/>
      <c r="IF18" s="157"/>
      <c r="IG18" s="157"/>
      <c r="IH18" s="157"/>
      <c r="II18" s="157"/>
      <c r="IJ18" s="157"/>
      <c r="IK18" s="157"/>
      <c r="IL18" s="157"/>
      <c r="IM18" s="157"/>
      <c r="IN18" s="157"/>
      <c r="IO18" s="157"/>
      <c r="IP18" s="157"/>
      <c r="IQ18" s="157"/>
      <c r="IR18" s="157"/>
      <c r="IS18" s="157"/>
      <c r="IT18" s="157"/>
      <c r="IU18" s="157"/>
      <c r="IV18" s="157"/>
      <c r="IW18" s="157"/>
      <c r="IX18" s="157"/>
      <c r="IY18" s="157"/>
      <c r="IZ18" s="157"/>
      <c r="JA18" s="157"/>
      <c r="JB18" s="157"/>
      <c r="JC18" s="157"/>
      <c r="JD18" s="157"/>
      <c r="JE18" s="157"/>
      <c r="JF18" s="157"/>
      <c r="JG18" s="157"/>
      <c r="JH18" s="157"/>
      <c r="JI18" s="157"/>
      <c r="JJ18" s="157"/>
      <c r="JK18" s="157"/>
      <c r="JL18" s="157"/>
      <c r="JM18" s="157"/>
      <c r="JN18" s="157"/>
      <c r="JO18" s="157"/>
      <c r="JP18" s="157"/>
      <c r="JQ18" s="157"/>
      <c r="JR18" s="157"/>
      <c r="JS18" s="157"/>
      <c r="JT18" s="157"/>
      <c r="JU18" s="157"/>
      <c r="JV18" s="157"/>
      <c r="JW18" s="157"/>
      <c r="JX18" s="157"/>
      <c r="JY18" s="157"/>
      <c r="JZ18" s="157"/>
      <c r="KA18" s="157"/>
      <c r="KB18" s="157"/>
      <c r="KC18" s="157"/>
      <c r="KD18" s="157"/>
      <c r="KE18" s="157"/>
      <c r="KF18" s="157"/>
      <c r="KG18" s="157"/>
      <c r="KH18" s="157"/>
      <c r="KI18" s="157"/>
      <c r="KJ18" s="157"/>
      <c r="KK18" s="157"/>
      <c r="KL18" s="157"/>
    </row>
    <row r="19" spans="1:298" x14ac:dyDescent="0.2">
      <c r="A19" s="208" t="s">
        <v>47</v>
      </c>
      <c r="B19" s="178">
        <v>0.2989</v>
      </c>
      <c r="C19" s="178">
        <v>0.70109999999999995</v>
      </c>
      <c r="D19" s="178">
        <v>0.26569999999999999</v>
      </c>
      <c r="E19" s="178">
        <v>0.73429999999999995</v>
      </c>
      <c r="F19" s="178">
        <v>0.34329999999999999</v>
      </c>
      <c r="G19" s="178">
        <v>0.65669999999999995</v>
      </c>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c r="CQ19" s="157"/>
      <c r="CR19" s="157"/>
      <c r="CS19" s="157"/>
      <c r="CT19" s="157"/>
      <c r="CU19" s="157"/>
      <c r="CV19" s="157"/>
      <c r="CW19" s="157"/>
      <c r="CX19" s="157"/>
      <c r="CY19" s="157"/>
      <c r="CZ19" s="157"/>
      <c r="DA19" s="157"/>
      <c r="DB19" s="157"/>
      <c r="DC19" s="157"/>
      <c r="DD19" s="157"/>
      <c r="DE19" s="157"/>
      <c r="DF19" s="157"/>
      <c r="DG19" s="157"/>
      <c r="DH19" s="157"/>
      <c r="DI19" s="157"/>
      <c r="DJ19" s="157"/>
      <c r="DK19" s="157"/>
      <c r="DL19" s="157"/>
      <c r="DM19" s="157"/>
      <c r="DN19" s="157"/>
      <c r="DO19" s="157"/>
      <c r="DP19" s="157"/>
      <c r="DQ19" s="157"/>
      <c r="DR19" s="157"/>
      <c r="DS19" s="157"/>
      <c r="DT19" s="157"/>
      <c r="DU19" s="157"/>
      <c r="DV19" s="157"/>
      <c r="DW19" s="157"/>
      <c r="DX19" s="157"/>
      <c r="DY19" s="157"/>
      <c r="DZ19" s="157"/>
      <c r="EA19" s="157"/>
      <c r="EB19" s="157"/>
      <c r="EC19" s="157"/>
      <c r="ED19" s="157"/>
      <c r="EE19" s="157"/>
      <c r="EF19" s="157"/>
      <c r="EG19" s="157"/>
      <c r="EH19" s="157"/>
      <c r="EI19" s="157"/>
      <c r="EJ19" s="157"/>
      <c r="EK19" s="157"/>
      <c r="EL19" s="157"/>
      <c r="EM19" s="157"/>
      <c r="EN19" s="157"/>
      <c r="EO19" s="157"/>
      <c r="EP19" s="157"/>
      <c r="EQ19" s="157"/>
      <c r="ER19" s="157"/>
      <c r="ES19" s="157"/>
      <c r="ET19" s="157"/>
      <c r="EU19" s="157"/>
      <c r="EV19" s="157"/>
      <c r="EW19" s="157"/>
      <c r="EX19" s="157"/>
      <c r="EY19" s="157"/>
      <c r="EZ19" s="157"/>
      <c r="FA19" s="157"/>
      <c r="FB19" s="157"/>
      <c r="FC19" s="157"/>
      <c r="FD19" s="157"/>
      <c r="FE19" s="157"/>
      <c r="FF19" s="157"/>
      <c r="FG19" s="157"/>
      <c r="FH19" s="157"/>
      <c r="FI19" s="157"/>
      <c r="FJ19" s="157"/>
      <c r="FK19" s="157"/>
      <c r="FL19" s="157"/>
      <c r="FM19" s="157"/>
      <c r="FN19" s="157"/>
      <c r="FO19" s="157"/>
      <c r="FP19" s="157"/>
      <c r="FQ19" s="157"/>
      <c r="FR19" s="157"/>
      <c r="FS19" s="157"/>
      <c r="FT19" s="157"/>
      <c r="FU19" s="157"/>
      <c r="FV19" s="157"/>
      <c r="FW19" s="157"/>
      <c r="FX19" s="157"/>
      <c r="FY19" s="157"/>
      <c r="FZ19" s="157"/>
      <c r="GA19" s="157"/>
      <c r="GB19" s="157"/>
      <c r="GC19" s="157"/>
      <c r="GD19" s="157"/>
      <c r="GE19" s="157"/>
      <c r="GF19" s="157"/>
      <c r="GG19" s="157"/>
      <c r="GH19" s="157"/>
      <c r="GI19" s="157"/>
      <c r="GJ19" s="157"/>
      <c r="GK19" s="157"/>
      <c r="GL19" s="157"/>
      <c r="GM19" s="157"/>
      <c r="GN19" s="157"/>
      <c r="GO19" s="157"/>
      <c r="GP19" s="157"/>
      <c r="GQ19" s="157"/>
      <c r="GR19" s="157"/>
      <c r="GS19" s="157"/>
      <c r="GT19" s="157"/>
      <c r="GU19" s="157"/>
      <c r="GV19" s="157"/>
      <c r="GW19" s="157"/>
      <c r="GX19" s="157"/>
      <c r="GY19" s="157"/>
      <c r="GZ19" s="157"/>
      <c r="HA19" s="157"/>
      <c r="HB19" s="157"/>
      <c r="HC19" s="157"/>
      <c r="HD19" s="157"/>
      <c r="HE19" s="157"/>
      <c r="HF19" s="157"/>
      <c r="HG19" s="157"/>
      <c r="HH19" s="157"/>
      <c r="HI19" s="157"/>
      <c r="HJ19" s="157"/>
      <c r="HK19" s="157"/>
      <c r="HL19" s="157"/>
      <c r="HM19" s="157"/>
      <c r="HN19" s="157"/>
      <c r="HO19" s="157"/>
      <c r="HP19" s="157"/>
      <c r="HQ19" s="157"/>
      <c r="HR19" s="157"/>
      <c r="HS19" s="157"/>
      <c r="HT19" s="157"/>
      <c r="HU19" s="157"/>
      <c r="HV19" s="157"/>
      <c r="HW19" s="157"/>
      <c r="HX19" s="157"/>
      <c r="HY19" s="157"/>
      <c r="HZ19" s="157"/>
      <c r="IA19" s="157"/>
      <c r="IB19" s="157"/>
      <c r="IC19" s="157"/>
      <c r="ID19" s="157"/>
      <c r="IE19" s="157"/>
      <c r="IF19" s="157"/>
      <c r="IG19" s="157"/>
      <c r="IH19" s="157"/>
      <c r="II19" s="157"/>
      <c r="IJ19" s="157"/>
      <c r="IK19" s="157"/>
      <c r="IL19" s="157"/>
      <c r="IM19" s="157"/>
      <c r="IN19" s="157"/>
      <c r="IO19" s="157"/>
      <c r="IP19" s="157"/>
      <c r="IQ19" s="157"/>
      <c r="IR19" s="157"/>
      <c r="IS19" s="157"/>
      <c r="IT19" s="157"/>
      <c r="IU19" s="157"/>
      <c r="IV19" s="157"/>
      <c r="IW19" s="157"/>
      <c r="IX19" s="157"/>
      <c r="IY19" s="157"/>
      <c r="IZ19" s="157"/>
      <c r="JA19" s="157"/>
      <c r="JB19" s="157"/>
      <c r="JC19" s="157"/>
      <c r="JD19" s="157"/>
      <c r="JE19" s="157"/>
      <c r="JF19" s="157"/>
      <c r="JG19" s="157"/>
      <c r="JH19" s="157"/>
      <c r="JI19" s="157"/>
      <c r="JJ19" s="157"/>
      <c r="JK19" s="157"/>
      <c r="JL19" s="157"/>
      <c r="JM19" s="157"/>
      <c r="JN19" s="157"/>
      <c r="JO19" s="157"/>
      <c r="JP19" s="157"/>
      <c r="JQ19" s="157"/>
      <c r="JR19" s="157"/>
      <c r="JS19" s="157"/>
      <c r="JT19" s="157"/>
      <c r="JU19" s="157"/>
      <c r="JV19" s="157"/>
      <c r="JW19" s="157"/>
      <c r="JX19" s="157"/>
      <c r="JY19" s="157"/>
      <c r="JZ19" s="157"/>
      <c r="KA19" s="157"/>
      <c r="KB19" s="157"/>
      <c r="KC19" s="157"/>
      <c r="KD19" s="157"/>
      <c r="KE19" s="157"/>
      <c r="KF19" s="157"/>
      <c r="KG19" s="157"/>
      <c r="KH19" s="157"/>
      <c r="KI19" s="157"/>
      <c r="KJ19" s="157"/>
      <c r="KK19" s="157"/>
      <c r="KL19" s="157"/>
    </row>
    <row r="20" spans="1:298" x14ac:dyDescent="0.2">
      <c r="A20" s="206" t="s">
        <v>30</v>
      </c>
      <c r="B20" s="178">
        <v>0.1022</v>
      </c>
      <c r="C20" s="178">
        <v>0.89780000000000004</v>
      </c>
      <c r="D20" s="178">
        <v>4.02E-2</v>
      </c>
      <c r="E20" s="178">
        <v>0.95979999999999999</v>
      </c>
      <c r="F20" s="178">
        <v>8.3099999999999993E-2</v>
      </c>
      <c r="G20" s="178">
        <v>0.91690000000000005</v>
      </c>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57"/>
      <c r="DT20" s="157"/>
      <c r="DU20" s="157"/>
      <c r="DV20" s="157"/>
      <c r="DW20" s="157"/>
      <c r="DX20" s="157"/>
      <c r="DY20" s="157"/>
      <c r="DZ20" s="157"/>
      <c r="EA20" s="157"/>
      <c r="EB20" s="157"/>
      <c r="EC20" s="157"/>
      <c r="ED20" s="157"/>
      <c r="EE20" s="157"/>
      <c r="EF20" s="157"/>
      <c r="EG20" s="157"/>
      <c r="EH20" s="157"/>
      <c r="EI20" s="157"/>
      <c r="EJ20" s="157"/>
      <c r="EK20" s="157"/>
      <c r="EL20" s="157"/>
      <c r="EM20" s="157"/>
      <c r="EN20" s="157"/>
      <c r="EO20" s="157"/>
      <c r="EP20" s="157"/>
      <c r="EQ20" s="157"/>
      <c r="ER20" s="157"/>
      <c r="ES20" s="157"/>
      <c r="ET20" s="157"/>
      <c r="EU20" s="157"/>
      <c r="EV20" s="157"/>
      <c r="EW20" s="157"/>
      <c r="EX20" s="157"/>
      <c r="EY20" s="157"/>
      <c r="EZ20" s="157"/>
      <c r="FA20" s="157"/>
      <c r="FB20" s="157"/>
      <c r="FC20" s="157"/>
      <c r="FD20" s="157"/>
      <c r="FE20" s="157"/>
      <c r="FF20" s="157"/>
      <c r="FG20" s="157"/>
      <c r="FH20" s="157"/>
      <c r="FI20" s="157"/>
      <c r="FJ20" s="157"/>
      <c r="FK20" s="157"/>
      <c r="FL20" s="157"/>
      <c r="FM20" s="157"/>
      <c r="FN20" s="157"/>
      <c r="FO20" s="157"/>
      <c r="FP20" s="157"/>
      <c r="FQ20" s="157"/>
      <c r="FR20" s="157"/>
      <c r="FS20" s="157"/>
      <c r="FT20" s="157"/>
      <c r="FU20" s="157"/>
      <c r="FV20" s="157"/>
      <c r="FW20" s="157"/>
      <c r="FX20" s="157"/>
      <c r="FY20" s="157"/>
      <c r="FZ20" s="157"/>
      <c r="GA20" s="157"/>
      <c r="GB20" s="157"/>
      <c r="GC20" s="157"/>
      <c r="GD20" s="157"/>
      <c r="GE20" s="157"/>
      <c r="GF20" s="157"/>
      <c r="GG20" s="157"/>
      <c r="GH20" s="157"/>
      <c r="GI20" s="157"/>
      <c r="GJ20" s="157"/>
      <c r="GK20" s="157"/>
      <c r="GL20" s="157"/>
      <c r="GM20" s="157"/>
      <c r="GN20" s="157"/>
      <c r="GO20" s="157"/>
      <c r="GP20" s="157"/>
      <c r="GQ20" s="157"/>
      <c r="GR20" s="157"/>
      <c r="GS20" s="157"/>
      <c r="GT20" s="157"/>
      <c r="GU20" s="157"/>
      <c r="GV20" s="157"/>
      <c r="GW20" s="157"/>
      <c r="GX20" s="157"/>
      <c r="GY20" s="157"/>
      <c r="GZ20" s="157"/>
      <c r="HA20" s="157"/>
      <c r="HB20" s="157"/>
      <c r="HC20" s="157"/>
      <c r="HD20" s="157"/>
      <c r="HE20" s="157"/>
      <c r="HF20" s="157"/>
      <c r="HG20" s="157"/>
      <c r="HH20" s="157"/>
      <c r="HI20" s="157"/>
      <c r="HJ20" s="157"/>
      <c r="HK20" s="157"/>
      <c r="HL20" s="157"/>
      <c r="HM20" s="157"/>
      <c r="HN20" s="157"/>
      <c r="HO20" s="157"/>
      <c r="HP20" s="157"/>
      <c r="HQ20" s="157"/>
      <c r="HR20" s="157"/>
      <c r="HS20" s="157"/>
      <c r="HT20" s="157"/>
      <c r="HU20" s="157"/>
      <c r="HV20" s="157"/>
      <c r="HW20" s="157"/>
      <c r="HX20" s="157"/>
      <c r="HY20" s="157"/>
      <c r="HZ20" s="157"/>
      <c r="IA20" s="157"/>
      <c r="IB20" s="157"/>
      <c r="IC20" s="157"/>
      <c r="ID20" s="157"/>
      <c r="IE20" s="157"/>
      <c r="IF20" s="157"/>
      <c r="IG20" s="157"/>
      <c r="IH20" s="157"/>
      <c r="II20" s="157"/>
      <c r="IJ20" s="157"/>
      <c r="IK20" s="157"/>
      <c r="IL20" s="157"/>
      <c r="IM20" s="157"/>
      <c r="IN20" s="157"/>
      <c r="IO20" s="157"/>
      <c r="IP20" s="157"/>
      <c r="IQ20" s="157"/>
      <c r="IR20" s="157"/>
      <c r="IS20" s="157"/>
      <c r="IT20" s="157"/>
      <c r="IU20" s="157"/>
      <c r="IV20" s="157"/>
      <c r="IW20" s="157"/>
      <c r="IX20" s="157"/>
      <c r="IY20" s="157"/>
      <c r="IZ20" s="157"/>
      <c r="JA20" s="157"/>
      <c r="JB20" s="157"/>
      <c r="JC20" s="157"/>
      <c r="JD20" s="157"/>
      <c r="JE20" s="157"/>
      <c r="JF20" s="157"/>
      <c r="JG20" s="157"/>
      <c r="JH20" s="157"/>
      <c r="JI20" s="157"/>
      <c r="JJ20" s="157"/>
      <c r="JK20" s="157"/>
      <c r="JL20" s="157"/>
      <c r="JM20" s="157"/>
      <c r="JN20" s="157"/>
      <c r="JO20" s="157"/>
      <c r="JP20" s="157"/>
      <c r="JQ20" s="157"/>
      <c r="JR20" s="157"/>
      <c r="JS20" s="157"/>
      <c r="JT20" s="157"/>
      <c r="JU20" s="157"/>
      <c r="JV20" s="157"/>
      <c r="JW20" s="157"/>
      <c r="JX20" s="157"/>
      <c r="JY20" s="157"/>
      <c r="JZ20" s="157"/>
      <c r="KA20" s="157"/>
      <c r="KB20" s="157"/>
      <c r="KC20" s="157"/>
      <c r="KD20" s="157"/>
      <c r="KE20" s="157"/>
      <c r="KF20" s="157"/>
      <c r="KG20" s="157"/>
      <c r="KH20" s="157"/>
      <c r="KI20" s="157"/>
      <c r="KJ20" s="157"/>
      <c r="KK20" s="157"/>
      <c r="KL20" s="157"/>
    </row>
    <row r="21" spans="1:298" x14ac:dyDescent="0.2">
      <c r="A21" s="208" t="s">
        <v>125</v>
      </c>
      <c r="B21" s="178">
        <v>0.2268</v>
      </c>
      <c r="C21" s="178">
        <v>0.7732</v>
      </c>
      <c r="D21" s="178">
        <v>0.2293</v>
      </c>
      <c r="E21" s="178">
        <v>0.77070000000000005</v>
      </c>
      <c r="F21" s="178">
        <v>0.2283</v>
      </c>
      <c r="G21" s="178">
        <v>0.77170000000000005</v>
      </c>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c r="CL21" s="157"/>
      <c r="CM21" s="157"/>
      <c r="CN21" s="157"/>
      <c r="CO21" s="157"/>
      <c r="CP21" s="157"/>
      <c r="CQ21" s="157"/>
      <c r="CR21" s="157"/>
      <c r="CS21" s="157"/>
      <c r="CT21" s="157"/>
      <c r="CU21" s="157"/>
      <c r="CV21" s="157"/>
      <c r="CW21" s="157"/>
      <c r="CX21" s="157"/>
      <c r="CY21" s="157"/>
      <c r="CZ21" s="157"/>
      <c r="DA21" s="157"/>
      <c r="DB21" s="157"/>
      <c r="DC21" s="157"/>
      <c r="DD21" s="157"/>
      <c r="DE21" s="157"/>
      <c r="DF21" s="157"/>
      <c r="DG21" s="157"/>
      <c r="DH21" s="157"/>
      <c r="DI21" s="157"/>
      <c r="DJ21" s="157"/>
      <c r="DK21" s="157"/>
      <c r="DL21" s="157"/>
      <c r="DM21" s="157"/>
      <c r="DN21" s="157"/>
      <c r="DO21" s="157"/>
      <c r="DP21" s="157"/>
      <c r="DQ21" s="157"/>
      <c r="DR21" s="157"/>
      <c r="DS21" s="157"/>
      <c r="DT21" s="157"/>
      <c r="DU21" s="157"/>
      <c r="DV21" s="157"/>
      <c r="DW21" s="157"/>
      <c r="DX21" s="157"/>
      <c r="DY21" s="157"/>
      <c r="DZ21" s="157"/>
      <c r="EA21" s="157"/>
      <c r="EB21" s="157"/>
      <c r="EC21" s="157"/>
      <c r="ED21" s="157"/>
      <c r="EE21" s="157"/>
      <c r="EF21" s="157"/>
      <c r="EG21" s="157"/>
      <c r="EH21" s="157"/>
      <c r="EI21" s="157"/>
      <c r="EJ21" s="157"/>
      <c r="EK21" s="157"/>
      <c r="EL21" s="157"/>
      <c r="EM21" s="157"/>
      <c r="EN21" s="157"/>
      <c r="EO21" s="157"/>
      <c r="EP21" s="157"/>
      <c r="EQ21" s="157"/>
      <c r="ER21" s="157"/>
      <c r="ES21" s="157"/>
      <c r="ET21" s="157"/>
      <c r="EU21" s="157"/>
      <c r="EV21" s="157"/>
      <c r="EW21" s="157"/>
      <c r="EX21" s="157"/>
      <c r="EY21" s="157"/>
      <c r="EZ21" s="157"/>
      <c r="FA21" s="157"/>
      <c r="FB21" s="157"/>
      <c r="FC21" s="157"/>
      <c r="FD21" s="157"/>
      <c r="FE21" s="157"/>
      <c r="FF21" s="157"/>
      <c r="FG21" s="157"/>
      <c r="FH21" s="157"/>
      <c r="FI21" s="157"/>
      <c r="FJ21" s="157"/>
      <c r="FK21" s="157"/>
      <c r="FL21" s="157"/>
      <c r="FM21" s="157"/>
      <c r="FN21" s="157"/>
      <c r="FO21" s="157"/>
      <c r="FP21" s="157"/>
      <c r="FQ21" s="157"/>
      <c r="FR21" s="157"/>
      <c r="FS21" s="157"/>
      <c r="FT21" s="157"/>
      <c r="FU21" s="157"/>
      <c r="FV21" s="157"/>
      <c r="FW21" s="157"/>
      <c r="FX21" s="157"/>
      <c r="FY21" s="157"/>
      <c r="FZ21" s="157"/>
      <c r="GA21" s="157"/>
      <c r="GB21" s="157"/>
      <c r="GC21" s="157"/>
      <c r="GD21" s="157"/>
      <c r="GE21" s="157"/>
      <c r="GF21" s="157"/>
      <c r="GG21" s="157"/>
      <c r="GH21" s="157"/>
      <c r="GI21" s="157"/>
      <c r="GJ21" s="157"/>
      <c r="GK21" s="157"/>
      <c r="GL21" s="157"/>
      <c r="GM21" s="157"/>
      <c r="GN21" s="157"/>
      <c r="GO21" s="157"/>
      <c r="GP21" s="157"/>
      <c r="GQ21" s="157"/>
      <c r="GR21" s="157"/>
      <c r="GS21" s="157"/>
      <c r="GT21" s="157"/>
      <c r="GU21" s="157"/>
      <c r="GV21" s="157"/>
      <c r="GW21" s="157"/>
      <c r="GX21" s="157"/>
      <c r="GY21" s="157"/>
      <c r="GZ21" s="157"/>
      <c r="HA21" s="157"/>
      <c r="HB21" s="157"/>
      <c r="HC21" s="157"/>
      <c r="HD21" s="157"/>
      <c r="HE21" s="157"/>
      <c r="HF21" s="157"/>
      <c r="HG21" s="157"/>
      <c r="HH21" s="157"/>
      <c r="HI21" s="157"/>
      <c r="HJ21" s="157"/>
      <c r="HK21" s="157"/>
      <c r="HL21" s="157"/>
      <c r="HM21" s="157"/>
      <c r="HN21" s="157"/>
      <c r="HO21" s="157"/>
      <c r="HP21" s="157"/>
      <c r="HQ21" s="157"/>
      <c r="HR21" s="157"/>
      <c r="HS21" s="157"/>
      <c r="HT21" s="157"/>
      <c r="HU21" s="157"/>
      <c r="HV21" s="157"/>
      <c r="HW21" s="157"/>
      <c r="HX21" s="157"/>
      <c r="HY21" s="157"/>
      <c r="HZ21" s="157"/>
      <c r="IA21" s="157"/>
      <c r="IB21" s="157"/>
      <c r="IC21" s="157"/>
      <c r="ID21" s="157"/>
      <c r="IE21" s="157"/>
      <c r="IF21" s="157"/>
      <c r="IG21" s="157"/>
      <c r="IH21" s="157"/>
      <c r="II21" s="157"/>
      <c r="IJ21" s="157"/>
      <c r="IK21" s="157"/>
      <c r="IL21" s="157"/>
      <c r="IM21" s="157"/>
      <c r="IN21" s="157"/>
      <c r="IO21" s="157"/>
      <c r="IP21" s="157"/>
      <c r="IQ21" s="157"/>
      <c r="IR21" s="157"/>
      <c r="IS21" s="157"/>
      <c r="IT21" s="157"/>
      <c r="IU21" s="157"/>
      <c r="IV21" s="157"/>
      <c r="IW21" s="157"/>
      <c r="IX21" s="157"/>
      <c r="IY21" s="157"/>
      <c r="IZ21" s="157"/>
      <c r="JA21" s="157"/>
      <c r="JB21" s="157"/>
      <c r="JC21" s="157"/>
      <c r="JD21" s="157"/>
      <c r="JE21" s="157"/>
      <c r="JF21" s="157"/>
      <c r="JG21" s="157"/>
      <c r="JH21" s="157"/>
      <c r="JI21" s="157"/>
      <c r="JJ21" s="157"/>
      <c r="JK21" s="157"/>
      <c r="JL21" s="157"/>
      <c r="JM21" s="157"/>
      <c r="JN21" s="157"/>
      <c r="JO21" s="157"/>
      <c r="JP21" s="157"/>
      <c r="JQ21" s="157"/>
      <c r="JR21" s="157"/>
      <c r="JS21" s="157"/>
      <c r="JT21" s="157"/>
      <c r="JU21" s="157"/>
      <c r="JV21" s="157"/>
      <c r="JW21" s="157"/>
      <c r="JX21" s="157"/>
      <c r="JY21" s="157"/>
      <c r="JZ21" s="157"/>
      <c r="KA21" s="157"/>
      <c r="KB21" s="157"/>
      <c r="KC21" s="157"/>
      <c r="KD21" s="157"/>
      <c r="KE21" s="157"/>
      <c r="KF21" s="157"/>
      <c r="KG21" s="157"/>
      <c r="KH21" s="157"/>
      <c r="KI21" s="157"/>
      <c r="KJ21" s="157"/>
      <c r="KK21" s="157"/>
      <c r="KL21" s="157"/>
    </row>
    <row r="22" spans="1:298" x14ac:dyDescent="0.2">
      <c r="A22" s="206" t="s">
        <v>49</v>
      </c>
      <c r="B22" s="178">
        <v>0.1225</v>
      </c>
      <c r="C22" s="178">
        <v>0.87749999999999995</v>
      </c>
      <c r="D22" s="178">
        <v>0.25380000000000003</v>
      </c>
      <c r="E22" s="178">
        <v>0.74619999999999997</v>
      </c>
      <c r="F22" s="178">
        <v>7.5999999999999998E-2</v>
      </c>
      <c r="G22" s="178">
        <v>0.92400000000000004</v>
      </c>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c r="CQ22" s="157"/>
      <c r="CR22" s="157"/>
      <c r="CS22" s="157"/>
      <c r="CT22" s="157"/>
      <c r="CU22" s="157"/>
      <c r="CV22" s="157"/>
      <c r="CW22" s="157"/>
      <c r="CX22" s="157"/>
      <c r="CY22" s="157"/>
      <c r="CZ22" s="157"/>
      <c r="DA22" s="157"/>
      <c r="DB22" s="157"/>
      <c r="DC22" s="157"/>
      <c r="DD22" s="157"/>
      <c r="DE22" s="157"/>
      <c r="DF22" s="157"/>
      <c r="DG22" s="157"/>
      <c r="DH22" s="157"/>
      <c r="DI22" s="157"/>
      <c r="DJ22" s="157"/>
      <c r="DK22" s="157"/>
      <c r="DL22" s="157"/>
      <c r="DM22" s="157"/>
      <c r="DN22" s="157"/>
      <c r="DO22" s="157"/>
      <c r="DP22" s="157"/>
      <c r="DQ22" s="157"/>
      <c r="DR22" s="157"/>
      <c r="DS22" s="157"/>
      <c r="DT22" s="157"/>
      <c r="DU22" s="157"/>
      <c r="DV22" s="157"/>
      <c r="DW22" s="157"/>
      <c r="DX22" s="157"/>
      <c r="DY22" s="157"/>
      <c r="DZ22" s="157"/>
      <c r="EA22" s="157"/>
      <c r="EB22" s="157"/>
      <c r="EC22" s="157"/>
      <c r="ED22" s="157"/>
      <c r="EE22" s="157"/>
      <c r="EF22" s="157"/>
      <c r="EG22" s="157"/>
      <c r="EH22" s="157"/>
      <c r="EI22" s="157"/>
      <c r="EJ22" s="157"/>
      <c r="EK22" s="157"/>
      <c r="EL22" s="157"/>
      <c r="EM22" s="157"/>
      <c r="EN22" s="157"/>
      <c r="EO22" s="157"/>
      <c r="EP22" s="157"/>
      <c r="EQ22" s="157"/>
      <c r="ER22" s="157"/>
      <c r="ES22" s="157"/>
      <c r="ET22" s="157"/>
      <c r="EU22" s="157"/>
      <c r="EV22" s="157"/>
      <c r="EW22" s="157"/>
      <c r="EX22" s="157"/>
      <c r="EY22" s="157"/>
      <c r="EZ22" s="157"/>
      <c r="FA22" s="157"/>
      <c r="FB22" s="157"/>
      <c r="FC22" s="157"/>
      <c r="FD22" s="157"/>
      <c r="FE22" s="157"/>
      <c r="FF22" s="157"/>
      <c r="FG22" s="157"/>
      <c r="FH22" s="157"/>
      <c r="FI22" s="157"/>
      <c r="FJ22" s="157"/>
      <c r="FK22" s="157"/>
      <c r="FL22" s="157"/>
      <c r="FM22" s="157"/>
      <c r="FN22" s="157"/>
      <c r="FO22" s="157"/>
      <c r="FP22" s="157"/>
      <c r="FQ22" s="157"/>
      <c r="FR22" s="157"/>
      <c r="FS22" s="157"/>
      <c r="FT22" s="157"/>
      <c r="FU22" s="157"/>
      <c r="FV22" s="157"/>
      <c r="FW22" s="157"/>
      <c r="FX22" s="157"/>
      <c r="FY22" s="157"/>
      <c r="FZ22" s="157"/>
      <c r="GA22" s="157"/>
      <c r="GB22" s="157"/>
      <c r="GC22" s="157"/>
      <c r="GD22" s="157"/>
      <c r="GE22" s="157"/>
      <c r="GF22" s="157"/>
      <c r="GG22" s="157"/>
      <c r="GH22" s="157"/>
      <c r="GI22" s="157"/>
      <c r="GJ22" s="157"/>
      <c r="GK22" s="157"/>
      <c r="GL22" s="157"/>
      <c r="GM22" s="157"/>
      <c r="GN22" s="157"/>
      <c r="GO22" s="157"/>
      <c r="GP22" s="157"/>
      <c r="GQ22" s="157"/>
      <c r="GR22" s="157"/>
      <c r="GS22" s="157"/>
      <c r="GT22" s="157"/>
      <c r="GU22" s="157"/>
      <c r="GV22" s="157"/>
      <c r="GW22" s="157"/>
      <c r="GX22" s="157"/>
      <c r="GY22" s="157"/>
      <c r="GZ22" s="157"/>
      <c r="HA22" s="157"/>
      <c r="HB22" s="157"/>
      <c r="HC22" s="157"/>
      <c r="HD22" s="157"/>
      <c r="HE22" s="157"/>
      <c r="HF22" s="157"/>
      <c r="HG22" s="157"/>
      <c r="HH22" s="157"/>
      <c r="HI22" s="157"/>
      <c r="HJ22" s="157"/>
      <c r="HK22" s="157"/>
      <c r="HL22" s="157"/>
      <c r="HM22" s="157"/>
      <c r="HN22" s="157"/>
      <c r="HO22" s="157"/>
      <c r="HP22" s="157"/>
      <c r="HQ22" s="157"/>
      <c r="HR22" s="157"/>
      <c r="HS22" s="157"/>
      <c r="HT22" s="157"/>
      <c r="HU22" s="157"/>
      <c r="HV22" s="157"/>
      <c r="HW22" s="157"/>
      <c r="HX22" s="157"/>
      <c r="HY22" s="157"/>
      <c r="HZ22" s="157"/>
      <c r="IA22" s="157"/>
      <c r="IB22" s="157"/>
      <c r="IC22" s="157"/>
      <c r="ID22" s="157"/>
      <c r="IE22" s="157"/>
      <c r="IF22" s="157"/>
      <c r="IG22" s="157"/>
      <c r="IH22" s="157"/>
      <c r="II22" s="157"/>
      <c r="IJ22" s="157"/>
      <c r="IK22" s="157"/>
      <c r="IL22" s="157"/>
      <c r="IM22" s="157"/>
      <c r="IN22" s="157"/>
      <c r="IO22" s="157"/>
      <c r="IP22" s="157"/>
      <c r="IQ22" s="157"/>
      <c r="IR22" s="157"/>
      <c r="IS22" s="157"/>
      <c r="IT22" s="157"/>
      <c r="IU22" s="157"/>
      <c r="IV22" s="157"/>
      <c r="IW22" s="157"/>
      <c r="IX22" s="157"/>
      <c r="IY22" s="157"/>
      <c r="IZ22" s="157"/>
      <c r="JA22" s="157"/>
      <c r="JB22" s="157"/>
      <c r="JC22" s="157"/>
      <c r="JD22" s="157"/>
      <c r="JE22" s="157"/>
      <c r="JF22" s="157"/>
      <c r="JG22" s="157"/>
      <c r="JH22" s="157"/>
      <c r="JI22" s="157"/>
      <c r="JJ22" s="157"/>
      <c r="JK22" s="157"/>
      <c r="JL22" s="157"/>
      <c r="JM22" s="157"/>
      <c r="JN22" s="157"/>
      <c r="JO22" s="157"/>
      <c r="JP22" s="157"/>
      <c r="JQ22" s="157"/>
      <c r="JR22" s="157"/>
      <c r="JS22" s="157"/>
      <c r="JT22" s="157"/>
      <c r="JU22" s="157"/>
      <c r="JV22" s="157"/>
      <c r="JW22" s="157"/>
      <c r="JX22" s="157"/>
      <c r="JY22" s="157"/>
      <c r="JZ22" s="157"/>
      <c r="KA22" s="157"/>
      <c r="KB22" s="157"/>
      <c r="KC22" s="157"/>
      <c r="KD22" s="157"/>
      <c r="KE22" s="157"/>
      <c r="KF22" s="157"/>
      <c r="KG22" s="157"/>
      <c r="KH22" s="157"/>
      <c r="KI22" s="157"/>
      <c r="KJ22" s="157"/>
      <c r="KK22" s="157"/>
      <c r="KL22" s="157"/>
    </row>
    <row r="23" spans="1:298" x14ac:dyDescent="0.2">
      <c r="A23" s="208" t="s">
        <v>50</v>
      </c>
      <c r="B23" s="178">
        <v>0.28799999999999998</v>
      </c>
      <c r="C23" s="178">
        <v>0.71199999999999997</v>
      </c>
      <c r="D23" s="178">
        <v>0.38219999999999998</v>
      </c>
      <c r="E23" s="178">
        <v>0.61780000000000002</v>
      </c>
      <c r="F23" s="178">
        <v>0.2298</v>
      </c>
      <c r="G23" s="178">
        <v>0.7702</v>
      </c>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c r="CQ23" s="157"/>
      <c r="CR23" s="157"/>
      <c r="CS23" s="157"/>
      <c r="CT23" s="157"/>
      <c r="CU23" s="157"/>
      <c r="CV23" s="157"/>
      <c r="CW23" s="157"/>
      <c r="CX23" s="157"/>
      <c r="CY23" s="157"/>
      <c r="CZ23" s="157"/>
      <c r="DA23" s="157"/>
      <c r="DB23" s="157"/>
      <c r="DC23" s="157"/>
      <c r="DD23" s="157"/>
      <c r="DE23" s="157"/>
      <c r="DF23" s="157"/>
      <c r="DG23" s="157"/>
      <c r="DH23" s="157"/>
      <c r="DI23" s="157"/>
      <c r="DJ23" s="157"/>
      <c r="DK23" s="157"/>
      <c r="DL23" s="157"/>
      <c r="DM23" s="157"/>
      <c r="DN23" s="157"/>
      <c r="DO23" s="157"/>
      <c r="DP23" s="157"/>
      <c r="DQ23" s="157"/>
      <c r="DR23" s="157"/>
      <c r="DS23" s="157"/>
      <c r="DT23" s="157"/>
      <c r="DU23" s="157"/>
      <c r="DV23" s="157"/>
      <c r="DW23" s="157"/>
      <c r="DX23" s="157"/>
      <c r="DY23" s="157"/>
      <c r="DZ23" s="157"/>
      <c r="EA23" s="157"/>
      <c r="EB23" s="157"/>
      <c r="EC23" s="157"/>
      <c r="ED23" s="157"/>
      <c r="EE23" s="157"/>
      <c r="EF23" s="157"/>
      <c r="EG23" s="157"/>
      <c r="EH23" s="157"/>
      <c r="EI23" s="157"/>
      <c r="EJ23" s="157"/>
      <c r="EK23" s="157"/>
      <c r="EL23" s="157"/>
      <c r="EM23" s="157"/>
      <c r="EN23" s="157"/>
      <c r="EO23" s="157"/>
      <c r="EP23" s="157"/>
      <c r="EQ23" s="157"/>
      <c r="ER23" s="157"/>
      <c r="ES23" s="157"/>
      <c r="ET23" s="157"/>
      <c r="EU23" s="157"/>
      <c r="EV23" s="157"/>
      <c r="EW23" s="157"/>
      <c r="EX23" s="157"/>
      <c r="EY23" s="157"/>
      <c r="EZ23" s="157"/>
      <c r="FA23" s="157"/>
      <c r="FB23" s="157"/>
      <c r="FC23" s="157"/>
      <c r="FD23" s="157"/>
      <c r="FE23" s="157"/>
      <c r="FF23" s="157"/>
      <c r="FG23" s="157"/>
      <c r="FH23" s="157"/>
      <c r="FI23" s="157"/>
      <c r="FJ23" s="157"/>
      <c r="FK23" s="157"/>
      <c r="FL23" s="157"/>
      <c r="FM23" s="157"/>
      <c r="FN23" s="157"/>
      <c r="FO23" s="157"/>
      <c r="FP23" s="157"/>
      <c r="FQ23" s="157"/>
      <c r="FR23" s="157"/>
      <c r="FS23" s="157"/>
      <c r="FT23" s="157"/>
      <c r="FU23" s="157"/>
      <c r="FV23" s="157"/>
      <c r="FW23" s="157"/>
      <c r="FX23" s="157"/>
      <c r="FY23" s="157"/>
      <c r="FZ23" s="157"/>
      <c r="GA23" s="157"/>
      <c r="GB23" s="157"/>
      <c r="GC23" s="157"/>
      <c r="GD23" s="157"/>
      <c r="GE23" s="157"/>
      <c r="GF23" s="157"/>
      <c r="GG23" s="157"/>
      <c r="GH23" s="157"/>
      <c r="GI23" s="157"/>
      <c r="GJ23" s="157"/>
      <c r="GK23" s="157"/>
      <c r="GL23" s="157"/>
      <c r="GM23" s="157"/>
      <c r="GN23" s="157"/>
      <c r="GO23" s="157"/>
      <c r="GP23" s="157"/>
      <c r="GQ23" s="157"/>
      <c r="GR23" s="157"/>
      <c r="GS23" s="157"/>
      <c r="GT23" s="157"/>
      <c r="GU23" s="157"/>
      <c r="GV23" s="157"/>
      <c r="GW23" s="157"/>
      <c r="GX23" s="157"/>
      <c r="GY23" s="157"/>
      <c r="GZ23" s="157"/>
      <c r="HA23" s="157"/>
      <c r="HB23" s="157"/>
      <c r="HC23" s="157"/>
      <c r="HD23" s="157"/>
      <c r="HE23" s="157"/>
      <c r="HF23" s="157"/>
      <c r="HG23" s="157"/>
      <c r="HH23" s="157"/>
      <c r="HI23" s="157"/>
      <c r="HJ23" s="157"/>
      <c r="HK23" s="157"/>
      <c r="HL23" s="157"/>
      <c r="HM23" s="157"/>
      <c r="HN23" s="157"/>
      <c r="HO23" s="157"/>
      <c r="HP23" s="157"/>
      <c r="HQ23" s="157"/>
      <c r="HR23" s="157"/>
      <c r="HS23" s="157"/>
      <c r="HT23" s="157"/>
      <c r="HU23" s="157"/>
      <c r="HV23" s="157"/>
      <c r="HW23" s="157"/>
      <c r="HX23" s="157"/>
      <c r="HY23" s="157"/>
      <c r="HZ23" s="157"/>
      <c r="IA23" s="157"/>
      <c r="IB23" s="157"/>
      <c r="IC23" s="157"/>
      <c r="ID23" s="157"/>
      <c r="IE23" s="157"/>
      <c r="IF23" s="157"/>
      <c r="IG23" s="157"/>
      <c r="IH23" s="157"/>
      <c r="II23" s="157"/>
      <c r="IJ23" s="157"/>
      <c r="IK23" s="157"/>
      <c r="IL23" s="157"/>
      <c r="IM23" s="157"/>
      <c r="IN23" s="157"/>
      <c r="IO23" s="157"/>
      <c r="IP23" s="157"/>
      <c r="IQ23" s="157"/>
      <c r="IR23" s="157"/>
      <c r="IS23" s="157"/>
      <c r="IT23" s="157"/>
      <c r="IU23" s="157"/>
      <c r="IV23" s="157"/>
      <c r="IW23" s="157"/>
      <c r="IX23" s="157"/>
      <c r="IY23" s="157"/>
      <c r="IZ23" s="157"/>
      <c r="JA23" s="157"/>
      <c r="JB23" s="157"/>
      <c r="JC23" s="157"/>
      <c r="JD23" s="157"/>
      <c r="JE23" s="157"/>
      <c r="JF23" s="157"/>
      <c r="JG23" s="157"/>
      <c r="JH23" s="157"/>
      <c r="JI23" s="157"/>
      <c r="JJ23" s="157"/>
      <c r="JK23" s="157"/>
      <c r="JL23" s="157"/>
      <c r="JM23" s="157"/>
      <c r="JN23" s="157"/>
      <c r="JO23" s="157"/>
      <c r="JP23" s="157"/>
      <c r="JQ23" s="157"/>
      <c r="JR23" s="157"/>
      <c r="JS23" s="157"/>
      <c r="JT23" s="157"/>
      <c r="JU23" s="157"/>
      <c r="JV23" s="157"/>
      <c r="JW23" s="157"/>
      <c r="JX23" s="157"/>
      <c r="JY23" s="157"/>
      <c r="JZ23" s="157"/>
      <c r="KA23" s="157"/>
      <c r="KB23" s="157"/>
      <c r="KC23" s="157"/>
      <c r="KD23" s="157"/>
      <c r="KE23" s="157"/>
      <c r="KF23" s="157"/>
      <c r="KG23" s="157"/>
      <c r="KH23" s="157"/>
      <c r="KI23" s="157"/>
      <c r="KJ23" s="157"/>
      <c r="KK23" s="157"/>
      <c r="KL23" s="157"/>
    </row>
    <row r="24" spans="1:298" x14ac:dyDescent="0.2">
      <c r="A24" s="206" t="s">
        <v>51</v>
      </c>
      <c r="B24" s="178">
        <v>5.7000000000000002E-2</v>
      </c>
      <c r="C24" s="178">
        <v>0.94299999999999995</v>
      </c>
      <c r="D24" s="178">
        <v>0.21290000000000001</v>
      </c>
      <c r="E24" s="178">
        <v>0.78710000000000002</v>
      </c>
      <c r="F24" s="178">
        <v>2.1399999999999999E-2</v>
      </c>
      <c r="G24" s="178">
        <v>0.97860000000000003</v>
      </c>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c r="CQ24" s="157"/>
      <c r="CR24" s="157"/>
      <c r="CS24" s="157"/>
      <c r="CT24" s="157"/>
      <c r="CU24" s="157"/>
      <c r="CV24" s="157"/>
      <c r="CW24" s="157"/>
      <c r="CX24" s="157"/>
      <c r="CY24" s="157"/>
      <c r="CZ24" s="157"/>
      <c r="DA24" s="157"/>
      <c r="DB24" s="157"/>
      <c r="DC24" s="157"/>
      <c r="DD24" s="157"/>
      <c r="DE24" s="157"/>
      <c r="DF24" s="157"/>
      <c r="DG24" s="157"/>
      <c r="DH24" s="157"/>
      <c r="DI24" s="157"/>
      <c r="DJ24" s="157"/>
      <c r="DK24" s="157"/>
      <c r="DL24" s="157"/>
      <c r="DM24" s="157"/>
      <c r="DN24" s="157"/>
      <c r="DO24" s="157"/>
      <c r="DP24" s="157"/>
      <c r="DQ24" s="157"/>
      <c r="DR24" s="157"/>
      <c r="DS24" s="157"/>
      <c r="DT24" s="157"/>
      <c r="DU24" s="157"/>
      <c r="DV24" s="157"/>
      <c r="DW24" s="157"/>
      <c r="DX24" s="157"/>
      <c r="DY24" s="157"/>
      <c r="DZ24" s="157"/>
      <c r="EA24" s="157"/>
      <c r="EB24" s="157"/>
      <c r="EC24" s="157"/>
      <c r="ED24" s="157"/>
      <c r="EE24" s="157"/>
      <c r="EF24" s="157"/>
      <c r="EG24" s="157"/>
      <c r="EH24" s="157"/>
      <c r="EI24" s="157"/>
      <c r="EJ24" s="157"/>
      <c r="EK24" s="157"/>
      <c r="EL24" s="157"/>
      <c r="EM24" s="157"/>
      <c r="EN24" s="157"/>
      <c r="EO24" s="157"/>
      <c r="EP24" s="157"/>
      <c r="EQ24" s="157"/>
      <c r="ER24" s="157"/>
      <c r="ES24" s="157"/>
      <c r="ET24" s="157"/>
      <c r="EU24" s="157"/>
      <c r="EV24" s="157"/>
      <c r="EW24" s="157"/>
      <c r="EX24" s="157"/>
      <c r="EY24" s="157"/>
      <c r="EZ24" s="157"/>
      <c r="FA24" s="157"/>
      <c r="FB24" s="157"/>
      <c r="FC24" s="157"/>
      <c r="FD24" s="157"/>
      <c r="FE24" s="157"/>
      <c r="FF24" s="157"/>
      <c r="FG24" s="157"/>
      <c r="FH24" s="157"/>
      <c r="FI24" s="157"/>
      <c r="FJ24" s="157"/>
      <c r="FK24" s="157"/>
      <c r="FL24" s="157"/>
      <c r="FM24" s="157"/>
      <c r="FN24" s="157"/>
      <c r="FO24" s="157"/>
      <c r="FP24" s="157"/>
      <c r="FQ24" s="157"/>
      <c r="FR24" s="157"/>
      <c r="FS24" s="157"/>
      <c r="FT24" s="157"/>
      <c r="FU24" s="157"/>
      <c r="FV24" s="157"/>
      <c r="FW24" s="157"/>
      <c r="FX24" s="157"/>
      <c r="FY24" s="157"/>
      <c r="FZ24" s="157"/>
      <c r="GA24" s="157"/>
      <c r="GB24" s="157"/>
      <c r="GC24" s="157"/>
      <c r="GD24" s="157"/>
      <c r="GE24" s="157"/>
      <c r="GF24" s="157"/>
      <c r="GG24" s="157"/>
      <c r="GH24" s="157"/>
      <c r="GI24" s="157"/>
      <c r="GJ24" s="157"/>
      <c r="GK24" s="157"/>
      <c r="GL24" s="157"/>
      <c r="GM24" s="157"/>
      <c r="GN24" s="157"/>
      <c r="GO24" s="157"/>
      <c r="GP24" s="157"/>
      <c r="GQ24" s="157"/>
      <c r="GR24" s="157"/>
      <c r="GS24" s="157"/>
      <c r="GT24" s="157"/>
      <c r="GU24" s="157"/>
      <c r="GV24" s="157"/>
      <c r="GW24" s="157"/>
      <c r="GX24" s="157"/>
      <c r="GY24" s="157"/>
      <c r="GZ24" s="157"/>
      <c r="HA24" s="157"/>
      <c r="HB24" s="157"/>
      <c r="HC24" s="157"/>
      <c r="HD24" s="157"/>
      <c r="HE24" s="157"/>
      <c r="HF24" s="157"/>
      <c r="HG24" s="157"/>
      <c r="HH24" s="157"/>
      <c r="HI24" s="157"/>
      <c r="HJ24" s="157"/>
      <c r="HK24" s="157"/>
      <c r="HL24" s="157"/>
      <c r="HM24" s="157"/>
      <c r="HN24" s="157"/>
      <c r="HO24" s="157"/>
      <c r="HP24" s="157"/>
      <c r="HQ24" s="157"/>
      <c r="HR24" s="157"/>
      <c r="HS24" s="157"/>
      <c r="HT24" s="157"/>
      <c r="HU24" s="157"/>
      <c r="HV24" s="157"/>
      <c r="HW24" s="157"/>
      <c r="HX24" s="157"/>
      <c r="HY24" s="157"/>
      <c r="HZ24" s="157"/>
      <c r="IA24" s="157"/>
      <c r="IB24" s="157"/>
      <c r="IC24" s="157"/>
      <c r="ID24" s="157"/>
      <c r="IE24" s="157"/>
      <c r="IF24" s="157"/>
      <c r="IG24" s="157"/>
      <c r="IH24" s="157"/>
      <c r="II24" s="157"/>
      <c r="IJ24" s="157"/>
      <c r="IK24" s="157"/>
      <c r="IL24" s="157"/>
      <c r="IM24" s="157"/>
      <c r="IN24" s="157"/>
      <c r="IO24" s="157"/>
      <c r="IP24" s="157"/>
      <c r="IQ24" s="157"/>
      <c r="IR24" s="157"/>
      <c r="IS24" s="157"/>
      <c r="IT24" s="157"/>
      <c r="IU24" s="157"/>
      <c r="IV24" s="157"/>
      <c r="IW24" s="157"/>
      <c r="IX24" s="157"/>
      <c r="IY24" s="157"/>
      <c r="IZ24" s="157"/>
      <c r="JA24" s="157"/>
      <c r="JB24" s="157"/>
      <c r="JC24" s="157"/>
      <c r="JD24" s="157"/>
      <c r="JE24" s="157"/>
      <c r="JF24" s="157"/>
      <c r="JG24" s="157"/>
      <c r="JH24" s="157"/>
      <c r="JI24" s="157"/>
      <c r="JJ24" s="157"/>
      <c r="JK24" s="157"/>
      <c r="JL24" s="157"/>
      <c r="JM24" s="157"/>
      <c r="JN24" s="157"/>
      <c r="JO24" s="157"/>
      <c r="JP24" s="157"/>
      <c r="JQ24" s="157"/>
      <c r="JR24" s="157"/>
      <c r="JS24" s="157"/>
      <c r="JT24" s="157"/>
      <c r="JU24" s="157"/>
      <c r="JV24" s="157"/>
      <c r="JW24" s="157"/>
      <c r="JX24" s="157"/>
      <c r="JY24" s="157"/>
      <c r="JZ24" s="157"/>
      <c r="KA24" s="157"/>
      <c r="KB24" s="157"/>
      <c r="KC24" s="157"/>
      <c r="KD24" s="157"/>
      <c r="KE24" s="157"/>
      <c r="KF24" s="157"/>
      <c r="KG24" s="157"/>
      <c r="KH24" s="157"/>
      <c r="KI24" s="157"/>
      <c r="KJ24" s="157"/>
      <c r="KK24" s="157"/>
      <c r="KL24" s="157"/>
    </row>
    <row r="25" spans="1:298" ht="16" thickBot="1" x14ac:dyDescent="0.25">
      <c r="A25" s="205" t="s">
        <v>31</v>
      </c>
      <c r="B25" s="178">
        <v>8.9200000000000002E-2</v>
      </c>
      <c r="C25" s="178">
        <v>0.91080000000000005</v>
      </c>
      <c r="D25" s="178">
        <v>0.16370000000000001</v>
      </c>
      <c r="E25" s="178">
        <v>0.83630000000000004</v>
      </c>
      <c r="F25" s="178">
        <v>0.13100000000000001</v>
      </c>
      <c r="G25" s="178">
        <v>0.86899999999999999</v>
      </c>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157"/>
      <c r="EO25" s="157"/>
      <c r="EP25" s="157"/>
      <c r="EQ25" s="157"/>
      <c r="ER25" s="157"/>
      <c r="ES25" s="157"/>
      <c r="ET25" s="157"/>
      <c r="EU25" s="157"/>
      <c r="EV25" s="157"/>
      <c r="EW25" s="157"/>
      <c r="EX25" s="157"/>
      <c r="EY25" s="157"/>
      <c r="EZ25" s="157"/>
      <c r="FA25" s="157"/>
      <c r="FB25" s="157"/>
      <c r="FC25" s="157"/>
      <c r="FD25" s="157"/>
      <c r="FE25" s="157"/>
      <c r="FF25" s="157"/>
      <c r="FG25" s="157"/>
      <c r="FH25" s="157"/>
      <c r="FI25" s="157"/>
      <c r="FJ25" s="157"/>
      <c r="FK25" s="157"/>
      <c r="FL25" s="157"/>
      <c r="FM25" s="157"/>
      <c r="FN25" s="157"/>
      <c r="FO25" s="157"/>
      <c r="FP25" s="157"/>
      <c r="FQ25" s="157"/>
      <c r="FR25" s="157"/>
      <c r="FS25" s="157"/>
      <c r="FT25" s="157"/>
      <c r="FU25" s="157"/>
      <c r="FV25" s="157"/>
      <c r="FW25" s="157"/>
      <c r="FX25" s="157"/>
      <c r="FY25" s="157"/>
      <c r="FZ25" s="157"/>
      <c r="GA25" s="157"/>
      <c r="GB25" s="157"/>
      <c r="GC25" s="157"/>
      <c r="GD25" s="157"/>
      <c r="GE25" s="157"/>
      <c r="GF25" s="157"/>
      <c r="GG25" s="157"/>
      <c r="GH25" s="157"/>
      <c r="GI25" s="157"/>
      <c r="GJ25" s="157"/>
      <c r="GK25" s="157"/>
      <c r="GL25" s="157"/>
      <c r="GM25" s="157"/>
      <c r="GN25" s="157"/>
      <c r="GO25" s="157"/>
      <c r="GP25" s="157"/>
      <c r="GQ25" s="157"/>
      <c r="GR25" s="157"/>
      <c r="GS25" s="157"/>
      <c r="GT25" s="157"/>
      <c r="GU25" s="157"/>
      <c r="GV25" s="157"/>
      <c r="GW25" s="157"/>
      <c r="GX25" s="157"/>
      <c r="GY25" s="157"/>
      <c r="GZ25" s="157"/>
      <c r="HA25" s="157"/>
      <c r="HB25" s="157"/>
      <c r="HC25" s="157"/>
      <c r="HD25" s="157"/>
      <c r="HE25" s="157"/>
      <c r="HF25" s="157"/>
      <c r="HG25" s="157"/>
      <c r="HH25" s="157"/>
      <c r="HI25" s="157"/>
      <c r="HJ25" s="157"/>
      <c r="HK25" s="157"/>
      <c r="HL25" s="157"/>
      <c r="HM25" s="157"/>
      <c r="HN25" s="157"/>
      <c r="HO25" s="157"/>
      <c r="HP25" s="157"/>
      <c r="HQ25" s="157"/>
      <c r="HR25" s="157"/>
      <c r="HS25" s="157"/>
      <c r="HT25" s="157"/>
      <c r="HU25" s="157"/>
      <c r="HV25" s="157"/>
      <c r="HW25" s="157"/>
      <c r="HX25" s="157"/>
      <c r="HY25" s="157"/>
      <c r="HZ25" s="157"/>
      <c r="IA25" s="157"/>
      <c r="IB25" s="157"/>
      <c r="IC25" s="157"/>
      <c r="ID25" s="157"/>
      <c r="IE25" s="157"/>
      <c r="IF25" s="157"/>
      <c r="IG25" s="157"/>
      <c r="IH25" s="157"/>
      <c r="II25" s="157"/>
      <c r="IJ25" s="157"/>
      <c r="IK25" s="157"/>
      <c r="IL25" s="157"/>
      <c r="IM25" s="157"/>
      <c r="IN25" s="157"/>
      <c r="IO25" s="157"/>
      <c r="IP25" s="157"/>
      <c r="IQ25" s="157"/>
      <c r="IR25" s="157"/>
      <c r="IS25" s="157"/>
      <c r="IT25" s="157"/>
      <c r="IU25" s="157"/>
      <c r="IV25" s="157"/>
      <c r="IW25" s="157"/>
      <c r="IX25" s="157"/>
      <c r="IY25" s="157"/>
      <c r="IZ25" s="157"/>
      <c r="JA25" s="157"/>
      <c r="JB25" s="157"/>
      <c r="JC25" s="157"/>
      <c r="JD25" s="157"/>
      <c r="JE25" s="157"/>
      <c r="JF25" s="157"/>
      <c r="JG25" s="157"/>
      <c r="JH25" s="157"/>
      <c r="JI25" s="157"/>
      <c r="JJ25" s="157"/>
      <c r="JK25" s="157"/>
      <c r="JL25" s="157"/>
      <c r="JM25" s="157"/>
      <c r="JN25" s="157"/>
      <c r="JO25" s="157"/>
      <c r="JP25" s="157"/>
      <c r="JQ25" s="157"/>
      <c r="JR25" s="157"/>
      <c r="JS25" s="157"/>
      <c r="JT25" s="157"/>
      <c r="JU25" s="157"/>
      <c r="JV25" s="157"/>
      <c r="JW25" s="157"/>
      <c r="JX25" s="157"/>
      <c r="JY25" s="157"/>
      <c r="JZ25" s="157"/>
      <c r="KA25" s="157"/>
      <c r="KB25" s="157"/>
      <c r="KC25" s="157"/>
      <c r="KD25" s="157"/>
      <c r="KE25" s="157"/>
      <c r="KF25" s="157"/>
      <c r="KG25" s="157"/>
      <c r="KH25" s="157"/>
      <c r="KI25" s="157"/>
      <c r="KJ25" s="157"/>
      <c r="KK25" s="157"/>
      <c r="KL25" s="157"/>
    </row>
    <row r="26" spans="1:298" x14ac:dyDescent="0.2">
      <c r="E26" s="209"/>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7"/>
      <c r="CF26" s="157"/>
      <c r="CG26" s="157"/>
      <c r="CH26" s="157"/>
      <c r="CI26" s="157"/>
      <c r="CJ26" s="157"/>
      <c r="CK26" s="157"/>
      <c r="CL26" s="157"/>
      <c r="CM26" s="157"/>
      <c r="CN26" s="157"/>
      <c r="CO26" s="157"/>
      <c r="CP26" s="157"/>
      <c r="CQ26" s="157"/>
      <c r="CR26" s="157"/>
      <c r="CS26" s="157"/>
      <c r="CT26" s="157"/>
      <c r="CU26" s="157"/>
      <c r="CV26" s="157"/>
      <c r="CW26" s="157"/>
      <c r="CX26" s="157"/>
      <c r="CY26" s="157"/>
      <c r="CZ26" s="157"/>
      <c r="DA26" s="157"/>
      <c r="DB26" s="157"/>
      <c r="DC26" s="157"/>
      <c r="DD26" s="157"/>
      <c r="DE26" s="157"/>
      <c r="DF26" s="157"/>
      <c r="DG26" s="157"/>
      <c r="DH26" s="157"/>
      <c r="DI26" s="157"/>
      <c r="DJ26" s="157"/>
      <c r="DK26" s="157"/>
      <c r="DL26" s="157"/>
      <c r="DM26" s="157"/>
      <c r="DN26" s="157"/>
      <c r="DO26" s="157"/>
      <c r="DP26" s="157"/>
      <c r="DQ26" s="157"/>
      <c r="DR26" s="157"/>
      <c r="DS26" s="157"/>
      <c r="DT26" s="157"/>
      <c r="DU26" s="157"/>
      <c r="DV26" s="157"/>
      <c r="DW26" s="157"/>
      <c r="DX26" s="157"/>
      <c r="DY26" s="157"/>
      <c r="DZ26" s="157"/>
      <c r="EA26" s="157"/>
      <c r="EB26" s="157"/>
      <c r="EC26" s="157"/>
      <c r="ED26" s="157"/>
      <c r="EE26" s="157"/>
      <c r="EF26" s="157"/>
      <c r="EG26" s="157"/>
      <c r="EH26" s="157"/>
      <c r="EI26" s="157"/>
      <c r="EJ26" s="157"/>
      <c r="EK26" s="157"/>
      <c r="EL26" s="157"/>
      <c r="EM26" s="157"/>
      <c r="EN26" s="157"/>
      <c r="EO26" s="157"/>
      <c r="EP26" s="157"/>
      <c r="EQ26" s="157"/>
      <c r="ER26" s="157"/>
      <c r="ES26" s="157"/>
      <c r="ET26" s="157"/>
      <c r="EU26" s="157"/>
      <c r="EV26" s="157"/>
      <c r="EW26" s="157"/>
      <c r="EX26" s="157"/>
      <c r="EY26" s="157"/>
      <c r="EZ26" s="157"/>
      <c r="FA26" s="157"/>
      <c r="FB26" s="157"/>
      <c r="FC26" s="157"/>
      <c r="FD26" s="157"/>
      <c r="FE26" s="157"/>
      <c r="FF26" s="157"/>
      <c r="FG26" s="157"/>
      <c r="FH26" s="157"/>
      <c r="FI26" s="157"/>
      <c r="FJ26" s="157"/>
      <c r="FK26" s="157"/>
      <c r="FL26" s="157"/>
      <c r="FM26" s="157"/>
      <c r="FN26" s="157"/>
      <c r="FO26" s="157"/>
      <c r="FP26" s="157"/>
      <c r="FQ26" s="157"/>
      <c r="FR26" s="157"/>
      <c r="FS26" s="157"/>
      <c r="FT26" s="157"/>
      <c r="FU26" s="157"/>
      <c r="FV26" s="157"/>
      <c r="FW26" s="157"/>
      <c r="FX26" s="157"/>
      <c r="FY26" s="157"/>
      <c r="FZ26" s="157"/>
      <c r="GA26" s="157"/>
      <c r="GB26" s="157"/>
      <c r="GC26" s="157"/>
      <c r="GD26" s="157"/>
      <c r="GE26" s="157"/>
      <c r="GF26" s="157"/>
      <c r="GG26" s="157"/>
      <c r="GH26" s="157"/>
      <c r="GI26" s="157"/>
      <c r="GJ26" s="157"/>
      <c r="GK26" s="157"/>
      <c r="GL26" s="157"/>
      <c r="GM26" s="157"/>
      <c r="GN26" s="157"/>
      <c r="GO26" s="157"/>
      <c r="GP26" s="157"/>
      <c r="GQ26" s="157"/>
      <c r="GR26" s="157"/>
      <c r="GS26" s="157"/>
      <c r="GT26" s="157"/>
      <c r="GU26" s="157"/>
      <c r="GV26" s="157"/>
      <c r="GW26" s="157"/>
      <c r="GX26" s="157"/>
      <c r="GY26" s="157"/>
      <c r="GZ26" s="157"/>
      <c r="HA26" s="157"/>
      <c r="HB26" s="157"/>
      <c r="HC26" s="157"/>
      <c r="HD26" s="157"/>
      <c r="HE26" s="157"/>
      <c r="HF26" s="157"/>
      <c r="HG26" s="157"/>
      <c r="HH26" s="157"/>
      <c r="HI26" s="157"/>
      <c r="HJ26" s="157"/>
      <c r="HK26" s="157"/>
      <c r="HL26" s="157"/>
      <c r="HM26" s="157"/>
      <c r="HN26" s="157"/>
      <c r="HO26" s="157"/>
      <c r="HP26" s="157"/>
      <c r="HQ26" s="157"/>
      <c r="HR26" s="157"/>
      <c r="HS26" s="157"/>
      <c r="HT26" s="157"/>
      <c r="HU26" s="157"/>
      <c r="HV26" s="157"/>
      <c r="HW26" s="157"/>
      <c r="HX26" s="157"/>
      <c r="HY26" s="157"/>
      <c r="HZ26" s="157"/>
      <c r="IA26" s="157"/>
      <c r="IB26" s="157"/>
      <c r="IC26" s="157"/>
      <c r="ID26" s="157"/>
      <c r="IE26" s="157"/>
      <c r="IF26" s="157"/>
      <c r="IG26" s="157"/>
      <c r="IH26" s="157"/>
      <c r="II26" s="157"/>
      <c r="IJ26" s="157"/>
      <c r="IK26" s="157"/>
      <c r="IL26" s="157"/>
      <c r="IM26" s="157"/>
      <c r="IN26" s="157"/>
      <c r="IO26" s="157"/>
      <c r="IP26" s="157"/>
      <c r="IQ26" s="157"/>
      <c r="IR26" s="157"/>
      <c r="IS26" s="157"/>
      <c r="IT26" s="157"/>
      <c r="IU26" s="157"/>
      <c r="IV26" s="157"/>
      <c r="IW26" s="157"/>
      <c r="IX26" s="157"/>
      <c r="IY26" s="157"/>
      <c r="IZ26" s="157"/>
      <c r="JA26" s="157"/>
      <c r="JB26" s="157"/>
      <c r="JC26" s="157"/>
      <c r="JD26" s="157"/>
      <c r="JE26" s="157"/>
      <c r="JF26" s="157"/>
      <c r="JG26" s="157"/>
      <c r="JH26" s="157"/>
      <c r="JI26" s="157"/>
      <c r="JJ26" s="157"/>
      <c r="JK26" s="157"/>
      <c r="JL26" s="157"/>
      <c r="JM26" s="157"/>
      <c r="JN26" s="157"/>
      <c r="JO26" s="157"/>
      <c r="JP26" s="157"/>
      <c r="JQ26" s="157"/>
      <c r="JR26" s="157"/>
      <c r="JS26" s="157"/>
      <c r="JT26" s="157"/>
      <c r="JU26" s="157"/>
      <c r="JV26" s="157"/>
      <c r="JW26" s="157"/>
      <c r="JX26" s="157"/>
      <c r="JY26" s="157"/>
      <c r="JZ26" s="157"/>
      <c r="KA26" s="157"/>
      <c r="KB26" s="157"/>
      <c r="KC26" s="157"/>
      <c r="KD26" s="157"/>
      <c r="KE26" s="157"/>
      <c r="KF26" s="157"/>
      <c r="KG26" s="157"/>
      <c r="KH26" s="157"/>
      <c r="KI26" s="157"/>
      <c r="KJ26" s="157"/>
      <c r="KK26" s="157"/>
      <c r="KL26" s="157"/>
    </row>
    <row r="27" spans="1:298" x14ac:dyDescent="0.2">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7"/>
      <c r="CF27" s="157"/>
      <c r="CG27" s="157"/>
      <c r="CH27" s="157"/>
      <c r="CI27" s="157"/>
      <c r="CJ27" s="157"/>
      <c r="CK27" s="157"/>
      <c r="CL27" s="157"/>
      <c r="CM27" s="157"/>
      <c r="CN27" s="157"/>
      <c r="CO27" s="157"/>
      <c r="CP27" s="157"/>
      <c r="CQ27" s="157"/>
      <c r="CR27" s="157"/>
      <c r="CS27" s="157"/>
      <c r="CT27" s="157"/>
      <c r="CU27" s="157"/>
      <c r="CV27" s="157"/>
      <c r="CW27" s="157"/>
      <c r="CX27" s="157"/>
      <c r="CY27" s="157"/>
      <c r="CZ27" s="157"/>
      <c r="DA27" s="157"/>
      <c r="DB27" s="157"/>
      <c r="DC27" s="157"/>
      <c r="DD27" s="157"/>
      <c r="DE27" s="157"/>
      <c r="DF27" s="157"/>
      <c r="DG27" s="157"/>
      <c r="DH27" s="157"/>
      <c r="DI27" s="157"/>
      <c r="DJ27" s="157"/>
      <c r="DK27" s="157"/>
      <c r="DL27" s="157"/>
      <c r="DM27" s="157"/>
      <c r="DN27" s="157"/>
      <c r="DO27" s="157"/>
      <c r="DP27" s="157"/>
      <c r="DQ27" s="157"/>
      <c r="DR27" s="157"/>
      <c r="DS27" s="157"/>
      <c r="DT27" s="157"/>
      <c r="DU27" s="157"/>
      <c r="DV27" s="157"/>
      <c r="DW27" s="157"/>
      <c r="DX27" s="157"/>
      <c r="DY27" s="157"/>
      <c r="DZ27" s="157"/>
      <c r="EA27" s="157"/>
      <c r="EB27" s="157"/>
      <c r="EC27" s="157"/>
      <c r="ED27" s="157"/>
      <c r="EE27" s="157"/>
      <c r="EF27" s="157"/>
      <c r="EG27" s="157"/>
      <c r="EH27" s="157"/>
      <c r="EI27" s="157"/>
      <c r="EJ27" s="157"/>
      <c r="EK27" s="157"/>
      <c r="EL27" s="157"/>
      <c r="EM27" s="157"/>
      <c r="EN27" s="157"/>
      <c r="EO27" s="157"/>
      <c r="EP27" s="157"/>
      <c r="EQ27" s="157"/>
      <c r="ER27" s="157"/>
      <c r="ES27" s="157"/>
      <c r="ET27" s="157"/>
      <c r="EU27" s="157"/>
      <c r="EV27" s="157"/>
      <c r="EW27" s="157"/>
      <c r="EX27" s="157"/>
      <c r="EY27" s="157"/>
      <c r="EZ27" s="157"/>
      <c r="FA27" s="157"/>
      <c r="FB27" s="157"/>
      <c r="FC27" s="157"/>
      <c r="FD27" s="157"/>
      <c r="FE27" s="157"/>
      <c r="FF27" s="157"/>
      <c r="FG27" s="157"/>
      <c r="FH27" s="157"/>
      <c r="FI27" s="157"/>
      <c r="FJ27" s="157"/>
      <c r="FK27" s="157"/>
      <c r="FL27" s="157"/>
      <c r="FM27" s="157"/>
      <c r="FN27" s="157"/>
      <c r="FO27" s="157"/>
      <c r="FP27" s="157"/>
      <c r="FQ27" s="157"/>
      <c r="FR27" s="157"/>
      <c r="FS27" s="157"/>
      <c r="FT27" s="157"/>
      <c r="FU27" s="157"/>
      <c r="FV27" s="157"/>
      <c r="FW27" s="157"/>
      <c r="FX27" s="157"/>
      <c r="FY27" s="157"/>
      <c r="FZ27" s="157"/>
      <c r="GA27" s="157"/>
      <c r="GB27" s="157"/>
      <c r="GC27" s="157"/>
      <c r="GD27" s="157"/>
      <c r="GE27" s="157"/>
      <c r="GF27" s="157"/>
      <c r="GG27" s="157"/>
      <c r="GH27" s="157"/>
      <c r="GI27" s="157"/>
      <c r="GJ27" s="157"/>
      <c r="GK27" s="157"/>
      <c r="GL27" s="157"/>
      <c r="GM27" s="157"/>
      <c r="GN27" s="157"/>
      <c r="GO27" s="157"/>
      <c r="GP27" s="157"/>
      <c r="GQ27" s="157"/>
      <c r="GR27" s="157"/>
      <c r="GS27" s="157"/>
      <c r="GT27" s="157"/>
      <c r="GU27" s="157"/>
      <c r="GV27" s="157"/>
      <c r="GW27" s="157"/>
      <c r="GX27" s="157"/>
      <c r="GY27" s="157"/>
      <c r="GZ27" s="157"/>
      <c r="HA27" s="157"/>
      <c r="HB27" s="157"/>
      <c r="HC27" s="157"/>
      <c r="HD27" s="157"/>
      <c r="HE27" s="157"/>
      <c r="HF27" s="157"/>
      <c r="HG27" s="157"/>
      <c r="HH27" s="157"/>
      <c r="HI27" s="157"/>
      <c r="HJ27" s="157"/>
      <c r="HK27" s="157"/>
      <c r="HL27" s="157"/>
      <c r="HM27" s="157"/>
      <c r="HN27" s="157"/>
      <c r="HO27" s="157"/>
      <c r="HP27" s="157"/>
      <c r="HQ27" s="157"/>
      <c r="HR27" s="157"/>
      <c r="HS27" s="157"/>
      <c r="HT27" s="157"/>
      <c r="HU27" s="157"/>
      <c r="HV27" s="157"/>
      <c r="HW27" s="157"/>
      <c r="HX27" s="157"/>
      <c r="HY27" s="157"/>
      <c r="HZ27" s="157"/>
      <c r="IA27" s="157"/>
      <c r="IB27" s="157"/>
      <c r="IC27" s="157"/>
      <c r="ID27" s="157"/>
      <c r="IE27" s="157"/>
      <c r="IF27" s="157"/>
      <c r="IG27" s="157"/>
      <c r="IH27" s="157"/>
      <c r="II27" s="157"/>
      <c r="IJ27" s="157"/>
      <c r="IK27" s="157"/>
      <c r="IL27" s="157"/>
      <c r="IM27" s="157"/>
      <c r="IN27" s="157"/>
      <c r="IO27" s="157"/>
      <c r="IP27" s="157"/>
      <c r="IQ27" s="157"/>
      <c r="IR27" s="157"/>
      <c r="IS27" s="157"/>
      <c r="IT27" s="157"/>
      <c r="IU27" s="157"/>
      <c r="IV27" s="157"/>
      <c r="IW27" s="157"/>
      <c r="IX27" s="157"/>
      <c r="IY27" s="157"/>
      <c r="IZ27" s="157"/>
      <c r="JA27" s="157"/>
      <c r="JB27" s="157"/>
      <c r="JC27" s="157"/>
      <c r="JD27" s="157"/>
      <c r="JE27" s="157"/>
      <c r="JF27" s="157"/>
      <c r="JG27" s="157"/>
      <c r="JH27" s="157"/>
      <c r="JI27" s="157"/>
      <c r="JJ27" s="157"/>
      <c r="JK27" s="157"/>
      <c r="JL27" s="157"/>
      <c r="JM27" s="157"/>
      <c r="JN27" s="157"/>
      <c r="JO27" s="157"/>
      <c r="JP27" s="157"/>
      <c r="JQ27" s="157"/>
      <c r="JR27" s="157"/>
      <c r="JS27" s="157"/>
      <c r="JT27" s="157"/>
      <c r="JU27" s="157"/>
      <c r="JV27" s="157"/>
      <c r="JW27" s="157"/>
      <c r="JX27" s="157"/>
      <c r="JY27" s="157"/>
      <c r="JZ27" s="157"/>
      <c r="KA27" s="157"/>
      <c r="KB27" s="157"/>
      <c r="KC27" s="157"/>
      <c r="KD27" s="157"/>
      <c r="KE27" s="157"/>
      <c r="KF27" s="157"/>
      <c r="KG27" s="157"/>
      <c r="KH27" s="157"/>
      <c r="KI27" s="157"/>
      <c r="KJ27" s="157"/>
      <c r="KK27" s="157"/>
      <c r="KL27" s="157"/>
    </row>
    <row r="28" spans="1:298" x14ac:dyDescent="0.2">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157"/>
      <c r="CH28" s="157"/>
      <c r="CI28" s="157"/>
      <c r="CJ28" s="157"/>
      <c r="CK28" s="157"/>
      <c r="CL28" s="157"/>
      <c r="CM28" s="157"/>
      <c r="CN28" s="157"/>
      <c r="CO28" s="157"/>
      <c r="CP28" s="157"/>
      <c r="CQ28" s="157"/>
      <c r="CR28" s="157"/>
      <c r="CS28" s="157"/>
      <c r="CT28" s="157"/>
      <c r="CU28" s="157"/>
      <c r="CV28" s="157"/>
      <c r="CW28" s="157"/>
      <c r="CX28" s="157"/>
      <c r="CY28" s="157"/>
      <c r="CZ28" s="157"/>
      <c r="DA28" s="157"/>
      <c r="DB28" s="157"/>
      <c r="DC28" s="157"/>
      <c r="DD28" s="157"/>
      <c r="DE28" s="157"/>
      <c r="DF28" s="157"/>
      <c r="DG28" s="157"/>
      <c r="DH28" s="157"/>
      <c r="DI28" s="157"/>
      <c r="DJ28" s="157"/>
      <c r="DK28" s="157"/>
      <c r="DL28" s="157"/>
      <c r="DM28" s="157"/>
      <c r="DN28" s="157"/>
      <c r="DO28" s="157"/>
      <c r="DP28" s="157"/>
      <c r="DQ28" s="157"/>
      <c r="DR28" s="157"/>
      <c r="DS28" s="157"/>
      <c r="DT28" s="157"/>
      <c r="DU28" s="157"/>
      <c r="DV28" s="157"/>
      <c r="DW28" s="157"/>
      <c r="DX28" s="157"/>
      <c r="DY28" s="157"/>
      <c r="DZ28" s="157"/>
      <c r="EA28" s="157"/>
      <c r="EB28" s="157"/>
      <c r="EC28" s="157"/>
      <c r="ED28" s="157"/>
      <c r="EE28" s="157"/>
      <c r="EF28" s="157"/>
      <c r="EG28" s="157"/>
      <c r="EH28" s="157"/>
      <c r="EI28" s="157"/>
      <c r="EJ28" s="157"/>
      <c r="EK28" s="157"/>
      <c r="EL28" s="157"/>
      <c r="EM28" s="157"/>
      <c r="EN28" s="157"/>
      <c r="EO28" s="157"/>
      <c r="EP28" s="157"/>
      <c r="EQ28" s="157"/>
      <c r="ER28" s="157"/>
      <c r="ES28" s="157"/>
      <c r="ET28" s="157"/>
      <c r="EU28" s="157"/>
      <c r="EV28" s="157"/>
      <c r="EW28" s="157"/>
      <c r="EX28" s="157"/>
      <c r="EY28" s="157"/>
      <c r="EZ28" s="157"/>
      <c r="FA28" s="157"/>
      <c r="FB28" s="157"/>
      <c r="FC28" s="157"/>
      <c r="FD28" s="157"/>
      <c r="FE28" s="157"/>
      <c r="FF28" s="157"/>
      <c r="FG28" s="157"/>
      <c r="FH28" s="157"/>
      <c r="FI28" s="157"/>
      <c r="FJ28" s="157"/>
      <c r="FK28" s="157"/>
      <c r="FL28" s="157"/>
      <c r="FM28" s="157"/>
      <c r="FN28" s="157"/>
      <c r="FO28" s="157"/>
      <c r="FP28" s="157"/>
      <c r="FQ28" s="157"/>
      <c r="FR28" s="157"/>
      <c r="FS28" s="157"/>
      <c r="FT28" s="157"/>
      <c r="FU28" s="157"/>
      <c r="FV28" s="157"/>
      <c r="FW28" s="157"/>
      <c r="FX28" s="157"/>
      <c r="FY28" s="157"/>
      <c r="FZ28" s="157"/>
      <c r="GA28" s="157"/>
      <c r="GB28" s="157"/>
      <c r="GC28" s="157"/>
      <c r="GD28" s="157"/>
      <c r="GE28" s="157"/>
      <c r="GF28" s="157"/>
      <c r="GG28" s="157"/>
      <c r="GH28" s="157"/>
      <c r="GI28" s="157"/>
      <c r="GJ28" s="157"/>
      <c r="GK28" s="157"/>
      <c r="GL28" s="157"/>
      <c r="GM28" s="157"/>
      <c r="GN28" s="157"/>
      <c r="GO28" s="157"/>
      <c r="GP28" s="157"/>
      <c r="GQ28" s="157"/>
      <c r="GR28" s="157"/>
      <c r="GS28" s="157"/>
      <c r="GT28" s="157"/>
      <c r="GU28" s="157"/>
      <c r="GV28" s="157"/>
      <c r="GW28" s="157"/>
      <c r="GX28" s="157"/>
      <c r="GY28" s="157"/>
      <c r="GZ28" s="157"/>
      <c r="HA28" s="157"/>
      <c r="HB28" s="157"/>
      <c r="HC28" s="157"/>
      <c r="HD28" s="157"/>
      <c r="HE28" s="157"/>
      <c r="HF28" s="157"/>
      <c r="HG28" s="157"/>
      <c r="HH28" s="157"/>
      <c r="HI28" s="157"/>
      <c r="HJ28" s="157"/>
      <c r="HK28" s="157"/>
      <c r="HL28" s="157"/>
      <c r="HM28" s="157"/>
      <c r="HN28" s="157"/>
      <c r="HO28" s="157"/>
      <c r="HP28" s="157"/>
      <c r="HQ28" s="157"/>
      <c r="HR28" s="157"/>
      <c r="HS28" s="157"/>
      <c r="HT28" s="157"/>
      <c r="HU28" s="157"/>
      <c r="HV28" s="157"/>
      <c r="HW28" s="157"/>
      <c r="HX28" s="157"/>
      <c r="HY28" s="157"/>
      <c r="HZ28" s="157"/>
      <c r="IA28" s="157"/>
      <c r="IB28" s="157"/>
      <c r="IC28" s="157"/>
      <c r="ID28" s="157"/>
      <c r="IE28" s="157"/>
      <c r="IF28" s="157"/>
      <c r="IG28" s="157"/>
      <c r="IH28" s="157"/>
      <c r="II28" s="157"/>
      <c r="IJ28" s="157"/>
      <c r="IK28" s="157"/>
      <c r="IL28" s="157"/>
      <c r="IM28" s="157"/>
      <c r="IN28" s="157"/>
      <c r="IO28" s="157"/>
      <c r="IP28" s="157"/>
      <c r="IQ28" s="157"/>
      <c r="IR28" s="157"/>
      <c r="IS28" s="157"/>
      <c r="IT28" s="157"/>
      <c r="IU28" s="157"/>
      <c r="IV28" s="157"/>
      <c r="IW28" s="157"/>
      <c r="IX28" s="157"/>
      <c r="IY28" s="157"/>
      <c r="IZ28" s="157"/>
      <c r="JA28" s="157"/>
      <c r="JB28" s="157"/>
      <c r="JC28" s="157"/>
      <c r="JD28" s="157"/>
      <c r="JE28" s="157"/>
      <c r="JF28" s="157"/>
      <c r="JG28" s="157"/>
      <c r="JH28" s="157"/>
      <c r="JI28" s="157"/>
      <c r="JJ28" s="157"/>
      <c r="JK28" s="157"/>
      <c r="JL28" s="157"/>
      <c r="JM28" s="157"/>
      <c r="JN28" s="157"/>
      <c r="JO28" s="157"/>
      <c r="JP28" s="157"/>
      <c r="JQ28" s="157"/>
      <c r="JR28" s="157"/>
      <c r="JS28" s="157"/>
      <c r="JT28" s="157"/>
      <c r="JU28" s="157"/>
      <c r="JV28" s="157"/>
      <c r="JW28" s="157"/>
      <c r="JX28" s="157"/>
      <c r="JY28" s="157"/>
      <c r="JZ28" s="157"/>
      <c r="KA28" s="157"/>
      <c r="KB28" s="157"/>
      <c r="KC28" s="157"/>
      <c r="KD28" s="157"/>
      <c r="KE28" s="157"/>
      <c r="KF28" s="157"/>
      <c r="KG28" s="157"/>
      <c r="KH28" s="157"/>
      <c r="KI28" s="157"/>
      <c r="KJ28" s="157"/>
      <c r="KK28" s="157"/>
      <c r="KL28" s="157"/>
    </row>
    <row r="29" spans="1:298" x14ac:dyDescent="0.2">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7"/>
      <c r="CF29" s="157"/>
      <c r="CG29" s="157"/>
      <c r="CH29" s="157"/>
      <c r="CI29" s="157"/>
      <c r="CJ29" s="157"/>
      <c r="CK29" s="157"/>
      <c r="CL29" s="157"/>
      <c r="CM29" s="157"/>
      <c r="CN29" s="157"/>
      <c r="CO29" s="157"/>
      <c r="CP29" s="157"/>
      <c r="CQ29" s="157"/>
      <c r="CR29" s="157"/>
      <c r="CS29" s="157"/>
      <c r="CT29" s="157"/>
      <c r="CU29" s="157"/>
      <c r="CV29" s="157"/>
      <c r="CW29" s="157"/>
      <c r="CX29" s="157"/>
      <c r="CY29" s="157"/>
      <c r="CZ29" s="157"/>
      <c r="DA29" s="157"/>
      <c r="DB29" s="157"/>
      <c r="DC29" s="157"/>
      <c r="DD29" s="157"/>
      <c r="DE29" s="157"/>
      <c r="DF29" s="157"/>
      <c r="DG29" s="157"/>
      <c r="DH29" s="157"/>
      <c r="DI29" s="157"/>
      <c r="DJ29" s="157"/>
      <c r="DK29" s="157"/>
      <c r="DL29" s="157"/>
      <c r="DM29" s="157"/>
      <c r="DN29" s="157"/>
      <c r="DO29" s="157"/>
      <c r="DP29" s="157"/>
      <c r="DQ29" s="157"/>
      <c r="DR29" s="157"/>
      <c r="DS29" s="157"/>
      <c r="DT29" s="157"/>
      <c r="DU29" s="157"/>
      <c r="DV29" s="157"/>
      <c r="DW29" s="157"/>
      <c r="DX29" s="157"/>
      <c r="DY29" s="157"/>
      <c r="DZ29" s="157"/>
      <c r="EA29" s="157"/>
      <c r="EB29" s="157"/>
      <c r="EC29" s="157"/>
      <c r="ED29" s="157"/>
      <c r="EE29" s="157"/>
      <c r="EF29" s="157"/>
      <c r="EG29" s="157"/>
      <c r="EH29" s="157"/>
      <c r="EI29" s="157"/>
      <c r="EJ29" s="157"/>
      <c r="EK29" s="157"/>
      <c r="EL29" s="157"/>
      <c r="EM29" s="157"/>
      <c r="EN29" s="157"/>
      <c r="EO29" s="157"/>
      <c r="EP29" s="157"/>
      <c r="EQ29" s="157"/>
      <c r="ER29" s="157"/>
      <c r="ES29" s="157"/>
      <c r="ET29" s="157"/>
      <c r="EU29" s="157"/>
      <c r="EV29" s="157"/>
      <c r="EW29" s="157"/>
      <c r="EX29" s="157"/>
      <c r="EY29" s="157"/>
      <c r="EZ29" s="157"/>
      <c r="FA29" s="157"/>
      <c r="FB29" s="157"/>
      <c r="FC29" s="157"/>
      <c r="FD29" s="157"/>
      <c r="FE29" s="157"/>
      <c r="FF29" s="157"/>
      <c r="FG29" s="157"/>
      <c r="FH29" s="157"/>
      <c r="FI29" s="157"/>
      <c r="FJ29" s="157"/>
      <c r="FK29" s="157"/>
      <c r="FL29" s="157"/>
      <c r="FM29" s="157"/>
      <c r="FN29" s="157"/>
      <c r="FO29" s="157"/>
      <c r="FP29" s="157"/>
      <c r="FQ29" s="157"/>
      <c r="FR29" s="157"/>
      <c r="FS29" s="157"/>
      <c r="FT29" s="157"/>
      <c r="FU29" s="157"/>
      <c r="FV29" s="157"/>
      <c r="FW29" s="157"/>
      <c r="FX29" s="157"/>
      <c r="FY29" s="157"/>
      <c r="FZ29" s="157"/>
      <c r="GA29" s="157"/>
      <c r="GB29" s="157"/>
      <c r="GC29" s="157"/>
      <c r="GD29" s="157"/>
      <c r="GE29" s="157"/>
      <c r="GF29" s="157"/>
      <c r="GG29" s="157"/>
      <c r="GH29" s="157"/>
      <c r="GI29" s="157"/>
      <c r="GJ29" s="157"/>
      <c r="GK29" s="157"/>
      <c r="GL29" s="157"/>
      <c r="GM29" s="157"/>
      <c r="GN29" s="157"/>
      <c r="GO29" s="157"/>
      <c r="GP29" s="157"/>
      <c r="GQ29" s="157"/>
      <c r="GR29" s="157"/>
      <c r="GS29" s="157"/>
      <c r="GT29" s="157"/>
      <c r="GU29" s="157"/>
      <c r="GV29" s="157"/>
      <c r="GW29" s="157"/>
      <c r="GX29" s="157"/>
      <c r="GY29" s="157"/>
      <c r="GZ29" s="157"/>
      <c r="HA29" s="157"/>
      <c r="HB29" s="157"/>
      <c r="HC29" s="157"/>
      <c r="HD29" s="157"/>
      <c r="HE29" s="157"/>
      <c r="HF29" s="157"/>
      <c r="HG29" s="157"/>
      <c r="HH29" s="157"/>
      <c r="HI29" s="157"/>
      <c r="HJ29" s="157"/>
      <c r="HK29" s="157"/>
      <c r="HL29" s="157"/>
      <c r="HM29" s="157"/>
      <c r="HN29" s="157"/>
      <c r="HO29" s="157"/>
      <c r="HP29" s="157"/>
      <c r="HQ29" s="157"/>
      <c r="HR29" s="157"/>
      <c r="HS29" s="157"/>
      <c r="HT29" s="157"/>
      <c r="HU29" s="157"/>
      <c r="HV29" s="157"/>
      <c r="HW29" s="157"/>
      <c r="HX29" s="157"/>
      <c r="HY29" s="157"/>
      <c r="HZ29" s="157"/>
      <c r="IA29" s="157"/>
      <c r="IB29" s="157"/>
      <c r="IC29" s="157"/>
      <c r="ID29" s="157"/>
      <c r="IE29" s="157"/>
      <c r="IF29" s="157"/>
      <c r="IG29" s="157"/>
      <c r="IH29" s="157"/>
      <c r="II29" s="157"/>
      <c r="IJ29" s="157"/>
      <c r="IK29" s="157"/>
      <c r="IL29" s="157"/>
      <c r="IM29" s="157"/>
      <c r="IN29" s="157"/>
      <c r="IO29" s="157"/>
      <c r="IP29" s="157"/>
      <c r="IQ29" s="157"/>
      <c r="IR29" s="157"/>
      <c r="IS29" s="157"/>
      <c r="IT29" s="157"/>
      <c r="IU29" s="157"/>
      <c r="IV29" s="157"/>
      <c r="IW29" s="157"/>
      <c r="IX29" s="157"/>
      <c r="IY29" s="157"/>
      <c r="IZ29" s="157"/>
      <c r="JA29" s="157"/>
      <c r="JB29" s="157"/>
      <c r="JC29" s="157"/>
      <c r="JD29" s="157"/>
      <c r="JE29" s="157"/>
      <c r="JF29" s="157"/>
      <c r="JG29" s="157"/>
      <c r="JH29" s="157"/>
      <c r="JI29" s="157"/>
      <c r="JJ29" s="157"/>
      <c r="JK29" s="157"/>
      <c r="JL29" s="157"/>
      <c r="JM29" s="157"/>
      <c r="JN29" s="157"/>
      <c r="JO29" s="157"/>
      <c r="JP29" s="157"/>
      <c r="JQ29" s="157"/>
      <c r="JR29" s="157"/>
      <c r="JS29" s="157"/>
      <c r="JT29" s="157"/>
      <c r="JU29" s="157"/>
      <c r="JV29" s="157"/>
      <c r="JW29" s="157"/>
      <c r="JX29" s="157"/>
      <c r="JY29" s="157"/>
      <c r="JZ29" s="157"/>
      <c r="KA29" s="157"/>
      <c r="KB29" s="157"/>
      <c r="KC29" s="157"/>
      <c r="KD29" s="157"/>
      <c r="KE29" s="157"/>
      <c r="KF29" s="157"/>
      <c r="KG29" s="157"/>
      <c r="KH29" s="157"/>
      <c r="KI29" s="157"/>
      <c r="KJ29" s="157"/>
      <c r="KK29" s="157"/>
      <c r="KL29" s="157"/>
    </row>
    <row r="30" spans="1:298" x14ac:dyDescent="0.2">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7"/>
      <c r="BQ30" s="157"/>
      <c r="BR30" s="157"/>
      <c r="BS30" s="157"/>
      <c r="BT30" s="157"/>
      <c r="BU30" s="157"/>
      <c r="BV30" s="157"/>
      <c r="BW30" s="157"/>
      <c r="BX30" s="157"/>
      <c r="BY30" s="157"/>
      <c r="BZ30" s="157"/>
      <c r="CA30" s="157"/>
      <c r="CB30" s="157"/>
      <c r="CC30" s="157"/>
      <c r="CD30" s="157"/>
      <c r="CE30" s="157"/>
      <c r="CF30" s="157"/>
      <c r="CG30" s="157"/>
      <c r="CH30" s="157"/>
      <c r="CI30" s="157"/>
      <c r="CJ30" s="157"/>
      <c r="CK30" s="157"/>
      <c r="CL30" s="157"/>
      <c r="CM30" s="157"/>
      <c r="CN30" s="157"/>
      <c r="CO30" s="157"/>
      <c r="CP30" s="157"/>
      <c r="CQ30" s="157"/>
      <c r="CR30" s="157"/>
      <c r="CS30" s="157"/>
      <c r="CT30" s="157"/>
      <c r="CU30" s="157"/>
      <c r="CV30" s="157"/>
      <c r="CW30" s="157"/>
      <c r="CX30" s="157"/>
      <c r="CY30" s="157"/>
      <c r="CZ30" s="157"/>
      <c r="DA30" s="157"/>
      <c r="DB30" s="157"/>
      <c r="DC30" s="157"/>
      <c r="DD30" s="157"/>
      <c r="DE30" s="157"/>
      <c r="DF30" s="157"/>
      <c r="DG30" s="157"/>
      <c r="DH30" s="157"/>
      <c r="DI30" s="157"/>
      <c r="DJ30" s="157"/>
      <c r="DK30" s="157"/>
      <c r="DL30" s="157"/>
      <c r="DM30" s="157"/>
      <c r="DN30" s="157"/>
      <c r="DO30" s="157"/>
      <c r="DP30" s="157"/>
      <c r="DQ30" s="157"/>
      <c r="DR30" s="157"/>
      <c r="DS30" s="157"/>
      <c r="DT30" s="157"/>
      <c r="DU30" s="157"/>
      <c r="DV30" s="157"/>
      <c r="DW30" s="157"/>
      <c r="DX30" s="157"/>
      <c r="DY30" s="157"/>
      <c r="DZ30" s="157"/>
      <c r="EA30" s="157"/>
      <c r="EB30" s="157"/>
      <c r="EC30" s="157"/>
      <c r="ED30" s="157"/>
      <c r="EE30" s="157"/>
      <c r="EF30" s="157"/>
      <c r="EG30" s="157"/>
      <c r="EH30" s="157"/>
      <c r="EI30" s="157"/>
      <c r="EJ30" s="157"/>
      <c r="EK30" s="157"/>
      <c r="EL30" s="157"/>
      <c r="EM30" s="157"/>
      <c r="EN30" s="157"/>
      <c r="EO30" s="157"/>
      <c r="EP30" s="157"/>
      <c r="EQ30" s="157"/>
      <c r="ER30" s="157"/>
      <c r="ES30" s="157"/>
      <c r="ET30" s="157"/>
      <c r="EU30" s="157"/>
      <c r="EV30" s="157"/>
      <c r="EW30" s="157"/>
      <c r="EX30" s="157"/>
      <c r="EY30" s="157"/>
      <c r="EZ30" s="157"/>
      <c r="FA30" s="157"/>
      <c r="FB30" s="157"/>
      <c r="FC30" s="157"/>
      <c r="FD30" s="157"/>
      <c r="FE30" s="157"/>
      <c r="FF30" s="157"/>
      <c r="FG30" s="157"/>
      <c r="FH30" s="157"/>
      <c r="FI30" s="157"/>
      <c r="FJ30" s="157"/>
      <c r="FK30" s="157"/>
      <c r="FL30" s="157"/>
      <c r="FM30" s="157"/>
      <c r="FN30" s="157"/>
      <c r="FO30" s="157"/>
      <c r="FP30" s="157"/>
      <c r="FQ30" s="157"/>
      <c r="FR30" s="157"/>
      <c r="FS30" s="157"/>
      <c r="FT30" s="157"/>
      <c r="FU30" s="157"/>
      <c r="FV30" s="157"/>
      <c r="FW30" s="157"/>
      <c r="FX30" s="157"/>
      <c r="FY30" s="157"/>
      <c r="FZ30" s="157"/>
      <c r="GA30" s="157"/>
      <c r="GB30" s="157"/>
      <c r="GC30" s="157"/>
      <c r="GD30" s="157"/>
      <c r="GE30" s="157"/>
      <c r="GF30" s="157"/>
      <c r="GG30" s="157"/>
      <c r="GH30" s="157"/>
      <c r="GI30" s="157"/>
      <c r="GJ30" s="157"/>
      <c r="GK30" s="157"/>
      <c r="GL30" s="157"/>
      <c r="GM30" s="157"/>
      <c r="GN30" s="157"/>
      <c r="GO30" s="157"/>
      <c r="GP30" s="157"/>
      <c r="GQ30" s="157"/>
      <c r="GR30" s="157"/>
      <c r="GS30" s="157"/>
      <c r="GT30" s="157"/>
      <c r="GU30" s="157"/>
      <c r="GV30" s="157"/>
      <c r="GW30" s="157"/>
      <c r="GX30" s="157"/>
      <c r="GY30" s="157"/>
      <c r="GZ30" s="157"/>
      <c r="HA30" s="157"/>
      <c r="HB30" s="157"/>
      <c r="HC30" s="157"/>
      <c r="HD30" s="157"/>
      <c r="HE30" s="157"/>
      <c r="HF30" s="157"/>
      <c r="HG30" s="157"/>
      <c r="HH30" s="157"/>
      <c r="HI30" s="157"/>
      <c r="HJ30" s="157"/>
      <c r="HK30" s="157"/>
      <c r="HL30" s="157"/>
      <c r="HM30" s="157"/>
      <c r="HN30" s="157"/>
      <c r="HO30" s="157"/>
      <c r="HP30" s="157"/>
      <c r="HQ30" s="157"/>
      <c r="HR30" s="157"/>
      <c r="HS30" s="157"/>
      <c r="HT30" s="157"/>
      <c r="HU30" s="157"/>
      <c r="HV30" s="157"/>
      <c r="HW30" s="157"/>
      <c r="HX30" s="157"/>
      <c r="HY30" s="157"/>
      <c r="HZ30" s="157"/>
      <c r="IA30" s="157"/>
      <c r="IB30" s="157"/>
      <c r="IC30" s="157"/>
      <c r="ID30" s="157"/>
      <c r="IE30" s="157"/>
      <c r="IF30" s="157"/>
      <c r="IG30" s="157"/>
      <c r="IH30" s="157"/>
      <c r="II30" s="157"/>
      <c r="IJ30" s="157"/>
      <c r="IK30" s="157"/>
      <c r="IL30" s="157"/>
      <c r="IM30" s="157"/>
      <c r="IN30" s="157"/>
      <c r="IO30" s="157"/>
      <c r="IP30" s="157"/>
      <c r="IQ30" s="157"/>
      <c r="IR30" s="157"/>
      <c r="IS30" s="157"/>
      <c r="IT30" s="157"/>
      <c r="IU30" s="157"/>
      <c r="IV30" s="157"/>
      <c r="IW30" s="157"/>
      <c r="IX30" s="157"/>
      <c r="IY30" s="157"/>
      <c r="IZ30" s="157"/>
      <c r="JA30" s="157"/>
      <c r="JB30" s="157"/>
      <c r="JC30" s="157"/>
      <c r="JD30" s="157"/>
      <c r="JE30" s="157"/>
      <c r="JF30" s="157"/>
      <c r="JG30" s="157"/>
      <c r="JH30" s="157"/>
      <c r="JI30" s="157"/>
      <c r="JJ30" s="157"/>
      <c r="JK30" s="157"/>
      <c r="JL30" s="157"/>
      <c r="JM30" s="157"/>
      <c r="JN30" s="157"/>
      <c r="JO30" s="157"/>
      <c r="JP30" s="157"/>
      <c r="JQ30" s="157"/>
      <c r="JR30" s="157"/>
      <c r="JS30" s="157"/>
      <c r="JT30" s="157"/>
      <c r="JU30" s="157"/>
      <c r="JV30" s="157"/>
      <c r="JW30" s="157"/>
      <c r="JX30" s="157"/>
      <c r="JY30" s="157"/>
      <c r="JZ30" s="157"/>
      <c r="KA30" s="157"/>
      <c r="KB30" s="157"/>
      <c r="KC30" s="157"/>
      <c r="KD30" s="157"/>
      <c r="KE30" s="157"/>
      <c r="KF30" s="157"/>
      <c r="KG30" s="157"/>
      <c r="KH30" s="157"/>
      <c r="KI30" s="157"/>
      <c r="KJ30" s="157"/>
      <c r="KK30" s="157"/>
      <c r="KL30" s="157"/>
    </row>
    <row r="31" spans="1:298" x14ac:dyDescent="0.2">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7"/>
      <c r="BQ31" s="157"/>
      <c r="BR31" s="157"/>
      <c r="BS31" s="157"/>
      <c r="BT31" s="157"/>
      <c r="BU31" s="157"/>
      <c r="BV31" s="157"/>
      <c r="BW31" s="157"/>
      <c r="BX31" s="157"/>
      <c r="BY31" s="157"/>
      <c r="BZ31" s="157"/>
      <c r="CA31" s="157"/>
      <c r="CB31" s="157"/>
      <c r="CC31" s="157"/>
      <c r="CD31" s="157"/>
      <c r="CE31" s="157"/>
      <c r="CF31" s="157"/>
      <c r="CG31" s="157"/>
      <c r="CH31" s="157"/>
      <c r="CI31" s="157"/>
      <c r="CJ31" s="157"/>
      <c r="CK31" s="157"/>
      <c r="CL31" s="157"/>
      <c r="CM31" s="157"/>
      <c r="CN31" s="157"/>
      <c r="CO31" s="157"/>
      <c r="CP31" s="157"/>
      <c r="CQ31" s="157"/>
      <c r="CR31" s="157"/>
      <c r="CS31" s="157"/>
      <c r="CT31" s="157"/>
      <c r="CU31" s="157"/>
      <c r="CV31" s="157"/>
      <c r="CW31" s="157"/>
      <c r="CX31" s="157"/>
      <c r="CY31" s="157"/>
      <c r="CZ31" s="157"/>
      <c r="DA31" s="157"/>
      <c r="DB31" s="157"/>
      <c r="DC31" s="157"/>
      <c r="DD31" s="157"/>
      <c r="DE31" s="157"/>
      <c r="DF31" s="157"/>
      <c r="DG31" s="157"/>
      <c r="DH31" s="157"/>
      <c r="DI31" s="157"/>
      <c r="DJ31" s="157"/>
      <c r="DK31" s="157"/>
      <c r="DL31" s="157"/>
      <c r="DM31" s="157"/>
      <c r="DN31" s="157"/>
      <c r="DO31" s="157"/>
      <c r="DP31" s="157"/>
      <c r="DQ31" s="157"/>
      <c r="DR31" s="157"/>
      <c r="DS31" s="157"/>
      <c r="DT31" s="157"/>
      <c r="DU31" s="157"/>
      <c r="DV31" s="157"/>
      <c r="DW31" s="157"/>
      <c r="DX31" s="157"/>
      <c r="DY31" s="157"/>
      <c r="DZ31" s="157"/>
      <c r="EA31" s="157"/>
      <c r="EB31" s="157"/>
      <c r="EC31" s="157"/>
      <c r="ED31" s="157"/>
      <c r="EE31" s="157"/>
      <c r="EF31" s="157"/>
      <c r="EG31" s="157"/>
      <c r="EH31" s="157"/>
      <c r="EI31" s="157"/>
      <c r="EJ31" s="157"/>
      <c r="EK31" s="157"/>
      <c r="EL31" s="157"/>
      <c r="EM31" s="157"/>
      <c r="EN31" s="157"/>
      <c r="EO31" s="157"/>
      <c r="EP31" s="157"/>
      <c r="EQ31" s="157"/>
      <c r="ER31" s="157"/>
      <c r="ES31" s="157"/>
      <c r="ET31" s="157"/>
      <c r="EU31" s="157"/>
      <c r="EV31" s="157"/>
      <c r="EW31" s="157"/>
      <c r="EX31" s="157"/>
      <c r="EY31" s="157"/>
      <c r="EZ31" s="157"/>
      <c r="FA31" s="157"/>
      <c r="FB31" s="157"/>
      <c r="FC31" s="157"/>
      <c r="FD31" s="157"/>
      <c r="FE31" s="157"/>
      <c r="FF31" s="157"/>
      <c r="FG31" s="157"/>
      <c r="FH31" s="157"/>
      <c r="FI31" s="157"/>
      <c r="FJ31" s="157"/>
      <c r="FK31" s="157"/>
      <c r="FL31" s="157"/>
      <c r="FM31" s="157"/>
      <c r="FN31" s="157"/>
      <c r="FO31" s="157"/>
      <c r="FP31" s="157"/>
      <c r="FQ31" s="157"/>
      <c r="FR31" s="157"/>
      <c r="FS31" s="157"/>
      <c r="FT31" s="157"/>
      <c r="FU31" s="157"/>
      <c r="FV31" s="157"/>
      <c r="FW31" s="157"/>
      <c r="FX31" s="157"/>
      <c r="FY31" s="157"/>
      <c r="FZ31" s="157"/>
      <c r="GA31" s="157"/>
      <c r="GB31" s="157"/>
      <c r="GC31" s="157"/>
      <c r="GD31" s="157"/>
      <c r="GE31" s="157"/>
      <c r="GF31" s="157"/>
      <c r="GG31" s="157"/>
      <c r="GH31" s="157"/>
      <c r="GI31" s="157"/>
      <c r="GJ31" s="157"/>
      <c r="GK31" s="157"/>
      <c r="GL31" s="157"/>
      <c r="GM31" s="157"/>
      <c r="GN31" s="157"/>
      <c r="GO31" s="157"/>
      <c r="GP31" s="157"/>
      <c r="GQ31" s="157"/>
      <c r="GR31" s="157"/>
      <c r="GS31" s="157"/>
      <c r="GT31" s="157"/>
      <c r="GU31" s="157"/>
      <c r="GV31" s="157"/>
      <c r="GW31" s="157"/>
      <c r="GX31" s="157"/>
      <c r="GY31" s="157"/>
      <c r="GZ31" s="157"/>
      <c r="HA31" s="157"/>
      <c r="HB31" s="157"/>
      <c r="HC31" s="157"/>
      <c r="HD31" s="157"/>
      <c r="HE31" s="157"/>
      <c r="HF31" s="157"/>
      <c r="HG31" s="157"/>
      <c r="HH31" s="157"/>
      <c r="HI31" s="157"/>
      <c r="HJ31" s="157"/>
      <c r="HK31" s="157"/>
      <c r="HL31" s="157"/>
      <c r="HM31" s="157"/>
      <c r="HN31" s="157"/>
      <c r="HO31" s="157"/>
      <c r="HP31" s="157"/>
      <c r="HQ31" s="157"/>
      <c r="HR31" s="157"/>
      <c r="HS31" s="157"/>
      <c r="HT31" s="157"/>
      <c r="HU31" s="157"/>
      <c r="HV31" s="157"/>
      <c r="HW31" s="157"/>
      <c r="HX31" s="157"/>
      <c r="HY31" s="157"/>
      <c r="HZ31" s="157"/>
      <c r="IA31" s="157"/>
      <c r="IB31" s="157"/>
      <c r="IC31" s="157"/>
      <c r="ID31" s="157"/>
      <c r="IE31" s="157"/>
      <c r="IF31" s="157"/>
      <c r="IG31" s="157"/>
      <c r="IH31" s="157"/>
      <c r="II31" s="157"/>
      <c r="IJ31" s="157"/>
      <c r="IK31" s="157"/>
      <c r="IL31" s="157"/>
      <c r="IM31" s="157"/>
      <c r="IN31" s="157"/>
      <c r="IO31" s="157"/>
      <c r="IP31" s="157"/>
      <c r="IQ31" s="157"/>
      <c r="IR31" s="157"/>
      <c r="IS31" s="157"/>
      <c r="IT31" s="157"/>
      <c r="IU31" s="157"/>
      <c r="IV31" s="157"/>
      <c r="IW31" s="157"/>
      <c r="IX31" s="157"/>
      <c r="IY31" s="157"/>
      <c r="IZ31" s="157"/>
      <c r="JA31" s="157"/>
      <c r="JB31" s="157"/>
      <c r="JC31" s="157"/>
      <c r="JD31" s="157"/>
      <c r="JE31" s="157"/>
      <c r="JF31" s="157"/>
      <c r="JG31" s="157"/>
      <c r="JH31" s="157"/>
      <c r="JI31" s="157"/>
      <c r="JJ31" s="157"/>
      <c r="JK31" s="157"/>
      <c r="JL31" s="157"/>
      <c r="JM31" s="157"/>
      <c r="JN31" s="157"/>
      <c r="JO31" s="157"/>
      <c r="JP31" s="157"/>
      <c r="JQ31" s="157"/>
      <c r="JR31" s="157"/>
      <c r="JS31" s="157"/>
      <c r="JT31" s="157"/>
      <c r="JU31" s="157"/>
      <c r="JV31" s="157"/>
      <c r="JW31" s="157"/>
      <c r="JX31" s="157"/>
      <c r="JY31" s="157"/>
      <c r="JZ31" s="157"/>
      <c r="KA31" s="157"/>
      <c r="KB31" s="157"/>
      <c r="KC31" s="157"/>
      <c r="KD31" s="157"/>
      <c r="KE31" s="157"/>
      <c r="KF31" s="157"/>
      <c r="KG31" s="157"/>
      <c r="KH31" s="157"/>
      <c r="KI31" s="157"/>
      <c r="KJ31" s="157"/>
      <c r="KK31" s="157"/>
      <c r="KL31" s="157"/>
    </row>
    <row r="32" spans="1:298" x14ac:dyDescent="0.2">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7"/>
      <c r="BQ32" s="157"/>
      <c r="BR32" s="157"/>
      <c r="BS32" s="157"/>
      <c r="BT32" s="157"/>
      <c r="BU32" s="157"/>
      <c r="BV32" s="157"/>
      <c r="BW32" s="157"/>
      <c r="BX32" s="157"/>
      <c r="BY32" s="157"/>
      <c r="BZ32" s="157"/>
      <c r="CA32" s="157"/>
      <c r="CB32" s="157"/>
      <c r="CC32" s="157"/>
      <c r="CD32" s="157"/>
      <c r="CE32" s="157"/>
      <c r="CF32" s="157"/>
      <c r="CG32" s="157"/>
      <c r="CH32" s="157"/>
      <c r="CI32" s="157"/>
      <c r="CJ32" s="157"/>
      <c r="CK32" s="157"/>
      <c r="CL32" s="157"/>
      <c r="CM32" s="157"/>
      <c r="CN32" s="157"/>
      <c r="CO32" s="157"/>
      <c r="CP32" s="157"/>
      <c r="CQ32" s="157"/>
      <c r="CR32" s="157"/>
      <c r="CS32" s="157"/>
      <c r="CT32" s="157"/>
      <c r="CU32" s="157"/>
      <c r="CV32" s="157"/>
      <c r="CW32" s="157"/>
      <c r="CX32" s="157"/>
      <c r="CY32" s="157"/>
      <c r="CZ32" s="157"/>
      <c r="DA32" s="157"/>
      <c r="DB32" s="157"/>
      <c r="DC32" s="157"/>
      <c r="DD32" s="157"/>
      <c r="DE32" s="157"/>
      <c r="DF32" s="157"/>
      <c r="DG32" s="157"/>
      <c r="DH32" s="157"/>
      <c r="DI32" s="157"/>
      <c r="DJ32" s="157"/>
      <c r="DK32" s="157"/>
      <c r="DL32" s="157"/>
      <c r="DM32" s="157"/>
      <c r="DN32" s="157"/>
      <c r="DO32" s="157"/>
      <c r="DP32" s="157"/>
      <c r="DQ32" s="157"/>
      <c r="DR32" s="157"/>
      <c r="DS32" s="157"/>
      <c r="DT32" s="157"/>
      <c r="DU32" s="157"/>
      <c r="DV32" s="157"/>
      <c r="DW32" s="157"/>
      <c r="DX32" s="157"/>
      <c r="DY32" s="157"/>
      <c r="DZ32" s="157"/>
      <c r="EA32" s="157"/>
      <c r="EB32" s="157"/>
      <c r="EC32" s="157"/>
      <c r="ED32" s="157"/>
      <c r="EE32" s="157"/>
      <c r="EF32" s="157"/>
      <c r="EG32" s="157"/>
      <c r="EH32" s="157"/>
      <c r="EI32" s="157"/>
      <c r="EJ32" s="157"/>
      <c r="EK32" s="157"/>
      <c r="EL32" s="157"/>
      <c r="EM32" s="157"/>
      <c r="EN32" s="157"/>
      <c r="EO32" s="157"/>
      <c r="EP32" s="157"/>
      <c r="EQ32" s="157"/>
      <c r="ER32" s="157"/>
      <c r="ES32" s="157"/>
      <c r="ET32" s="157"/>
      <c r="EU32" s="157"/>
      <c r="EV32" s="157"/>
      <c r="EW32" s="157"/>
      <c r="EX32" s="157"/>
      <c r="EY32" s="157"/>
      <c r="EZ32" s="157"/>
      <c r="FA32" s="157"/>
      <c r="FB32" s="157"/>
      <c r="FC32" s="157"/>
      <c r="FD32" s="157"/>
      <c r="FE32" s="157"/>
      <c r="FF32" s="157"/>
      <c r="FG32" s="157"/>
      <c r="FH32" s="157"/>
      <c r="FI32" s="157"/>
      <c r="FJ32" s="157"/>
      <c r="FK32" s="157"/>
      <c r="FL32" s="157"/>
      <c r="FM32" s="157"/>
      <c r="FN32" s="157"/>
      <c r="FO32" s="157"/>
      <c r="FP32" s="157"/>
      <c r="FQ32" s="157"/>
      <c r="FR32" s="157"/>
      <c r="FS32" s="157"/>
      <c r="FT32" s="157"/>
      <c r="FU32" s="157"/>
      <c r="FV32" s="157"/>
      <c r="FW32" s="157"/>
      <c r="FX32" s="157"/>
      <c r="FY32" s="157"/>
      <c r="FZ32" s="157"/>
      <c r="GA32" s="157"/>
      <c r="GB32" s="157"/>
      <c r="GC32" s="157"/>
      <c r="GD32" s="157"/>
      <c r="GE32" s="157"/>
      <c r="GF32" s="157"/>
      <c r="GG32" s="157"/>
      <c r="GH32" s="157"/>
      <c r="GI32" s="157"/>
      <c r="GJ32" s="157"/>
      <c r="GK32" s="157"/>
      <c r="GL32" s="157"/>
      <c r="GM32" s="157"/>
      <c r="GN32" s="157"/>
      <c r="GO32" s="157"/>
      <c r="GP32" s="157"/>
      <c r="GQ32" s="157"/>
      <c r="GR32" s="157"/>
      <c r="GS32" s="157"/>
      <c r="GT32" s="157"/>
      <c r="GU32" s="157"/>
      <c r="GV32" s="157"/>
      <c r="GW32" s="157"/>
      <c r="GX32" s="157"/>
      <c r="GY32" s="157"/>
      <c r="GZ32" s="157"/>
      <c r="HA32" s="157"/>
      <c r="HB32" s="157"/>
      <c r="HC32" s="157"/>
      <c r="HD32" s="157"/>
      <c r="HE32" s="157"/>
      <c r="HF32" s="157"/>
      <c r="HG32" s="157"/>
      <c r="HH32" s="157"/>
      <c r="HI32" s="157"/>
      <c r="HJ32" s="157"/>
      <c r="HK32" s="157"/>
      <c r="HL32" s="157"/>
      <c r="HM32" s="157"/>
      <c r="HN32" s="157"/>
      <c r="HO32" s="157"/>
      <c r="HP32" s="157"/>
      <c r="HQ32" s="157"/>
      <c r="HR32" s="157"/>
      <c r="HS32" s="157"/>
      <c r="HT32" s="157"/>
      <c r="HU32" s="157"/>
      <c r="HV32" s="157"/>
      <c r="HW32" s="157"/>
      <c r="HX32" s="157"/>
      <c r="HY32" s="157"/>
      <c r="HZ32" s="157"/>
      <c r="IA32" s="157"/>
      <c r="IB32" s="157"/>
      <c r="IC32" s="157"/>
      <c r="ID32" s="157"/>
      <c r="IE32" s="157"/>
      <c r="IF32" s="157"/>
      <c r="IG32" s="157"/>
      <c r="IH32" s="157"/>
      <c r="II32" s="157"/>
      <c r="IJ32" s="157"/>
      <c r="IK32" s="157"/>
      <c r="IL32" s="157"/>
      <c r="IM32" s="157"/>
      <c r="IN32" s="157"/>
      <c r="IO32" s="157"/>
      <c r="IP32" s="157"/>
      <c r="IQ32" s="157"/>
      <c r="IR32" s="157"/>
      <c r="IS32" s="157"/>
      <c r="IT32" s="157"/>
      <c r="IU32" s="157"/>
      <c r="IV32" s="157"/>
      <c r="IW32" s="157"/>
      <c r="IX32" s="157"/>
      <c r="IY32" s="157"/>
      <c r="IZ32" s="157"/>
      <c r="JA32" s="157"/>
      <c r="JB32" s="157"/>
      <c r="JC32" s="157"/>
      <c r="JD32" s="157"/>
      <c r="JE32" s="157"/>
      <c r="JF32" s="157"/>
      <c r="JG32" s="157"/>
      <c r="JH32" s="157"/>
      <c r="JI32" s="157"/>
      <c r="JJ32" s="157"/>
      <c r="JK32" s="157"/>
      <c r="JL32" s="157"/>
      <c r="JM32" s="157"/>
      <c r="JN32" s="157"/>
      <c r="JO32" s="157"/>
      <c r="JP32" s="157"/>
      <c r="JQ32" s="157"/>
      <c r="JR32" s="157"/>
      <c r="JS32" s="157"/>
      <c r="JT32" s="157"/>
      <c r="JU32" s="157"/>
      <c r="JV32" s="157"/>
      <c r="JW32" s="157"/>
      <c r="JX32" s="157"/>
      <c r="JY32" s="157"/>
      <c r="JZ32" s="157"/>
      <c r="KA32" s="157"/>
      <c r="KB32" s="157"/>
      <c r="KC32" s="157"/>
      <c r="KD32" s="157"/>
      <c r="KE32" s="157"/>
      <c r="KF32" s="157"/>
      <c r="KG32" s="157"/>
      <c r="KH32" s="157"/>
      <c r="KI32" s="157"/>
      <c r="KJ32" s="157"/>
      <c r="KK32" s="157"/>
      <c r="KL32" s="157"/>
    </row>
    <row r="33" spans="40:298" x14ac:dyDescent="0.2">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c r="CQ33" s="157"/>
      <c r="CR33" s="157"/>
      <c r="CS33" s="157"/>
      <c r="CT33" s="157"/>
      <c r="CU33" s="157"/>
      <c r="CV33" s="157"/>
      <c r="CW33" s="157"/>
      <c r="CX33" s="157"/>
      <c r="CY33" s="157"/>
      <c r="CZ33" s="157"/>
      <c r="DA33" s="157"/>
      <c r="DB33" s="157"/>
      <c r="DC33" s="157"/>
      <c r="DD33" s="157"/>
      <c r="DE33" s="157"/>
      <c r="DF33" s="157"/>
      <c r="DG33" s="157"/>
      <c r="DH33" s="157"/>
      <c r="DI33" s="157"/>
      <c r="DJ33" s="157"/>
      <c r="DK33" s="157"/>
      <c r="DL33" s="157"/>
      <c r="DM33" s="157"/>
      <c r="DN33" s="157"/>
      <c r="DO33" s="157"/>
      <c r="DP33" s="157"/>
      <c r="DQ33" s="157"/>
      <c r="DR33" s="157"/>
      <c r="DS33" s="157"/>
      <c r="DT33" s="157"/>
      <c r="DU33" s="157"/>
      <c r="DV33" s="157"/>
      <c r="DW33" s="157"/>
      <c r="DX33" s="157"/>
      <c r="DY33" s="157"/>
      <c r="DZ33" s="157"/>
      <c r="EA33" s="157"/>
      <c r="EB33" s="157"/>
      <c r="EC33" s="157"/>
      <c r="ED33" s="157"/>
      <c r="EE33" s="157"/>
      <c r="EF33" s="157"/>
      <c r="EG33" s="157"/>
      <c r="EH33" s="157"/>
      <c r="EI33" s="157"/>
      <c r="EJ33" s="157"/>
      <c r="EK33" s="157"/>
      <c r="EL33" s="157"/>
      <c r="EM33" s="157"/>
      <c r="EN33" s="157"/>
      <c r="EO33" s="157"/>
      <c r="EP33" s="157"/>
      <c r="EQ33" s="157"/>
      <c r="ER33" s="157"/>
      <c r="ES33" s="157"/>
      <c r="ET33" s="157"/>
      <c r="EU33" s="157"/>
      <c r="EV33" s="157"/>
      <c r="EW33" s="157"/>
      <c r="EX33" s="157"/>
      <c r="EY33" s="157"/>
      <c r="EZ33" s="157"/>
      <c r="FA33" s="157"/>
      <c r="FB33" s="157"/>
      <c r="FC33" s="157"/>
      <c r="FD33" s="157"/>
      <c r="FE33" s="157"/>
      <c r="FF33" s="157"/>
      <c r="FG33" s="157"/>
      <c r="FH33" s="157"/>
      <c r="FI33" s="157"/>
      <c r="FJ33" s="157"/>
      <c r="FK33" s="157"/>
      <c r="FL33" s="157"/>
      <c r="FM33" s="157"/>
      <c r="FN33" s="157"/>
      <c r="FO33" s="157"/>
      <c r="FP33" s="157"/>
      <c r="FQ33" s="157"/>
      <c r="FR33" s="157"/>
      <c r="FS33" s="157"/>
      <c r="FT33" s="157"/>
      <c r="FU33" s="157"/>
      <c r="FV33" s="157"/>
      <c r="FW33" s="157"/>
      <c r="FX33" s="157"/>
      <c r="FY33" s="157"/>
      <c r="FZ33" s="157"/>
      <c r="GA33" s="157"/>
      <c r="GB33" s="157"/>
      <c r="GC33" s="157"/>
      <c r="GD33" s="157"/>
      <c r="GE33" s="157"/>
      <c r="GF33" s="157"/>
      <c r="GG33" s="157"/>
      <c r="GH33" s="157"/>
      <c r="GI33" s="157"/>
      <c r="GJ33" s="157"/>
      <c r="GK33" s="157"/>
      <c r="GL33" s="157"/>
      <c r="GM33" s="157"/>
      <c r="GN33" s="157"/>
      <c r="GO33" s="157"/>
      <c r="GP33" s="157"/>
      <c r="GQ33" s="157"/>
      <c r="GR33" s="157"/>
      <c r="GS33" s="157"/>
      <c r="GT33" s="157"/>
      <c r="GU33" s="157"/>
      <c r="GV33" s="157"/>
      <c r="GW33" s="157"/>
      <c r="GX33" s="157"/>
      <c r="GY33" s="157"/>
      <c r="GZ33" s="157"/>
      <c r="HA33" s="157"/>
      <c r="HB33" s="157"/>
      <c r="HC33" s="157"/>
      <c r="HD33" s="157"/>
      <c r="HE33" s="157"/>
      <c r="HF33" s="157"/>
      <c r="HG33" s="157"/>
      <c r="HH33" s="157"/>
      <c r="HI33" s="157"/>
      <c r="HJ33" s="157"/>
      <c r="HK33" s="157"/>
      <c r="HL33" s="157"/>
      <c r="HM33" s="157"/>
      <c r="HN33" s="157"/>
      <c r="HO33" s="157"/>
      <c r="HP33" s="157"/>
      <c r="HQ33" s="157"/>
      <c r="HR33" s="157"/>
      <c r="HS33" s="157"/>
      <c r="HT33" s="157"/>
      <c r="HU33" s="157"/>
      <c r="HV33" s="157"/>
      <c r="HW33" s="157"/>
      <c r="HX33" s="157"/>
      <c r="HY33" s="157"/>
      <c r="HZ33" s="157"/>
      <c r="IA33" s="157"/>
      <c r="IB33" s="157"/>
      <c r="IC33" s="157"/>
      <c r="ID33" s="157"/>
      <c r="IE33" s="157"/>
      <c r="IF33" s="157"/>
      <c r="IG33" s="157"/>
      <c r="IH33" s="157"/>
      <c r="II33" s="157"/>
      <c r="IJ33" s="157"/>
      <c r="IK33" s="157"/>
      <c r="IL33" s="157"/>
      <c r="IM33" s="157"/>
      <c r="IN33" s="157"/>
      <c r="IO33" s="157"/>
      <c r="IP33" s="157"/>
      <c r="IQ33" s="157"/>
      <c r="IR33" s="157"/>
      <c r="IS33" s="157"/>
      <c r="IT33" s="157"/>
      <c r="IU33" s="157"/>
      <c r="IV33" s="157"/>
      <c r="IW33" s="157"/>
      <c r="IX33" s="157"/>
      <c r="IY33" s="157"/>
      <c r="IZ33" s="157"/>
      <c r="JA33" s="157"/>
      <c r="JB33" s="157"/>
      <c r="JC33" s="157"/>
      <c r="JD33" s="157"/>
      <c r="JE33" s="157"/>
      <c r="JF33" s="157"/>
      <c r="JG33" s="157"/>
      <c r="JH33" s="157"/>
      <c r="JI33" s="157"/>
      <c r="JJ33" s="157"/>
      <c r="JK33" s="157"/>
      <c r="JL33" s="157"/>
      <c r="JM33" s="157"/>
      <c r="JN33" s="157"/>
      <c r="JO33" s="157"/>
      <c r="JP33" s="157"/>
      <c r="JQ33" s="157"/>
      <c r="JR33" s="157"/>
      <c r="JS33" s="157"/>
      <c r="JT33" s="157"/>
      <c r="JU33" s="157"/>
      <c r="JV33" s="157"/>
      <c r="JW33" s="157"/>
      <c r="JX33" s="157"/>
      <c r="JY33" s="157"/>
      <c r="JZ33" s="157"/>
      <c r="KA33" s="157"/>
      <c r="KB33" s="157"/>
      <c r="KC33" s="157"/>
      <c r="KD33" s="157"/>
      <c r="KE33" s="157"/>
      <c r="KF33" s="157"/>
      <c r="KG33" s="157"/>
      <c r="KH33" s="157"/>
      <c r="KI33" s="157"/>
      <c r="KJ33" s="157"/>
      <c r="KK33" s="157"/>
      <c r="KL33" s="157"/>
    </row>
    <row r="34" spans="40:298" x14ac:dyDescent="0.2">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7"/>
      <c r="BQ34" s="157"/>
      <c r="BR34" s="157"/>
      <c r="BS34" s="157"/>
      <c r="BT34" s="157"/>
      <c r="BU34" s="157"/>
      <c r="BV34" s="157"/>
      <c r="BW34" s="157"/>
      <c r="BX34" s="157"/>
      <c r="BY34" s="157"/>
      <c r="BZ34" s="157"/>
      <c r="CA34" s="157"/>
      <c r="CB34" s="157"/>
      <c r="CC34" s="157"/>
      <c r="CD34" s="157"/>
      <c r="CE34" s="157"/>
      <c r="CF34" s="157"/>
      <c r="CG34" s="157"/>
      <c r="CH34" s="157"/>
      <c r="CI34" s="157"/>
      <c r="CJ34" s="157"/>
      <c r="CK34" s="157"/>
      <c r="CL34" s="157"/>
      <c r="CM34" s="157"/>
      <c r="CN34" s="157"/>
      <c r="CO34" s="157"/>
      <c r="CP34" s="157"/>
      <c r="CQ34" s="157"/>
      <c r="CR34" s="157"/>
      <c r="CS34" s="157"/>
      <c r="CT34" s="157"/>
      <c r="CU34" s="157"/>
      <c r="CV34" s="157"/>
      <c r="CW34" s="157"/>
      <c r="CX34" s="157"/>
      <c r="CY34" s="157"/>
      <c r="CZ34" s="157"/>
      <c r="DA34" s="157"/>
      <c r="DB34" s="157"/>
      <c r="DC34" s="157"/>
      <c r="DD34" s="157"/>
      <c r="DE34" s="157"/>
      <c r="DF34" s="157"/>
      <c r="DG34" s="157"/>
      <c r="DH34" s="157"/>
      <c r="DI34" s="157"/>
      <c r="DJ34" s="157"/>
      <c r="DK34" s="157"/>
      <c r="DL34" s="157"/>
      <c r="DM34" s="157"/>
      <c r="DN34" s="157"/>
      <c r="DO34" s="157"/>
      <c r="DP34" s="157"/>
      <c r="DQ34" s="157"/>
      <c r="DR34" s="157"/>
      <c r="DS34" s="157"/>
      <c r="DT34" s="157"/>
      <c r="DU34" s="157"/>
      <c r="DV34" s="157"/>
      <c r="DW34" s="157"/>
      <c r="DX34" s="157"/>
      <c r="DY34" s="157"/>
      <c r="DZ34" s="157"/>
      <c r="EA34" s="157"/>
      <c r="EB34" s="157"/>
      <c r="EC34" s="157"/>
      <c r="ED34" s="157"/>
      <c r="EE34" s="157"/>
      <c r="EF34" s="157"/>
      <c r="EG34" s="157"/>
      <c r="EH34" s="157"/>
      <c r="EI34" s="157"/>
      <c r="EJ34" s="157"/>
      <c r="EK34" s="157"/>
      <c r="EL34" s="157"/>
      <c r="EM34" s="157"/>
      <c r="EN34" s="157"/>
      <c r="EO34" s="157"/>
      <c r="EP34" s="157"/>
      <c r="EQ34" s="157"/>
      <c r="ER34" s="157"/>
      <c r="ES34" s="157"/>
      <c r="ET34" s="157"/>
      <c r="EU34" s="157"/>
      <c r="EV34" s="157"/>
      <c r="EW34" s="157"/>
      <c r="EX34" s="157"/>
      <c r="EY34" s="157"/>
      <c r="EZ34" s="157"/>
      <c r="FA34" s="157"/>
      <c r="FB34" s="157"/>
      <c r="FC34" s="157"/>
      <c r="FD34" s="157"/>
      <c r="FE34" s="157"/>
      <c r="FF34" s="157"/>
      <c r="FG34" s="157"/>
      <c r="FH34" s="157"/>
      <c r="FI34" s="157"/>
      <c r="FJ34" s="157"/>
      <c r="FK34" s="157"/>
      <c r="FL34" s="157"/>
      <c r="FM34" s="157"/>
      <c r="FN34" s="157"/>
      <c r="FO34" s="157"/>
      <c r="FP34" s="157"/>
      <c r="FQ34" s="157"/>
      <c r="FR34" s="157"/>
      <c r="FS34" s="157"/>
      <c r="FT34" s="157"/>
      <c r="FU34" s="157"/>
      <c r="FV34" s="157"/>
      <c r="FW34" s="157"/>
      <c r="FX34" s="157"/>
      <c r="FY34" s="157"/>
      <c r="FZ34" s="157"/>
      <c r="GA34" s="157"/>
      <c r="GB34" s="157"/>
      <c r="GC34" s="157"/>
      <c r="GD34" s="157"/>
      <c r="GE34" s="157"/>
      <c r="GF34" s="157"/>
      <c r="GG34" s="157"/>
      <c r="GH34" s="157"/>
      <c r="GI34" s="157"/>
      <c r="GJ34" s="157"/>
      <c r="GK34" s="157"/>
      <c r="GL34" s="157"/>
      <c r="GM34" s="157"/>
      <c r="GN34" s="157"/>
      <c r="GO34" s="157"/>
      <c r="GP34" s="157"/>
      <c r="GQ34" s="157"/>
      <c r="GR34" s="157"/>
      <c r="GS34" s="157"/>
      <c r="GT34" s="157"/>
      <c r="GU34" s="157"/>
      <c r="GV34" s="157"/>
      <c r="GW34" s="157"/>
      <c r="GX34" s="157"/>
      <c r="GY34" s="157"/>
      <c r="GZ34" s="157"/>
      <c r="HA34" s="157"/>
      <c r="HB34" s="157"/>
      <c r="HC34" s="157"/>
      <c r="HD34" s="157"/>
      <c r="HE34" s="157"/>
      <c r="HF34" s="157"/>
      <c r="HG34" s="157"/>
      <c r="HH34" s="157"/>
      <c r="HI34" s="157"/>
      <c r="HJ34" s="157"/>
      <c r="HK34" s="157"/>
      <c r="HL34" s="157"/>
      <c r="HM34" s="157"/>
      <c r="HN34" s="157"/>
      <c r="HO34" s="157"/>
      <c r="HP34" s="157"/>
      <c r="HQ34" s="157"/>
      <c r="HR34" s="157"/>
      <c r="HS34" s="157"/>
      <c r="HT34" s="157"/>
      <c r="HU34" s="157"/>
      <c r="HV34" s="157"/>
      <c r="HW34" s="157"/>
      <c r="HX34" s="157"/>
      <c r="HY34" s="157"/>
      <c r="HZ34" s="157"/>
      <c r="IA34" s="157"/>
      <c r="IB34" s="157"/>
      <c r="IC34" s="157"/>
      <c r="ID34" s="157"/>
      <c r="IE34" s="157"/>
      <c r="IF34" s="157"/>
      <c r="IG34" s="157"/>
      <c r="IH34" s="157"/>
      <c r="II34" s="157"/>
      <c r="IJ34" s="157"/>
      <c r="IK34" s="157"/>
      <c r="IL34" s="157"/>
      <c r="IM34" s="157"/>
      <c r="IN34" s="157"/>
      <c r="IO34" s="157"/>
      <c r="IP34" s="157"/>
      <c r="IQ34" s="157"/>
      <c r="IR34" s="157"/>
      <c r="IS34" s="157"/>
      <c r="IT34" s="157"/>
      <c r="IU34" s="157"/>
      <c r="IV34" s="157"/>
      <c r="IW34" s="157"/>
      <c r="IX34" s="157"/>
      <c r="IY34" s="157"/>
      <c r="IZ34" s="157"/>
      <c r="JA34" s="157"/>
      <c r="JB34" s="157"/>
      <c r="JC34" s="157"/>
      <c r="JD34" s="157"/>
      <c r="JE34" s="157"/>
      <c r="JF34" s="157"/>
      <c r="JG34" s="157"/>
      <c r="JH34" s="157"/>
      <c r="JI34" s="157"/>
      <c r="JJ34" s="157"/>
      <c r="JK34" s="157"/>
      <c r="JL34" s="157"/>
      <c r="JM34" s="157"/>
      <c r="JN34" s="157"/>
      <c r="JO34" s="157"/>
      <c r="JP34" s="157"/>
      <c r="JQ34" s="157"/>
      <c r="JR34" s="157"/>
      <c r="JS34" s="157"/>
      <c r="JT34" s="157"/>
      <c r="JU34" s="157"/>
      <c r="JV34" s="157"/>
      <c r="JW34" s="157"/>
      <c r="JX34" s="157"/>
      <c r="JY34" s="157"/>
      <c r="JZ34" s="157"/>
      <c r="KA34" s="157"/>
      <c r="KB34" s="157"/>
      <c r="KC34" s="157"/>
      <c r="KD34" s="157"/>
      <c r="KE34" s="157"/>
      <c r="KF34" s="157"/>
      <c r="KG34" s="157"/>
      <c r="KH34" s="157"/>
      <c r="KI34" s="157"/>
      <c r="KJ34" s="157"/>
      <c r="KK34" s="157"/>
      <c r="KL34" s="157"/>
    </row>
    <row r="35" spans="40:298" x14ac:dyDescent="0.2">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157"/>
      <c r="ED35" s="157"/>
      <c r="EE35" s="157"/>
      <c r="EF35" s="157"/>
      <c r="EG35" s="157"/>
      <c r="EH35" s="157"/>
      <c r="EI35" s="157"/>
      <c r="EJ35" s="157"/>
      <c r="EK35" s="157"/>
      <c r="EL35" s="157"/>
      <c r="EM35" s="157"/>
      <c r="EN35" s="157"/>
      <c r="EO35" s="157"/>
      <c r="EP35" s="157"/>
      <c r="EQ35" s="157"/>
      <c r="ER35" s="157"/>
      <c r="ES35" s="157"/>
      <c r="ET35" s="157"/>
      <c r="EU35" s="157"/>
      <c r="EV35" s="157"/>
      <c r="EW35" s="157"/>
      <c r="EX35" s="157"/>
      <c r="EY35" s="157"/>
      <c r="EZ35" s="157"/>
      <c r="FA35" s="157"/>
      <c r="FB35" s="157"/>
      <c r="FC35" s="157"/>
      <c r="FD35" s="157"/>
      <c r="FE35" s="157"/>
      <c r="FF35" s="157"/>
      <c r="FG35" s="157"/>
      <c r="FH35" s="157"/>
      <c r="FI35" s="157"/>
      <c r="FJ35" s="157"/>
      <c r="FK35" s="157"/>
      <c r="FL35" s="157"/>
      <c r="FM35" s="157"/>
      <c r="FN35" s="157"/>
      <c r="FO35" s="157"/>
      <c r="FP35" s="157"/>
      <c r="FQ35" s="157"/>
      <c r="FR35" s="157"/>
      <c r="FS35" s="157"/>
      <c r="FT35" s="157"/>
      <c r="FU35" s="157"/>
      <c r="FV35" s="157"/>
      <c r="FW35" s="157"/>
      <c r="FX35" s="157"/>
      <c r="FY35" s="157"/>
      <c r="FZ35" s="157"/>
      <c r="GA35" s="157"/>
      <c r="GB35" s="157"/>
      <c r="GC35" s="157"/>
      <c r="GD35" s="157"/>
      <c r="GE35" s="157"/>
      <c r="GF35" s="157"/>
      <c r="GG35" s="157"/>
      <c r="GH35" s="157"/>
      <c r="GI35" s="157"/>
      <c r="GJ35" s="157"/>
      <c r="GK35" s="157"/>
      <c r="GL35" s="157"/>
      <c r="GM35" s="157"/>
      <c r="GN35" s="157"/>
      <c r="GO35" s="157"/>
      <c r="GP35" s="157"/>
      <c r="GQ35" s="157"/>
      <c r="GR35" s="157"/>
      <c r="GS35" s="157"/>
      <c r="GT35" s="157"/>
      <c r="GU35" s="157"/>
      <c r="GV35" s="157"/>
      <c r="GW35" s="157"/>
      <c r="GX35" s="157"/>
      <c r="GY35" s="157"/>
      <c r="GZ35" s="157"/>
      <c r="HA35" s="157"/>
      <c r="HB35" s="157"/>
      <c r="HC35" s="157"/>
      <c r="HD35" s="157"/>
      <c r="HE35" s="157"/>
      <c r="HF35" s="157"/>
      <c r="HG35" s="157"/>
      <c r="HH35" s="157"/>
      <c r="HI35" s="157"/>
      <c r="HJ35" s="157"/>
      <c r="HK35" s="157"/>
      <c r="HL35" s="157"/>
      <c r="HM35" s="157"/>
      <c r="HN35" s="157"/>
      <c r="HO35" s="157"/>
      <c r="HP35" s="157"/>
      <c r="HQ35" s="157"/>
      <c r="HR35" s="157"/>
      <c r="HS35" s="157"/>
      <c r="HT35" s="157"/>
      <c r="HU35" s="157"/>
      <c r="HV35" s="157"/>
      <c r="HW35" s="157"/>
      <c r="HX35" s="157"/>
      <c r="HY35" s="157"/>
      <c r="HZ35" s="157"/>
      <c r="IA35" s="157"/>
      <c r="IB35" s="157"/>
      <c r="IC35" s="157"/>
      <c r="ID35" s="157"/>
      <c r="IE35" s="157"/>
      <c r="IF35" s="157"/>
      <c r="IG35" s="157"/>
      <c r="IH35" s="157"/>
      <c r="II35" s="157"/>
      <c r="IJ35" s="157"/>
      <c r="IK35" s="157"/>
      <c r="IL35" s="157"/>
      <c r="IM35" s="157"/>
      <c r="IN35" s="157"/>
      <c r="IO35" s="157"/>
      <c r="IP35" s="157"/>
      <c r="IQ35" s="157"/>
      <c r="IR35" s="157"/>
      <c r="IS35" s="157"/>
      <c r="IT35" s="157"/>
      <c r="IU35" s="157"/>
      <c r="IV35" s="157"/>
      <c r="IW35" s="157"/>
      <c r="IX35" s="157"/>
      <c r="IY35" s="157"/>
      <c r="IZ35" s="157"/>
      <c r="JA35" s="157"/>
      <c r="JB35" s="157"/>
      <c r="JC35" s="157"/>
      <c r="JD35" s="157"/>
      <c r="JE35" s="157"/>
      <c r="JF35" s="157"/>
      <c r="JG35" s="157"/>
      <c r="JH35" s="157"/>
      <c r="JI35" s="157"/>
      <c r="JJ35" s="157"/>
      <c r="JK35" s="157"/>
      <c r="JL35" s="157"/>
      <c r="JM35" s="157"/>
      <c r="JN35" s="157"/>
      <c r="JO35" s="157"/>
      <c r="JP35" s="157"/>
      <c r="JQ35" s="157"/>
      <c r="JR35" s="157"/>
      <c r="JS35" s="157"/>
      <c r="JT35" s="157"/>
      <c r="JU35" s="157"/>
      <c r="JV35" s="157"/>
      <c r="JW35" s="157"/>
      <c r="JX35" s="157"/>
      <c r="JY35" s="157"/>
      <c r="JZ35" s="157"/>
      <c r="KA35" s="157"/>
      <c r="KB35" s="157"/>
      <c r="KC35" s="157"/>
      <c r="KD35" s="157"/>
      <c r="KE35" s="157"/>
      <c r="KF35" s="157"/>
      <c r="KG35" s="157"/>
      <c r="KH35" s="157"/>
      <c r="KI35" s="157"/>
      <c r="KJ35" s="157"/>
      <c r="KK35" s="157"/>
      <c r="KL35" s="157"/>
    </row>
    <row r="36" spans="40:298" x14ac:dyDescent="0.2">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157"/>
      <c r="ED36" s="157"/>
      <c r="EE36" s="157"/>
      <c r="EF36" s="157"/>
      <c r="EG36" s="157"/>
      <c r="EH36" s="157"/>
      <c r="EI36" s="157"/>
      <c r="EJ36" s="157"/>
      <c r="EK36" s="157"/>
      <c r="EL36" s="157"/>
      <c r="EM36" s="157"/>
      <c r="EN36" s="157"/>
      <c r="EO36" s="157"/>
      <c r="EP36" s="157"/>
      <c r="EQ36" s="157"/>
      <c r="ER36" s="157"/>
      <c r="ES36" s="157"/>
      <c r="ET36" s="157"/>
      <c r="EU36" s="157"/>
      <c r="EV36" s="157"/>
      <c r="EW36" s="157"/>
      <c r="EX36" s="157"/>
      <c r="EY36" s="157"/>
      <c r="EZ36" s="157"/>
      <c r="FA36" s="157"/>
      <c r="FB36" s="157"/>
      <c r="FC36" s="157"/>
      <c r="FD36" s="157"/>
      <c r="FE36" s="157"/>
      <c r="FF36" s="157"/>
      <c r="FG36" s="157"/>
      <c r="FH36" s="157"/>
      <c r="FI36" s="157"/>
      <c r="FJ36" s="157"/>
      <c r="FK36" s="157"/>
      <c r="FL36" s="157"/>
      <c r="FM36" s="157"/>
      <c r="FN36" s="157"/>
      <c r="FO36" s="157"/>
      <c r="FP36" s="157"/>
      <c r="FQ36" s="157"/>
      <c r="FR36" s="157"/>
      <c r="FS36" s="157"/>
      <c r="FT36" s="157"/>
      <c r="FU36" s="157"/>
      <c r="FV36" s="157"/>
      <c r="FW36" s="157"/>
      <c r="FX36" s="157"/>
      <c r="FY36" s="157"/>
      <c r="FZ36" s="157"/>
      <c r="GA36" s="157"/>
      <c r="GB36" s="157"/>
      <c r="GC36" s="157"/>
      <c r="GD36" s="157"/>
      <c r="GE36" s="157"/>
      <c r="GF36" s="157"/>
      <c r="GG36" s="157"/>
      <c r="GH36" s="157"/>
      <c r="GI36" s="157"/>
      <c r="GJ36" s="157"/>
      <c r="GK36" s="157"/>
      <c r="GL36" s="157"/>
      <c r="GM36" s="157"/>
      <c r="GN36" s="157"/>
      <c r="GO36" s="157"/>
      <c r="GP36" s="157"/>
      <c r="GQ36" s="157"/>
      <c r="GR36" s="157"/>
      <c r="GS36" s="157"/>
      <c r="GT36" s="157"/>
      <c r="GU36" s="157"/>
      <c r="GV36" s="157"/>
      <c r="GW36" s="157"/>
      <c r="GX36" s="157"/>
      <c r="GY36" s="157"/>
      <c r="GZ36" s="157"/>
      <c r="HA36" s="157"/>
      <c r="HB36" s="157"/>
      <c r="HC36" s="157"/>
      <c r="HD36" s="157"/>
      <c r="HE36" s="157"/>
      <c r="HF36" s="157"/>
      <c r="HG36" s="157"/>
      <c r="HH36" s="157"/>
      <c r="HI36" s="157"/>
      <c r="HJ36" s="157"/>
      <c r="HK36" s="157"/>
      <c r="HL36" s="157"/>
      <c r="HM36" s="157"/>
      <c r="HN36" s="157"/>
      <c r="HO36" s="157"/>
      <c r="HP36" s="157"/>
      <c r="HQ36" s="157"/>
      <c r="HR36" s="157"/>
      <c r="HS36" s="157"/>
      <c r="HT36" s="157"/>
      <c r="HU36" s="157"/>
      <c r="HV36" s="157"/>
      <c r="HW36" s="157"/>
      <c r="HX36" s="157"/>
      <c r="HY36" s="157"/>
      <c r="HZ36" s="157"/>
      <c r="IA36" s="157"/>
      <c r="IB36" s="157"/>
      <c r="IC36" s="157"/>
      <c r="ID36" s="157"/>
      <c r="IE36" s="157"/>
      <c r="IF36" s="157"/>
      <c r="IG36" s="157"/>
      <c r="IH36" s="157"/>
      <c r="II36" s="157"/>
      <c r="IJ36" s="157"/>
      <c r="IK36" s="157"/>
      <c r="IL36" s="157"/>
      <c r="IM36" s="157"/>
      <c r="IN36" s="157"/>
      <c r="IO36" s="157"/>
      <c r="IP36" s="157"/>
      <c r="IQ36" s="157"/>
      <c r="IR36" s="157"/>
      <c r="IS36" s="157"/>
      <c r="IT36" s="157"/>
      <c r="IU36" s="157"/>
      <c r="IV36" s="157"/>
      <c r="IW36" s="157"/>
      <c r="IX36" s="157"/>
      <c r="IY36" s="157"/>
      <c r="IZ36" s="157"/>
      <c r="JA36" s="157"/>
      <c r="JB36" s="157"/>
      <c r="JC36" s="157"/>
      <c r="JD36" s="157"/>
      <c r="JE36" s="157"/>
      <c r="JF36" s="157"/>
      <c r="JG36" s="157"/>
      <c r="JH36" s="157"/>
      <c r="JI36" s="157"/>
      <c r="JJ36" s="157"/>
      <c r="JK36" s="157"/>
      <c r="JL36" s="157"/>
      <c r="JM36" s="157"/>
      <c r="JN36" s="157"/>
      <c r="JO36" s="157"/>
      <c r="JP36" s="157"/>
      <c r="JQ36" s="157"/>
      <c r="JR36" s="157"/>
      <c r="JS36" s="157"/>
      <c r="JT36" s="157"/>
      <c r="JU36" s="157"/>
      <c r="JV36" s="157"/>
      <c r="JW36" s="157"/>
      <c r="JX36" s="157"/>
      <c r="JY36" s="157"/>
      <c r="JZ36" s="157"/>
      <c r="KA36" s="157"/>
      <c r="KB36" s="157"/>
      <c r="KC36" s="157"/>
      <c r="KD36" s="157"/>
      <c r="KE36" s="157"/>
      <c r="KF36" s="157"/>
      <c r="KG36" s="157"/>
      <c r="KH36" s="157"/>
      <c r="KI36" s="157"/>
      <c r="KJ36" s="157"/>
      <c r="KK36" s="157"/>
      <c r="KL36" s="157"/>
    </row>
    <row r="37" spans="40:298" x14ac:dyDescent="0.2">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157"/>
      <c r="ED37" s="157"/>
      <c r="EE37" s="157"/>
      <c r="EF37" s="157"/>
      <c r="EG37" s="157"/>
      <c r="EH37" s="157"/>
      <c r="EI37" s="157"/>
      <c r="EJ37" s="157"/>
      <c r="EK37" s="157"/>
      <c r="EL37" s="157"/>
      <c r="EM37" s="157"/>
      <c r="EN37" s="157"/>
      <c r="EO37" s="157"/>
      <c r="EP37" s="157"/>
      <c r="EQ37" s="157"/>
      <c r="ER37" s="157"/>
      <c r="ES37" s="157"/>
      <c r="ET37" s="157"/>
      <c r="EU37" s="157"/>
      <c r="EV37" s="157"/>
      <c r="EW37" s="157"/>
      <c r="EX37" s="157"/>
      <c r="EY37" s="157"/>
      <c r="EZ37" s="157"/>
      <c r="FA37" s="157"/>
      <c r="FB37" s="157"/>
      <c r="FC37" s="157"/>
      <c r="FD37" s="157"/>
      <c r="FE37" s="157"/>
      <c r="FF37" s="157"/>
      <c r="FG37" s="157"/>
      <c r="FH37" s="157"/>
      <c r="FI37" s="157"/>
      <c r="FJ37" s="157"/>
      <c r="FK37" s="157"/>
      <c r="FL37" s="157"/>
      <c r="FM37" s="157"/>
      <c r="FN37" s="157"/>
      <c r="FO37" s="157"/>
      <c r="FP37" s="157"/>
      <c r="FQ37" s="157"/>
      <c r="FR37" s="157"/>
      <c r="FS37" s="157"/>
      <c r="FT37" s="157"/>
      <c r="FU37" s="157"/>
      <c r="FV37" s="157"/>
      <c r="FW37" s="157"/>
      <c r="FX37" s="157"/>
      <c r="FY37" s="157"/>
      <c r="FZ37" s="157"/>
      <c r="GA37" s="157"/>
      <c r="GB37" s="157"/>
      <c r="GC37" s="157"/>
      <c r="GD37" s="157"/>
      <c r="GE37" s="157"/>
      <c r="GF37" s="157"/>
      <c r="GG37" s="157"/>
      <c r="GH37" s="157"/>
      <c r="GI37" s="157"/>
      <c r="GJ37" s="157"/>
      <c r="GK37" s="157"/>
      <c r="GL37" s="157"/>
      <c r="GM37" s="157"/>
      <c r="GN37" s="157"/>
      <c r="GO37" s="157"/>
      <c r="GP37" s="157"/>
      <c r="GQ37" s="157"/>
      <c r="GR37" s="157"/>
      <c r="GS37" s="157"/>
      <c r="GT37" s="157"/>
      <c r="GU37" s="157"/>
      <c r="GV37" s="157"/>
      <c r="GW37" s="157"/>
      <c r="GX37" s="157"/>
      <c r="GY37" s="157"/>
      <c r="GZ37" s="157"/>
      <c r="HA37" s="157"/>
      <c r="HB37" s="157"/>
      <c r="HC37" s="157"/>
      <c r="HD37" s="157"/>
      <c r="HE37" s="157"/>
      <c r="HF37" s="157"/>
      <c r="HG37" s="157"/>
      <c r="HH37" s="157"/>
      <c r="HI37" s="157"/>
      <c r="HJ37" s="157"/>
      <c r="HK37" s="157"/>
      <c r="HL37" s="157"/>
      <c r="HM37" s="157"/>
      <c r="HN37" s="157"/>
      <c r="HO37" s="157"/>
      <c r="HP37" s="157"/>
      <c r="HQ37" s="157"/>
      <c r="HR37" s="157"/>
      <c r="HS37" s="157"/>
      <c r="HT37" s="157"/>
      <c r="HU37" s="157"/>
      <c r="HV37" s="157"/>
      <c r="HW37" s="157"/>
      <c r="HX37" s="157"/>
      <c r="HY37" s="157"/>
      <c r="HZ37" s="157"/>
      <c r="IA37" s="157"/>
      <c r="IB37" s="157"/>
      <c r="IC37" s="157"/>
      <c r="ID37" s="157"/>
      <c r="IE37" s="157"/>
      <c r="IF37" s="157"/>
      <c r="IG37" s="157"/>
      <c r="IH37" s="157"/>
      <c r="II37" s="157"/>
      <c r="IJ37" s="157"/>
      <c r="IK37" s="157"/>
      <c r="IL37" s="157"/>
      <c r="IM37" s="157"/>
      <c r="IN37" s="157"/>
      <c r="IO37" s="157"/>
      <c r="IP37" s="157"/>
      <c r="IQ37" s="157"/>
      <c r="IR37" s="157"/>
      <c r="IS37" s="157"/>
      <c r="IT37" s="157"/>
      <c r="IU37" s="157"/>
      <c r="IV37" s="157"/>
      <c r="IW37" s="157"/>
      <c r="IX37" s="157"/>
      <c r="IY37" s="157"/>
      <c r="IZ37" s="157"/>
      <c r="JA37" s="157"/>
      <c r="JB37" s="157"/>
      <c r="JC37" s="157"/>
      <c r="JD37" s="157"/>
      <c r="JE37" s="157"/>
      <c r="JF37" s="157"/>
      <c r="JG37" s="157"/>
      <c r="JH37" s="157"/>
      <c r="JI37" s="157"/>
      <c r="JJ37" s="157"/>
      <c r="JK37" s="157"/>
      <c r="JL37" s="157"/>
      <c r="JM37" s="157"/>
      <c r="JN37" s="157"/>
      <c r="JO37" s="157"/>
      <c r="JP37" s="157"/>
      <c r="JQ37" s="157"/>
      <c r="JR37" s="157"/>
      <c r="JS37" s="157"/>
      <c r="JT37" s="157"/>
      <c r="JU37" s="157"/>
      <c r="JV37" s="157"/>
      <c r="JW37" s="157"/>
      <c r="JX37" s="157"/>
      <c r="JY37" s="157"/>
      <c r="JZ37" s="157"/>
      <c r="KA37" s="157"/>
      <c r="KB37" s="157"/>
      <c r="KC37" s="157"/>
      <c r="KD37" s="157"/>
      <c r="KE37" s="157"/>
      <c r="KF37" s="157"/>
      <c r="KG37" s="157"/>
      <c r="KH37" s="157"/>
      <c r="KI37" s="157"/>
      <c r="KJ37" s="157"/>
      <c r="KK37" s="157"/>
      <c r="KL37" s="157"/>
    </row>
    <row r="38" spans="40:298" x14ac:dyDescent="0.2">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157"/>
      <c r="ED38" s="157"/>
      <c r="EE38" s="157"/>
      <c r="EF38" s="157"/>
      <c r="EG38" s="157"/>
      <c r="EH38" s="157"/>
      <c r="EI38" s="157"/>
      <c r="EJ38" s="157"/>
      <c r="EK38" s="157"/>
      <c r="EL38" s="157"/>
      <c r="EM38" s="157"/>
      <c r="EN38" s="157"/>
      <c r="EO38" s="157"/>
      <c r="EP38" s="157"/>
      <c r="EQ38" s="157"/>
      <c r="ER38" s="157"/>
      <c r="ES38" s="157"/>
      <c r="ET38" s="157"/>
      <c r="EU38" s="157"/>
      <c r="EV38" s="157"/>
      <c r="EW38" s="157"/>
      <c r="EX38" s="157"/>
      <c r="EY38" s="157"/>
      <c r="EZ38" s="157"/>
      <c r="FA38" s="157"/>
      <c r="FB38" s="157"/>
      <c r="FC38" s="157"/>
      <c r="FD38" s="157"/>
      <c r="FE38" s="157"/>
      <c r="FF38" s="157"/>
      <c r="FG38" s="157"/>
      <c r="FH38" s="157"/>
      <c r="FI38" s="157"/>
      <c r="FJ38" s="157"/>
      <c r="FK38" s="157"/>
      <c r="FL38" s="157"/>
      <c r="FM38" s="157"/>
      <c r="FN38" s="157"/>
      <c r="FO38" s="157"/>
      <c r="FP38" s="157"/>
      <c r="FQ38" s="157"/>
      <c r="FR38" s="157"/>
      <c r="FS38" s="157"/>
      <c r="FT38" s="157"/>
      <c r="FU38" s="157"/>
      <c r="FV38" s="157"/>
      <c r="FW38" s="157"/>
      <c r="FX38" s="157"/>
      <c r="FY38" s="157"/>
      <c r="FZ38" s="157"/>
      <c r="GA38" s="157"/>
      <c r="GB38" s="157"/>
      <c r="GC38" s="157"/>
      <c r="GD38" s="157"/>
      <c r="GE38" s="157"/>
      <c r="GF38" s="157"/>
      <c r="GG38" s="157"/>
      <c r="GH38" s="157"/>
      <c r="GI38" s="157"/>
      <c r="GJ38" s="157"/>
      <c r="GK38" s="157"/>
      <c r="GL38" s="157"/>
      <c r="GM38" s="157"/>
      <c r="GN38" s="157"/>
      <c r="GO38" s="157"/>
      <c r="GP38" s="157"/>
      <c r="GQ38" s="157"/>
      <c r="GR38" s="157"/>
      <c r="GS38" s="157"/>
      <c r="GT38" s="157"/>
      <c r="GU38" s="157"/>
      <c r="GV38" s="157"/>
      <c r="GW38" s="157"/>
      <c r="GX38" s="157"/>
      <c r="GY38" s="157"/>
      <c r="GZ38" s="157"/>
      <c r="HA38" s="157"/>
      <c r="HB38" s="157"/>
      <c r="HC38" s="157"/>
      <c r="HD38" s="157"/>
      <c r="HE38" s="157"/>
      <c r="HF38" s="157"/>
      <c r="HG38" s="157"/>
      <c r="HH38" s="157"/>
      <c r="HI38" s="157"/>
      <c r="HJ38" s="157"/>
      <c r="HK38" s="157"/>
      <c r="HL38" s="157"/>
      <c r="HM38" s="157"/>
      <c r="HN38" s="157"/>
      <c r="HO38" s="157"/>
      <c r="HP38" s="157"/>
      <c r="HQ38" s="157"/>
      <c r="HR38" s="157"/>
      <c r="HS38" s="157"/>
      <c r="HT38" s="157"/>
      <c r="HU38" s="157"/>
      <c r="HV38" s="157"/>
      <c r="HW38" s="157"/>
      <c r="HX38" s="157"/>
      <c r="HY38" s="157"/>
      <c r="HZ38" s="157"/>
      <c r="IA38" s="157"/>
      <c r="IB38" s="157"/>
      <c r="IC38" s="157"/>
      <c r="ID38" s="157"/>
      <c r="IE38" s="157"/>
      <c r="IF38" s="157"/>
      <c r="IG38" s="157"/>
      <c r="IH38" s="157"/>
      <c r="II38" s="157"/>
      <c r="IJ38" s="157"/>
      <c r="IK38" s="157"/>
      <c r="IL38" s="157"/>
      <c r="IM38" s="157"/>
      <c r="IN38" s="157"/>
      <c r="IO38" s="157"/>
      <c r="IP38" s="157"/>
      <c r="IQ38" s="157"/>
      <c r="IR38" s="157"/>
      <c r="IS38" s="157"/>
      <c r="IT38" s="157"/>
      <c r="IU38" s="157"/>
      <c r="IV38" s="157"/>
      <c r="IW38" s="157"/>
      <c r="IX38" s="157"/>
      <c r="IY38" s="157"/>
      <c r="IZ38" s="157"/>
      <c r="JA38" s="157"/>
      <c r="JB38" s="157"/>
      <c r="JC38" s="157"/>
      <c r="JD38" s="157"/>
      <c r="JE38" s="157"/>
      <c r="JF38" s="157"/>
      <c r="JG38" s="157"/>
      <c r="JH38" s="157"/>
      <c r="JI38" s="157"/>
      <c r="JJ38" s="157"/>
      <c r="JK38" s="157"/>
      <c r="JL38" s="157"/>
      <c r="JM38" s="157"/>
      <c r="JN38" s="157"/>
      <c r="JO38" s="157"/>
      <c r="JP38" s="157"/>
      <c r="JQ38" s="157"/>
      <c r="JR38" s="157"/>
      <c r="JS38" s="157"/>
      <c r="JT38" s="157"/>
      <c r="JU38" s="157"/>
      <c r="JV38" s="157"/>
      <c r="JW38" s="157"/>
      <c r="JX38" s="157"/>
      <c r="JY38" s="157"/>
      <c r="JZ38" s="157"/>
      <c r="KA38" s="157"/>
      <c r="KB38" s="157"/>
      <c r="KC38" s="157"/>
      <c r="KD38" s="157"/>
      <c r="KE38" s="157"/>
      <c r="KF38" s="157"/>
      <c r="KG38" s="157"/>
      <c r="KH38" s="157"/>
      <c r="KI38" s="157"/>
      <c r="KJ38" s="157"/>
      <c r="KK38" s="157"/>
      <c r="KL38" s="157"/>
    </row>
    <row r="39" spans="40:298" x14ac:dyDescent="0.2">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157"/>
      <c r="ED39" s="157"/>
      <c r="EE39" s="157"/>
      <c r="EF39" s="157"/>
      <c r="EG39" s="157"/>
      <c r="EH39" s="157"/>
      <c r="EI39" s="157"/>
      <c r="EJ39" s="157"/>
      <c r="EK39" s="157"/>
      <c r="EL39" s="157"/>
      <c r="EM39" s="157"/>
      <c r="EN39" s="157"/>
      <c r="EO39" s="157"/>
      <c r="EP39" s="157"/>
      <c r="EQ39" s="157"/>
      <c r="ER39" s="157"/>
      <c r="ES39" s="157"/>
      <c r="ET39" s="157"/>
      <c r="EU39" s="157"/>
      <c r="EV39" s="157"/>
      <c r="EW39" s="157"/>
      <c r="EX39" s="157"/>
      <c r="EY39" s="157"/>
      <c r="EZ39" s="157"/>
      <c r="FA39" s="157"/>
      <c r="FB39" s="157"/>
      <c r="FC39" s="157"/>
      <c r="FD39" s="157"/>
      <c r="FE39" s="157"/>
      <c r="FF39" s="157"/>
      <c r="FG39" s="157"/>
      <c r="FH39" s="157"/>
      <c r="FI39" s="157"/>
      <c r="FJ39" s="157"/>
      <c r="FK39" s="157"/>
      <c r="FL39" s="157"/>
      <c r="FM39" s="157"/>
      <c r="FN39" s="157"/>
      <c r="FO39" s="157"/>
      <c r="FP39" s="157"/>
      <c r="FQ39" s="157"/>
      <c r="FR39" s="157"/>
      <c r="FS39" s="157"/>
      <c r="FT39" s="157"/>
      <c r="FU39" s="157"/>
      <c r="FV39" s="157"/>
      <c r="FW39" s="157"/>
      <c r="FX39" s="157"/>
      <c r="FY39" s="157"/>
      <c r="FZ39" s="157"/>
      <c r="GA39" s="157"/>
      <c r="GB39" s="157"/>
      <c r="GC39" s="157"/>
      <c r="GD39" s="157"/>
      <c r="GE39" s="157"/>
      <c r="GF39" s="157"/>
      <c r="GG39" s="157"/>
      <c r="GH39" s="157"/>
      <c r="GI39" s="157"/>
      <c r="GJ39" s="157"/>
      <c r="GK39" s="157"/>
      <c r="GL39" s="157"/>
      <c r="GM39" s="157"/>
      <c r="GN39" s="157"/>
      <c r="GO39" s="157"/>
      <c r="GP39" s="157"/>
      <c r="GQ39" s="157"/>
      <c r="GR39" s="157"/>
      <c r="GS39" s="157"/>
      <c r="GT39" s="157"/>
      <c r="GU39" s="157"/>
      <c r="GV39" s="157"/>
      <c r="GW39" s="157"/>
      <c r="GX39" s="157"/>
      <c r="GY39" s="157"/>
      <c r="GZ39" s="157"/>
      <c r="HA39" s="157"/>
      <c r="HB39" s="157"/>
      <c r="HC39" s="157"/>
      <c r="HD39" s="157"/>
      <c r="HE39" s="157"/>
      <c r="HF39" s="157"/>
      <c r="HG39" s="157"/>
      <c r="HH39" s="157"/>
      <c r="HI39" s="157"/>
      <c r="HJ39" s="157"/>
      <c r="HK39" s="157"/>
      <c r="HL39" s="157"/>
      <c r="HM39" s="157"/>
      <c r="HN39" s="157"/>
      <c r="HO39" s="157"/>
      <c r="HP39" s="157"/>
      <c r="HQ39" s="157"/>
      <c r="HR39" s="157"/>
      <c r="HS39" s="157"/>
      <c r="HT39" s="157"/>
      <c r="HU39" s="157"/>
      <c r="HV39" s="157"/>
      <c r="HW39" s="157"/>
      <c r="HX39" s="157"/>
      <c r="HY39" s="157"/>
      <c r="HZ39" s="157"/>
      <c r="IA39" s="157"/>
      <c r="IB39" s="157"/>
      <c r="IC39" s="157"/>
      <c r="ID39" s="157"/>
      <c r="IE39" s="157"/>
      <c r="IF39" s="157"/>
      <c r="IG39" s="157"/>
      <c r="IH39" s="157"/>
      <c r="II39" s="157"/>
      <c r="IJ39" s="157"/>
      <c r="IK39" s="157"/>
      <c r="IL39" s="157"/>
      <c r="IM39" s="157"/>
      <c r="IN39" s="157"/>
      <c r="IO39" s="157"/>
      <c r="IP39" s="157"/>
      <c r="IQ39" s="157"/>
      <c r="IR39" s="157"/>
      <c r="IS39" s="157"/>
      <c r="IT39" s="157"/>
      <c r="IU39" s="157"/>
      <c r="IV39" s="157"/>
      <c r="IW39" s="157"/>
      <c r="IX39" s="157"/>
      <c r="IY39" s="157"/>
      <c r="IZ39" s="157"/>
      <c r="JA39" s="157"/>
      <c r="JB39" s="157"/>
      <c r="JC39" s="157"/>
      <c r="JD39" s="157"/>
      <c r="JE39" s="157"/>
      <c r="JF39" s="157"/>
      <c r="JG39" s="157"/>
      <c r="JH39" s="157"/>
      <c r="JI39" s="157"/>
      <c r="JJ39" s="157"/>
      <c r="JK39" s="157"/>
      <c r="JL39" s="157"/>
      <c r="JM39" s="157"/>
      <c r="JN39" s="157"/>
      <c r="JO39" s="157"/>
      <c r="JP39" s="157"/>
      <c r="JQ39" s="157"/>
      <c r="JR39" s="157"/>
      <c r="JS39" s="157"/>
      <c r="JT39" s="157"/>
      <c r="JU39" s="157"/>
      <c r="JV39" s="157"/>
      <c r="JW39" s="157"/>
      <c r="JX39" s="157"/>
      <c r="JY39" s="157"/>
      <c r="JZ39" s="157"/>
      <c r="KA39" s="157"/>
      <c r="KB39" s="157"/>
      <c r="KC39" s="157"/>
      <c r="KD39" s="157"/>
      <c r="KE39" s="157"/>
      <c r="KF39" s="157"/>
      <c r="KG39" s="157"/>
      <c r="KH39" s="157"/>
      <c r="KI39" s="157"/>
      <c r="KJ39" s="157"/>
      <c r="KK39" s="157"/>
      <c r="KL39" s="157"/>
    </row>
    <row r="40" spans="40:298" x14ac:dyDescent="0.2">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157"/>
      <c r="ED40" s="157"/>
      <c r="EE40" s="157"/>
      <c r="EF40" s="157"/>
      <c r="EG40" s="157"/>
      <c r="EH40" s="157"/>
      <c r="EI40" s="157"/>
      <c r="EJ40" s="157"/>
      <c r="EK40" s="157"/>
      <c r="EL40" s="157"/>
      <c r="EM40" s="157"/>
      <c r="EN40" s="157"/>
      <c r="EO40" s="157"/>
      <c r="EP40" s="157"/>
      <c r="EQ40" s="157"/>
      <c r="ER40" s="157"/>
      <c r="ES40" s="157"/>
      <c r="ET40" s="157"/>
      <c r="EU40" s="157"/>
      <c r="EV40" s="157"/>
      <c r="EW40" s="157"/>
      <c r="EX40" s="157"/>
      <c r="EY40" s="157"/>
      <c r="EZ40" s="157"/>
      <c r="FA40" s="157"/>
      <c r="FB40" s="157"/>
      <c r="FC40" s="157"/>
      <c r="FD40" s="157"/>
      <c r="FE40" s="157"/>
      <c r="FF40" s="157"/>
      <c r="FG40" s="157"/>
      <c r="FH40" s="157"/>
      <c r="FI40" s="157"/>
      <c r="FJ40" s="157"/>
      <c r="FK40" s="157"/>
      <c r="FL40" s="157"/>
      <c r="FM40" s="157"/>
      <c r="FN40" s="157"/>
      <c r="FO40" s="157"/>
      <c r="FP40" s="157"/>
      <c r="FQ40" s="157"/>
      <c r="FR40" s="157"/>
      <c r="FS40" s="157"/>
      <c r="FT40" s="157"/>
      <c r="FU40" s="157"/>
      <c r="FV40" s="157"/>
      <c r="FW40" s="157"/>
      <c r="FX40" s="157"/>
      <c r="FY40" s="157"/>
      <c r="FZ40" s="157"/>
      <c r="GA40" s="157"/>
      <c r="GB40" s="157"/>
      <c r="GC40" s="157"/>
      <c r="GD40" s="157"/>
      <c r="GE40" s="157"/>
      <c r="GF40" s="157"/>
      <c r="GG40" s="157"/>
      <c r="GH40" s="157"/>
      <c r="GI40" s="157"/>
      <c r="GJ40" s="157"/>
      <c r="GK40" s="157"/>
      <c r="GL40" s="157"/>
      <c r="GM40" s="157"/>
      <c r="GN40" s="157"/>
      <c r="GO40" s="157"/>
      <c r="GP40" s="157"/>
      <c r="GQ40" s="157"/>
      <c r="GR40" s="157"/>
      <c r="GS40" s="157"/>
      <c r="GT40" s="157"/>
      <c r="GU40" s="157"/>
      <c r="GV40" s="157"/>
      <c r="GW40" s="157"/>
      <c r="GX40" s="157"/>
      <c r="GY40" s="157"/>
      <c r="GZ40" s="157"/>
      <c r="HA40" s="157"/>
      <c r="HB40" s="157"/>
      <c r="HC40" s="157"/>
      <c r="HD40" s="157"/>
      <c r="HE40" s="157"/>
      <c r="HF40" s="157"/>
      <c r="HG40" s="157"/>
      <c r="HH40" s="157"/>
      <c r="HI40" s="157"/>
      <c r="HJ40" s="157"/>
      <c r="HK40" s="157"/>
      <c r="HL40" s="157"/>
      <c r="HM40" s="157"/>
      <c r="HN40" s="157"/>
      <c r="HO40" s="157"/>
      <c r="HP40" s="157"/>
      <c r="HQ40" s="157"/>
      <c r="HR40" s="157"/>
      <c r="HS40" s="157"/>
      <c r="HT40" s="157"/>
      <c r="HU40" s="157"/>
      <c r="HV40" s="157"/>
      <c r="HW40" s="157"/>
      <c r="HX40" s="157"/>
      <c r="HY40" s="157"/>
      <c r="HZ40" s="157"/>
      <c r="IA40" s="157"/>
      <c r="IB40" s="157"/>
      <c r="IC40" s="157"/>
      <c r="ID40" s="157"/>
      <c r="IE40" s="157"/>
      <c r="IF40" s="157"/>
      <c r="IG40" s="157"/>
      <c r="IH40" s="157"/>
      <c r="II40" s="157"/>
      <c r="IJ40" s="157"/>
      <c r="IK40" s="157"/>
      <c r="IL40" s="157"/>
      <c r="IM40" s="157"/>
      <c r="IN40" s="157"/>
      <c r="IO40" s="157"/>
      <c r="IP40" s="157"/>
      <c r="IQ40" s="157"/>
      <c r="IR40" s="157"/>
      <c r="IS40" s="157"/>
      <c r="IT40" s="157"/>
      <c r="IU40" s="157"/>
      <c r="IV40" s="157"/>
      <c r="IW40" s="157"/>
      <c r="IX40" s="157"/>
      <c r="IY40" s="157"/>
      <c r="IZ40" s="157"/>
      <c r="JA40" s="157"/>
      <c r="JB40" s="157"/>
      <c r="JC40" s="157"/>
      <c r="JD40" s="157"/>
      <c r="JE40" s="157"/>
      <c r="JF40" s="157"/>
      <c r="JG40" s="157"/>
      <c r="JH40" s="157"/>
      <c r="JI40" s="157"/>
      <c r="JJ40" s="157"/>
      <c r="JK40" s="157"/>
      <c r="JL40" s="157"/>
      <c r="JM40" s="157"/>
      <c r="JN40" s="157"/>
      <c r="JO40" s="157"/>
      <c r="JP40" s="157"/>
      <c r="JQ40" s="157"/>
      <c r="JR40" s="157"/>
      <c r="JS40" s="157"/>
      <c r="JT40" s="157"/>
      <c r="JU40" s="157"/>
      <c r="JV40" s="157"/>
      <c r="JW40" s="157"/>
      <c r="JX40" s="157"/>
      <c r="JY40" s="157"/>
      <c r="JZ40" s="157"/>
      <c r="KA40" s="157"/>
      <c r="KB40" s="157"/>
      <c r="KC40" s="157"/>
      <c r="KD40" s="157"/>
      <c r="KE40" s="157"/>
      <c r="KF40" s="157"/>
      <c r="KG40" s="157"/>
      <c r="KH40" s="157"/>
      <c r="KI40" s="157"/>
      <c r="KJ40" s="157"/>
      <c r="KK40" s="157"/>
      <c r="KL40" s="157"/>
    </row>
    <row r="41" spans="40:298" x14ac:dyDescent="0.2">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157"/>
      <c r="ED41" s="157"/>
      <c r="EE41" s="157"/>
      <c r="EF41" s="157"/>
      <c r="EG41" s="157"/>
      <c r="EH41" s="157"/>
      <c r="EI41" s="157"/>
      <c r="EJ41" s="157"/>
      <c r="EK41" s="157"/>
      <c r="EL41" s="157"/>
      <c r="EM41" s="157"/>
      <c r="EN41" s="157"/>
      <c r="EO41" s="157"/>
      <c r="EP41" s="157"/>
      <c r="EQ41" s="157"/>
      <c r="ER41" s="157"/>
      <c r="ES41" s="157"/>
      <c r="ET41" s="157"/>
      <c r="EU41" s="157"/>
      <c r="EV41" s="157"/>
      <c r="EW41" s="157"/>
      <c r="EX41" s="157"/>
      <c r="EY41" s="157"/>
      <c r="EZ41" s="157"/>
      <c r="FA41" s="157"/>
      <c r="FB41" s="157"/>
      <c r="FC41" s="157"/>
      <c r="FD41" s="157"/>
      <c r="FE41" s="157"/>
      <c r="FF41" s="157"/>
      <c r="FG41" s="157"/>
      <c r="FH41" s="157"/>
      <c r="FI41" s="157"/>
      <c r="FJ41" s="157"/>
      <c r="FK41" s="157"/>
      <c r="FL41" s="157"/>
      <c r="FM41" s="157"/>
      <c r="FN41" s="157"/>
      <c r="FO41" s="157"/>
      <c r="FP41" s="157"/>
      <c r="FQ41" s="157"/>
      <c r="FR41" s="157"/>
      <c r="FS41" s="157"/>
      <c r="FT41" s="157"/>
      <c r="FU41" s="157"/>
      <c r="FV41" s="157"/>
      <c r="FW41" s="157"/>
      <c r="FX41" s="157"/>
      <c r="FY41" s="157"/>
      <c r="FZ41" s="157"/>
      <c r="GA41" s="157"/>
      <c r="GB41" s="157"/>
      <c r="GC41" s="157"/>
      <c r="GD41" s="157"/>
      <c r="GE41" s="157"/>
      <c r="GF41" s="157"/>
      <c r="GG41" s="157"/>
      <c r="GH41" s="157"/>
      <c r="GI41" s="157"/>
      <c r="GJ41" s="157"/>
      <c r="GK41" s="157"/>
      <c r="GL41" s="157"/>
      <c r="GM41" s="157"/>
      <c r="GN41" s="157"/>
      <c r="GO41" s="157"/>
      <c r="GP41" s="157"/>
      <c r="GQ41" s="157"/>
      <c r="GR41" s="157"/>
      <c r="GS41" s="157"/>
      <c r="GT41" s="157"/>
      <c r="GU41" s="157"/>
      <c r="GV41" s="157"/>
      <c r="GW41" s="157"/>
      <c r="GX41" s="157"/>
      <c r="GY41" s="157"/>
      <c r="GZ41" s="157"/>
      <c r="HA41" s="157"/>
      <c r="HB41" s="157"/>
      <c r="HC41" s="157"/>
      <c r="HD41" s="157"/>
      <c r="HE41" s="157"/>
      <c r="HF41" s="157"/>
      <c r="HG41" s="157"/>
      <c r="HH41" s="157"/>
      <c r="HI41" s="157"/>
      <c r="HJ41" s="157"/>
      <c r="HK41" s="157"/>
      <c r="HL41" s="157"/>
      <c r="HM41" s="157"/>
      <c r="HN41" s="157"/>
      <c r="HO41" s="157"/>
      <c r="HP41" s="157"/>
      <c r="HQ41" s="157"/>
      <c r="HR41" s="157"/>
      <c r="HS41" s="157"/>
      <c r="HT41" s="157"/>
      <c r="HU41" s="157"/>
      <c r="HV41" s="157"/>
      <c r="HW41" s="157"/>
      <c r="HX41" s="157"/>
      <c r="HY41" s="157"/>
      <c r="HZ41" s="157"/>
      <c r="IA41" s="157"/>
      <c r="IB41" s="157"/>
      <c r="IC41" s="157"/>
      <c r="ID41" s="157"/>
      <c r="IE41" s="157"/>
      <c r="IF41" s="157"/>
      <c r="IG41" s="157"/>
      <c r="IH41" s="157"/>
      <c r="II41" s="157"/>
      <c r="IJ41" s="157"/>
      <c r="IK41" s="157"/>
      <c r="IL41" s="157"/>
      <c r="IM41" s="157"/>
      <c r="IN41" s="157"/>
      <c r="IO41" s="157"/>
      <c r="IP41" s="157"/>
      <c r="IQ41" s="157"/>
      <c r="IR41" s="157"/>
      <c r="IS41" s="157"/>
      <c r="IT41" s="157"/>
      <c r="IU41" s="157"/>
      <c r="IV41" s="157"/>
      <c r="IW41" s="157"/>
      <c r="IX41" s="157"/>
      <c r="IY41" s="157"/>
      <c r="IZ41" s="157"/>
      <c r="JA41" s="157"/>
      <c r="JB41" s="157"/>
      <c r="JC41" s="157"/>
      <c r="JD41" s="157"/>
      <c r="JE41" s="157"/>
      <c r="JF41" s="157"/>
      <c r="JG41" s="157"/>
      <c r="JH41" s="157"/>
      <c r="JI41" s="157"/>
      <c r="JJ41" s="157"/>
      <c r="JK41" s="157"/>
      <c r="JL41" s="157"/>
      <c r="JM41" s="157"/>
      <c r="JN41" s="157"/>
      <c r="JO41" s="157"/>
      <c r="JP41" s="157"/>
      <c r="JQ41" s="157"/>
      <c r="JR41" s="157"/>
      <c r="JS41" s="157"/>
      <c r="JT41" s="157"/>
      <c r="JU41" s="157"/>
      <c r="JV41" s="157"/>
      <c r="JW41" s="157"/>
      <c r="JX41" s="157"/>
      <c r="JY41" s="157"/>
      <c r="JZ41" s="157"/>
      <c r="KA41" s="157"/>
      <c r="KB41" s="157"/>
      <c r="KC41" s="157"/>
      <c r="KD41" s="157"/>
      <c r="KE41" s="157"/>
      <c r="KF41" s="157"/>
      <c r="KG41" s="157"/>
      <c r="KH41" s="157"/>
      <c r="KI41" s="157"/>
      <c r="KJ41" s="157"/>
      <c r="KK41" s="157"/>
      <c r="KL41" s="157"/>
    </row>
    <row r="42" spans="40:298" x14ac:dyDescent="0.2">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157"/>
      <c r="ED42" s="157"/>
      <c r="EE42" s="157"/>
      <c r="EF42" s="157"/>
      <c r="EG42" s="157"/>
      <c r="EH42" s="157"/>
      <c r="EI42" s="157"/>
      <c r="EJ42" s="157"/>
      <c r="EK42" s="157"/>
      <c r="EL42" s="157"/>
      <c r="EM42" s="157"/>
      <c r="EN42" s="157"/>
      <c r="EO42" s="157"/>
      <c r="EP42" s="157"/>
      <c r="EQ42" s="157"/>
      <c r="ER42" s="157"/>
      <c r="ES42" s="157"/>
      <c r="ET42" s="157"/>
      <c r="EU42" s="157"/>
      <c r="EV42" s="157"/>
      <c r="EW42" s="157"/>
      <c r="EX42" s="157"/>
      <c r="EY42" s="157"/>
      <c r="EZ42" s="157"/>
      <c r="FA42" s="157"/>
      <c r="FB42" s="157"/>
      <c r="FC42" s="157"/>
      <c r="FD42" s="157"/>
      <c r="FE42" s="157"/>
      <c r="FF42" s="157"/>
      <c r="FG42" s="157"/>
      <c r="FH42" s="157"/>
      <c r="FI42" s="157"/>
      <c r="FJ42" s="157"/>
      <c r="FK42" s="157"/>
      <c r="FL42" s="157"/>
      <c r="FM42" s="157"/>
      <c r="FN42" s="157"/>
      <c r="FO42" s="157"/>
      <c r="FP42" s="157"/>
      <c r="FQ42" s="157"/>
      <c r="FR42" s="157"/>
      <c r="FS42" s="157"/>
      <c r="FT42" s="157"/>
      <c r="FU42" s="157"/>
      <c r="FV42" s="157"/>
      <c r="FW42" s="157"/>
      <c r="FX42" s="157"/>
      <c r="FY42" s="157"/>
      <c r="FZ42" s="157"/>
      <c r="GA42" s="157"/>
      <c r="GB42" s="157"/>
      <c r="GC42" s="157"/>
      <c r="GD42" s="157"/>
      <c r="GE42" s="157"/>
      <c r="GF42" s="157"/>
      <c r="GG42" s="157"/>
      <c r="GH42" s="157"/>
      <c r="GI42" s="157"/>
      <c r="GJ42" s="157"/>
      <c r="GK42" s="157"/>
      <c r="GL42" s="157"/>
      <c r="GM42" s="157"/>
      <c r="GN42" s="157"/>
      <c r="GO42" s="157"/>
      <c r="GP42" s="157"/>
      <c r="GQ42" s="157"/>
      <c r="GR42" s="157"/>
      <c r="GS42" s="157"/>
      <c r="GT42" s="157"/>
      <c r="GU42" s="157"/>
      <c r="GV42" s="157"/>
      <c r="GW42" s="157"/>
      <c r="GX42" s="157"/>
      <c r="GY42" s="157"/>
      <c r="GZ42" s="157"/>
      <c r="HA42" s="157"/>
      <c r="HB42" s="157"/>
      <c r="HC42" s="157"/>
      <c r="HD42" s="157"/>
      <c r="HE42" s="157"/>
      <c r="HF42" s="157"/>
      <c r="HG42" s="157"/>
      <c r="HH42" s="157"/>
      <c r="HI42" s="157"/>
      <c r="HJ42" s="157"/>
      <c r="HK42" s="157"/>
      <c r="HL42" s="157"/>
      <c r="HM42" s="157"/>
      <c r="HN42" s="157"/>
      <c r="HO42" s="157"/>
      <c r="HP42" s="157"/>
      <c r="HQ42" s="157"/>
      <c r="HR42" s="157"/>
      <c r="HS42" s="157"/>
      <c r="HT42" s="157"/>
      <c r="HU42" s="157"/>
      <c r="HV42" s="157"/>
      <c r="HW42" s="157"/>
      <c r="HX42" s="157"/>
      <c r="HY42" s="157"/>
      <c r="HZ42" s="157"/>
      <c r="IA42" s="157"/>
      <c r="IB42" s="157"/>
      <c r="IC42" s="157"/>
      <c r="ID42" s="157"/>
      <c r="IE42" s="157"/>
      <c r="IF42" s="157"/>
      <c r="IG42" s="157"/>
      <c r="IH42" s="157"/>
      <c r="II42" s="157"/>
      <c r="IJ42" s="157"/>
      <c r="IK42" s="157"/>
      <c r="IL42" s="157"/>
      <c r="IM42" s="157"/>
      <c r="IN42" s="157"/>
      <c r="IO42" s="157"/>
      <c r="IP42" s="157"/>
      <c r="IQ42" s="157"/>
      <c r="IR42" s="157"/>
      <c r="IS42" s="157"/>
      <c r="IT42" s="157"/>
      <c r="IU42" s="157"/>
      <c r="IV42" s="157"/>
      <c r="IW42" s="157"/>
      <c r="IX42" s="157"/>
      <c r="IY42" s="157"/>
      <c r="IZ42" s="157"/>
      <c r="JA42" s="157"/>
      <c r="JB42" s="157"/>
      <c r="JC42" s="157"/>
      <c r="JD42" s="157"/>
      <c r="JE42" s="157"/>
      <c r="JF42" s="157"/>
      <c r="JG42" s="157"/>
      <c r="JH42" s="157"/>
      <c r="JI42" s="157"/>
      <c r="JJ42" s="157"/>
      <c r="JK42" s="157"/>
      <c r="JL42" s="157"/>
      <c r="JM42" s="157"/>
      <c r="JN42" s="157"/>
      <c r="JO42" s="157"/>
      <c r="JP42" s="157"/>
      <c r="JQ42" s="157"/>
      <c r="JR42" s="157"/>
      <c r="JS42" s="157"/>
      <c r="JT42" s="157"/>
      <c r="JU42" s="157"/>
      <c r="JV42" s="157"/>
      <c r="JW42" s="157"/>
      <c r="JX42" s="157"/>
      <c r="JY42" s="157"/>
      <c r="JZ42" s="157"/>
      <c r="KA42" s="157"/>
      <c r="KB42" s="157"/>
      <c r="KC42" s="157"/>
      <c r="KD42" s="157"/>
      <c r="KE42" s="157"/>
      <c r="KF42" s="157"/>
      <c r="KG42" s="157"/>
      <c r="KH42" s="157"/>
      <c r="KI42" s="157"/>
      <c r="KJ42" s="157"/>
      <c r="KK42" s="157"/>
      <c r="KL42" s="157"/>
    </row>
    <row r="43" spans="40:298" x14ac:dyDescent="0.2">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157"/>
      <c r="ED43" s="157"/>
      <c r="EE43" s="157"/>
      <c r="EF43" s="157"/>
      <c r="EG43" s="157"/>
      <c r="EH43" s="157"/>
      <c r="EI43" s="157"/>
      <c r="EJ43" s="157"/>
      <c r="EK43" s="157"/>
      <c r="EL43" s="157"/>
      <c r="EM43" s="157"/>
      <c r="EN43" s="157"/>
      <c r="EO43" s="157"/>
      <c r="EP43" s="157"/>
      <c r="EQ43" s="157"/>
      <c r="ER43" s="157"/>
      <c r="ES43" s="157"/>
      <c r="ET43" s="157"/>
      <c r="EU43" s="157"/>
      <c r="EV43" s="157"/>
      <c r="EW43" s="157"/>
      <c r="EX43" s="157"/>
      <c r="EY43" s="157"/>
      <c r="EZ43" s="157"/>
      <c r="FA43" s="157"/>
      <c r="FB43" s="157"/>
      <c r="FC43" s="157"/>
      <c r="FD43" s="157"/>
      <c r="FE43" s="157"/>
      <c r="FF43" s="157"/>
      <c r="FG43" s="157"/>
      <c r="FH43" s="157"/>
      <c r="FI43" s="157"/>
      <c r="FJ43" s="157"/>
      <c r="FK43" s="157"/>
      <c r="FL43" s="157"/>
      <c r="FM43" s="157"/>
      <c r="FN43" s="157"/>
      <c r="FO43" s="157"/>
      <c r="FP43" s="157"/>
      <c r="FQ43" s="157"/>
      <c r="FR43" s="157"/>
      <c r="FS43" s="157"/>
      <c r="FT43" s="157"/>
      <c r="FU43" s="157"/>
      <c r="FV43" s="157"/>
      <c r="FW43" s="157"/>
      <c r="FX43" s="157"/>
      <c r="FY43" s="157"/>
      <c r="FZ43" s="157"/>
      <c r="GA43" s="157"/>
      <c r="GB43" s="157"/>
      <c r="GC43" s="157"/>
      <c r="GD43" s="157"/>
      <c r="GE43" s="157"/>
      <c r="GF43" s="157"/>
      <c r="GG43" s="157"/>
      <c r="GH43" s="157"/>
      <c r="GI43" s="157"/>
      <c r="GJ43" s="157"/>
      <c r="GK43" s="157"/>
      <c r="GL43" s="157"/>
      <c r="GM43" s="157"/>
      <c r="GN43" s="157"/>
      <c r="GO43" s="157"/>
      <c r="GP43" s="157"/>
      <c r="GQ43" s="157"/>
      <c r="GR43" s="157"/>
      <c r="GS43" s="157"/>
      <c r="GT43" s="157"/>
      <c r="GU43" s="157"/>
      <c r="GV43" s="157"/>
      <c r="GW43" s="157"/>
      <c r="GX43" s="157"/>
      <c r="GY43" s="157"/>
      <c r="GZ43" s="157"/>
      <c r="HA43" s="157"/>
      <c r="HB43" s="157"/>
      <c r="HC43" s="157"/>
      <c r="HD43" s="157"/>
      <c r="HE43" s="157"/>
      <c r="HF43" s="157"/>
      <c r="HG43" s="157"/>
      <c r="HH43" s="157"/>
      <c r="HI43" s="157"/>
      <c r="HJ43" s="157"/>
      <c r="HK43" s="157"/>
      <c r="HL43" s="157"/>
      <c r="HM43" s="157"/>
      <c r="HN43" s="157"/>
      <c r="HO43" s="157"/>
      <c r="HP43" s="157"/>
      <c r="HQ43" s="157"/>
      <c r="HR43" s="157"/>
      <c r="HS43" s="157"/>
      <c r="HT43" s="157"/>
      <c r="HU43" s="157"/>
      <c r="HV43" s="157"/>
      <c r="HW43" s="157"/>
      <c r="HX43" s="157"/>
      <c r="HY43" s="157"/>
      <c r="HZ43" s="157"/>
      <c r="IA43" s="157"/>
      <c r="IB43" s="157"/>
      <c r="IC43" s="157"/>
      <c r="ID43" s="157"/>
      <c r="IE43" s="157"/>
      <c r="IF43" s="157"/>
      <c r="IG43" s="157"/>
      <c r="IH43" s="157"/>
      <c r="II43" s="157"/>
      <c r="IJ43" s="157"/>
      <c r="IK43" s="157"/>
      <c r="IL43" s="157"/>
      <c r="IM43" s="157"/>
      <c r="IN43" s="157"/>
      <c r="IO43" s="157"/>
      <c r="IP43" s="157"/>
      <c r="IQ43" s="157"/>
      <c r="IR43" s="157"/>
      <c r="IS43" s="157"/>
      <c r="IT43" s="157"/>
      <c r="IU43" s="157"/>
      <c r="IV43" s="157"/>
      <c r="IW43" s="157"/>
      <c r="IX43" s="157"/>
      <c r="IY43" s="157"/>
      <c r="IZ43" s="157"/>
      <c r="JA43" s="157"/>
      <c r="JB43" s="157"/>
      <c r="JC43" s="157"/>
      <c r="JD43" s="157"/>
      <c r="JE43" s="157"/>
      <c r="JF43" s="157"/>
      <c r="JG43" s="157"/>
      <c r="JH43" s="157"/>
      <c r="JI43" s="157"/>
      <c r="JJ43" s="157"/>
      <c r="JK43" s="157"/>
      <c r="JL43" s="157"/>
      <c r="JM43" s="157"/>
      <c r="JN43" s="157"/>
      <c r="JO43" s="157"/>
      <c r="JP43" s="157"/>
      <c r="JQ43" s="157"/>
      <c r="JR43" s="157"/>
      <c r="JS43" s="157"/>
      <c r="JT43" s="157"/>
      <c r="JU43" s="157"/>
      <c r="JV43" s="157"/>
      <c r="JW43" s="157"/>
      <c r="JX43" s="157"/>
      <c r="JY43" s="157"/>
      <c r="JZ43" s="157"/>
      <c r="KA43" s="157"/>
      <c r="KB43" s="157"/>
      <c r="KC43" s="157"/>
      <c r="KD43" s="157"/>
      <c r="KE43" s="157"/>
      <c r="KF43" s="157"/>
      <c r="KG43" s="157"/>
      <c r="KH43" s="157"/>
      <c r="KI43" s="157"/>
      <c r="KJ43" s="157"/>
      <c r="KK43" s="157"/>
      <c r="KL43" s="157"/>
    </row>
    <row r="44" spans="40:298" x14ac:dyDescent="0.2">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157"/>
      <c r="ED44" s="157"/>
      <c r="EE44" s="157"/>
      <c r="EF44" s="157"/>
      <c r="EG44" s="157"/>
      <c r="EH44" s="157"/>
      <c r="EI44" s="157"/>
      <c r="EJ44" s="157"/>
      <c r="EK44" s="157"/>
      <c r="EL44" s="157"/>
      <c r="EM44" s="157"/>
      <c r="EN44" s="157"/>
      <c r="EO44" s="157"/>
      <c r="EP44" s="157"/>
      <c r="EQ44" s="157"/>
      <c r="ER44" s="157"/>
      <c r="ES44" s="157"/>
      <c r="ET44" s="157"/>
      <c r="EU44" s="157"/>
      <c r="EV44" s="157"/>
      <c r="EW44" s="157"/>
      <c r="EX44" s="157"/>
      <c r="EY44" s="157"/>
      <c r="EZ44" s="157"/>
      <c r="FA44" s="157"/>
      <c r="FB44" s="157"/>
      <c r="FC44" s="157"/>
      <c r="FD44" s="157"/>
      <c r="FE44" s="157"/>
      <c r="FF44" s="157"/>
      <c r="FG44" s="157"/>
      <c r="FH44" s="157"/>
      <c r="FI44" s="157"/>
      <c r="FJ44" s="157"/>
      <c r="FK44" s="157"/>
      <c r="FL44" s="157"/>
      <c r="FM44" s="157"/>
      <c r="FN44" s="157"/>
      <c r="FO44" s="157"/>
      <c r="FP44" s="157"/>
      <c r="FQ44" s="157"/>
      <c r="FR44" s="157"/>
      <c r="FS44" s="157"/>
      <c r="FT44" s="157"/>
      <c r="FU44" s="157"/>
      <c r="FV44" s="157"/>
      <c r="FW44" s="157"/>
      <c r="FX44" s="157"/>
      <c r="FY44" s="157"/>
      <c r="FZ44" s="157"/>
      <c r="GA44" s="157"/>
      <c r="GB44" s="157"/>
      <c r="GC44" s="157"/>
      <c r="GD44" s="157"/>
      <c r="GE44" s="157"/>
      <c r="GF44" s="157"/>
      <c r="GG44" s="157"/>
      <c r="GH44" s="157"/>
      <c r="GI44" s="157"/>
      <c r="GJ44" s="157"/>
      <c r="GK44" s="157"/>
      <c r="GL44" s="157"/>
      <c r="GM44" s="157"/>
      <c r="GN44" s="157"/>
      <c r="GO44" s="157"/>
      <c r="GP44" s="157"/>
      <c r="GQ44" s="157"/>
      <c r="GR44" s="157"/>
      <c r="GS44" s="157"/>
      <c r="GT44" s="157"/>
      <c r="GU44" s="157"/>
      <c r="GV44" s="157"/>
      <c r="GW44" s="157"/>
      <c r="GX44" s="157"/>
      <c r="GY44" s="157"/>
      <c r="GZ44" s="157"/>
      <c r="HA44" s="157"/>
      <c r="HB44" s="157"/>
      <c r="HC44" s="157"/>
      <c r="HD44" s="157"/>
      <c r="HE44" s="157"/>
      <c r="HF44" s="157"/>
      <c r="HG44" s="157"/>
      <c r="HH44" s="157"/>
      <c r="HI44" s="157"/>
      <c r="HJ44" s="157"/>
      <c r="HK44" s="157"/>
      <c r="HL44" s="157"/>
      <c r="HM44" s="157"/>
      <c r="HN44" s="157"/>
      <c r="HO44" s="157"/>
      <c r="HP44" s="157"/>
      <c r="HQ44" s="157"/>
      <c r="HR44" s="157"/>
      <c r="HS44" s="157"/>
      <c r="HT44" s="157"/>
      <c r="HU44" s="157"/>
      <c r="HV44" s="157"/>
      <c r="HW44" s="157"/>
      <c r="HX44" s="157"/>
      <c r="HY44" s="157"/>
      <c r="HZ44" s="157"/>
      <c r="IA44" s="157"/>
      <c r="IB44" s="157"/>
      <c r="IC44" s="157"/>
      <c r="ID44" s="157"/>
      <c r="IE44" s="157"/>
      <c r="IF44" s="157"/>
      <c r="IG44" s="157"/>
      <c r="IH44" s="157"/>
      <c r="II44" s="157"/>
      <c r="IJ44" s="157"/>
      <c r="IK44" s="157"/>
      <c r="IL44" s="157"/>
      <c r="IM44" s="157"/>
      <c r="IN44" s="157"/>
      <c r="IO44" s="157"/>
      <c r="IP44" s="157"/>
      <c r="IQ44" s="157"/>
      <c r="IR44" s="157"/>
      <c r="IS44" s="157"/>
      <c r="IT44" s="157"/>
      <c r="IU44" s="157"/>
      <c r="IV44" s="157"/>
      <c r="IW44" s="157"/>
      <c r="IX44" s="157"/>
      <c r="IY44" s="157"/>
      <c r="IZ44" s="157"/>
      <c r="JA44" s="157"/>
      <c r="JB44" s="157"/>
      <c r="JC44" s="157"/>
      <c r="JD44" s="157"/>
      <c r="JE44" s="157"/>
      <c r="JF44" s="157"/>
      <c r="JG44" s="157"/>
      <c r="JH44" s="157"/>
      <c r="JI44" s="157"/>
      <c r="JJ44" s="157"/>
      <c r="JK44" s="157"/>
      <c r="JL44" s="157"/>
      <c r="JM44" s="157"/>
      <c r="JN44" s="157"/>
      <c r="JO44" s="157"/>
      <c r="JP44" s="157"/>
      <c r="JQ44" s="157"/>
      <c r="JR44" s="157"/>
      <c r="JS44" s="157"/>
      <c r="JT44" s="157"/>
      <c r="JU44" s="157"/>
      <c r="JV44" s="157"/>
      <c r="JW44" s="157"/>
      <c r="JX44" s="157"/>
      <c r="JY44" s="157"/>
      <c r="JZ44" s="157"/>
      <c r="KA44" s="157"/>
      <c r="KB44" s="157"/>
      <c r="KC44" s="157"/>
      <c r="KD44" s="157"/>
      <c r="KE44" s="157"/>
      <c r="KF44" s="157"/>
      <c r="KG44" s="157"/>
      <c r="KH44" s="157"/>
      <c r="KI44" s="157"/>
      <c r="KJ44" s="157"/>
      <c r="KK44" s="157"/>
      <c r="KL44" s="157"/>
    </row>
    <row r="45" spans="40:298" x14ac:dyDescent="0.2">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157"/>
      <c r="ED45" s="157"/>
      <c r="EE45" s="157"/>
      <c r="EF45" s="157"/>
      <c r="EG45" s="157"/>
      <c r="EH45" s="157"/>
      <c r="EI45" s="157"/>
      <c r="EJ45" s="157"/>
      <c r="EK45" s="157"/>
      <c r="EL45" s="157"/>
      <c r="EM45" s="157"/>
      <c r="EN45" s="157"/>
      <c r="EO45" s="157"/>
      <c r="EP45" s="157"/>
      <c r="EQ45" s="157"/>
      <c r="ER45" s="157"/>
      <c r="ES45" s="157"/>
      <c r="ET45" s="157"/>
      <c r="EU45" s="157"/>
      <c r="EV45" s="157"/>
      <c r="EW45" s="157"/>
      <c r="EX45" s="157"/>
      <c r="EY45" s="157"/>
      <c r="EZ45" s="157"/>
      <c r="FA45" s="157"/>
      <c r="FB45" s="157"/>
      <c r="FC45" s="157"/>
      <c r="FD45" s="157"/>
      <c r="FE45" s="157"/>
      <c r="FF45" s="157"/>
      <c r="FG45" s="157"/>
      <c r="FH45" s="157"/>
      <c r="FI45" s="157"/>
      <c r="FJ45" s="157"/>
      <c r="FK45" s="157"/>
      <c r="FL45" s="157"/>
      <c r="FM45" s="157"/>
      <c r="FN45" s="157"/>
      <c r="FO45" s="157"/>
      <c r="FP45" s="157"/>
      <c r="FQ45" s="157"/>
      <c r="FR45" s="157"/>
      <c r="FS45" s="157"/>
      <c r="FT45" s="157"/>
      <c r="FU45" s="157"/>
      <c r="FV45" s="157"/>
      <c r="FW45" s="157"/>
      <c r="FX45" s="157"/>
      <c r="FY45" s="157"/>
      <c r="FZ45" s="157"/>
      <c r="GA45" s="157"/>
      <c r="GB45" s="157"/>
      <c r="GC45" s="157"/>
      <c r="GD45" s="157"/>
      <c r="GE45" s="157"/>
      <c r="GF45" s="157"/>
      <c r="GG45" s="157"/>
      <c r="GH45" s="157"/>
      <c r="GI45" s="157"/>
      <c r="GJ45" s="157"/>
      <c r="GK45" s="157"/>
      <c r="GL45" s="157"/>
      <c r="GM45" s="157"/>
      <c r="GN45" s="157"/>
      <c r="GO45" s="157"/>
      <c r="GP45" s="157"/>
      <c r="GQ45" s="157"/>
      <c r="GR45" s="157"/>
      <c r="GS45" s="157"/>
      <c r="GT45" s="157"/>
      <c r="GU45" s="157"/>
      <c r="GV45" s="157"/>
      <c r="GW45" s="157"/>
      <c r="GX45" s="157"/>
      <c r="GY45" s="157"/>
      <c r="GZ45" s="157"/>
      <c r="HA45" s="157"/>
      <c r="HB45" s="157"/>
      <c r="HC45" s="157"/>
      <c r="HD45" s="157"/>
      <c r="HE45" s="157"/>
      <c r="HF45" s="157"/>
      <c r="HG45" s="157"/>
      <c r="HH45" s="157"/>
      <c r="HI45" s="157"/>
      <c r="HJ45" s="157"/>
      <c r="HK45" s="157"/>
      <c r="HL45" s="157"/>
      <c r="HM45" s="157"/>
      <c r="HN45" s="157"/>
      <c r="HO45" s="157"/>
      <c r="HP45" s="157"/>
      <c r="HQ45" s="157"/>
      <c r="HR45" s="157"/>
      <c r="HS45" s="157"/>
      <c r="HT45" s="157"/>
      <c r="HU45" s="157"/>
      <c r="HV45" s="157"/>
      <c r="HW45" s="157"/>
      <c r="HX45" s="157"/>
      <c r="HY45" s="157"/>
      <c r="HZ45" s="157"/>
      <c r="IA45" s="157"/>
      <c r="IB45" s="157"/>
      <c r="IC45" s="157"/>
      <c r="ID45" s="157"/>
      <c r="IE45" s="157"/>
      <c r="IF45" s="157"/>
      <c r="IG45" s="157"/>
      <c r="IH45" s="157"/>
      <c r="II45" s="157"/>
      <c r="IJ45" s="157"/>
      <c r="IK45" s="157"/>
      <c r="IL45" s="157"/>
      <c r="IM45" s="157"/>
      <c r="IN45" s="157"/>
      <c r="IO45" s="157"/>
      <c r="IP45" s="157"/>
      <c r="IQ45" s="157"/>
      <c r="IR45" s="157"/>
      <c r="IS45" s="157"/>
      <c r="IT45" s="157"/>
      <c r="IU45" s="157"/>
      <c r="IV45" s="157"/>
      <c r="IW45" s="157"/>
      <c r="IX45" s="157"/>
      <c r="IY45" s="157"/>
      <c r="IZ45" s="157"/>
      <c r="JA45" s="157"/>
      <c r="JB45" s="157"/>
      <c r="JC45" s="157"/>
      <c r="JD45" s="157"/>
      <c r="JE45" s="157"/>
      <c r="JF45" s="157"/>
      <c r="JG45" s="157"/>
      <c r="JH45" s="157"/>
      <c r="JI45" s="157"/>
      <c r="JJ45" s="157"/>
      <c r="JK45" s="157"/>
      <c r="JL45" s="157"/>
      <c r="JM45" s="157"/>
      <c r="JN45" s="157"/>
      <c r="JO45" s="157"/>
      <c r="JP45" s="157"/>
      <c r="JQ45" s="157"/>
      <c r="JR45" s="157"/>
      <c r="JS45" s="157"/>
      <c r="JT45" s="157"/>
      <c r="JU45" s="157"/>
      <c r="JV45" s="157"/>
      <c r="JW45" s="157"/>
      <c r="JX45" s="157"/>
      <c r="JY45" s="157"/>
      <c r="JZ45" s="157"/>
      <c r="KA45" s="157"/>
      <c r="KB45" s="157"/>
      <c r="KC45" s="157"/>
      <c r="KD45" s="157"/>
      <c r="KE45" s="157"/>
      <c r="KF45" s="157"/>
      <c r="KG45" s="157"/>
      <c r="KH45" s="157"/>
      <c r="KI45" s="157"/>
      <c r="KJ45" s="157"/>
      <c r="KK45" s="157"/>
      <c r="KL45" s="157"/>
    </row>
    <row r="46" spans="40:298" x14ac:dyDescent="0.2">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157"/>
      <c r="ED46" s="157"/>
      <c r="EE46" s="157"/>
      <c r="EF46" s="157"/>
      <c r="EG46" s="157"/>
      <c r="EH46" s="157"/>
      <c r="EI46" s="157"/>
      <c r="EJ46" s="157"/>
      <c r="EK46" s="157"/>
      <c r="EL46" s="157"/>
      <c r="EM46" s="157"/>
      <c r="EN46" s="157"/>
      <c r="EO46" s="157"/>
      <c r="EP46" s="157"/>
      <c r="EQ46" s="157"/>
      <c r="ER46" s="157"/>
      <c r="ES46" s="157"/>
      <c r="ET46" s="157"/>
      <c r="EU46" s="157"/>
      <c r="EV46" s="157"/>
      <c r="EW46" s="157"/>
      <c r="EX46" s="157"/>
      <c r="EY46" s="157"/>
      <c r="EZ46" s="157"/>
      <c r="FA46" s="157"/>
      <c r="FB46" s="157"/>
      <c r="FC46" s="157"/>
      <c r="FD46" s="157"/>
      <c r="FE46" s="157"/>
      <c r="FF46" s="157"/>
      <c r="FG46" s="157"/>
      <c r="FH46" s="157"/>
      <c r="FI46" s="157"/>
      <c r="FJ46" s="157"/>
      <c r="FK46" s="157"/>
      <c r="FL46" s="157"/>
      <c r="FM46" s="157"/>
      <c r="FN46" s="157"/>
      <c r="FO46" s="157"/>
      <c r="FP46" s="157"/>
      <c r="FQ46" s="157"/>
      <c r="FR46" s="157"/>
      <c r="FS46" s="157"/>
      <c r="FT46" s="157"/>
      <c r="FU46" s="157"/>
      <c r="FV46" s="157"/>
      <c r="FW46" s="157"/>
      <c r="FX46" s="157"/>
      <c r="FY46" s="157"/>
      <c r="FZ46" s="157"/>
      <c r="GA46" s="157"/>
      <c r="GB46" s="157"/>
      <c r="GC46" s="157"/>
      <c r="GD46" s="157"/>
      <c r="GE46" s="157"/>
      <c r="GF46" s="157"/>
      <c r="GG46" s="157"/>
      <c r="GH46" s="157"/>
      <c r="GI46" s="157"/>
      <c r="GJ46" s="157"/>
      <c r="GK46" s="157"/>
      <c r="GL46" s="157"/>
      <c r="GM46" s="157"/>
      <c r="GN46" s="157"/>
      <c r="GO46" s="157"/>
      <c r="GP46" s="157"/>
      <c r="GQ46" s="157"/>
      <c r="GR46" s="157"/>
      <c r="GS46" s="157"/>
      <c r="GT46" s="157"/>
      <c r="GU46" s="157"/>
      <c r="GV46" s="157"/>
      <c r="GW46" s="157"/>
      <c r="GX46" s="157"/>
      <c r="GY46" s="157"/>
      <c r="GZ46" s="157"/>
      <c r="HA46" s="157"/>
      <c r="HB46" s="157"/>
      <c r="HC46" s="157"/>
      <c r="HD46" s="157"/>
      <c r="HE46" s="157"/>
      <c r="HF46" s="157"/>
      <c r="HG46" s="157"/>
      <c r="HH46" s="157"/>
      <c r="HI46" s="157"/>
      <c r="HJ46" s="157"/>
      <c r="HK46" s="157"/>
      <c r="HL46" s="157"/>
      <c r="HM46" s="157"/>
      <c r="HN46" s="157"/>
      <c r="HO46" s="157"/>
      <c r="HP46" s="157"/>
      <c r="HQ46" s="157"/>
      <c r="HR46" s="157"/>
      <c r="HS46" s="157"/>
      <c r="HT46" s="157"/>
      <c r="HU46" s="157"/>
      <c r="HV46" s="157"/>
      <c r="HW46" s="157"/>
      <c r="HX46" s="157"/>
      <c r="HY46" s="157"/>
      <c r="HZ46" s="157"/>
      <c r="IA46" s="157"/>
      <c r="IB46" s="157"/>
      <c r="IC46" s="157"/>
      <c r="ID46" s="157"/>
      <c r="IE46" s="157"/>
      <c r="IF46" s="157"/>
      <c r="IG46" s="157"/>
      <c r="IH46" s="157"/>
      <c r="II46" s="157"/>
      <c r="IJ46" s="157"/>
      <c r="IK46" s="157"/>
      <c r="IL46" s="157"/>
      <c r="IM46" s="157"/>
      <c r="IN46" s="157"/>
      <c r="IO46" s="157"/>
      <c r="IP46" s="157"/>
      <c r="IQ46" s="157"/>
      <c r="IR46" s="157"/>
      <c r="IS46" s="157"/>
      <c r="IT46" s="157"/>
      <c r="IU46" s="157"/>
      <c r="IV46" s="157"/>
      <c r="IW46" s="157"/>
      <c r="IX46" s="157"/>
      <c r="IY46" s="157"/>
      <c r="IZ46" s="157"/>
      <c r="JA46" s="157"/>
      <c r="JB46" s="157"/>
      <c r="JC46" s="157"/>
      <c r="JD46" s="157"/>
      <c r="JE46" s="157"/>
      <c r="JF46" s="157"/>
      <c r="JG46" s="157"/>
      <c r="JH46" s="157"/>
      <c r="JI46" s="157"/>
      <c r="JJ46" s="157"/>
      <c r="JK46" s="157"/>
      <c r="JL46" s="157"/>
      <c r="JM46" s="157"/>
      <c r="JN46" s="157"/>
      <c r="JO46" s="157"/>
      <c r="JP46" s="157"/>
      <c r="JQ46" s="157"/>
      <c r="JR46" s="157"/>
      <c r="JS46" s="157"/>
      <c r="JT46" s="157"/>
      <c r="JU46" s="157"/>
      <c r="JV46" s="157"/>
      <c r="JW46" s="157"/>
      <c r="JX46" s="157"/>
      <c r="JY46" s="157"/>
      <c r="JZ46" s="157"/>
      <c r="KA46" s="157"/>
      <c r="KB46" s="157"/>
      <c r="KC46" s="157"/>
      <c r="KD46" s="157"/>
      <c r="KE46" s="157"/>
      <c r="KF46" s="157"/>
      <c r="KG46" s="157"/>
      <c r="KH46" s="157"/>
      <c r="KI46" s="157"/>
      <c r="KJ46" s="157"/>
      <c r="KK46" s="157"/>
      <c r="KL46" s="157"/>
    </row>
    <row r="47" spans="40:298" x14ac:dyDescent="0.2">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157"/>
      <c r="ED47" s="157"/>
      <c r="EE47" s="157"/>
      <c r="EF47" s="157"/>
      <c r="EG47" s="157"/>
      <c r="EH47" s="157"/>
      <c r="EI47" s="157"/>
      <c r="EJ47" s="157"/>
      <c r="EK47" s="157"/>
      <c r="EL47" s="157"/>
      <c r="EM47" s="157"/>
      <c r="EN47" s="157"/>
      <c r="EO47" s="157"/>
      <c r="EP47" s="157"/>
      <c r="EQ47" s="157"/>
      <c r="ER47" s="157"/>
      <c r="ES47" s="157"/>
      <c r="ET47" s="157"/>
      <c r="EU47" s="157"/>
      <c r="EV47" s="157"/>
      <c r="EW47" s="157"/>
      <c r="EX47" s="157"/>
      <c r="EY47" s="157"/>
      <c r="EZ47" s="157"/>
      <c r="FA47" s="157"/>
      <c r="FB47" s="157"/>
      <c r="FC47" s="157"/>
      <c r="FD47" s="157"/>
      <c r="FE47" s="157"/>
      <c r="FF47" s="157"/>
      <c r="FG47" s="157"/>
      <c r="FH47" s="157"/>
      <c r="FI47" s="157"/>
      <c r="FJ47" s="157"/>
      <c r="FK47" s="157"/>
      <c r="FL47" s="157"/>
      <c r="FM47" s="157"/>
      <c r="FN47" s="157"/>
      <c r="FO47" s="157"/>
      <c r="FP47" s="157"/>
      <c r="FQ47" s="157"/>
      <c r="FR47" s="157"/>
      <c r="FS47" s="157"/>
      <c r="FT47" s="157"/>
      <c r="FU47" s="157"/>
      <c r="FV47" s="157"/>
      <c r="FW47" s="157"/>
      <c r="FX47" s="157"/>
      <c r="FY47" s="157"/>
      <c r="FZ47" s="157"/>
      <c r="GA47" s="157"/>
      <c r="GB47" s="157"/>
      <c r="GC47" s="157"/>
      <c r="GD47" s="157"/>
      <c r="GE47" s="157"/>
      <c r="GF47" s="157"/>
      <c r="GG47" s="157"/>
      <c r="GH47" s="157"/>
      <c r="GI47" s="157"/>
      <c r="GJ47" s="157"/>
      <c r="GK47" s="157"/>
      <c r="GL47" s="157"/>
      <c r="GM47" s="157"/>
      <c r="GN47" s="157"/>
      <c r="GO47" s="157"/>
      <c r="GP47" s="157"/>
      <c r="GQ47" s="157"/>
      <c r="GR47" s="157"/>
      <c r="GS47" s="157"/>
      <c r="GT47" s="157"/>
      <c r="GU47" s="157"/>
      <c r="GV47" s="157"/>
      <c r="GW47" s="157"/>
      <c r="GX47" s="157"/>
      <c r="GY47" s="157"/>
      <c r="GZ47" s="157"/>
      <c r="HA47" s="157"/>
      <c r="HB47" s="157"/>
      <c r="HC47" s="157"/>
      <c r="HD47" s="157"/>
      <c r="HE47" s="157"/>
      <c r="HF47" s="157"/>
      <c r="HG47" s="157"/>
      <c r="HH47" s="157"/>
      <c r="HI47" s="157"/>
      <c r="HJ47" s="157"/>
      <c r="HK47" s="157"/>
      <c r="HL47" s="157"/>
      <c r="HM47" s="157"/>
      <c r="HN47" s="157"/>
      <c r="HO47" s="157"/>
      <c r="HP47" s="157"/>
      <c r="HQ47" s="157"/>
      <c r="HR47" s="157"/>
      <c r="HS47" s="157"/>
      <c r="HT47" s="157"/>
      <c r="HU47" s="157"/>
      <c r="HV47" s="157"/>
      <c r="HW47" s="157"/>
      <c r="HX47" s="157"/>
      <c r="HY47" s="157"/>
      <c r="HZ47" s="157"/>
      <c r="IA47" s="157"/>
      <c r="IB47" s="157"/>
      <c r="IC47" s="157"/>
      <c r="ID47" s="157"/>
      <c r="IE47" s="157"/>
      <c r="IF47" s="157"/>
      <c r="IG47" s="157"/>
      <c r="IH47" s="157"/>
      <c r="II47" s="157"/>
      <c r="IJ47" s="157"/>
      <c r="IK47" s="157"/>
      <c r="IL47" s="157"/>
      <c r="IM47" s="157"/>
      <c r="IN47" s="157"/>
      <c r="IO47" s="157"/>
      <c r="IP47" s="157"/>
      <c r="IQ47" s="157"/>
      <c r="IR47" s="157"/>
      <c r="IS47" s="157"/>
      <c r="IT47" s="157"/>
      <c r="IU47" s="157"/>
      <c r="IV47" s="157"/>
      <c r="IW47" s="157"/>
      <c r="IX47" s="157"/>
      <c r="IY47" s="157"/>
      <c r="IZ47" s="157"/>
      <c r="JA47" s="157"/>
      <c r="JB47" s="157"/>
      <c r="JC47" s="157"/>
      <c r="JD47" s="157"/>
      <c r="JE47" s="157"/>
      <c r="JF47" s="157"/>
      <c r="JG47" s="157"/>
      <c r="JH47" s="157"/>
      <c r="JI47" s="157"/>
      <c r="JJ47" s="157"/>
      <c r="JK47" s="157"/>
      <c r="JL47" s="157"/>
      <c r="JM47" s="157"/>
      <c r="JN47" s="157"/>
      <c r="JO47" s="157"/>
      <c r="JP47" s="157"/>
      <c r="JQ47" s="157"/>
      <c r="JR47" s="157"/>
      <c r="JS47" s="157"/>
      <c r="JT47" s="157"/>
      <c r="JU47" s="157"/>
      <c r="JV47" s="157"/>
      <c r="JW47" s="157"/>
      <c r="JX47" s="157"/>
      <c r="JY47" s="157"/>
      <c r="JZ47" s="157"/>
      <c r="KA47" s="157"/>
      <c r="KB47" s="157"/>
      <c r="KC47" s="157"/>
      <c r="KD47" s="157"/>
      <c r="KE47" s="157"/>
      <c r="KF47" s="157"/>
      <c r="KG47" s="157"/>
      <c r="KH47" s="157"/>
      <c r="KI47" s="157"/>
      <c r="KJ47" s="157"/>
      <c r="KK47" s="157"/>
      <c r="KL47" s="157"/>
    </row>
    <row r="48" spans="40:298" x14ac:dyDescent="0.2">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157"/>
      <c r="ED48" s="157"/>
      <c r="EE48" s="157"/>
      <c r="EF48" s="157"/>
      <c r="EG48" s="157"/>
      <c r="EH48" s="157"/>
      <c r="EI48" s="157"/>
      <c r="EJ48" s="157"/>
      <c r="EK48" s="157"/>
      <c r="EL48" s="157"/>
      <c r="EM48" s="157"/>
      <c r="EN48" s="157"/>
      <c r="EO48" s="157"/>
      <c r="EP48" s="157"/>
      <c r="EQ48" s="157"/>
      <c r="ER48" s="157"/>
      <c r="ES48" s="157"/>
      <c r="ET48" s="157"/>
      <c r="EU48" s="157"/>
      <c r="EV48" s="157"/>
      <c r="EW48" s="157"/>
      <c r="EX48" s="157"/>
      <c r="EY48" s="157"/>
      <c r="EZ48" s="157"/>
      <c r="FA48" s="157"/>
      <c r="FB48" s="157"/>
      <c r="FC48" s="157"/>
      <c r="FD48" s="157"/>
      <c r="FE48" s="157"/>
      <c r="FF48" s="157"/>
      <c r="FG48" s="157"/>
      <c r="FH48" s="157"/>
      <c r="FI48" s="157"/>
      <c r="FJ48" s="157"/>
      <c r="FK48" s="157"/>
      <c r="FL48" s="157"/>
      <c r="FM48" s="157"/>
      <c r="FN48" s="157"/>
      <c r="FO48" s="157"/>
      <c r="FP48" s="157"/>
      <c r="FQ48" s="157"/>
      <c r="FR48" s="157"/>
      <c r="FS48" s="157"/>
      <c r="FT48" s="157"/>
      <c r="FU48" s="157"/>
      <c r="FV48" s="157"/>
      <c r="FW48" s="157"/>
      <c r="FX48" s="157"/>
      <c r="FY48" s="157"/>
      <c r="FZ48" s="157"/>
      <c r="GA48" s="157"/>
      <c r="GB48" s="157"/>
      <c r="GC48" s="157"/>
      <c r="GD48" s="157"/>
      <c r="GE48" s="157"/>
      <c r="GF48" s="157"/>
      <c r="GG48" s="157"/>
      <c r="GH48" s="157"/>
      <c r="GI48" s="157"/>
      <c r="GJ48" s="157"/>
      <c r="GK48" s="157"/>
      <c r="GL48" s="157"/>
      <c r="GM48" s="157"/>
      <c r="GN48" s="157"/>
      <c r="GO48" s="157"/>
      <c r="GP48" s="157"/>
      <c r="GQ48" s="157"/>
      <c r="GR48" s="157"/>
      <c r="GS48" s="157"/>
      <c r="GT48" s="157"/>
      <c r="GU48" s="157"/>
      <c r="GV48" s="157"/>
      <c r="GW48" s="157"/>
      <c r="GX48" s="157"/>
      <c r="GY48" s="157"/>
      <c r="GZ48" s="157"/>
      <c r="HA48" s="157"/>
      <c r="HB48" s="157"/>
      <c r="HC48" s="157"/>
      <c r="HD48" s="157"/>
      <c r="HE48" s="157"/>
      <c r="HF48" s="157"/>
      <c r="HG48" s="157"/>
      <c r="HH48" s="157"/>
      <c r="HI48" s="157"/>
      <c r="HJ48" s="157"/>
      <c r="HK48" s="157"/>
      <c r="HL48" s="157"/>
      <c r="HM48" s="157"/>
      <c r="HN48" s="157"/>
      <c r="HO48" s="157"/>
      <c r="HP48" s="157"/>
      <c r="HQ48" s="157"/>
      <c r="HR48" s="157"/>
      <c r="HS48" s="157"/>
      <c r="HT48" s="157"/>
      <c r="HU48" s="157"/>
      <c r="HV48" s="157"/>
      <c r="HW48" s="157"/>
      <c r="HX48" s="157"/>
      <c r="HY48" s="157"/>
      <c r="HZ48" s="157"/>
      <c r="IA48" s="157"/>
      <c r="IB48" s="157"/>
      <c r="IC48" s="157"/>
      <c r="ID48" s="157"/>
      <c r="IE48" s="157"/>
      <c r="IF48" s="157"/>
      <c r="IG48" s="157"/>
      <c r="IH48" s="157"/>
      <c r="II48" s="157"/>
      <c r="IJ48" s="157"/>
      <c r="IK48" s="157"/>
      <c r="IL48" s="157"/>
      <c r="IM48" s="157"/>
      <c r="IN48" s="157"/>
      <c r="IO48" s="157"/>
      <c r="IP48" s="157"/>
      <c r="IQ48" s="157"/>
      <c r="IR48" s="157"/>
      <c r="IS48" s="157"/>
      <c r="IT48" s="157"/>
      <c r="IU48" s="157"/>
      <c r="IV48" s="157"/>
      <c r="IW48" s="157"/>
      <c r="IX48" s="157"/>
      <c r="IY48" s="157"/>
      <c r="IZ48" s="157"/>
      <c r="JA48" s="157"/>
      <c r="JB48" s="157"/>
      <c r="JC48" s="157"/>
      <c r="JD48" s="157"/>
      <c r="JE48" s="157"/>
      <c r="JF48" s="157"/>
      <c r="JG48" s="157"/>
      <c r="JH48" s="157"/>
      <c r="JI48" s="157"/>
      <c r="JJ48" s="157"/>
      <c r="JK48" s="157"/>
      <c r="JL48" s="157"/>
      <c r="JM48" s="157"/>
      <c r="JN48" s="157"/>
      <c r="JO48" s="157"/>
      <c r="JP48" s="157"/>
      <c r="JQ48" s="157"/>
      <c r="JR48" s="157"/>
      <c r="JS48" s="157"/>
      <c r="JT48" s="157"/>
      <c r="JU48" s="157"/>
      <c r="JV48" s="157"/>
      <c r="JW48" s="157"/>
      <c r="JX48" s="157"/>
      <c r="JY48" s="157"/>
      <c r="JZ48" s="157"/>
      <c r="KA48" s="157"/>
      <c r="KB48" s="157"/>
      <c r="KC48" s="157"/>
      <c r="KD48" s="157"/>
      <c r="KE48" s="157"/>
      <c r="KF48" s="157"/>
      <c r="KG48" s="157"/>
      <c r="KH48" s="157"/>
      <c r="KI48" s="157"/>
      <c r="KJ48" s="157"/>
      <c r="KK48" s="157"/>
      <c r="KL48" s="157"/>
    </row>
    <row r="49" spans="40:298" x14ac:dyDescent="0.2">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157"/>
      <c r="ED49" s="157"/>
      <c r="EE49" s="157"/>
      <c r="EF49" s="157"/>
      <c r="EG49" s="157"/>
      <c r="EH49" s="157"/>
      <c r="EI49" s="157"/>
      <c r="EJ49" s="157"/>
      <c r="EK49" s="157"/>
      <c r="EL49" s="157"/>
      <c r="EM49" s="157"/>
      <c r="EN49" s="157"/>
      <c r="EO49" s="157"/>
      <c r="EP49" s="157"/>
      <c r="EQ49" s="157"/>
      <c r="ER49" s="157"/>
      <c r="ES49" s="157"/>
      <c r="ET49" s="157"/>
      <c r="EU49" s="157"/>
      <c r="EV49" s="157"/>
      <c r="EW49" s="157"/>
      <c r="EX49" s="157"/>
      <c r="EY49" s="157"/>
      <c r="EZ49" s="157"/>
      <c r="FA49" s="157"/>
      <c r="FB49" s="157"/>
      <c r="FC49" s="157"/>
      <c r="FD49" s="157"/>
      <c r="FE49" s="157"/>
      <c r="FF49" s="157"/>
      <c r="FG49" s="157"/>
      <c r="FH49" s="157"/>
      <c r="FI49" s="157"/>
      <c r="FJ49" s="157"/>
      <c r="FK49" s="157"/>
      <c r="FL49" s="157"/>
      <c r="FM49" s="157"/>
      <c r="FN49" s="157"/>
      <c r="FO49" s="157"/>
      <c r="FP49" s="157"/>
      <c r="FQ49" s="157"/>
      <c r="FR49" s="157"/>
      <c r="FS49" s="157"/>
      <c r="FT49" s="157"/>
      <c r="FU49" s="157"/>
      <c r="FV49" s="157"/>
      <c r="FW49" s="157"/>
      <c r="FX49" s="157"/>
      <c r="FY49" s="157"/>
      <c r="FZ49" s="157"/>
      <c r="GA49" s="157"/>
      <c r="GB49" s="157"/>
      <c r="GC49" s="157"/>
      <c r="GD49" s="157"/>
      <c r="GE49" s="157"/>
      <c r="GF49" s="157"/>
      <c r="GG49" s="157"/>
      <c r="GH49" s="157"/>
      <c r="GI49" s="157"/>
      <c r="GJ49" s="157"/>
      <c r="GK49" s="157"/>
      <c r="GL49" s="157"/>
      <c r="GM49" s="157"/>
      <c r="GN49" s="157"/>
      <c r="GO49" s="157"/>
      <c r="GP49" s="157"/>
      <c r="GQ49" s="157"/>
      <c r="GR49" s="157"/>
      <c r="GS49" s="157"/>
      <c r="GT49" s="157"/>
      <c r="GU49" s="157"/>
      <c r="GV49" s="157"/>
      <c r="GW49" s="157"/>
      <c r="GX49" s="157"/>
      <c r="GY49" s="157"/>
      <c r="GZ49" s="157"/>
      <c r="HA49" s="157"/>
      <c r="HB49" s="157"/>
      <c r="HC49" s="157"/>
      <c r="HD49" s="157"/>
      <c r="HE49" s="157"/>
      <c r="HF49" s="157"/>
      <c r="HG49" s="157"/>
      <c r="HH49" s="157"/>
      <c r="HI49" s="157"/>
      <c r="HJ49" s="157"/>
      <c r="HK49" s="157"/>
      <c r="HL49" s="157"/>
      <c r="HM49" s="157"/>
      <c r="HN49" s="157"/>
      <c r="HO49" s="157"/>
      <c r="HP49" s="157"/>
      <c r="HQ49" s="157"/>
      <c r="HR49" s="157"/>
      <c r="HS49" s="157"/>
      <c r="HT49" s="157"/>
      <c r="HU49" s="157"/>
      <c r="HV49" s="157"/>
      <c r="HW49" s="157"/>
      <c r="HX49" s="157"/>
      <c r="HY49" s="157"/>
      <c r="HZ49" s="157"/>
      <c r="IA49" s="157"/>
      <c r="IB49" s="157"/>
      <c r="IC49" s="157"/>
      <c r="ID49" s="157"/>
      <c r="IE49" s="157"/>
      <c r="IF49" s="157"/>
      <c r="IG49" s="157"/>
      <c r="IH49" s="157"/>
      <c r="II49" s="157"/>
      <c r="IJ49" s="157"/>
      <c r="IK49" s="157"/>
      <c r="IL49" s="157"/>
      <c r="IM49" s="157"/>
      <c r="IN49" s="157"/>
      <c r="IO49" s="157"/>
      <c r="IP49" s="157"/>
      <c r="IQ49" s="157"/>
      <c r="IR49" s="157"/>
      <c r="IS49" s="157"/>
      <c r="IT49" s="157"/>
      <c r="IU49" s="157"/>
      <c r="IV49" s="157"/>
      <c r="IW49" s="157"/>
      <c r="IX49" s="157"/>
      <c r="IY49" s="157"/>
      <c r="IZ49" s="157"/>
      <c r="JA49" s="157"/>
      <c r="JB49" s="157"/>
      <c r="JC49" s="157"/>
      <c r="JD49" s="157"/>
      <c r="JE49" s="157"/>
      <c r="JF49" s="157"/>
      <c r="JG49" s="157"/>
      <c r="JH49" s="157"/>
      <c r="JI49" s="157"/>
      <c r="JJ49" s="157"/>
      <c r="JK49" s="157"/>
      <c r="JL49" s="157"/>
      <c r="JM49" s="157"/>
      <c r="JN49" s="157"/>
      <c r="JO49" s="157"/>
      <c r="JP49" s="157"/>
      <c r="JQ49" s="157"/>
      <c r="JR49" s="157"/>
      <c r="JS49" s="157"/>
      <c r="JT49" s="157"/>
      <c r="JU49" s="157"/>
      <c r="JV49" s="157"/>
      <c r="JW49" s="157"/>
      <c r="JX49" s="157"/>
      <c r="JY49" s="157"/>
      <c r="JZ49" s="157"/>
      <c r="KA49" s="157"/>
      <c r="KB49" s="157"/>
      <c r="KC49" s="157"/>
      <c r="KD49" s="157"/>
      <c r="KE49" s="157"/>
      <c r="KF49" s="157"/>
      <c r="KG49" s="157"/>
      <c r="KH49" s="157"/>
      <c r="KI49" s="157"/>
      <c r="KJ49" s="157"/>
      <c r="KK49" s="157"/>
      <c r="KL49" s="157"/>
    </row>
    <row r="50" spans="40:298" x14ac:dyDescent="0.2">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157"/>
      <c r="ED50" s="157"/>
      <c r="EE50" s="157"/>
      <c r="EF50" s="157"/>
      <c r="EG50" s="157"/>
      <c r="EH50" s="157"/>
      <c r="EI50" s="157"/>
      <c r="EJ50" s="157"/>
      <c r="EK50" s="157"/>
      <c r="EL50" s="157"/>
      <c r="EM50" s="157"/>
      <c r="EN50" s="157"/>
      <c r="EO50" s="157"/>
      <c r="EP50" s="157"/>
      <c r="EQ50" s="157"/>
      <c r="ER50" s="157"/>
      <c r="ES50" s="157"/>
      <c r="ET50" s="157"/>
      <c r="EU50" s="157"/>
      <c r="EV50" s="157"/>
      <c r="EW50" s="157"/>
      <c r="EX50" s="157"/>
      <c r="EY50" s="157"/>
      <c r="EZ50" s="157"/>
      <c r="FA50" s="157"/>
      <c r="FB50" s="157"/>
      <c r="FC50" s="157"/>
      <c r="FD50" s="157"/>
      <c r="FE50" s="157"/>
      <c r="FF50" s="157"/>
      <c r="FG50" s="157"/>
      <c r="FH50" s="157"/>
      <c r="FI50" s="157"/>
      <c r="FJ50" s="157"/>
      <c r="FK50" s="157"/>
      <c r="FL50" s="157"/>
      <c r="FM50" s="157"/>
      <c r="FN50" s="157"/>
      <c r="FO50" s="157"/>
      <c r="FP50" s="157"/>
      <c r="FQ50" s="157"/>
      <c r="FR50" s="157"/>
      <c r="FS50" s="157"/>
      <c r="FT50" s="157"/>
      <c r="FU50" s="157"/>
      <c r="FV50" s="157"/>
      <c r="FW50" s="157"/>
      <c r="FX50" s="157"/>
      <c r="FY50" s="157"/>
      <c r="FZ50" s="157"/>
      <c r="GA50" s="157"/>
      <c r="GB50" s="157"/>
      <c r="GC50" s="157"/>
      <c r="GD50" s="157"/>
      <c r="GE50" s="157"/>
      <c r="GF50" s="157"/>
      <c r="GG50" s="157"/>
      <c r="GH50" s="157"/>
      <c r="GI50" s="157"/>
      <c r="GJ50" s="157"/>
      <c r="GK50" s="157"/>
      <c r="GL50" s="157"/>
      <c r="GM50" s="157"/>
      <c r="GN50" s="157"/>
      <c r="GO50" s="157"/>
      <c r="GP50" s="157"/>
      <c r="GQ50" s="157"/>
      <c r="GR50" s="157"/>
      <c r="GS50" s="157"/>
      <c r="GT50" s="157"/>
      <c r="GU50" s="157"/>
      <c r="GV50" s="157"/>
      <c r="GW50" s="157"/>
      <c r="GX50" s="157"/>
      <c r="GY50" s="157"/>
      <c r="GZ50" s="157"/>
      <c r="HA50" s="157"/>
      <c r="HB50" s="157"/>
      <c r="HC50" s="157"/>
      <c r="HD50" s="157"/>
      <c r="HE50" s="157"/>
      <c r="HF50" s="157"/>
      <c r="HG50" s="157"/>
      <c r="HH50" s="157"/>
      <c r="HI50" s="157"/>
      <c r="HJ50" s="157"/>
      <c r="HK50" s="157"/>
      <c r="HL50" s="157"/>
      <c r="HM50" s="157"/>
      <c r="HN50" s="157"/>
      <c r="HO50" s="157"/>
      <c r="HP50" s="157"/>
      <c r="HQ50" s="157"/>
      <c r="HR50" s="157"/>
      <c r="HS50" s="157"/>
      <c r="HT50" s="157"/>
      <c r="HU50" s="157"/>
      <c r="HV50" s="157"/>
      <c r="HW50" s="157"/>
      <c r="HX50" s="157"/>
      <c r="HY50" s="157"/>
      <c r="HZ50" s="157"/>
      <c r="IA50" s="157"/>
      <c r="IB50" s="157"/>
      <c r="IC50" s="157"/>
      <c r="ID50" s="157"/>
      <c r="IE50" s="157"/>
      <c r="IF50" s="157"/>
      <c r="IG50" s="157"/>
      <c r="IH50" s="157"/>
      <c r="II50" s="157"/>
      <c r="IJ50" s="157"/>
      <c r="IK50" s="157"/>
      <c r="IL50" s="157"/>
      <c r="IM50" s="157"/>
      <c r="IN50" s="157"/>
      <c r="IO50" s="157"/>
      <c r="IP50" s="157"/>
      <c r="IQ50" s="157"/>
      <c r="IR50" s="157"/>
      <c r="IS50" s="157"/>
      <c r="IT50" s="157"/>
      <c r="IU50" s="157"/>
      <c r="IV50" s="157"/>
      <c r="IW50" s="157"/>
      <c r="IX50" s="157"/>
      <c r="IY50" s="157"/>
      <c r="IZ50" s="157"/>
      <c r="JA50" s="157"/>
      <c r="JB50" s="157"/>
      <c r="JC50" s="157"/>
      <c r="JD50" s="157"/>
      <c r="JE50" s="157"/>
      <c r="JF50" s="157"/>
      <c r="JG50" s="157"/>
      <c r="JH50" s="157"/>
      <c r="JI50" s="157"/>
      <c r="JJ50" s="157"/>
      <c r="JK50" s="157"/>
      <c r="JL50" s="157"/>
      <c r="JM50" s="157"/>
      <c r="JN50" s="157"/>
      <c r="JO50" s="157"/>
      <c r="JP50" s="157"/>
      <c r="JQ50" s="157"/>
      <c r="JR50" s="157"/>
      <c r="JS50" s="157"/>
      <c r="JT50" s="157"/>
      <c r="JU50" s="157"/>
      <c r="JV50" s="157"/>
      <c r="JW50" s="157"/>
      <c r="JX50" s="157"/>
      <c r="JY50" s="157"/>
      <c r="JZ50" s="157"/>
      <c r="KA50" s="157"/>
      <c r="KB50" s="157"/>
      <c r="KC50" s="157"/>
      <c r="KD50" s="157"/>
      <c r="KE50" s="157"/>
      <c r="KF50" s="157"/>
      <c r="KG50" s="157"/>
      <c r="KH50" s="157"/>
      <c r="KI50" s="157"/>
      <c r="KJ50" s="157"/>
      <c r="KK50" s="157"/>
      <c r="KL50" s="157"/>
    </row>
    <row r="51" spans="40:298" x14ac:dyDescent="0.2">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157"/>
      <c r="ED51" s="157"/>
      <c r="EE51" s="157"/>
      <c r="EF51" s="157"/>
      <c r="EG51" s="157"/>
      <c r="EH51" s="157"/>
      <c r="EI51" s="157"/>
      <c r="EJ51" s="157"/>
      <c r="EK51" s="157"/>
      <c r="EL51" s="157"/>
      <c r="EM51" s="157"/>
      <c r="EN51" s="157"/>
      <c r="EO51" s="157"/>
      <c r="EP51" s="157"/>
      <c r="EQ51" s="157"/>
      <c r="ER51" s="157"/>
      <c r="ES51" s="157"/>
      <c r="ET51" s="157"/>
      <c r="EU51" s="157"/>
      <c r="EV51" s="157"/>
      <c r="EW51" s="157"/>
      <c r="EX51" s="157"/>
      <c r="EY51" s="157"/>
      <c r="EZ51" s="157"/>
      <c r="FA51" s="157"/>
      <c r="FB51" s="157"/>
      <c r="FC51" s="157"/>
      <c r="FD51" s="157"/>
      <c r="FE51" s="157"/>
      <c r="FF51" s="157"/>
      <c r="FG51" s="157"/>
      <c r="FH51" s="157"/>
      <c r="FI51" s="157"/>
      <c r="FJ51" s="157"/>
      <c r="FK51" s="157"/>
      <c r="FL51" s="157"/>
      <c r="FM51" s="157"/>
      <c r="FN51" s="157"/>
      <c r="FO51" s="157"/>
      <c r="FP51" s="157"/>
      <c r="FQ51" s="157"/>
      <c r="FR51" s="157"/>
      <c r="FS51" s="157"/>
      <c r="FT51" s="157"/>
      <c r="FU51" s="157"/>
      <c r="FV51" s="157"/>
      <c r="FW51" s="157"/>
      <c r="FX51" s="157"/>
      <c r="FY51" s="157"/>
      <c r="FZ51" s="157"/>
      <c r="GA51" s="157"/>
      <c r="GB51" s="157"/>
      <c r="GC51" s="157"/>
      <c r="GD51" s="157"/>
      <c r="GE51" s="157"/>
      <c r="GF51" s="157"/>
      <c r="GG51" s="157"/>
      <c r="GH51" s="157"/>
      <c r="GI51" s="157"/>
      <c r="GJ51" s="157"/>
      <c r="GK51" s="157"/>
      <c r="GL51" s="157"/>
      <c r="GM51" s="157"/>
      <c r="GN51" s="157"/>
      <c r="GO51" s="157"/>
      <c r="GP51" s="157"/>
      <c r="GQ51" s="157"/>
      <c r="GR51" s="157"/>
      <c r="GS51" s="157"/>
      <c r="GT51" s="157"/>
      <c r="GU51" s="157"/>
      <c r="GV51" s="157"/>
      <c r="GW51" s="157"/>
      <c r="GX51" s="157"/>
      <c r="GY51" s="157"/>
      <c r="GZ51" s="157"/>
      <c r="HA51" s="157"/>
      <c r="HB51" s="157"/>
      <c r="HC51" s="157"/>
      <c r="HD51" s="157"/>
      <c r="HE51" s="157"/>
      <c r="HF51" s="157"/>
      <c r="HG51" s="157"/>
      <c r="HH51" s="157"/>
      <c r="HI51" s="157"/>
      <c r="HJ51" s="157"/>
      <c r="HK51" s="157"/>
      <c r="HL51" s="157"/>
      <c r="HM51" s="157"/>
      <c r="HN51" s="157"/>
      <c r="HO51" s="157"/>
      <c r="HP51" s="157"/>
      <c r="HQ51" s="157"/>
      <c r="HR51" s="157"/>
      <c r="HS51" s="157"/>
      <c r="HT51" s="157"/>
      <c r="HU51" s="157"/>
      <c r="HV51" s="157"/>
      <c r="HW51" s="157"/>
      <c r="HX51" s="157"/>
      <c r="HY51" s="157"/>
      <c r="HZ51" s="157"/>
      <c r="IA51" s="157"/>
      <c r="IB51" s="157"/>
      <c r="IC51" s="157"/>
      <c r="ID51" s="157"/>
      <c r="IE51" s="157"/>
      <c r="IF51" s="157"/>
      <c r="IG51" s="157"/>
      <c r="IH51" s="157"/>
      <c r="II51" s="157"/>
      <c r="IJ51" s="157"/>
      <c r="IK51" s="157"/>
      <c r="IL51" s="157"/>
      <c r="IM51" s="157"/>
      <c r="IN51" s="157"/>
      <c r="IO51" s="157"/>
      <c r="IP51" s="157"/>
      <c r="IQ51" s="157"/>
      <c r="IR51" s="157"/>
      <c r="IS51" s="157"/>
      <c r="IT51" s="157"/>
      <c r="IU51" s="157"/>
      <c r="IV51" s="157"/>
      <c r="IW51" s="157"/>
      <c r="IX51" s="157"/>
      <c r="IY51" s="157"/>
      <c r="IZ51" s="157"/>
      <c r="JA51" s="157"/>
      <c r="JB51" s="157"/>
      <c r="JC51" s="157"/>
      <c r="JD51" s="157"/>
      <c r="JE51" s="157"/>
      <c r="JF51" s="157"/>
      <c r="JG51" s="157"/>
      <c r="JH51" s="157"/>
      <c r="JI51" s="157"/>
      <c r="JJ51" s="157"/>
      <c r="JK51" s="157"/>
      <c r="JL51" s="157"/>
      <c r="JM51" s="157"/>
      <c r="JN51" s="157"/>
      <c r="JO51" s="157"/>
      <c r="JP51" s="157"/>
      <c r="JQ51" s="157"/>
      <c r="JR51" s="157"/>
      <c r="JS51" s="157"/>
      <c r="JT51" s="157"/>
      <c r="JU51" s="157"/>
      <c r="JV51" s="157"/>
      <c r="JW51" s="157"/>
      <c r="JX51" s="157"/>
      <c r="JY51" s="157"/>
      <c r="JZ51" s="157"/>
      <c r="KA51" s="157"/>
      <c r="KB51" s="157"/>
      <c r="KC51" s="157"/>
      <c r="KD51" s="157"/>
      <c r="KE51" s="157"/>
      <c r="KF51" s="157"/>
      <c r="KG51" s="157"/>
      <c r="KH51" s="157"/>
      <c r="KI51" s="157"/>
      <c r="KJ51" s="157"/>
      <c r="KK51" s="157"/>
      <c r="KL51" s="157"/>
    </row>
    <row r="52" spans="40:298" x14ac:dyDescent="0.2">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157"/>
      <c r="ED52" s="157"/>
      <c r="EE52" s="157"/>
      <c r="EF52" s="157"/>
      <c r="EG52" s="157"/>
      <c r="EH52" s="157"/>
      <c r="EI52" s="157"/>
      <c r="EJ52" s="157"/>
      <c r="EK52" s="157"/>
      <c r="EL52" s="157"/>
      <c r="EM52" s="157"/>
      <c r="EN52" s="157"/>
      <c r="EO52" s="157"/>
      <c r="EP52" s="157"/>
      <c r="EQ52" s="157"/>
      <c r="ER52" s="157"/>
      <c r="ES52" s="157"/>
      <c r="ET52" s="157"/>
      <c r="EU52" s="157"/>
      <c r="EV52" s="157"/>
      <c r="EW52" s="157"/>
      <c r="EX52" s="157"/>
      <c r="EY52" s="157"/>
      <c r="EZ52" s="157"/>
      <c r="FA52" s="157"/>
      <c r="FB52" s="157"/>
      <c r="FC52" s="157"/>
      <c r="FD52" s="157"/>
      <c r="FE52" s="157"/>
      <c r="FF52" s="157"/>
      <c r="FG52" s="157"/>
      <c r="FH52" s="157"/>
      <c r="FI52" s="157"/>
      <c r="FJ52" s="157"/>
      <c r="FK52" s="157"/>
      <c r="FL52" s="157"/>
      <c r="FM52" s="157"/>
      <c r="FN52" s="157"/>
      <c r="FO52" s="157"/>
      <c r="FP52" s="157"/>
      <c r="FQ52" s="157"/>
      <c r="FR52" s="157"/>
      <c r="FS52" s="157"/>
      <c r="FT52" s="157"/>
      <c r="FU52" s="157"/>
      <c r="FV52" s="157"/>
      <c r="FW52" s="157"/>
      <c r="FX52" s="157"/>
      <c r="FY52" s="157"/>
      <c r="FZ52" s="157"/>
      <c r="GA52" s="157"/>
      <c r="GB52" s="157"/>
      <c r="GC52" s="157"/>
      <c r="GD52" s="157"/>
      <c r="GE52" s="157"/>
      <c r="GF52" s="157"/>
      <c r="GG52" s="157"/>
      <c r="GH52" s="157"/>
      <c r="GI52" s="157"/>
      <c r="GJ52" s="157"/>
      <c r="GK52" s="157"/>
      <c r="GL52" s="157"/>
      <c r="GM52" s="157"/>
      <c r="GN52" s="157"/>
      <c r="GO52" s="157"/>
      <c r="GP52" s="157"/>
      <c r="GQ52" s="157"/>
      <c r="GR52" s="157"/>
      <c r="GS52" s="157"/>
      <c r="GT52" s="157"/>
      <c r="GU52" s="157"/>
      <c r="GV52" s="157"/>
      <c r="GW52" s="157"/>
      <c r="GX52" s="157"/>
      <c r="GY52" s="157"/>
      <c r="GZ52" s="157"/>
      <c r="HA52" s="157"/>
      <c r="HB52" s="157"/>
      <c r="HC52" s="157"/>
      <c r="HD52" s="157"/>
      <c r="HE52" s="157"/>
      <c r="HF52" s="157"/>
      <c r="HG52" s="157"/>
      <c r="HH52" s="157"/>
      <c r="HI52" s="157"/>
      <c r="HJ52" s="157"/>
      <c r="HK52" s="157"/>
      <c r="HL52" s="157"/>
      <c r="HM52" s="157"/>
      <c r="HN52" s="157"/>
      <c r="HO52" s="157"/>
      <c r="HP52" s="157"/>
      <c r="HQ52" s="157"/>
      <c r="HR52" s="157"/>
      <c r="HS52" s="157"/>
      <c r="HT52" s="157"/>
      <c r="HU52" s="157"/>
      <c r="HV52" s="157"/>
      <c r="HW52" s="157"/>
      <c r="HX52" s="157"/>
      <c r="HY52" s="157"/>
      <c r="HZ52" s="157"/>
      <c r="IA52" s="157"/>
      <c r="IB52" s="157"/>
      <c r="IC52" s="157"/>
      <c r="ID52" s="157"/>
      <c r="IE52" s="157"/>
      <c r="IF52" s="157"/>
      <c r="IG52" s="157"/>
      <c r="IH52" s="157"/>
      <c r="II52" s="157"/>
      <c r="IJ52" s="157"/>
      <c r="IK52" s="157"/>
      <c r="IL52" s="157"/>
      <c r="IM52" s="157"/>
      <c r="IN52" s="157"/>
      <c r="IO52" s="157"/>
      <c r="IP52" s="157"/>
      <c r="IQ52" s="157"/>
      <c r="IR52" s="157"/>
      <c r="IS52" s="157"/>
      <c r="IT52" s="157"/>
      <c r="IU52" s="157"/>
      <c r="IV52" s="157"/>
      <c r="IW52" s="157"/>
      <c r="IX52" s="157"/>
      <c r="IY52" s="157"/>
      <c r="IZ52" s="157"/>
      <c r="JA52" s="157"/>
      <c r="JB52" s="157"/>
      <c r="JC52" s="157"/>
      <c r="JD52" s="157"/>
      <c r="JE52" s="157"/>
      <c r="JF52" s="157"/>
      <c r="JG52" s="157"/>
      <c r="JH52" s="157"/>
      <c r="JI52" s="157"/>
      <c r="JJ52" s="157"/>
      <c r="JK52" s="157"/>
      <c r="JL52" s="157"/>
      <c r="JM52" s="157"/>
      <c r="JN52" s="157"/>
      <c r="JO52" s="157"/>
      <c r="JP52" s="157"/>
      <c r="JQ52" s="157"/>
      <c r="JR52" s="157"/>
      <c r="JS52" s="157"/>
      <c r="JT52" s="157"/>
      <c r="JU52" s="157"/>
      <c r="JV52" s="157"/>
      <c r="JW52" s="157"/>
      <c r="JX52" s="157"/>
      <c r="JY52" s="157"/>
      <c r="JZ52" s="157"/>
      <c r="KA52" s="157"/>
      <c r="KB52" s="157"/>
      <c r="KC52" s="157"/>
      <c r="KD52" s="157"/>
      <c r="KE52" s="157"/>
      <c r="KF52" s="157"/>
      <c r="KG52" s="157"/>
      <c r="KH52" s="157"/>
      <c r="KI52" s="157"/>
      <c r="KJ52" s="157"/>
      <c r="KK52" s="157"/>
      <c r="KL52" s="157"/>
    </row>
    <row r="53" spans="40:298" x14ac:dyDescent="0.2">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157"/>
      <c r="ED53" s="157"/>
      <c r="EE53" s="157"/>
      <c r="EF53" s="157"/>
      <c r="EG53" s="157"/>
      <c r="EH53" s="157"/>
      <c r="EI53" s="157"/>
      <c r="EJ53" s="157"/>
      <c r="EK53" s="157"/>
      <c r="EL53" s="157"/>
      <c r="EM53" s="157"/>
      <c r="EN53" s="157"/>
      <c r="EO53" s="157"/>
      <c r="EP53" s="157"/>
      <c r="EQ53" s="157"/>
      <c r="ER53" s="157"/>
      <c r="ES53" s="157"/>
      <c r="ET53" s="157"/>
      <c r="EU53" s="157"/>
      <c r="EV53" s="157"/>
      <c r="EW53" s="157"/>
      <c r="EX53" s="157"/>
      <c r="EY53" s="157"/>
      <c r="EZ53" s="157"/>
      <c r="FA53" s="157"/>
      <c r="FB53" s="157"/>
      <c r="FC53" s="157"/>
      <c r="FD53" s="157"/>
      <c r="FE53" s="157"/>
      <c r="FF53" s="157"/>
      <c r="FG53" s="157"/>
      <c r="FH53" s="157"/>
      <c r="FI53" s="157"/>
      <c r="FJ53" s="157"/>
      <c r="FK53" s="157"/>
      <c r="FL53" s="157"/>
      <c r="FM53" s="157"/>
      <c r="FN53" s="157"/>
      <c r="FO53" s="157"/>
      <c r="FP53" s="157"/>
      <c r="FQ53" s="157"/>
      <c r="FR53" s="157"/>
      <c r="FS53" s="157"/>
      <c r="FT53" s="157"/>
      <c r="FU53" s="157"/>
      <c r="FV53" s="157"/>
      <c r="FW53" s="157"/>
      <c r="FX53" s="157"/>
      <c r="FY53" s="157"/>
      <c r="FZ53" s="157"/>
      <c r="GA53" s="157"/>
      <c r="GB53" s="157"/>
      <c r="GC53" s="157"/>
      <c r="GD53" s="157"/>
      <c r="GE53" s="157"/>
      <c r="GF53" s="157"/>
      <c r="GG53" s="157"/>
      <c r="GH53" s="157"/>
      <c r="GI53" s="157"/>
      <c r="GJ53" s="157"/>
      <c r="GK53" s="157"/>
      <c r="GL53" s="157"/>
      <c r="GM53" s="157"/>
      <c r="GN53" s="157"/>
      <c r="GO53" s="157"/>
      <c r="GP53" s="157"/>
      <c r="GQ53" s="157"/>
      <c r="GR53" s="157"/>
      <c r="GS53" s="157"/>
      <c r="GT53" s="157"/>
      <c r="GU53" s="157"/>
      <c r="GV53" s="157"/>
      <c r="GW53" s="157"/>
      <c r="GX53" s="157"/>
      <c r="GY53" s="157"/>
      <c r="GZ53" s="157"/>
      <c r="HA53" s="157"/>
      <c r="HB53" s="157"/>
      <c r="HC53" s="157"/>
      <c r="HD53" s="157"/>
      <c r="HE53" s="157"/>
      <c r="HF53" s="157"/>
      <c r="HG53" s="157"/>
      <c r="HH53" s="157"/>
      <c r="HI53" s="157"/>
      <c r="HJ53" s="157"/>
      <c r="HK53" s="157"/>
      <c r="HL53" s="157"/>
      <c r="HM53" s="157"/>
      <c r="HN53" s="157"/>
      <c r="HO53" s="157"/>
      <c r="HP53" s="157"/>
      <c r="HQ53" s="157"/>
      <c r="HR53" s="157"/>
      <c r="HS53" s="157"/>
      <c r="HT53" s="157"/>
      <c r="HU53" s="157"/>
      <c r="HV53" s="157"/>
      <c r="HW53" s="157"/>
      <c r="HX53" s="157"/>
      <c r="HY53" s="157"/>
      <c r="HZ53" s="157"/>
      <c r="IA53" s="157"/>
      <c r="IB53" s="157"/>
      <c r="IC53" s="157"/>
      <c r="ID53" s="157"/>
      <c r="IE53" s="157"/>
      <c r="IF53" s="157"/>
      <c r="IG53" s="157"/>
      <c r="IH53" s="157"/>
      <c r="II53" s="157"/>
      <c r="IJ53" s="157"/>
      <c r="IK53" s="157"/>
      <c r="IL53" s="157"/>
      <c r="IM53" s="157"/>
      <c r="IN53" s="157"/>
      <c r="IO53" s="157"/>
      <c r="IP53" s="157"/>
      <c r="IQ53" s="157"/>
      <c r="IR53" s="157"/>
      <c r="IS53" s="157"/>
      <c r="IT53" s="157"/>
      <c r="IU53" s="157"/>
      <c r="IV53" s="157"/>
      <c r="IW53" s="157"/>
      <c r="IX53" s="157"/>
      <c r="IY53" s="157"/>
      <c r="IZ53" s="157"/>
      <c r="JA53" s="157"/>
      <c r="JB53" s="157"/>
      <c r="JC53" s="157"/>
      <c r="JD53" s="157"/>
      <c r="JE53" s="157"/>
      <c r="JF53" s="157"/>
      <c r="JG53" s="157"/>
      <c r="JH53" s="157"/>
      <c r="JI53" s="157"/>
      <c r="JJ53" s="157"/>
      <c r="JK53" s="157"/>
      <c r="JL53" s="157"/>
      <c r="JM53" s="157"/>
      <c r="JN53" s="157"/>
      <c r="JO53" s="157"/>
      <c r="JP53" s="157"/>
      <c r="JQ53" s="157"/>
      <c r="JR53" s="157"/>
      <c r="JS53" s="157"/>
      <c r="JT53" s="157"/>
      <c r="JU53" s="157"/>
      <c r="JV53" s="157"/>
      <c r="JW53" s="157"/>
      <c r="JX53" s="157"/>
      <c r="JY53" s="157"/>
      <c r="JZ53" s="157"/>
      <c r="KA53" s="157"/>
      <c r="KB53" s="157"/>
      <c r="KC53" s="157"/>
      <c r="KD53" s="157"/>
      <c r="KE53" s="157"/>
      <c r="KF53" s="157"/>
      <c r="KG53" s="157"/>
      <c r="KH53" s="157"/>
      <c r="KI53" s="157"/>
      <c r="KJ53" s="157"/>
      <c r="KK53" s="157"/>
      <c r="KL53" s="157"/>
    </row>
    <row r="54" spans="40:298" x14ac:dyDescent="0.2">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157"/>
      <c r="ED54" s="157"/>
      <c r="EE54" s="157"/>
      <c r="EF54" s="157"/>
      <c r="EG54" s="157"/>
      <c r="EH54" s="157"/>
      <c r="EI54" s="157"/>
      <c r="EJ54" s="157"/>
      <c r="EK54" s="157"/>
      <c r="EL54" s="157"/>
      <c r="EM54" s="157"/>
      <c r="EN54" s="157"/>
      <c r="EO54" s="157"/>
      <c r="EP54" s="157"/>
      <c r="EQ54" s="157"/>
      <c r="ER54" s="157"/>
      <c r="ES54" s="157"/>
      <c r="ET54" s="157"/>
      <c r="EU54" s="157"/>
      <c r="EV54" s="157"/>
      <c r="EW54" s="157"/>
      <c r="EX54" s="157"/>
      <c r="EY54" s="157"/>
      <c r="EZ54" s="157"/>
      <c r="FA54" s="157"/>
      <c r="FB54" s="157"/>
      <c r="FC54" s="157"/>
      <c r="FD54" s="157"/>
      <c r="FE54" s="157"/>
      <c r="FF54" s="157"/>
      <c r="FG54" s="157"/>
      <c r="FH54" s="157"/>
      <c r="FI54" s="157"/>
      <c r="FJ54" s="157"/>
      <c r="FK54" s="157"/>
      <c r="FL54" s="157"/>
      <c r="FM54" s="157"/>
      <c r="FN54" s="157"/>
      <c r="FO54" s="157"/>
      <c r="FP54" s="157"/>
      <c r="FQ54" s="157"/>
      <c r="FR54" s="157"/>
      <c r="FS54" s="157"/>
      <c r="FT54" s="157"/>
      <c r="FU54" s="157"/>
      <c r="FV54" s="157"/>
      <c r="FW54" s="157"/>
      <c r="FX54" s="157"/>
      <c r="FY54" s="157"/>
      <c r="FZ54" s="157"/>
      <c r="GA54" s="157"/>
      <c r="GB54" s="157"/>
      <c r="GC54" s="157"/>
      <c r="GD54" s="157"/>
      <c r="GE54" s="157"/>
      <c r="GF54" s="157"/>
      <c r="GG54" s="157"/>
      <c r="GH54" s="157"/>
      <c r="GI54" s="157"/>
      <c r="GJ54" s="157"/>
      <c r="GK54" s="157"/>
      <c r="GL54" s="157"/>
      <c r="GM54" s="157"/>
      <c r="GN54" s="157"/>
      <c r="GO54" s="157"/>
      <c r="GP54" s="157"/>
      <c r="GQ54" s="157"/>
      <c r="GR54" s="157"/>
      <c r="GS54" s="157"/>
      <c r="GT54" s="157"/>
      <c r="GU54" s="157"/>
      <c r="GV54" s="157"/>
      <c r="GW54" s="157"/>
      <c r="GX54" s="157"/>
      <c r="GY54" s="157"/>
      <c r="GZ54" s="157"/>
      <c r="HA54" s="157"/>
      <c r="HB54" s="157"/>
      <c r="HC54" s="157"/>
      <c r="HD54" s="157"/>
      <c r="HE54" s="157"/>
      <c r="HF54" s="157"/>
      <c r="HG54" s="157"/>
      <c r="HH54" s="157"/>
      <c r="HI54" s="157"/>
      <c r="HJ54" s="157"/>
      <c r="HK54" s="157"/>
      <c r="HL54" s="157"/>
      <c r="HM54" s="157"/>
      <c r="HN54" s="157"/>
      <c r="HO54" s="157"/>
      <c r="HP54" s="157"/>
      <c r="HQ54" s="157"/>
      <c r="HR54" s="157"/>
      <c r="HS54" s="157"/>
      <c r="HT54" s="157"/>
      <c r="HU54" s="157"/>
      <c r="HV54" s="157"/>
      <c r="HW54" s="157"/>
      <c r="HX54" s="157"/>
      <c r="HY54" s="157"/>
      <c r="HZ54" s="157"/>
      <c r="IA54" s="157"/>
      <c r="IB54" s="157"/>
      <c r="IC54" s="157"/>
      <c r="ID54" s="157"/>
      <c r="IE54" s="157"/>
      <c r="IF54" s="157"/>
      <c r="IG54" s="157"/>
      <c r="IH54" s="157"/>
      <c r="II54" s="157"/>
      <c r="IJ54" s="157"/>
      <c r="IK54" s="157"/>
      <c r="IL54" s="157"/>
      <c r="IM54" s="157"/>
      <c r="IN54" s="157"/>
      <c r="IO54" s="157"/>
      <c r="IP54" s="157"/>
      <c r="IQ54" s="157"/>
      <c r="IR54" s="157"/>
      <c r="IS54" s="157"/>
      <c r="IT54" s="157"/>
      <c r="IU54" s="157"/>
      <c r="IV54" s="157"/>
      <c r="IW54" s="157"/>
      <c r="IX54" s="157"/>
      <c r="IY54" s="157"/>
      <c r="IZ54" s="157"/>
      <c r="JA54" s="157"/>
      <c r="JB54" s="157"/>
      <c r="JC54" s="157"/>
      <c r="JD54" s="157"/>
      <c r="JE54" s="157"/>
      <c r="JF54" s="157"/>
      <c r="JG54" s="157"/>
      <c r="JH54" s="157"/>
      <c r="JI54" s="157"/>
      <c r="JJ54" s="157"/>
      <c r="JK54" s="157"/>
      <c r="JL54" s="157"/>
      <c r="JM54" s="157"/>
      <c r="JN54" s="157"/>
      <c r="JO54" s="157"/>
      <c r="JP54" s="157"/>
      <c r="JQ54" s="157"/>
      <c r="JR54" s="157"/>
      <c r="JS54" s="157"/>
      <c r="JT54" s="157"/>
      <c r="JU54" s="157"/>
      <c r="JV54" s="157"/>
      <c r="JW54" s="157"/>
      <c r="JX54" s="157"/>
      <c r="JY54" s="157"/>
      <c r="JZ54" s="157"/>
      <c r="KA54" s="157"/>
      <c r="KB54" s="157"/>
      <c r="KC54" s="157"/>
      <c r="KD54" s="157"/>
      <c r="KE54" s="157"/>
      <c r="KF54" s="157"/>
      <c r="KG54" s="157"/>
      <c r="KH54" s="157"/>
      <c r="KI54" s="157"/>
      <c r="KJ54" s="157"/>
      <c r="KK54" s="157"/>
      <c r="KL54" s="157"/>
    </row>
    <row r="55" spans="40:298" x14ac:dyDescent="0.2">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157"/>
      <c r="ED55" s="157"/>
      <c r="EE55" s="157"/>
      <c r="EF55" s="157"/>
      <c r="EG55" s="157"/>
      <c r="EH55" s="157"/>
      <c r="EI55" s="157"/>
      <c r="EJ55" s="157"/>
      <c r="EK55" s="157"/>
      <c r="EL55" s="157"/>
      <c r="EM55" s="157"/>
      <c r="EN55" s="157"/>
      <c r="EO55" s="157"/>
      <c r="EP55" s="157"/>
      <c r="EQ55" s="157"/>
      <c r="ER55" s="157"/>
      <c r="ES55" s="157"/>
      <c r="ET55" s="157"/>
      <c r="EU55" s="157"/>
      <c r="EV55" s="157"/>
      <c r="EW55" s="157"/>
      <c r="EX55" s="157"/>
      <c r="EY55" s="157"/>
      <c r="EZ55" s="157"/>
      <c r="FA55" s="157"/>
      <c r="FB55" s="157"/>
      <c r="FC55" s="157"/>
      <c r="FD55" s="157"/>
      <c r="FE55" s="157"/>
      <c r="FF55" s="157"/>
      <c r="FG55" s="157"/>
      <c r="FH55" s="157"/>
      <c r="FI55" s="157"/>
      <c r="FJ55" s="157"/>
      <c r="FK55" s="157"/>
      <c r="FL55" s="157"/>
      <c r="FM55" s="157"/>
      <c r="FN55" s="157"/>
      <c r="FO55" s="157"/>
      <c r="FP55" s="157"/>
      <c r="FQ55" s="157"/>
      <c r="FR55" s="157"/>
      <c r="FS55" s="157"/>
      <c r="FT55" s="157"/>
      <c r="FU55" s="157"/>
      <c r="FV55" s="157"/>
      <c r="FW55" s="157"/>
      <c r="FX55" s="157"/>
      <c r="FY55" s="157"/>
      <c r="FZ55" s="157"/>
      <c r="GA55" s="157"/>
      <c r="GB55" s="157"/>
      <c r="GC55" s="157"/>
      <c r="GD55" s="157"/>
      <c r="GE55" s="157"/>
      <c r="GF55" s="157"/>
      <c r="GG55" s="157"/>
      <c r="GH55" s="157"/>
      <c r="GI55" s="157"/>
      <c r="GJ55" s="157"/>
      <c r="GK55" s="157"/>
      <c r="GL55" s="157"/>
      <c r="GM55" s="157"/>
      <c r="GN55" s="157"/>
      <c r="GO55" s="157"/>
      <c r="GP55" s="157"/>
      <c r="GQ55" s="157"/>
      <c r="GR55" s="157"/>
      <c r="GS55" s="157"/>
      <c r="GT55" s="157"/>
      <c r="GU55" s="157"/>
      <c r="GV55" s="157"/>
      <c r="GW55" s="157"/>
      <c r="GX55" s="157"/>
      <c r="GY55" s="157"/>
      <c r="GZ55" s="157"/>
      <c r="HA55" s="157"/>
      <c r="HB55" s="157"/>
      <c r="HC55" s="157"/>
      <c r="HD55" s="157"/>
      <c r="HE55" s="157"/>
      <c r="HF55" s="157"/>
      <c r="HG55" s="157"/>
      <c r="HH55" s="157"/>
      <c r="HI55" s="157"/>
      <c r="HJ55" s="157"/>
      <c r="HK55" s="157"/>
      <c r="HL55" s="157"/>
      <c r="HM55" s="157"/>
      <c r="HN55" s="157"/>
      <c r="HO55" s="157"/>
      <c r="HP55" s="157"/>
      <c r="HQ55" s="157"/>
      <c r="HR55" s="157"/>
      <c r="HS55" s="157"/>
      <c r="HT55" s="157"/>
      <c r="HU55" s="157"/>
      <c r="HV55" s="157"/>
      <c r="HW55" s="157"/>
      <c r="HX55" s="157"/>
      <c r="HY55" s="157"/>
      <c r="HZ55" s="157"/>
      <c r="IA55" s="157"/>
      <c r="IB55" s="157"/>
      <c r="IC55" s="157"/>
      <c r="ID55" s="157"/>
      <c r="IE55" s="157"/>
      <c r="IF55" s="157"/>
      <c r="IG55" s="157"/>
      <c r="IH55" s="157"/>
      <c r="II55" s="157"/>
      <c r="IJ55" s="157"/>
      <c r="IK55" s="157"/>
      <c r="IL55" s="157"/>
      <c r="IM55" s="157"/>
      <c r="IN55" s="157"/>
      <c r="IO55" s="157"/>
      <c r="IP55" s="157"/>
      <c r="IQ55" s="157"/>
      <c r="IR55" s="157"/>
      <c r="IS55" s="157"/>
      <c r="IT55" s="157"/>
      <c r="IU55" s="157"/>
      <c r="IV55" s="157"/>
      <c r="IW55" s="157"/>
      <c r="IX55" s="157"/>
      <c r="IY55" s="157"/>
      <c r="IZ55" s="157"/>
      <c r="JA55" s="157"/>
      <c r="JB55" s="157"/>
      <c r="JC55" s="157"/>
      <c r="JD55" s="157"/>
      <c r="JE55" s="157"/>
      <c r="JF55" s="157"/>
      <c r="JG55" s="157"/>
      <c r="JH55" s="157"/>
      <c r="JI55" s="157"/>
      <c r="JJ55" s="157"/>
      <c r="JK55" s="157"/>
      <c r="JL55" s="157"/>
      <c r="JM55" s="157"/>
      <c r="JN55" s="157"/>
      <c r="JO55" s="157"/>
      <c r="JP55" s="157"/>
      <c r="JQ55" s="157"/>
      <c r="JR55" s="157"/>
      <c r="JS55" s="157"/>
      <c r="JT55" s="157"/>
      <c r="JU55" s="157"/>
      <c r="JV55" s="157"/>
      <c r="JW55" s="157"/>
      <c r="JX55" s="157"/>
      <c r="JY55" s="157"/>
      <c r="JZ55" s="157"/>
      <c r="KA55" s="157"/>
      <c r="KB55" s="157"/>
      <c r="KC55" s="157"/>
      <c r="KD55" s="157"/>
      <c r="KE55" s="157"/>
      <c r="KF55" s="157"/>
      <c r="KG55" s="157"/>
      <c r="KH55" s="157"/>
      <c r="KI55" s="157"/>
      <c r="KJ55" s="157"/>
      <c r="KK55" s="157"/>
      <c r="KL55" s="157"/>
    </row>
    <row r="56" spans="40:298" x14ac:dyDescent="0.2">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157"/>
      <c r="ED56" s="157"/>
      <c r="EE56" s="157"/>
      <c r="EF56" s="157"/>
      <c r="EG56" s="157"/>
      <c r="EH56" s="157"/>
      <c r="EI56" s="157"/>
      <c r="EJ56" s="157"/>
      <c r="EK56" s="157"/>
      <c r="EL56" s="157"/>
      <c r="EM56" s="157"/>
      <c r="EN56" s="157"/>
      <c r="EO56" s="157"/>
      <c r="EP56" s="157"/>
      <c r="EQ56" s="157"/>
      <c r="ER56" s="157"/>
      <c r="ES56" s="157"/>
      <c r="ET56" s="157"/>
      <c r="EU56" s="157"/>
      <c r="EV56" s="157"/>
      <c r="EW56" s="157"/>
      <c r="EX56" s="157"/>
      <c r="EY56" s="157"/>
      <c r="EZ56" s="157"/>
      <c r="FA56" s="157"/>
      <c r="FB56" s="157"/>
      <c r="FC56" s="157"/>
      <c r="FD56" s="157"/>
      <c r="FE56" s="157"/>
      <c r="FF56" s="157"/>
      <c r="FG56" s="157"/>
      <c r="FH56" s="157"/>
      <c r="FI56" s="157"/>
      <c r="FJ56" s="157"/>
      <c r="FK56" s="157"/>
      <c r="FL56" s="157"/>
      <c r="FM56" s="157"/>
      <c r="FN56" s="157"/>
      <c r="FO56" s="157"/>
      <c r="FP56" s="157"/>
      <c r="FQ56" s="157"/>
      <c r="FR56" s="157"/>
      <c r="FS56" s="157"/>
      <c r="FT56" s="157"/>
      <c r="FU56" s="157"/>
      <c r="FV56" s="157"/>
      <c r="FW56" s="157"/>
      <c r="FX56" s="157"/>
      <c r="FY56" s="157"/>
      <c r="FZ56" s="157"/>
      <c r="GA56" s="157"/>
      <c r="GB56" s="157"/>
      <c r="GC56" s="157"/>
      <c r="GD56" s="157"/>
      <c r="GE56" s="157"/>
      <c r="GF56" s="157"/>
      <c r="GG56" s="157"/>
      <c r="GH56" s="157"/>
      <c r="GI56" s="157"/>
      <c r="GJ56" s="157"/>
      <c r="GK56" s="157"/>
      <c r="GL56" s="157"/>
      <c r="GM56" s="157"/>
      <c r="GN56" s="157"/>
      <c r="GO56" s="157"/>
      <c r="GP56" s="157"/>
      <c r="GQ56" s="157"/>
      <c r="GR56" s="157"/>
      <c r="GS56" s="157"/>
      <c r="GT56" s="157"/>
      <c r="GU56" s="157"/>
      <c r="GV56" s="157"/>
      <c r="GW56" s="157"/>
      <c r="GX56" s="157"/>
      <c r="GY56" s="157"/>
      <c r="GZ56" s="157"/>
      <c r="HA56" s="157"/>
      <c r="HB56" s="157"/>
      <c r="HC56" s="157"/>
      <c r="HD56" s="157"/>
      <c r="HE56" s="157"/>
      <c r="HF56" s="157"/>
      <c r="HG56" s="157"/>
      <c r="HH56" s="157"/>
      <c r="HI56" s="157"/>
      <c r="HJ56" s="157"/>
      <c r="HK56" s="157"/>
      <c r="HL56" s="157"/>
      <c r="HM56" s="157"/>
      <c r="HN56" s="157"/>
      <c r="HO56" s="157"/>
      <c r="HP56" s="157"/>
      <c r="HQ56" s="157"/>
      <c r="HR56" s="157"/>
      <c r="HS56" s="157"/>
      <c r="HT56" s="157"/>
      <c r="HU56" s="157"/>
      <c r="HV56" s="157"/>
      <c r="HW56" s="157"/>
      <c r="HX56" s="157"/>
      <c r="HY56" s="157"/>
      <c r="HZ56" s="157"/>
      <c r="IA56" s="157"/>
      <c r="IB56" s="157"/>
      <c r="IC56" s="157"/>
      <c r="ID56" s="157"/>
      <c r="IE56" s="157"/>
      <c r="IF56" s="157"/>
      <c r="IG56" s="157"/>
      <c r="IH56" s="157"/>
      <c r="II56" s="157"/>
      <c r="IJ56" s="157"/>
      <c r="IK56" s="157"/>
      <c r="IL56" s="157"/>
      <c r="IM56" s="157"/>
      <c r="IN56" s="157"/>
      <c r="IO56" s="157"/>
      <c r="IP56" s="157"/>
      <c r="IQ56" s="157"/>
      <c r="IR56" s="157"/>
      <c r="IS56" s="157"/>
      <c r="IT56" s="157"/>
      <c r="IU56" s="157"/>
      <c r="IV56" s="157"/>
      <c r="IW56" s="157"/>
      <c r="IX56" s="157"/>
      <c r="IY56" s="157"/>
      <c r="IZ56" s="157"/>
      <c r="JA56" s="157"/>
      <c r="JB56" s="157"/>
      <c r="JC56" s="157"/>
      <c r="JD56" s="157"/>
      <c r="JE56" s="157"/>
      <c r="JF56" s="157"/>
      <c r="JG56" s="157"/>
      <c r="JH56" s="157"/>
      <c r="JI56" s="157"/>
      <c r="JJ56" s="157"/>
      <c r="JK56" s="157"/>
      <c r="JL56" s="157"/>
      <c r="JM56" s="157"/>
      <c r="JN56" s="157"/>
      <c r="JO56" s="157"/>
      <c r="JP56" s="157"/>
      <c r="JQ56" s="157"/>
      <c r="JR56" s="157"/>
      <c r="JS56" s="157"/>
      <c r="JT56" s="157"/>
      <c r="JU56" s="157"/>
      <c r="JV56" s="157"/>
      <c r="JW56" s="157"/>
      <c r="JX56" s="157"/>
      <c r="JY56" s="157"/>
      <c r="JZ56" s="157"/>
      <c r="KA56" s="157"/>
      <c r="KB56" s="157"/>
      <c r="KC56" s="157"/>
      <c r="KD56" s="157"/>
      <c r="KE56" s="157"/>
      <c r="KF56" s="157"/>
      <c r="KG56" s="157"/>
      <c r="KH56" s="157"/>
      <c r="KI56" s="157"/>
      <c r="KJ56" s="157"/>
      <c r="KK56" s="157"/>
      <c r="KL56" s="157"/>
    </row>
    <row r="57" spans="40:298" x14ac:dyDescent="0.2">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157"/>
      <c r="ED57" s="157"/>
      <c r="EE57" s="157"/>
      <c r="EF57" s="157"/>
      <c r="EG57" s="157"/>
      <c r="EH57" s="157"/>
      <c r="EI57" s="157"/>
      <c r="EJ57" s="157"/>
      <c r="EK57" s="157"/>
      <c r="EL57" s="157"/>
      <c r="EM57" s="157"/>
      <c r="EN57" s="157"/>
      <c r="EO57" s="157"/>
      <c r="EP57" s="157"/>
      <c r="EQ57" s="157"/>
      <c r="ER57" s="157"/>
      <c r="ES57" s="157"/>
      <c r="ET57" s="157"/>
      <c r="EU57" s="157"/>
      <c r="EV57" s="157"/>
      <c r="EW57" s="157"/>
      <c r="EX57" s="157"/>
      <c r="EY57" s="157"/>
      <c r="EZ57" s="157"/>
      <c r="FA57" s="157"/>
      <c r="FB57" s="157"/>
      <c r="FC57" s="157"/>
      <c r="FD57" s="157"/>
      <c r="FE57" s="157"/>
      <c r="FF57" s="157"/>
      <c r="FG57" s="157"/>
      <c r="FH57" s="157"/>
      <c r="FI57" s="157"/>
      <c r="FJ57" s="157"/>
      <c r="FK57" s="157"/>
      <c r="FL57" s="157"/>
      <c r="FM57" s="157"/>
      <c r="FN57" s="157"/>
      <c r="FO57" s="157"/>
      <c r="FP57" s="157"/>
      <c r="FQ57" s="157"/>
      <c r="FR57" s="157"/>
      <c r="FS57" s="157"/>
      <c r="FT57" s="157"/>
      <c r="FU57" s="157"/>
      <c r="FV57" s="157"/>
      <c r="FW57" s="157"/>
      <c r="FX57" s="157"/>
      <c r="FY57" s="157"/>
      <c r="FZ57" s="157"/>
      <c r="GA57" s="157"/>
      <c r="GB57" s="157"/>
      <c r="GC57" s="157"/>
      <c r="GD57" s="157"/>
      <c r="GE57" s="157"/>
      <c r="GF57" s="157"/>
      <c r="GG57" s="157"/>
      <c r="GH57" s="157"/>
      <c r="GI57" s="157"/>
      <c r="GJ57" s="157"/>
      <c r="GK57" s="157"/>
      <c r="GL57" s="157"/>
      <c r="GM57" s="157"/>
      <c r="GN57" s="157"/>
      <c r="GO57" s="157"/>
      <c r="GP57" s="157"/>
      <c r="GQ57" s="157"/>
      <c r="GR57" s="157"/>
      <c r="GS57" s="157"/>
      <c r="GT57" s="157"/>
      <c r="GU57" s="157"/>
      <c r="GV57" s="157"/>
      <c r="GW57" s="157"/>
      <c r="GX57" s="157"/>
      <c r="GY57" s="157"/>
      <c r="GZ57" s="157"/>
      <c r="HA57" s="157"/>
      <c r="HB57" s="157"/>
      <c r="HC57" s="157"/>
      <c r="HD57" s="157"/>
      <c r="HE57" s="157"/>
      <c r="HF57" s="157"/>
      <c r="HG57" s="157"/>
      <c r="HH57" s="157"/>
      <c r="HI57" s="157"/>
      <c r="HJ57" s="157"/>
      <c r="HK57" s="157"/>
      <c r="HL57" s="157"/>
      <c r="HM57" s="157"/>
      <c r="HN57" s="157"/>
      <c r="HO57" s="157"/>
      <c r="HP57" s="157"/>
      <c r="HQ57" s="157"/>
      <c r="HR57" s="157"/>
      <c r="HS57" s="157"/>
      <c r="HT57" s="157"/>
      <c r="HU57" s="157"/>
      <c r="HV57" s="157"/>
      <c r="HW57" s="157"/>
      <c r="HX57" s="157"/>
      <c r="HY57" s="157"/>
      <c r="HZ57" s="157"/>
      <c r="IA57" s="157"/>
      <c r="IB57" s="157"/>
      <c r="IC57" s="157"/>
      <c r="ID57" s="157"/>
      <c r="IE57" s="157"/>
      <c r="IF57" s="157"/>
      <c r="IG57" s="157"/>
      <c r="IH57" s="157"/>
      <c r="II57" s="157"/>
      <c r="IJ57" s="157"/>
      <c r="IK57" s="157"/>
      <c r="IL57" s="157"/>
      <c r="IM57" s="157"/>
      <c r="IN57" s="157"/>
      <c r="IO57" s="157"/>
      <c r="IP57" s="157"/>
      <c r="IQ57" s="157"/>
      <c r="IR57" s="157"/>
      <c r="IS57" s="157"/>
      <c r="IT57" s="157"/>
      <c r="IU57" s="157"/>
      <c r="IV57" s="157"/>
      <c r="IW57" s="157"/>
      <c r="IX57" s="157"/>
      <c r="IY57" s="157"/>
      <c r="IZ57" s="157"/>
      <c r="JA57" s="157"/>
      <c r="JB57" s="157"/>
      <c r="JC57" s="157"/>
      <c r="JD57" s="157"/>
      <c r="JE57" s="157"/>
      <c r="JF57" s="157"/>
      <c r="JG57" s="157"/>
      <c r="JH57" s="157"/>
      <c r="JI57" s="157"/>
      <c r="JJ57" s="157"/>
      <c r="JK57" s="157"/>
      <c r="JL57" s="157"/>
      <c r="JM57" s="157"/>
      <c r="JN57" s="157"/>
      <c r="JO57" s="157"/>
      <c r="JP57" s="157"/>
      <c r="JQ57" s="157"/>
      <c r="JR57" s="157"/>
      <c r="JS57" s="157"/>
      <c r="JT57" s="157"/>
      <c r="JU57" s="157"/>
      <c r="JV57" s="157"/>
      <c r="JW57" s="157"/>
      <c r="JX57" s="157"/>
      <c r="JY57" s="157"/>
      <c r="JZ57" s="157"/>
      <c r="KA57" s="157"/>
      <c r="KB57" s="157"/>
      <c r="KC57" s="157"/>
      <c r="KD57" s="157"/>
      <c r="KE57" s="157"/>
      <c r="KF57" s="157"/>
      <c r="KG57" s="157"/>
      <c r="KH57" s="157"/>
      <c r="KI57" s="157"/>
      <c r="KJ57" s="157"/>
      <c r="KK57" s="157"/>
      <c r="KL57" s="157"/>
    </row>
    <row r="58" spans="40:298" x14ac:dyDescent="0.2">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157"/>
      <c r="ED58" s="157"/>
      <c r="EE58" s="157"/>
      <c r="EF58" s="157"/>
      <c r="EG58" s="157"/>
      <c r="EH58" s="157"/>
      <c r="EI58" s="157"/>
      <c r="EJ58" s="157"/>
      <c r="EK58" s="157"/>
      <c r="EL58" s="157"/>
      <c r="EM58" s="157"/>
      <c r="EN58" s="157"/>
      <c r="EO58" s="157"/>
      <c r="EP58" s="157"/>
      <c r="EQ58" s="157"/>
      <c r="ER58" s="157"/>
      <c r="ES58" s="157"/>
      <c r="ET58" s="157"/>
      <c r="EU58" s="157"/>
      <c r="EV58" s="157"/>
      <c r="EW58" s="157"/>
      <c r="EX58" s="157"/>
      <c r="EY58" s="157"/>
      <c r="EZ58" s="157"/>
      <c r="FA58" s="157"/>
      <c r="FB58" s="157"/>
      <c r="FC58" s="157"/>
      <c r="FD58" s="157"/>
      <c r="FE58" s="157"/>
      <c r="FF58" s="157"/>
      <c r="FG58" s="157"/>
      <c r="FH58" s="157"/>
      <c r="FI58" s="157"/>
      <c r="FJ58" s="157"/>
      <c r="FK58" s="157"/>
      <c r="FL58" s="157"/>
      <c r="FM58" s="157"/>
      <c r="FN58" s="157"/>
      <c r="FO58" s="157"/>
      <c r="FP58" s="157"/>
      <c r="FQ58" s="157"/>
      <c r="FR58" s="157"/>
      <c r="FS58" s="157"/>
      <c r="FT58" s="157"/>
      <c r="FU58" s="157"/>
      <c r="FV58" s="157"/>
      <c r="FW58" s="157"/>
      <c r="FX58" s="157"/>
      <c r="FY58" s="157"/>
      <c r="FZ58" s="157"/>
      <c r="GA58" s="157"/>
      <c r="GB58" s="157"/>
      <c r="GC58" s="157"/>
      <c r="GD58" s="157"/>
      <c r="GE58" s="157"/>
      <c r="GF58" s="157"/>
      <c r="GG58" s="157"/>
      <c r="GH58" s="157"/>
      <c r="GI58" s="157"/>
      <c r="GJ58" s="157"/>
      <c r="GK58" s="157"/>
      <c r="GL58" s="157"/>
      <c r="GM58" s="157"/>
      <c r="GN58" s="157"/>
      <c r="GO58" s="157"/>
      <c r="GP58" s="157"/>
      <c r="GQ58" s="157"/>
      <c r="GR58" s="157"/>
      <c r="GS58" s="157"/>
      <c r="GT58" s="157"/>
      <c r="GU58" s="157"/>
      <c r="GV58" s="157"/>
      <c r="GW58" s="157"/>
      <c r="GX58" s="157"/>
      <c r="GY58" s="157"/>
      <c r="GZ58" s="157"/>
      <c r="HA58" s="157"/>
      <c r="HB58" s="157"/>
      <c r="HC58" s="157"/>
      <c r="HD58" s="157"/>
      <c r="HE58" s="157"/>
      <c r="HF58" s="157"/>
      <c r="HG58" s="157"/>
      <c r="HH58" s="157"/>
      <c r="HI58" s="157"/>
      <c r="HJ58" s="157"/>
      <c r="HK58" s="157"/>
      <c r="HL58" s="157"/>
      <c r="HM58" s="157"/>
      <c r="HN58" s="157"/>
      <c r="HO58" s="157"/>
      <c r="HP58" s="157"/>
      <c r="HQ58" s="157"/>
      <c r="HR58" s="157"/>
      <c r="HS58" s="157"/>
      <c r="HT58" s="157"/>
      <c r="HU58" s="157"/>
      <c r="HV58" s="157"/>
      <c r="HW58" s="157"/>
      <c r="HX58" s="157"/>
      <c r="HY58" s="157"/>
      <c r="HZ58" s="157"/>
      <c r="IA58" s="157"/>
      <c r="IB58" s="157"/>
      <c r="IC58" s="157"/>
      <c r="ID58" s="157"/>
      <c r="IE58" s="157"/>
      <c r="IF58" s="157"/>
      <c r="IG58" s="157"/>
      <c r="IH58" s="157"/>
      <c r="II58" s="157"/>
      <c r="IJ58" s="157"/>
      <c r="IK58" s="157"/>
      <c r="IL58" s="157"/>
      <c r="IM58" s="157"/>
      <c r="IN58" s="157"/>
      <c r="IO58" s="157"/>
      <c r="IP58" s="157"/>
      <c r="IQ58" s="157"/>
      <c r="IR58" s="157"/>
      <c r="IS58" s="157"/>
      <c r="IT58" s="157"/>
      <c r="IU58" s="157"/>
      <c r="IV58" s="157"/>
      <c r="IW58" s="157"/>
      <c r="IX58" s="157"/>
      <c r="IY58" s="157"/>
      <c r="IZ58" s="157"/>
      <c r="JA58" s="157"/>
      <c r="JB58" s="157"/>
      <c r="JC58" s="157"/>
      <c r="JD58" s="157"/>
      <c r="JE58" s="157"/>
      <c r="JF58" s="157"/>
      <c r="JG58" s="157"/>
      <c r="JH58" s="157"/>
      <c r="JI58" s="157"/>
      <c r="JJ58" s="157"/>
      <c r="JK58" s="157"/>
      <c r="JL58" s="157"/>
      <c r="JM58" s="157"/>
      <c r="JN58" s="157"/>
      <c r="JO58" s="157"/>
      <c r="JP58" s="157"/>
      <c r="JQ58" s="157"/>
      <c r="JR58" s="157"/>
      <c r="JS58" s="157"/>
      <c r="JT58" s="157"/>
      <c r="JU58" s="157"/>
      <c r="JV58" s="157"/>
      <c r="JW58" s="157"/>
      <c r="JX58" s="157"/>
      <c r="JY58" s="157"/>
      <c r="JZ58" s="157"/>
      <c r="KA58" s="157"/>
      <c r="KB58" s="157"/>
      <c r="KC58" s="157"/>
      <c r="KD58" s="157"/>
      <c r="KE58" s="157"/>
      <c r="KF58" s="157"/>
      <c r="KG58" s="157"/>
      <c r="KH58" s="157"/>
      <c r="KI58" s="157"/>
      <c r="KJ58" s="157"/>
      <c r="KK58" s="157"/>
      <c r="KL58" s="157"/>
    </row>
    <row r="59" spans="40:298" x14ac:dyDescent="0.2">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157"/>
      <c r="ED59" s="157"/>
      <c r="EE59" s="157"/>
      <c r="EF59" s="157"/>
      <c r="EG59" s="157"/>
      <c r="EH59" s="157"/>
      <c r="EI59" s="157"/>
      <c r="EJ59" s="157"/>
      <c r="EK59" s="157"/>
      <c r="EL59" s="157"/>
      <c r="EM59" s="157"/>
      <c r="EN59" s="157"/>
      <c r="EO59" s="157"/>
      <c r="EP59" s="157"/>
      <c r="EQ59" s="157"/>
      <c r="ER59" s="157"/>
      <c r="ES59" s="157"/>
      <c r="ET59" s="157"/>
      <c r="EU59" s="157"/>
      <c r="EV59" s="157"/>
      <c r="EW59" s="157"/>
      <c r="EX59" s="157"/>
      <c r="EY59" s="157"/>
      <c r="EZ59" s="157"/>
      <c r="FA59" s="157"/>
      <c r="FB59" s="157"/>
      <c r="FC59" s="157"/>
      <c r="FD59" s="157"/>
      <c r="FE59" s="157"/>
      <c r="FF59" s="157"/>
      <c r="FG59" s="157"/>
      <c r="FH59" s="157"/>
      <c r="FI59" s="157"/>
      <c r="FJ59" s="157"/>
      <c r="FK59" s="157"/>
      <c r="FL59" s="157"/>
      <c r="FM59" s="157"/>
      <c r="FN59" s="157"/>
      <c r="FO59" s="157"/>
      <c r="FP59" s="157"/>
      <c r="FQ59" s="157"/>
      <c r="FR59" s="157"/>
      <c r="FS59" s="157"/>
      <c r="FT59" s="157"/>
      <c r="FU59" s="157"/>
      <c r="FV59" s="157"/>
      <c r="FW59" s="157"/>
      <c r="FX59" s="157"/>
      <c r="FY59" s="157"/>
      <c r="FZ59" s="157"/>
      <c r="GA59" s="157"/>
      <c r="GB59" s="157"/>
      <c r="GC59" s="157"/>
      <c r="GD59" s="157"/>
      <c r="GE59" s="157"/>
      <c r="GF59" s="157"/>
      <c r="GG59" s="157"/>
      <c r="GH59" s="157"/>
      <c r="GI59" s="157"/>
      <c r="GJ59" s="157"/>
      <c r="GK59" s="157"/>
      <c r="GL59" s="157"/>
      <c r="GM59" s="157"/>
      <c r="GN59" s="157"/>
      <c r="GO59" s="157"/>
      <c r="GP59" s="157"/>
      <c r="GQ59" s="157"/>
      <c r="GR59" s="157"/>
      <c r="GS59" s="157"/>
      <c r="GT59" s="157"/>
      <c r="GU59" s="157"/>
      <c r="GV59" s="157"/>
      <c r="GW59" s="157"/>
      <c r="GX59" s="157"/>
      <c r="GY59" s="157"/>
      <c r="GZ59" s="157"/>
      <c r="HA59" s="157"/>
      <c r="HB59" s="157"/>
      <c r="HC59" s="157"/>
      <c r="HD59" s="157"/>
      <c r="HE59" s="157"/>
      <c r="HF59" s="157"/>
      <c r="HG59" s="157"/>
      <c r="HH59" s="157"/>
      <c r="HI59" s="157"/>
      <c r="HJ59" s="157"/>
      <c r="HK59" s="157"/>
      <c r="HL59" s="157"/>
      <c r="HM59" s="157"/>
      <c r="HN59" s="157"/>
      <c r="HO59" s="157"/>
      <c r="HP59" s="157"/>
      <c r="HQ59" s="157"/>
      <c r="HR59" s="157"/>
      <c r="HS59" s="157"/>
      <c r="HT59" s="157"/>
      <c r="HU59" s="157"/>
      <c r="HV59" s="157"/>
      <c r="HW59" s="157"/>
      <c r="HX59" s="157"/>
      <c r="HY59" s="157"/>
      <c r="HZ59" s="157"/>
      <c r="IA59" s="157"/>
      <c r="IB59" s="157"/>
      <c r="IC59" s="157"/>
      <c r="ID59" s="157"/>
      <c r="IE59" s="157"/>
      <c r="IF59" s="157"/>
      <c r="IG59" s="157"/>
      <c r="IH59" s="157"/>
      <c r="II59" s="157"/>
      <c r="IJ59" s="157"/>
      <c r="IK59" s="157"/>
      <c r="IL59" s="157"/>
      <c r="IM59" s="157"/>
      <c r="IN59" s="157"/>
      <c r="IO59" s="157"/>
      <c r="IP59" s="157"/>
      <c r="IQ59" s="157"/>
      <c r="IR59" s="157"/>
      <c r="IS59" s="157"/>
      <c r="IT59" s="157"/>
      <c r="IU59" s="157"/>
      <c r="IV59" s="157"/>
      <c r="IW59" s="157"/>
      <c r="IX59" s="157"/>
      <c r="IY59" s="157"/>
      <c r="IZ59" s="157"/>
      <c r="JA59" s="157"/>
      <c r="JB59" s="157"/>
      <c r="JC59" s="157"/>
      <c r="JD59" s="157"/>
      <c r="JE59" s="157"/>
      <c r="JF59" s="157"/>
      <c r="JG59" s="157"/>
      <c r="JH59" s="157"/>
      <c r="JI59" s="157"/>
      <c r="JJ59" s="157"/>
      <c r="JK59" s="157"/>
      <c r="JL59" s="157"/>
      <c r="JM59" s="157"/>
      <c r="JN59" s="157"/>
      <c r="JO59" s="157"/>
      <c r="JP59" s="157"/>
      <c r="JQ59" s="157"/>
      <c r="JR59" s="157"/>
      <c r="JS59" s="157"/>
      <c r="JT59" s="157"/>
      <c r="JU59" s="157"/>
      <c r="JV59" s="157"/>
      <c r="JW59" s="157"/>
      <c r="JX59" s="157"/>
      <c r="JY59" s="157"/>
      <c r="JZ59" s="157"/>
      <c r="KA59" s="157"/>
      <c r="KB59" s="157"/>
      <c r="KC59" s="157"/>
      <c r="KD59" s="157"/>
      <c r="KE59" s="157"/>
      <c r="KF59" s="157"/>
      <c r="KG59" s="157"/>
      <c r="KH59" s="157"/>
      <c r="KI59" s="157"/>
      <c r="KJ59" s="157"/>
      <c r="KK59" s="157"/>
      <c r="KL59" s="157"/>
    </row>
    <row r="60" spans="40:298" x14ac:dyDescent="0.2">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157"/>
      <c r="ED60" s="157"/>
      <c r="EE60" s="157"/>
      <c r="EF60" s="157"/>
      <c r="EG60" s="157"/>
      <c r="EH60" s="157"/>
      <c r="EI60" s="157"/>
      <c r="EJ60" s="157"/>
      <c r="EK60" s="157"/>
      <c r="EL60" s="157"/>
      <c r="EM60" s="157"/>
      <c r="EN60" s="157"/>
      <c r="EO60" s="157"/>
      <c r="EP60" s="157"/>
      <c r="EQ60" s="157"/>
      <c r="ER60" s="157"/>
      <c r="ES60" s="157"/>
      <c r="ET60" s="157"/>
      <c r="EU60" s="157"/>
      <c r="EV60" s="157"/>
      <c r="EW60" s="157"/>
      <c r="EX60" s="157"/>
      <c r="EY60" s="157"/>
      <c r="EZ60" s="157"/>
      <c r="FA60" s="157"/>
      <c r="FB60" s="157"/>
      <c r="FC60" s="157"/>
      <c r="FD60" s="157"/>
      <c r="FE60" s="157"/>
      <c r="FF60" s="157"/>
      <c r="FG60" s="157"/>
      <c r="FH60" s="157"/>
      <c r="FI60" s="157"/>
      <c r="FJ60" s="157"/>
      <c r="FK60" s="157"/>
      <c r="FL60" s="157"/>
      <c r="FM60" s="157"/>
      <c r="FN60" s="157"/>
      <c r="FO60" s="157"/>
      <c r="FP60" s="157"/>
      <c r="FQ60" s="157"/>
      <c r="FR60" s="157"/>
      <c r="FS60" s="157"/>
      <c r="FT60" s="157"/>
      <c r="FU60" s="157"/>
      <c r="FV60" s="157"/>
      <c r="FW60" s="157"/>
      <c r="FX60" s="157"/>
      <c r="FY60" s="157"/>
      <c r="FZ60" s="157"/>
      <c r="GA60" s="157"/>
      <c r="GB60" s="157"/>
      <c r="GC60" s="157"/>
      <c r="GD60" s="157"/>
      <c r="GE60" s="157"/>
      <c r="GF60" s="157"/>
      <c r="GG60" s="157"/>
      <c r="GH60" s="157"/>
      <c r="GI60" s="157"/>
      <c r="GJ60" s="157"/>
      <c r="GK60" s="157"/>
      <c r="GL60" s="157"/>
      <c r="GM60" s="157"/>
      <c r="GN60" s="157"/>
      <c r="GO60" s="157"/>
      <c r="GP60" s="157"/>
      <c r="GQ60" s="157"/>
      <c r="GR60" s="157"/>
      <c r="GS60" s="157"/>
      <c r="GT60" s="157"/>
      <c r="GU60" s="157"/>
      <c r="GV60" s="157"/>
      <c r="GW60" s="157"/>
      <c r="GX60" s="157"/>
      <c r="GY60" s="157"/>
      <c r="GZ60" s="157"/>
      <c r="HA60" s="157"/>
      <c r="HB60" s="157"/>
      <c r="HC60" s="157"/>
      <c r="HD60" s="157"/>
      <c r="HE60" s="157"/>
      <c r="HF60" s="157"/>
      <c r="HG60" s="157"/>
      <c r="HH60" s="157"/>
      <c r="HI60" s="157"/>
      <c r="HJ60" s="157"/>
      <c r="HK60" s="157"/>
      <c r="HL60" s="157"/>
      <c r="HM60" s="157"/>
      <c r="HN60" s="157"/>
      <c r="HO60" s="157"/>
      <c r="HP60" s="157"/>
      <c r="HQ60" s="157"/>
      <c r="HR60" s="157"/>
      <c r="HS60" s="157"/>
      <c r="HT60" s="157"/>
      <c r="HU60" s="157"/>
      <c r="HV60" s="157"/>
      <c r="HW60" s="157"/>
      <c r="HX60" s="157"/>
      <c r="HY60" s="157"/>
      <c r="HZ60" s="157"/>
      <c r="IA60" s="157"/>
      <c r="IB60" s="157"/>
      <c r="IC60" s="157"/>
      <c r="ID60" s="157"/>
      <c r="IE60" s="157"/>
      <c r="IF60" s="157"/>
      <c r="IG60" s="157"/>
      <c r="IH60" s="157"/>
      <c r="II60" s="157"/>
      <c r="IJ60" s="157"/>
      <c r="IK60" s="157"/>
      <c r="IL60" s="157"/>
      <c r="IM60" s="157"/>
      <c r="IN60" s="157"/>
      <c r="IO60" s="157"/>
      <c r="IP60" s="157"/>
      <c r="IQ60" s="157"/>
      <c r="IR60" s="157"/>
      <c r="IS60" s="157"/>
      <c r="IT60" s="157"/>
      <c r="IU60" s="157"/>
      <c r="IV60" s="157"/>
      <c r="IW60" s="157"/>
      <c r="IX60" s="157"/>
      <c r="IY60" s="157"/>
      <c r="IZ60" s="157"/>
      <c r="JA60" s="157"/>
      <c r="JB60" s="157"/>
      <c r="JC60" s="157"/>
      <c r="JD60" s="157"/>
      <c r="JE60" s="157"/>
      <c r="JF60" s="157"/>
      <c r="JG60" s="157"/>
      <c r="JH60" s="157"/>
      <c r="JI60" s="157"/>
      <c r="JJ60" s="157"/>
      <c r="JK60" s="157"/>
      <c r="JL60" s="157"/>
      <c r="JM60" s="157"/>
      <c r="JN60" s="157"/>
      <c r="JO60" s="157"/>
      <c r="JP60" s="157"/>
      <c r="JQ60" s="157"/>
      <c r="JR60" s="157"/>
      <c r="JS60" s="157"/>
      <c r="JT60" s="157"/>
      <c r="JU60" s="157"/>
      <c r="JV60" s="157"/>
      <c r="JW60" s="157"/>
      <c r="JX60" s="157"/>
      <c r="JY60" s="157"/>
      <c r="JZ60" s="157"/>
      <c r="KA60" s="157"/>
      <c r="KB60" s="157"/>
      <c r="KC60" s="157"/>
      <c r="KD60" s="157"/>
      <c r="KE60" s="157"/>
      <c r="KF60" s="157"/>
      <c r="KG60" s="157"/>
      <c r="KH60" s="157"/>
      <c r="KI60" s="157"/>
      <c r="KJ60" s="157"/>
      <c r="KK60" s="157"/>
      <c r="KL60" s="157"/>
    </row>
    <row r="61" spans="40:298" x14ac:dyDescent="0.2">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157"/>
      <c r="ED61" s="157"/>
      <c r="EE61" s="157"/>
      <c r="EF61" s="157"/>
      <c r="EG61" s="157"/>
      <c r="EH61" s="157"/>
      <c r="EI61" s="157"/>
      <c r="EJ61" s="157"/>
      <c r="EK61" s="157"/>
      <c r="EL61" s="157"/>
      <c r="EM61" s="157"/>
      <c r="EN61" s="157"/>
      <c r="EO61" s="157"/>
      <c r="EP61" s="157"/>
      <c r="EQ61" s="157"/>
      <c r="ER61" s="157"/>
      <c r="ES61" s="157"/>
      <c r="ET61" s="157"/>
      <c r="EU61" s="157"/>
      <c r="EV61" s="157"/>
      <c r="EW61" s="157"/>
      <c r="EX61" s="157"/>
      <c r="EY61" s="157"/>
      <c r="EZ61" s="157"/>
      <c r="FA61" s="157"/>
      <c r="FB61" s="157"/>
      <c r="FC61" s="157"/>
      <c r="FD61" s="157"/>
      <c r="FE61" s="157"/>
      <c r="FF61" s="157"/>
      <c r="FG61" s="157"/>
      <c r="FH61" s="157"/>
      <c r="FI61" s="157"/>
      <c r="FJ61" s="157"/>
      <c r="FK61" s="157"/>
      <c r="FL61" s="157"/>
      <c r="FM61" s="157"/>
      <c r="FN61" s="157"/>
      <c r="FO61" s="157"/>
      <c r="FP61" s="157"/>
      <c r="FQ61" s="157"/>
      <c r="FR61" s="157"/>
      <c r="FS61" s="157"/>
      <c r="FT61" s="157"/>
      <c r="FU61" s="157"/>
      <c r="FV61" s="157"/>
      <c r="FW61" s="157"/>
      <c r="FX61" s="157"/>
      <c r="FY61" s="157"/>
      <c r="FZ61" s="157"/>
      <c r="GA61" s="157"/>
      <c r="GB61" s="157"/>
      <c r="GC61" s="157"/>
      <c r="GD61" s="157"/>
      <c r="GE61" s="157"/>
      <c r="GF61" s="157"/>
      <c r="GG61" s="157"/>
      <c r="GH61" s="157"/>
      <c r="GI61" s="157"/>
      <c r="GJ61" s="157"/>
      <c r="GK61" s="157"/>
      <c r="GL61" s="157"/>
      <c r="GM61" s="157"/>
      <c r="GN61" s="157"/>
      <c r="GO61" s="157"/>
      <c r="GP61" s="157"/>
      <c r="GQ61" s="157"/>
      <c r="GR61" s="157"/>
      <c r="GS61" s="157"/>
      <c r="GT61" s="157"/>
      <c r="GU61" s="157"/>
      <c r="GV61" s="157"/>
      <c r="GW61" s="157"/>
      <c r="GX61" s="157"/>
      <c r="GY61" s="157"/>
      <c r="GZ61" s="157"/>
      <c r="HA61" s="157"/>
      <c r="HB61" s="157"/>
      <c r="HC61" s="157"/>
      <c r="HD61" s="157"/>
      <c r="HE61" s="157"/>
      <c r="HF61" s="157"/>
      <c r="HG61" s="157"/>
      <c r="HH61" s="157"/>
      <c r="HI61" s="157"/>
      <c r="HJ61" s="157"/>
      <c r="HK61" s="157"/>
      <c r="HL61" s="157"/>
      <c r="HM61" s="157"/>
      <c r="HN61" s="157"/>
      <c r="HO61" s="157"/>
      <c r="HP61" s="157"/>
      <c r="HQ61" s="157"/>
      <c r="HR61" s="157"/>
      <c r="HS61" s="157"/>
      <c r="HT61" s="157"/>
      <c r="HU61" s="157"/>
      <c r="HV61" s="157"/>
      <c r="HW61" s="157"/>
      <c r="HX61" s="157"/>
      <c r="HY61" s="157"/>
      <c r="HZ61" s="157"/>
      <c r="IA61" s="157"/>
      <c r="IB61" s="157"/>
      <c r="IC61" s="157"/>
      <c r="ID61" s="157"/>
      <c r="IE61" s="157"/>
      <c r="IF61" s="157"/>
      <c r="IG61" s="157"/>
      <c r="IH61" s="157"/>
      <c r="II61" s="157"/>
      <c r="IJ61" s="157"/>
      <c r="IK61" s="157"/>
      <c r="IL61" s="157"/>
      <c r="IM61" s="157"/>
      <c r="IN61" s="157"/>
      <c r="IO61" s="157"/>
      <c r="IP61" s="157"/>
      <c r="IQ61" s="157"/>
      <c r="IR61" s="157"/>
      <c r="IS61" s="157"/>
      <c r="IT61" s="157"/>
      <c r="IU61" s="157"/>
      <c r="IV61" s="157"/>
      <c r="IW61" s="157"/>
      <c r="IX61" s="157"/>
      <c r="IY61" s="157"/>
      <c r="IZ61" s="157"/>
      <c r="JA61" s="157"/>
      <c r="JB61" s="157"/>
      <c r="JC61" s="157"/>
      <c r="JD61" s="157"/>
      <c r="JE61" s="157"/>
      <c r="JF61" s="157"/>
      <c r="JG61" s="157"/>
      <c r="JH61" s="157"/>
      <c r="JI61" s="157"/>
      <c r="JJ61" s="157"/>
      <c r="JK61" s="157"/>
      <c r="JL61" s="157"/>
      <c r="JM61" s="157"/>
      <c r="JN61" s="157"/>
      <c r="JO61" s="157"/>
      <c r="JP61" s="157"/>
      <c r="JQ61" s="157"/>
      <c r="JR61" s="157"/>
      <c r="JS61" s="157"/>
      <c r="JT61" s="157"/>
      <c r="JU61" s="157"/>
      <c r="JV61" s="157"/>
      <c r="JW61" s="157"/>
      <c r="JX61" s="157"/>
      <c r="JY61" s="157"/>
      <c r="JZ61" s="157"/>
      <c r="KA61" s="157"/>
      <c r="KB61" s="157"/>
      <c r="KC61" s="157"/>
      <c r="KD61" s="157"/>
      <c r="KE61" s="157"/>
      <c r="KF61" s="157"/>
      <c r="KG61" s="157"/>
      <c r="KH61" s="157"/>
      <c r="KI61" s="157"/>
      <c r="KJ61" s="157"/>
      <c r="KK61" s="157"/>
      <c r="KL61" s="157"/>
    </row>
    <row r="62" spans="40:298" x14ac:dyDescent="0.2">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157"/>
      <c r="ED62" s="157"/>
      <c r="EE62" s="157"/>
      <c r="EF62" s="157"/>
      <c r="EG62" s="157"/>
      <c r="EH62" s="157"/>
      <c r="EI62" s="157"/>
      <c r="EJ62" s="157"/>
      <c r="EK62" s="157"/>
      <c r="EL62" s="157"/>
      <c r="EM62" s="157"/>
      <c r="EN62" s="157"/>
      <c r="EO62" s="157"/>
      <c r="EP62" s="157"/>
      <c r="EQ62" s="157"/>
      <c r="ER62" s="157"/>
      <c r="ES62" s="157"/>
      <c r="ET62" s="157"/>
      <c r="EU62" s="157"/>
      <c r="EV62" s="157"/>
      <c r="EW62" s="157"/>
      <c r="EX62" s="157"/>
      <c r="EY62" s="157"/>
      <c r="EZ62" s="157"/>
      <c r="FA62" s="157"/>
      <c r="FB62" s="157"/>
      <c r="FC62" s="157"/>
      <c r="FD62" s="157"/>
      <c r="FE62" s="157"/>
      <c r="FF62" s="157"/>
      <c r="FG62" s="157"/>
      <c r="FH62" s="157"/>
      <c r="FI62" s="157"/>
      <c r="FJ62" s="157"/>
      <c r="FK62" s="157"/>
      <c r="FL62" s="157"/>
      <c r="FM62" s="157"/>
      <c r="FN62" s="157"/>
      <c r="FO62" s="157"/>
      <c r="FP62" s="157"/>
      <c r="FQ62" s="157"/>
      <c r="FR62" s="157"/>
      <c r="FS62" s="157"/>
      <c r="FT62" s="157"/>
      <c r="FU62" s="157"/>
      <c r="FV62" s="157"/>
      <c r="FW62" s="157"/>
      <c r="FX62" s="157"/>
      <c r="FY62" s="157"/>
      <c r="FZ62" s="157"/>
      <c r="GA62" s="157"/>
      <c r="GB62" s="157"/>
      <c r="GC62" s="157"/>
      <c r="GD62" s="157"/>
      <c r="GE62" s="157"/>
      <c r="GF62" s="157"/>
      <c r="GG62" s="157"/>
      <c r="GH62" s="157"/>
      <c r="GI62" s="157"/>
      <c r="GJ62" s="157"/>
      <c r="GK62" s="157"/>
      <c r="GL62" s="157"/>
      <c r="GM62" s="157"/>
      <c r="GN62" s="157"/>
      <c r="GO62" s="157"/>
      <c r="GP62" s="157"/>
      <c r="GQ62" s="157"/>
      <c r="GR62" s="157"/>
      <c r="GS62" s="157"/>
      <c r="GT62" s="157"/>
      <c r="GU62" s="157"/>
      <c r="GV62" s="157"/>
      <c r="GW62" s="157"/>
      <c r="GX62" s="157"/>
      <c r="GY62" s="157"/>
      <c r="GZ62" s="157"/>
      <c r="HA62" s="157"/>
      <c r="HB62" s="157"/>
      <c r="HC62" s="157"/>
      <c r="HD62" s="157"/>
      <c r="HE62" s="157"/>
      <c r="HF62" s="157"/>
      <c r="HG62" s="157"/>
      <c r="HH62" s="157"/>
      <c r="HI62" s="157"/>
      <c r="HJ62" s="157"/>
      <c r="HK62" s="157"/>
      <c r="HL62" s="157"/>
      <c r="HM62" s="157"/>
      <c r="HN62" s="157"/>
      <c r="HO62" s="157"/>
      <c r="HP62" s="157"/>
      <c r="HQ62" s="157"/>
      <c r="HR62" s="157"/>
      <c r="HS62" s="157"/>
      <c r="HT62" s="157"/>
      <c r="HU62" s="157"/>
      <c r="HV62" s="157"/>
      <c r="HW62" s="157"/>
      <c r="HX62" s="157"/>
      <c r="HY62" s="157"/>
      <c r="HZ62" s="157"/>
      <c r="IA62" s="157"/>
      <c r="IB62" s="157"/>
      <c r="IC62" s="157"/>
      <c r="ID62" s="157"/>
      <c r="IE62" s="157"/>
      <c r="IF62" s="157"/>
      <c r="IG62" s="157"/>
      <c r="IH62" s="157"/>
      <c r="II62" s="157"/>
      <c r="IJ62" s="157"/>
      <c r="IK62" s="157"/>
      <c r="IL62" s="157"/>
      <c r="IM62" s="157"/>
      <c r="IN62" s="157"/>
      <c r="IO62" s="157"/>
      <c r="IP62" s="157"/>
      <c r="IQ62" s="157"/>
      <c r="IR62" s="157"/>
      <c r="IS62" s="157"/>
      <c r="IT62" s="157"/>
      <c r="IU62" s="157"/>
      <c r="IV62" s="157"/>
      <c r="IW62" s="157"/>
      <c r="IX62" s="157"/>
      <c r="IY62" s="157"/>
      <c r="IZ62" s="157"/>
      <c r="JA62" s="157"/>
      <c r="JB62" s="157"/>
      <c r="JC62" s="157"/>
      <c r="JD62" s="157"/>
      <c r="JE62" s="157"/>
      <c r="JF62" s="157"/>
      <c r="JG62" s="157"/>
      <c r="JH62" s="157"/>
      <c r="JI62" s="157"/>
      <c r="JJ62" s="157"/>
      <c r="JK62" s="157"/>
      <c r="JL62" s="157"/>
      <c r="JM62" s="157"/>
      <c r="JN62" s="157"/>
      <c r="JO62" s="157"/>
      <c r="JP62" s="157"/>
      <c r="JQ62" s="157"/>
      <c r="JR62" s="157"/>
      <c r="JS62" s="157"/>
      <c r="JT62" s="157"/>
      <c r="JU62" s="157"/>
      <c r="JV62" s="157"/>
      <c r="JW62" s="157"/>
      <c r="JX62" s="157"/>
      <c r="JY62" s="157"/>
      <c r="JZ62" s="157"/>
      <c r="KA62" s="157"/>
      <c r="KB62" s="157"/>
      <c r="KC62" s="157"/>
      <c r="KD62" s="157"/>
      <c r="KE62" s="157"/>
      <c r="KF62" s="157"/>
      <c r="KG62" s="157"/>
      <c r="KH62" s="157"/>
      <c r="KI62" s="157"/>
      <c r="KJ62" s="157"/>
      <c r="KK62" s="157"/>
      <c r="KL62" s="157"/>
    </row>
    <row r="63" spans="40:298" x14ac:dyDescent="0.2">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157"/>
      <c r="ED63" s="157"/>
      <c r="EE63" s="157"/>
      <c r="EF63" s="157"/>
      <c r="EG63" s="157"/>
      <c r="EH63" s="157"/>
      <c r="EI63" s="157"/>
      <c r="EJ63" s="157"/>
      <c r="EK63" s="157"/>
      <c r="EL63" s="157"/>
      <c r="EM63" s="157"/>
      <c r="EN63" s="157"/>
      <c r="EO63" s="157"/>
      <c r="EP63" s="157"/>
      <c r="EQ63" s="157"/>
      <c r="ER63" s="157"/>
      <c r="ES63" s="157"/>
      <c r="ET63" s="157"/>
      <c r="EU63" s="157"/>
      <c r="EV63" s="157"/>
      <c r="EW63" s="157"/>
      <c r="EX63" s="157"/>
      <c r="EY63" s="157"/>
      <c r="EZ63" s="157"/>
      <c r="FA63" s="157"/>
      <c r="FB63" s="157"/>
      <c r="FC63" s="157"/>
      <c r="FD63" s="157"/>
      <c r="FE63" s="157"/>
      <c r="FF63" s="157"/>
      <c r="FG63" s="157"/>
      <c r="FH63" s="157"/>
      <c r="FI63" s="157"/>
      <c r="FJ63" s="157"/>
      <c r="FK63" s="157"/>
      <c r="FL63" s="157"/>
      <c r="FM63" s="157"/>
      <c r="FN63" s="157"/>
      <c r="FO63" s="157"/>
      <c r="FP63" s="157"/>
      <c r="FQ63" s="157"/>
      <c r="FR63" s="157"/>
      <c r="FS63" s="157"/>
      <c r="FT63" s="157"/>
      <c r="FU63" s="157"/>
      <c r="FV63" s="157"/>
      <c r="FW63" s="157"/>
      <c r="FX63" s="157"/>
      <c r="FY63" s="157"/>
      <c r="FZ63" s="157"/>
      <c r="GA63" s="157"/>
      <c r="GB63" s="157"/>
      <c r="GC63" s="157"/>
      <c r="GD63" s="157"/>
      <c r="GE63" s="157"/>
      <c r="GF63" s="157"/>
      <c r="GG63" s="157"/>
      <c r="GH63" s="157"/>
      <c r="GI63" s="157"/>
      <c r="GJ63" s="157"/>
      <c r="GK63" s="157"/>
      <c r="GL63" s="157"/>
      <c r="GM63" s="157"/>
      <c r="GN63" s="157"/>
      <c r="GO63" s="157"/>
      <c r="GP63" s="157"/>
      <c r="GQ63" s="157"/>
      <c r="GR63" s="157"/>
      <c r="GS63" s="157"/>
      <c r="GT63" s="157"/>
      <c r="GU63" s="157"/>
      <c r="GV63" s="157"/>
      <c r="GW63" s="157"/>
      <c r="GX63" s="157"/>
      <c r="GY63" s="157"/>
      <c r="GZ63" s="157"/>
      <c r="HA63" s="157"/>
      <c r="HB63" s="157"/>
      <c r="HC63" s="157"/>
      <c r="HD63" s="157"/>
      <c r="HE63" s="157"/>
      <c r="HF63" s="157"/>
      <c r="HG63" s="157"/>
      <c r="HH63" s="157"/>
      <c r="HI63" s="157"/>
      <c r="HJ63" s="157"/>
      <c r="HK63" s="157"/>
      <c r="HL63" s="157"/>
      <c r="HM63" s="157"/>
      <c r="HN63" s="157"/>
      <c r="HO63" s="157"/>
      <c r="HP63" s="157"/>
      <c r="HQ63" s="157"/>
      <c r="HR63" s="157"/>
      <c r="HS63" s="157"/>
      <c r="HT63" s="157"/>
      <c r="HU63" s="157"/>
      <c r="HV63" s="157"/>
      <c r="HW63" s="157"/>
      <c r="HX63" s="157"/>
      <c r="HY63" s="157"/>
      <c r="HZ63" s="157"/>
      <c r="IA63" s="157"/>
      <c r="IB63" s="157"/>
      <c r="IC63" s="157"/>
      <c r="ID63" s="157"/>
      <c r="IE63" s="157"/>
      <c r="IF63" s="157"/>
      <c r="IG63" s="157"/>
      <c r="IH63" s="157"/>
      <c r="II63" s="157"/>
      <c r="IJ63" s="157"/>
      <c r="IK63" s="157"/>
      <c r="IL63" s="157"/>
      <c r="IM63" s="157"/>
      <c r="IN63" s="157"/>
      <c r="IO63" s="157"/>
      <c r="IP63" s="157"/>
      <c r="IQ63" s="157"/>
      <c r="IR63" s="157"/>
      <c r="IS63" s="157"/>
      <c r="IT63" s="157"/>
      <c r="IU63" s="157"/>
      <c r="IV63" s="157"/>
      <c r="IW63" s="157"/>
      <c r="IX63" s="157"/>
      <c r="IY63" s="157"/>
      <c r="IZ63" s="157"/>
      <c r="JA63" s="157"/>
      <c r="JB63" s="157"/>
      <c r="JC63" s="157"/>
      <c r="JD63" s="157"/>
      <c r="JE63" s="157"/>
      <c r="JF63" s="157"/>
      <c r="JG63" s="157"/>
      <c r="JH63" s="157"/>
      <c r="JI63" s="157"/>
      <c r="JJ63" s="157"/>
      <c r="JK63" s="157"/>
      <c r="JL63" s="157"/>
      <c r="JM63" s="157"/>
      <c r="JN63" s="157"/>
      <c r="JO63" s="157"/>
      <c r="JP63" s="157"/>
      <c r="JQ63" s="157"/>
      <c r="JR63" s="157"/>
      <c r="JS63" s="157"/>
      <c r="JT63" s="157"/>
      <c r="JU63" s="157"/>
      <c r="JV63" s="157"/>
      <c r="JW63" s="157"/>
      <c r="JX63" s="157"/>
      <c r="JY63" s="157"/>
      <c r="JZ63" s="157"/>
      <c r="KA63" s="157"/>
      <c r="KB63" s="157"/>
      <c r="KC63" s="157"/>
      <c r="KD63" s="157"/>
      <c r="KE63" s="157"/>
      <c r="KF63" s="157"/>
      <c r="KG63" s="157"/>
      <c r="KH63" s="157"/>
      <c r="KI63" s="157"/>
      <c r="KJ63" s="157"/>
      <c r="KK63" s="157"/>
      <c r="KL63" s="157"/>
    </row>
    <row r="64" spans="40:298" x14ac:dyDescent="0.2">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157"/>
      <c r="ED64" s="157"/>
      <c r="EE64" s="157"/>
      <c r="EF64" s="157"/>
      <c r="EG64" s="157"/>
      <c r="EH64" s="157"/>
      <c r="EI64" s="157"/>
      <c r="EJ64" s="157"/>
      <c r="EK64" s="157"/>
      <c r="EL64" s="157"/>
      <c r="EM64" s="157"/>
      <c r="EN64" s="157"/>
      <c r="EO64" s="157"/>
      <c r="EP64" s="157"/>
      <c r="EQ64" s="157"/>
      <c r="ER64" s="157"/>
      <c r="ES64" s="157"/>
      <c r="ET64" s="157"/>
      <c r="EU64" s="157"/>
      <c r="EV64" s="157"/>
      <c r="EW64" s="157"/>
      <c r="EX64" s="157"/>
      <c r="EY64" s="157"/>
      <c r="EZ64" s="157"/>
      <c r="FA64" s="157"/>
      <c r="FB64" s="157"/>
      <c r="FC64" s="157"/>
      <c r="FD64" s="157"/>
      <c r="FE64" s="157"/>
      <c r="FF64" s="157"/>
      <c r="FG64" s="157"/>
      <c r="FH64" s="157"/>
      <c r="FI64" s="157"/>
      <c r="FJ64" s="157"/>
      <c r="FK64" s="157"/>
      <c r="FL64" s="157"/>
      <c r="FM64" s="157"/>
      <c r="FN64" s="157"/>
      <c r="FO64" s="157"/>
      <c r="FP64" s="157"/>
      <c r="FQ64" s="157"/>
      <c r="FR64" s="157"/>
      <c r="FS64" s="157"/>
      <c r="FT64" s="157"/>
      <c r="FU64" s="157"/>
      <c r="FV64" s="157"/>
      <c r="FW64" s="157"/>
      <c r="FX64" s="157"/>
      <c r="FY64" s="157"/>
      <c r="FZ64" s="157"/>
      <c r="GA64" s="157"/>
      <c r="GB64" s="157"/>
      <c r="GC64" s="157"/>
      <c r="GD64" s="157"/>
      <c r="GE64" s="157"/>
      <c r="GF64" s="157"/>
      <c r="GG64" s="157"/>
      <c r="GH64" s="157"/>
      <c r="GI64" s="157"/>
      <c r="GJ64" s="157"/>
      <c r="GK64" s="157"/>
      <c r="GL64" s="157"/>
      <c r="GM64" s="157"/>
      <c r="GN64" s="157"/>
      <c r="GO64" s="157"/>
      <c r="GP64" s="157"/>
      <c r="GQ64" s="157"/>
      <c r="GR64" s="157"/>
      <c r="GS64" s="157"/>
      <c r="GT64" s="157"/>
      <c r="GU64" s="157"/>
      <c r="GV64" s="157"/>
      <c r="GW64" s="157"/>
      <c r="GX64" s="157"/>
      <c r="GY64" s="157"/>
      <c r="GZ64" s="157"/>
      <c r="HA64" s="157"/>
      <c r="HB64" s="157"/>
      <c r="HC64" s="157"/>
      <c r="HD64" s="157"/>
      <c r="HE64" s="157"/>
      <c r="HF64" s="157"/>
      <c r="HG64" s="157"/>
      <c r="HH64" s="157"/>
      <c r="HI64" s="157"/>
      <c r="HJ64" s="157"/>
      <c r="HK64" s="157"/>
      <c r="HL64" s="157"/>
      <c r="HM64" s="157"/>
      <c r="HN64" s="157"/>
      <c r="HO64" s="157"/>
      <c r="HP64" s="157"/>
      <c r="HQ64" s="157"/>
      <c r="HR64" s="157"/>
      <c r="HS64" s="157"/>
      <c r="HT64" s="157"/>
      <c r="HU64" s="157"/>
      <c r="HV64" s="157"/>
      <c r="HW64" s="157"/>
      <c r="HX64" s="157"/>
      <c r="HY64" s="157"/>
      <c r="HZ64" s="157"/>
      <c r="IA64" s="157"/>
      <c r="IB64" s="157"/>
      <c r="IC64" s="157"/>
      <c r="ID64" s="157"/>
      <c r="IE64" s="157"/>
      <c r="IF64" s="157"/>
      <c r="IG64" s="157"/>
      <c r="IH64" s="157"/>
      <c r="II64" s="157"/>
      <c r="IJ64" s="157"/>
      <c r="IK64" s="157"/>
      <c r="IL64" s="157"/>
      <c r="IM64" s="157"/>
      <c r="IN64" s="157"/>
      <c r="IO64" s="157"/>
      <c r="IP64" s="157"/>
      <c r="IQ64" s="157"/>
      <c r="IR64" s="157"/>
      <c r="IS64" s="157"/>
      <c r="IT64" s="157"/>
      <c r="IU64" s="157"/>
      <c r="IV64" s="157"/>
      <c r="IW64" s="157"/>
      <c r="IX64" s="157"/>
      <c r="IY64" s="157"/>
      <c r="IZ64" s="157"/>
      <c r="JA64" s="157"/>
      <c r="JB64" s="157"/>
      <c r="JC64" s="157"/>
      <c r="JD64" s="157"/>
      <c r="JE64" s="157"/>
      <c r="JF64" s="157"/>
      <c r="JG64" s="157"/>
      <c r="JH64" s="157"/>
      <c r="JI64" s="157"/>
      <c r="JJ64" s="157"/>
      <c r="JK64" s="157"/>
      <c r="JL64" s="157"/>
      <c r="JM64" s="157"/>
      <c r="JN64" s="157"/>
      <c r="JO64" s="157"/>
      <c r="JP64" s="157"/>
      <c r="JQ64" s="157"/>
      <c r="JR64" s="157"/>
      <c r="JS64" s="157"/>
      <c r="JT64" s="157"/>
      <c r="JU64" s="157"/>
      <c r="JV64" s="157"/>
      <c r="JW64" s="157"/>
      <c r="JX64" s="157"/>
      <c r="JY64" s="157"/>
      <c r="JZ64" s="157"/>
      <c r="KA64" s="157"/>
      <c r="KB64" s="157"/>
      <c r="KC64" s="157"/>
      <c r="KD64" s="157"/>
      <c r="KE64" s="157"/>
      <c r="KF64" s="157"/>
      <c r="KG64" s="157"/>
      <c r="KH64" s="157"/>
      <c r="KI64" s="157"/>
      <c r="KJ64" s="157"/>
      <c r="KK64" s="157"/>
      <c r="KL64" s="157"/>
    </row>
    <row r="65" spans="40:298" x14ac:dyDescent="0.2">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157"/>
      <c r="ED65" s="157"/>
      <c r="EE65" s="157"/>
      <c r="EF65" s="157"/>
      <c r="EG65" s="157"/>
      <c r="EH65" s="157"/>
      <c r="EI65" s="157"/>
      <c r="EJ65" s="157"/>
      <c r="EK65" s="157"/>
      <c r="EL65" s="157"/>
      <c r="EM65" s="157"/>
      <c r="EN65" s="157"/>
      <c r="EO65" s="157"/>
      <c r="EP65" s="157"/>
      <c r="EQ65" s="157"/>
      <c r="ER65" s="157"/>
      <c r="ES65" s="157"/>
      <c r="ET65" s="157"/>
      <c r="EU65" s="157"/>
      <c r="EV65" s="157"/>
      <c r="EW65" s="157"/>
      <c r="EX65" s="157"/>
      <c r="EY65" s="157"/>
      <c r="EZ65" s="157"/>
      <c r="FA65" s="157"/>
      <c r="FB65" s="157"/>
      <c r="FC65" s="157"/>
      <c r="FD65" s="157"/>
      <c r="FE65" s="157"/>
      <c r="FF65" s="157"/>
      <c r="FG65" s="157"/>
      <c r="FH65" s="157"/>
      <c r="FI65" s="157"/>
      <c r="FJ65" s="157"/>
      <c r="FK65" s="157"/>
      <c r="FL65" s="157"/>
      <c r="FM65" s="157"/>
      <c r="FN65" s="157"/>
      <c r="FO65" s="157"/>
      <c r="FP65" s="157"/>
      <c r="FQ65" s="157"/>
      <c r="FR65" s="157"/>
      <c r="FS65" s="157"/>
      <c r="FT65" s="157"/>
      <c r="FU65" s="157"/>
      <c r="FV65" s="157"/>
      <c r="FW65" s="157"/>
      <c r="FX65" s="157"/>
      <c r="FY65" s="157"/>
      <c r="FZ65" s="157"/>
      <c r="GA65" s="157"/>
      <c r="GB65" s="157"/>
      <c r="GC65" s="157"/>
      <c r="GD65" s="157"/>
      <c r="GE65" s="157"/>
      <c r="GF65" s="157"/>
      <c r="GG65" s="157"/>
      <c r="GH65" s="157"/>
      <c r="GI65" s="157"/>
      <c r="GJ65" s="157"/>
      <c r="GK65" s="157"/>
      <c r="GL65" s="157"/>
      <c r="GM65" s="157"/>
      <c r="GN65" s="157"/>
      <c r="GO65" s="157"/>
      <c r="GP65" s="157"/>
      <c r="GQ65" s="157"/>
      <c r="GR65" s="157"/>
      <c r="GS65" s="157"/>
      <c r="GT65" s="157"/>
      <c r="GU65" s="157"/>
      <c r="GV65" s="157"/>
      <c r="GW65" s="157"/>
      <c r="GX65" s="157"/>
      <c r="GY65" s="157"/>
      <c r="GZ65" s="157"/>
      <c r="HA65" s="157"/>
      <c r="HB65" s="157"/>
      <c r="HC65" s="157"/>
      <c r="HD65" s="157"/>
      <c r="HE65" s="157"/>
      <c r="HF65" s="157"/>
      <c r="HG65" s="157"/>
      <c r="HH65" s="157"/>
      <c r="HI65" s="157"/>
      <c r="HJ65" s="157"/>
      <c r="HK65" s="157"/>
      <c r="HL65" s="157"/>
      <c r="HM65" s="157"/>
      <c r="HN65" s="157"/>
      <c r="HO65" s="157"/>
      <c r="HP65" s="157"/>
      <c r="HQ65" s="157"/>
      <c r="HR65" s="157"/>
      <c r="HS65" s="157"/>
      <c r="HT65" s="157"/>
      <c r="HU65" s="157"/>
      <c r="HV65" s="157"/>
      <c r="HW65" s="157"/>
      <c r="HX65" s="157"/>
      <c r="HY65" s="157"/>
      <c r="HZ65" s="157"/>
      <c r="IA65" s="157"/>
      <c r="IB65" s="157"/>
      <c r="IC65" s="157"/>
      <c r="ID65" s="157"/>
      <c r="IE65" s="157"/>
      <c r="IF65" s="157"/>
      <c r="IG65" s="157"/>
      <c r="IH65" s="157"/>
      <c r="II65" s="157"/>
      <c r="IJ65" s="157"/>
      <c r="IK65" s="157"/>
      <c r="IL65" s="157"/>
      <c r="IM65" s="157"/>
      <c r="IN65" s="157"/>
      <c r="IO65" s="157"/>
      <c r="IP65" s="157"/>
      <c r="IQ65" s="157"/>
      <c r="IR65" s="157"/>
      <c r="IS65" s="157"/>
      <c r="IT65" s="157"/>
      <c r="IU65" s="157"/>
      <c r="IV65" s="157"/>
      <c r="IW65" s="157"/>
      <c r="IX65" s="157"/>
      <c r="IY65" s="157"/>
      <c r="IZ65" s="157"/>
      <c r="JA65" s="157"/>
      <c r="JB65" s="157"/>
      <c r="JC65" s="157"/>
      <c r="JD65" s="157"/>
      <c r="JE65" s="157"/>
      <c r="JF65" s="157"/>
      <c r="JG65" s="157"/>
      <c r="JH65" s="157"/>
      <c r="JI65" s="157"/>
      <c r="JJ65" s="157"/>
      <c r="JK65" s="157"/>
      <c r="JL65" s="157"/>
      <c r="JM65" s="157"/>
      <c r="JN65" s="157"/>
      <c r="JO65" s="157"/>
      <c r="JP65" s="157"/>
      <c r="JQ65" s="157"/>
      <c r="JR65" s="157"/>
      <c r="JS65" s="157"/>
      <c r="JT65" s="157"/>
      <c r="JU65" s="157"/>
      <c r="JV65" s="157"/>
      <c r="JW65" s="157"/>
      <c r="JX65" s="157"/>
      <c r="JY65" s="157"/>
      <c r="JZ65" s="157"/>
      <c r="KA65" s="157"/>
      <c r="KB65" s="157"/>
      <c r="KC65" s="157"/>
      <c r="KD65" s="157"/>
      <c r="KE65" s="157"/>
      <c r="KF65" s="157"/>
      <c r="KG65" s="157"/>
      <c r="KH65" s="157"/>
      <c r="KI65" s="157"/>
      <c r="KJ65" s="157"/>
      <c r="KK65" s="157"/>
      <c r="KL65" s="157"/>
    </row>
    <row r="66" spans="40:298" x14ac:dyDescent="0.2">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157"/>
      <c r="ED66" s="157"/>
      <c r="EE66" s="157"/>
      <c r="EF66" s="157"/>
      <c r="EG66" s="157"/>
      <c r="EH66" s="157"/>
      <c r="EI66" s="157"/>
      <c r="EJ66" s="157"/>
      <c r="EK66" s="157"/>
      <c r="EL66" s="157"/>
      <c r="EM66" s="157"/>
      <c r="EN66" s="157"/>
      <c r="EO66" s="157"/>
      <c r="EP66" s="157"/>
      <c r="EQ66" s="157"/>
      <c r="ER66" s="157"/>
      <c r="ES66" s="157"/>
      <c r="ET66" s="157"/>
      <c r="EU66" s="157"/>
      <c r="EV66" s="157"/>
      <c r="EW66" s="157"/>
      <c r="EX66" s="157"/>
      <c r="EY66" s="157"/>
      <c r="EZ66" s="157"/>
      <c r="FA66" s="157"/>
      <c r="FB66" s="157"/>
      <c r="FC66" s="157"/>
      <c r="FD66" s="157"/>
      <c r="FE66" s="157"/>
      <c r="FF66" s="157"/>
      <c r="FG66" s="157"/>
      <c r="FH66" s="157"/>
      <c r="FI66" s="157"/>
      <c r="FJ66" s="157"/>
      <c r="FK66" s="157"/>
      <c r="FL66" s="157"/>
      <c r="FM66" s="157"/>
      <c r="FN66" s="157"/>
      <c r="FO66" s="157"/>
      <c r="FP66" s="157"/>
      <c r="FQ66" s="157"/>
      <c r="FR66" s="157"/>
      <c r="FS66" s="157"/>
      <c r="FT66" s="157"/>
      <c r="FU66" s="157"/>
      <c r="FV66" s="157"/>
      <c r="FW66" s="157"/>
      <c r="FX66" s="157"/>
      <c r="FY66" s="157"/>
      <c r="FZ66" s="157"/>
      <c r="GA66" s="157"/>
      <c r="GB66" s="157"/>
      <c r="GC66" s="157"/>
      <c r="GD66" s="157"/>
      <c r="GE66" s="157"/>
      <c r="GF66" s="157"/>
      <c r="GG66" s="157"/>
      <c r="GH66" s="157"/>
      <c r="GI66" s="157"/>
      <c r="GJ66" s="157"/>
      <c r="GK66" s="157"/>
      <c r="GL66" s="157"/>
      <c r="GM66" s="157"/>
      <c r="GN66" s="157"/>
      <c r="GO66" s="157"/>
      <c r="GP66" s="157"/>
      <c r="GQ66" s="157"/>
      <c r="GR66" s="157"/>
      <c r="GS66" s="157"/>
      <c r="GT66" s="157"/>
      <c r="GU66" s="157"/>
      <c r="GV66" s="157"/>
      <c r="GW66" s="157"/>
      <c r="GX66" s="157"/>
      <c r="GY66" s="157"/>
      <c r="GZ66" s="157"/>
      <c r="HA66" s="157"/>
      <c r="HB66" s="157"/>
      <c r="HC66" s="157"/>
      <c r="HD66" s="157"/>
      <c r="HE66" s="157"/>
      <c r="HF66" s="157"/>
      <c r="HG66" s="157"/>
      <c r="HH66" s="157"/>
      <c r="HI66" s="157"/>
      <c r="HJ66" s="157"/>
      <c r="HK66" s="157"/>
      <c r="HL66" s="157"/>
      <c r="HM66" s="157"/>
      <c r="HN66" s="157"/>
      <c r="HO66" s="157"/>
      <c r="HP66" s="157"/>
      <c r="HQ66" s="157"/>
      <c r="HR66" s="157"/>
      <c r="HS66" s="157"/>
      <c r="HT66" s="157"/>
      <c r="HU66" s="157"/>
      <c r="HV66" s="157"/>
      <c r="HW66" s="157"/>
      <c r="HX66" s="157"/>
      <c r="HY66" s="157"/>
      <c r="HZ66" s="157"/>
      <c r="IA66" s="157"/>
      <c r="IB66" s="157"/>
      <c r="IC66" s="157"/>
      <c r="ID66" s="157"/>
      <c r="IE66" s="157"/>
      <c r="IF66" s="157"/>
      <c r="IG66" s="157"/>
      <c r="IH66" s="157"/>
      <c r="II66" s="157"/>
      <c r="IJ66" s="157"/>
      <c r="IK66" s="157"/>
      <c r="IL66" s="157"/>
      <c r="IM66" s="157"/>
      <c r="IN66" s="157"/>
      <c r="IO66" s="157"/>
      <c r="IP66" s="157"/>
      <c r="IQ66" s="157"/>
      <c r="IR66" s="157"/>
      <c r="IS66" s="157"/>
      <c r="IT66" s="157"/>
      <c r="IU66" s="157"/>
      <c r="IV66" s="157"/>
      <c r="IW66" s="157"/>
      <c r="IX66" s="157"/>
      <c r="IY66" s="157"/>
      <c r="IZ66" s="157"/>
      <c r="JA66" s="157"/>
      <c r="JB66" s="157"/>
      <c r="JC66" s="157"/>
      <c r="JD66" s="157"/>
      <c r="JE66" s="157"/>
      <c r="JF66" s="157"/>
      <c r="JG66" s="157"/>
      <c r="JH66" s="157"/>
      <c r="JI66" s="157"/>
      <c r="JJ66" s="157"/>
      <c r="JK66" s="157"/>
      <c r="JL66" s="157"/>
      <c r="JM66" s="157"/>
      <c r="JN66" s="157"/>
      <c r="JO66" s="157"/>
      <c r="JP66" s="157"/>
      <c r="JQ66" s="157"/>
      <c r="JR66" s="157"/>
      <c r="JS66" s="157"/>
      <c r="JT66" s="157"/>
      <c r="JU66" s="157"/>
      <c r="JV66" s="157"/>
      <c r="JW66" s="157"/>
      <c r="JX66" s="157"/>
      <c r="JY66" s="157"/>
      <c r="JZ66" s="157"/>
      <c r="KA66" s="157"/>
      <c r="KB66" s="157"/>
      <c r="KC66" s="157"/>
      <c r="KD66" s="157"/>
      <c r="KE66" s="157"/>
      <c r="KF66" s="157"/>
      <c r="KG66" s="157"/>
      <c r="KH66" s="157"/>
      <c r="KI66" s="157"/>
      <c r="KJ66" s="157"/>
      <c r="KK66" s="157"/>
      <c r="KL66" s="157"/>
    </row>
    <row r="67" spans="40:298" x14ac:dyDescent="0.2">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157"/>
      <c r="ED67" s="157"/>
      <c r="EE67" s="157"/>
      <c r="EF67" s="157"/>
      <c r="EG67" s="157"/>
      <c r="EH67" s="157"/>
      <c r="EI67" s="157"/>
      <c r="EJ67" s="157"/>
      <c r="EK67" s="157"/>
      <c r="EL67" s="157"/>
      <c r="EM67" s="157"/>
      <c r="EN67" s="157"/>
      <c r="EO67" s="157"/>
      <c r="EP67" s="157"/>
      <c r="EQ67" s="157"/>
      <c r="ER67" s="157"/>
      <c r="ES67" s="157"/>
      <c r="ET67" s="157"/>
      <c r="EU67" s="157"/>
      <c r="EV67" s="157"/>
      <c r="EW67" s="157"/>
      <c r="EX67" s="157"/>
      <c r="EY67" s="157"/>
      <c r="EZ67" s="157"/>
      <c r="FA67" s="157"/>
      <c r="FB67" s="157"/>
      <c r="FC67" s="157"/>
      <c r="FD67" s="157"/>
      <c r="FE67" s="157"/>
      <c r="FF67" s="157"/>
      <c r="FG67" s="157"/>
      <c r="FH67" s="157"/>
      <c r="FI67" s="157"/>
      <c r="FJ67" s="157"/>
      <c r="FK67" s="157"/>
      <c r="FL67" s="157"/>
      <c r="FM67" s="157"/>
      <c r="FN67" s="157"/>
      <c r="FO67" s="157"/>
      <c r="FP67" s="157"/>
      <c r="FQ67" s="157"/>
      <c r="FR67" s="157"/>
      <c r="FS67" s="157"/>
      <c r="FT67" s="157"/>
      <c r="FU67" s="157"/>
      <c r="FV67" s="157"/>
      <c r="FW67" s="157"/>
      <c r="FX67" s="157"/>
      <c r="FY67" s="157"/>
      <c r="FZ67" s="157"/>
      <c r="GA67" s="157"/>
      <c r="GB67" s="157"/>
      <c r="GC67" s="157"/>
      <c r="GD67" s="157"/>
      <c r="GE67" s="157"/>
      <c r="GF67" s="157"/>
      <c r="GG67" s="157"/>
      <c r="GH67" s="157"/>
      <c r="GI67" s="157"/>
      <c r="GJ67" s="157"/>
      <c r="GK67" s="157"/>
      <c r="GL67" s="157"/>
      <c r="GM67" s="157"/>
      <c r="GN67" s="157"/>
      <c r="GO67" s="157"/>
      <c r="GP67" s="157"/>
      <c r="GQ67" s="157"/>
      <c r="GR67" s="157"/>
      <c r="GS67" s="157"/>
      <c r="GT67" s="157"/>
      <c r="GU67" s="157"/>
      <c r="GV67" s="157"/>
      <c r="GW67" s="157"/>
      <c r="GX67" s="157"/>
      <c r="GY67" s="157"/>
      <c r="GZ67" s="157"/>
      <c r="HA67" s="157"/>
      <c r="HB67" s="157"/>
      <c r="HC67" s="157"/>
      <c r="HD67" s="157"/>
      <c r="HE67" s="157"/>
      <c r="HF67" s="157"/>
      <c r="HG67" s="157"/>
      <c r="HH67" s="157"/>
      <c r="HI67" s="157"/>
      <c r="HJ67" s="157"/>
      <c r="HK67" s="157"/>
      <c r="HL67" s="157"/>
      <c r="HM67" s="157"/>
      <c r="HN67" s="157"/>
      <c r="HO67" s="157"/>
      <c r="HP67" s="157"/>
      <c r="HQ67" s="157"/>
      <c r="HR67" s="157"/>
      <c r="HS67" s="157"/>
      <c r="HT67" s="157"/>
      <c r="HU67" s="157"/>
      <c r="HV67" s="157"/>
      <c r="HW67" s="157"/>
      <c r="HX67" s="157"/>
      <c r="HY67" s="157"/>
      <c r="HZ67" s="157"/>
      <c r="IA67" s="157"/>
      <c r="IB67" s="157"/>
      <c r="IC67" s="157"/>
      <c r="ID67" s="157"/>
      <c r="IE67" s="157"/>
      <c r="IF67" s="157"/>
      <c r="IG67" s="157"/>
      <c r="IH67" s="157"/>
      <c r="II67" s="157"/>
      <c r="IJ67" s="157"/>
      <c r="IK67" s="157"/>
      <c r="IL67" s="157"/>
      <c r="IM67" s="157"/>
      <c r="IN67" s="157"/>
      <c r="IO67" s="157"/>
      <c r="IP67" s="157"/>
      <c r="IQ67" s="157"/>
      <c r="IR67" s="157"/>
      <c r="IS67" s="157"/>
      <c r="IT67" s="157"/>
      <c r="IU67" s="157"/>
      <c r="IV67" s="157"/>
      <c r="IW67" s="157"/>
      <c r="IX67" s="157"/>
      <c r="IY67" s="157"/>
      <c r="IZ67" s="157"/>
      <c r="JA67" s="157"/>
      <c r="JB67" s="157"/>
      <c r="JC67" s="157"/>
      <c r="JD67" s="157"/>
      <c r="JE67" s="157"/>
      <c r="JF67" s="157"/>
      <c r="JG67" s="157"/>
      <c r="JH67" s="157"/>
      <c r="JI67" s="157"/>
      <c r="JJ67" s="157"/>
      <c r="JK67" s="157"/>
      <c r="JL67" s="157"/>
      <c r="JM67" s="157"/>
      <c r="JN67" s="157"/>
      <c r="JO67" s="157"/>
      <c r="JP67" s="157"/>
      <c r="JQ67" s="157"/>
      <c r="JR67" s="157"/>
      <c r="JS67" s="157"/>
      <c r="JT67" s="157"/>
      <c r="JU67" s="157"/>
      <c r="JV67" s="157"/>
      <c r="JW67" s="157"/>
      <c r="JX67" s="157"/>
      <c r="JY67" s="157"/>
      <c r="JZ67" s="157"/>
      <c r="KA67" s="157"/>
      <c r="KB67" s="157"/>
      <c r="KC67" s="157"/>
      <c r="KD67" s="157"/>
      <c r="KE67" s="157"/>
      <c r="KF67" s="157"/>
      <c r="KG67" s="157"/>
      <c r="KH67" s="157"/>
      <c r="KI67" s="157"/>
      <c r="KJ67" s="157"/>
      <c r="KK67" s="157"/>
      <c r="KL67" s="157"/>
    </row>
    <row r="68" spans="40:298" x14ac:dyDescent="0.2">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157"/>
      <c r="ED68" s="157"/>
      <c r="EE68" s="157"/>
      <c r="EF68" s="157"/>
      <c r="EG68" s="157"/>
      <c r="EH68" s="157"/>
      <c r="EI68" s="157"/>
      <c r="EJ68" s="157"/>
      <c r="EK68" s="157"/>
      <c r="EL68" s="157"/>
      <c r="EM68" s="157"/>
      <c r="EN68" s="157"/>
      <c r="EO68" s="157"/>
      <c r="EP68" s="157"/>
      <c r="EQ68" s="157"/>
      <c r="ER68" s="157"/>
      <c r="ES68" s="157"/>
      <c r="ET68" s="157"/>
      <c r="EU68" s="157"/>
      <c r="EV68" s="157"/>
      <c r="EW68" s="157"/>
      <c r="EX68" s="157"/>
      <c r="EY68" s="157"/>
      <c r="EZ68" s="157"/>
      <c r="FA68" s="157"/>
      <c r="FB68" s="157"/>
      <c r="FC68" s="157"/>
      <c r="FD68" s="157"/>
      <c r="FE68" s="157"/>
      <c r="FF68" s="157"/>
      <c r="FG68" s="157"/>
      <c r="FH68" s="157"/>
      <c r="FI68" s="157"/>
      <c r="FJ68" s="157"/>
      <c r="FK68" s="157"/>
      <c r="FL68" s="157"/>
      <c r="FM68" s="157"/>
      <c r="FN68" s="157"/>
      <c r="FO68" s="157"/>
      <c r="FP68" s="157"/>
      <c r="FQ68" s="157"/>
      <c r="FR68" s="157"/>
      <c r="FS68" s="157"/>
      <c r="FT68" s="157"/>
      <c r="FU68" s="157"/>
      <c r="FV68" s="157"/>
      <c r="FW68" s="157"/>
      <c r="FX68" s="157"/>
      <c r="FY68" s="157"/>
      <c r="FZ68" s="157"/>
      <c r="GA68" s="157"/>
      <c r="GB68" s="157"/>
      <c r="GC68" s="157"/>
      <c r="GD68" s="157"/>
      <c r="GE68" s="157"/>
      <c r="GF68" s="157"/>
      <c r="GG68" s="157"/>
      <c r="GH68" s="157"/>
      <c r="GI68" s="157"/>
      <c r="GJ68" s="157"/>
      <c r="GK68" s="157"/>
      <c r="GL68" s="157"/>
      <c r="GM68" s="157"/>
      <c r="GN68" s="157"/>
      <c r="GO68" s="157"/>
      <c r="GP68" s="157"/>
      <c r="GQ68" s="157"/>
      <c r="GR68" s="157"/>
      <c r="GS68" s="157"/>
      <c r="GT68" s="157"/>
      <c r="GU68" s="157"/>
      <c r="GV68" s="157"/>
      <c r="GW68" s="157"/>
      <c r="GX68" s="157"/>
      <c r="GY68" s="157"/>
      <c r="GZ68" s="157"/>
      <c r="HA68" s="157"/>
      <c r="HB68" s="157"/>
      <c r="HC68" s="157"/>
      <c r="HD68" s="157"/>
      <c r="HE68" s="157"/>
      <c r="HF68" s="157"/>
      <c r="HG68" s="157"/>
      <c r="HH68" s="157"/>
      <c r="HI68" s="157"/>
      <c r="HJ68" s="157"/>
      <c r="HK68" s="157"/>
      <c r="HL68" s="157"/>
      <c r="HM68" s="157"/>
      <c r="HN68" s="157"/>
      <c r="HO68" s="157"/>
      <c r="HP68" s="157"/>
      <c r="HQ68" s="157"/>
      <c r="HR68" s="157"/>
      <c r="HS68" s="157"/>
      <c r="HT68" s="157"/>
      <c r="HU68" s="157"/>
      <c r="HV68" s="157"/>
      <c r="HW68" s="157"/>
      <c r="HX68" s="157"/>
      <c r="HY68" s="157"/>
      <c r="HZ68" s="157"/>
      <c r="IA68" s="157"/>
      <c r="IB68" s="157"/>
      <c r="IC68" s="157"/>
      <c r="ID68" s="157"/>
      <c r="IE68" s="157"/>
      <c r="IF68" s="157"/>
      <c r="IG68" s="157"/>
      <c r="IH68" s="157"/>
      <c r="II68" s="157"/>
      <c r="IJ68" s="157"/>
      <c r="IK68" s="157"/>
      <c r="IL68" s="157"/>
      <c r="IM68" s="157"/>
      <c r="IN68" s="157"/>
      <c r="IO68" s="157"/>
      <c r="IP68" s="157"/>
      <c r="IQ68" s="157"/>
      <c r="IR68" s="157"/>
      <c r="IS68" s="157"/>
      <c r="IT68" s="157"/>
      <c r="IU68" s="157"/>
      <c r="IV68" s="157"/>
      <c r="IW68" s="157"/>
      <c r="IX68" s="157"/>
      <c r="IY68" s="157"/>
      <c r="IZ68" s="157"/>
      <c r="JA68" s="157"/>
      <c r="JB68" s="157"/>
      <c r="JC68" s="157"/>
      <c r="JD68" s="157"/>
      <c r="JE68" s="157"/>
      <c r="JF68" s="157"/>
      <c r="JG68" s="157"/>
      <c r="JH68" s="157"/>
      <c r="JI68" s="157"/>
      <c r="JJ68" s="157"/>
      <c r="JK68" s="157"/>
      <c r="JL68" s="157"/>
      <c r="JM68" s="157"/>
      <c r="JN68" s="157"/>
      <c r="JO68" s="157"/>
      <c r="JP68" s="157"/>
      <c r="JQ68" s="157"/>
      <c r="JR68" s="157"/>
      <c r="JS68" s="157"/>
      <c r="JT68" s="157"/>
      <c r="JU68" s="157"/>
      <c r="JV68" s="157"/>
      <c r="JW68" s="157"/>
      <c r="JX68" s="157"/>
      <c r="JY68" s="157"/>
      <c r="JZ68" s="157"/>
      <c r="KA68" s="157"/>
      <c r="KB68" s="157"/>
      <c r="KC68" s="157"/>
      <c r="KD68" s="157"/>
      <c r="KE68" s="157"/>
      <c r="KF68" s="157"/>
      <c r="KG68" s="157"/>
      <c r="KH68" s="157"/>
      <c r="KI68" s="157"/>
      <c r="KJ68" s="157"/>
      <c r="KK68" s="157"/>
      <c r="KL68" s="157"/>
    </row>
    <row r="69" spans="40:298" x14ac:dyDescent="0.2">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157"/>
      <c r="ED69" s="157"/>
      <c r="EE69" s="157"/>
      <c r="EF69" s="157"/>
      <c r="EG69" s="157"/>
      <c r="EH69" s="157"/>
      <c r="EI69" s="157"/>
      <c r="EJ69" s="157"/>
      <c r="EK69" s="157"/>
      <c r="EL69" s="157"/>
      <c r="EM69" s="157"/>
      <c r="EN69" s="157"/>
      <c r="EO69" s="157"/>
      <c r="EP69" s="157"/>
      <c r="EQ69" s="157"/>
      <c r="ER69" s="157"/>
      <c r="ES69" s="157"/>
      <c r="ET69" s="157"/>
      <c r="EU69" s="157"/>
      <c r="EV69" s="157"/>
      <c r="EW69" s="157"/>
      <c r="EX69" s="157"/>
      <c r="EY69" s="157"/>
      <c r="EZ69" s="157"/>
      <c r="FA69" s="157"/>
      <c r="FB69" s="157"/>
      <c r="FC69" s="157"/>
      <c r="FD69" s="157"/>
      <c r="FE69" s="157"/>
      <c r="FF69" s="157"/>
      <c r="FG69" s="157"/>
      <c r="FH69" s="157"/>
      <c r="FI69" s="157"/>
      <c r="FJ69" s="157"/>
      <c r="FK69" s="157"/>
      <c r="FL69" s="157"/>
      <c r="FM69" s="157"/>
      <c r="FN69" s="157"/>
      <c r="FO69" s="157"/>
      <c r="FP69" s="157"/>
      <c r="FQ69" s="157"/>
      <c r="FR69" s="157"/>
      <c r="FS69" s="157"/>
      <c r="FT69" s="157"/>
      <c r="FU69" s="157"/>
      <c r="FV69" s="157"/>
      <c r="FW69" s="157"/>
      <c r="FX69" s="157"/>
      <c r="FY69" s="157"/>
      <c r="FZ69" s="157"/>
      <c r="GA69" s="157"/>
      <c r="GB69" s="157"/>
      <c r="GC69" s="157"/>
      <c r="GD69" s="157"/>
      <c r="GE69" s="157"/>
      <c r="GF69" s="157"/>
      <c r="GG69" s="157"/>
      <c r="GH69" s="157"/>
      <c r="GI69" s="157"/>
      <c r="GJ69" s="157"/>
      <c r="GK69" s="157"/>
      <c r="GL69" s="157"/>
      <c r="GM69" s="157"/>
      <c r="GN69" s="157"/>
      <c r="GO69" s="157"/>
      <c r="GP69" s="157"/>
      <c r="GQ69" s="157"/>
      <c r="GR69" s="157"/>
      <c r="GS69" s="157"/>
      <c r="GT69" s="157"/>
      <c r="GU69" s="157"/>
      <c r="GV69" s="157"/>
      <c r="GW69" s="157"/>
      <c r="GX69" s="157"/>
      <c r="GY69" s="157"/>
      <c r="GZ69" s="157"/>
      <c r="HA69" s="157"/>
      <c r="HB69" s="157"/>
      <c r="HC69" s="157"/>
      <c r="HD69" s="157"/>
      <c r="HE69" s="157"/>
      <c r="HF69" s="157"/>
      <c r="HG69" s="157"/>
      <c r="HH69" s="157"/>
      <c r="HI69" s="157"/>
      <c r="HJ69" s="157"/>
      <c r="HK69" s="157"/>
      <c r="HL69" s="157"/>
      <c r="HM69" s="157"/>
      <c r="HN69" s="157"/>
      <c r="HO69" s="157"/>
      <c r="HP69" s="157"/>
      <c r="HQ69" s="157"/>
      <c r="HR69" s="157"/>
      <c r="HS69" s="157"/>
      <c r="HT69" s="157"/>
      <c r="HU69" s="157"/>
      <c r="HV69" s="157"/>
      <c r="HW69" s="157"/>
      <c r="HX69" s="157"/>
      <c r="HY69" s="157"/>
      <c r="HZ69" s="157"/>
      <c r="IA69" s="157"/>
      <c r="IB69" s="157"/>
      <c r="IC69" s="157"/>
      <c r="ID69" s="157"/>
      <c r="IE69" s="157"/>
      <c r="IF69" s="157"/>
      <c r="IG69" s="157"/>
      <c r="IH69" s="157"/>
      <c r="II69" s="157"/>
      <c r="IJ69" s="157"/>
      <c r="IK69" s="157"/>
      <c r="IL69" s="157"/>
      <c r="IM69" s="157"/>
      <c r="IN69" s="157"/>
      <c r="IO69" s="157"/>
      <c r="IP69" s="157"/>
      <c r="IQ69" s="157"/>
      <c r="IR69" s="157"/>
      <c r="IS69" s="157"/>
      <c r="IT69" s="157"/>
      <c r="IU69" s="157"/>
      <c r="IV69" s="157"/>
      <c r="IW69" s="157"/>
      <c r="IX69" s="157"/>
      <c r="IY69" s="157"/>
      <c r="IZ69" s="157"/>
      <c r="JA69" s="157"/>
      <c r="JB69" s="157"/>
      <c r="JC69" s="157"/>
      <c r="JD69" s="157"/>
      <c r="JE69" s="157"/>
      <c r="JF69" s="157"/>
      <c r="JG69" s="157"/>
      <c r="JH69" s="157"/>
      <c r="JI69" s="157"/>
      <c r="JJ69" s="157"/>
      <c r="JK69" s="157"/>
      <c r="JL69" s="157"/>
      <c r="JM69" s="157"/>
      <c r="JN69" s="157"/>
      <c r="JO69" s="157"/>
      <c r="JP69" s="157"/>
      <c r="JQ69" s="157"/>
      <c r="JR69" s="157"/>
      <c r="JS69" s="157"/>
      <c r="JT69" s="157"/>
      <c r="JU69" s="157"/>
      <c r="JV69" s="157"/>
      <c r="JW69" s="157"/>
      <c r="JX69" s="157"/>
      <c r="JY69" s="157"/>
      <c r="JZ69" s="157"/>
      <c r="KA69" s="157"/>
      <c r="KB69" s="157"/>
      <c r="KC69" s="157"/>
      <c r="KD69" s="157"/>
      <c r="KE69" s="157"/>
      <c r="KF69" s="157"/>
      <c r="KG69" s="157"/>
      <c r="KH69" s="157"/>
      <c r="KI69" s="157"/>
      <c r="KJ69" s="157"/>
      <c r="KK69" s="157"/>
      <c r="KL69" s="157"/>
    </row>
    <row r="70" spans="40:298" x14ac:dyDescent="0.2">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157"/>
      <c r="ED70" s="157"/>
      <c r="EE70" s="157"/>
      <c r="EF70" s="157"/>
      <c r="EG70" s="157"/>
      <c r="EH70" s="157"/>
      <c r="EI70" s="157"/>
      <c r="EJ70" s="157"/>
      <c r="EK70" s="157"/>
      <c r="EL70" s="157"/>
      <c r="EM70" s="157"/>
      <c r="EN70" s="157"/>
      <c r="EO70" s="157"/>
      <c r="EP70" s="157"/>
      <c r="EQ70" s="157"/>
      <c r="ER70" s="157"/>
      <c r="ES70" s="157"/>
      <c r="ET70" s="157"/>
      <c r="EU70" s="157"/>
      <c r="EV70" s="157"/>
      <c r="EW70" s="157"/>
      <c r="EX70" s="157"/>
      <c r="EY70" s="157"/>
      <c r="EZ70" s="157"/>
      <c r="FA70" s="157"/>
      <c r="FB70" s="157"/>
      <c r="FC70" s="157"/>
      <c r="FD70" s="157"/>
      <c r="FE70" s="157"/>
      <c r="FF70" s="157"/>
      <c r="FG70" s="157"/>
      <c r="FH70" s="157"/>
      <c r="FI70" s="157"/>
      <c r="FJ70" s="157"/>
      <c r="FK70" s="157"/>
      <c r="FL70" s="157"/>
      <c r="FM70" s="157"/>
      <c r="FN70" s="157"/>
      <c r="FO70" s="157"/>
      <c r="FP70" s="157"/>
      <c r="FQ70" s="157"/>
      <c r="FR70" s="157"/>
      <c r="FS70" s="157"/>
      <c r="FT70" s="157"/>
      <c r="FU70" s="157"/>
      <c r="FV70" s="157"/>
      <c r="FW70" s="157"/>
      <c r="FX70" s="157"/>
      <c r="FY70" s="157"/>
      <c r="FZ70" s="157"/>
      <c r="GA70" s="157"/>
      <c r="GB70" s="157"/>
      <c r="GC70" s="157"/>
      <c r="GD70" s="157"/>
      <c r="GE70" s="157"/>
      <c r="GF70" s="157"/>
      <c r="GG70" s="157"/>
      <c r="GH70" s="157"/>
      <c r="GI70" s="157"/>
      <c r="GJ70" s="157"/>
      <c r="GK70" s="157"/>
      <c r="GL70" s="157"/>
      <c r="GM70" s="157"/>
      <c r="GN70" s="157"/>
      <c r="GO70" s="157"/>
      <c r="GP70" s="157"/>
      <c r="GQ70" s="157"/>
      <c r="GR70" s="157"/>
      <c r="GS70" s="157"/>
      <c r="GT70" s="157"/>
      <c r="GU70" s="157"/>
      <c r="GV70" s="157"/>
      <c r="GW70" s="157"/>
      <c r="GX70" s="157"/>
      <c r="GY70" s="157"/>
      <c r="GZ70" s="157"/>
      <c r="HA70" s="157"/>
      <c r="HB70" s="157"/>
      <c r="HC70" s="157"/>
      <c r="HD70" s="157"/>
      <c r="HE70" s="157"/>
      <c r="HF70" s="157"/>
      <c r="HG70" s="157"/>
      <c r="HH70" s="157"/>
      <c r="HI70" s="157"/>
      <c r="HJ70" s="157"/>
      <c r="HK70" s="157"/>
      <c r="HL70" s="157"/>
      <c r="HM70" s="157"/>
      <c r="HN70" s="157"/>
      <c r="HO70" s="157"/>
      <c r="HP70" s="157"/>
      <c r="HQ70" s="157"/>
      <c r="HR70" s="157"/>
      <c r="HS70" s="157"/>
      <c r="HT70" s="157"/>
      <c r="HU70" s="157"/>
      <c r="HV70" s="157"/>
      <c r="HW70" s="157"/>
      <c r="HX70" s="157"/>
      <c r="HY70" s="157"/>
      <c r="HZ70" s="157"/>
      <c r="IA70" s="157"/>
      <c r="IB70" s="157"/>
      <c r="IC70" s="157"/>
      <c r="ID70" s="157"/>
      <c r="IE70" s="157"/>
      <c r="IF70" s="157"/>
      <c r="IG70" s="157"/>
      <c r="IH70" s="157"/>
      <c r="II70" s="157"/>
      <c r="IJ70" s="157"/>
      <c r="IK70" s="157"/>
      <c r="IL70" s="157"/>
      <c r="IM70" s="157"/>
      <c r="IN70" s="157"/>
      <c r="IO70" s="157"/>
      <c r="IP70" s="157"/>
      <c r="IQ70" s="157"/>
      <c r="IR70" s="157"/>
      <c r="IS70" s="157"/>
      <c r="IT70" s="157"/>
      <c r="IU70" s="157"/>
      <c r="IV70" s="157"/>
      <c r="IW70" s="157"/>
      <c r="IX70" s="157"/>
      <c r="IY70" s="157"/>
      <c r="IZ70" s="157"/>
      <c r="JA70" s="157"/>
      <c r="JB70" s="157"/>
      <c r="JC70" s="157"/>
      <c r="JD70" s="157"/>
      <c r="JE70" s="157"/>
      <c r="JF70" s="157"/>
      <c r="JG70" s="157"/>
      <c r="JH70" s="157"/>
      <c r="JI70" s="157"/>
      <c r="JJ70" s="157"/>
      <c r="JK70" s="157"/>
      <c r="JL70" s="157"/>
      <c r="JM70" s="157"/>
      <c r="JN70" s="157"/>
      <c r="JO70" s="157"/>
      <c r="JP70" s="157"/>
      <c r="JQ70" s="157"/>
      <c r="JR70" s="157"/>
      <c r="JS70" s="157"/>
      <c r="JT70" s="157"/>
      <c r="JU70" s="157"/>
      <c r="JV70" s="157"/>
      <c r="JW70" s="157"/>
      <c r="JX70" s="157"/>
      <c r="JY70" s="157"/>
      <c r="JZ70" s="157"/>
      <c r="KA70" s="157"/>
      <c r="KB70" s="157"/>
      <c r="KC70" s="157"/>
      <c r="KD70" s="157"/>
      <c r="KE70" s="157"/>
      <c r="KF70" s="157"/>
      <c r="KG70" s="157"/>
      <c r="KH70" s="157"/>
      <c r="KI70" s="157"/>
      <c r="KJ70" s="157"/>
      <c r="KK70" s="157"/>
      <c r="KL70" s="157"/>
    </row>
    <row r="71" spans="40:298" x14ac:dyDescent="0.2">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157"/>
      <c r="ED71" s="157"/>
      <c r="EE71" s="157"/>
      <c r="EF71" s="157"/>
      <c r="EG71" s="157"/>
      <c r="EH71" s="157"/>
      <c r="EI71" s="157"/>
      <c r="EJ71" s="157"/>
      <c r="EK71" s="157"/>
      <c r="EL71" s="157"/>
      <c r="EM71" s="157"/>
      <c r="EN71" s="157"/>
      <c r="EO71" s="157"/>
      <c r="EP71" s="157"/>
      <c r="EQ71" s="157"/>
      <c r="ER71" s="157"/>
      <c r="ES71" s="157"/>
      <c r="ET71" s="157"/>
      <c r="EU71" s="157"/>
      <c r="EV71" s="157"/>
      <c r="EW71" s="157"/>
      <c r="EX71" s="157"/>
      <c r="EY71" s="157"/>
      <c r="EZ71" s="157"/>
      <c r="FA71" s="157"/>
      <c r="FB71" s="157"/>
      <c r="FC71" s="157"/>
      <c r="FD71" s="157"/>
      <c r="FE71" s="157"/>
      <c r="FF71" s="157"/>
      <c r="FG71" s="157"/>
      <c r="FH71" s="157"/>
      <c r="FI71" s="157"/>
      <c r="FJ71" s="157"/>
      <c r="FK71" s="157"/>
      <c r="FL71" s="157"/>
      <c r="FM71" s="157"/>
      <c r="FN71" s="157"/>
      <c r="FO71" s="157"/>
      <c r="FP71" s="157"/>
      <c r="FQ71" s="157"/>
      <c r="FR71" s="157"/>
      <c r="FS71" s="157"/>
      <c r="FT71" s="157"/>
      <c r="FU71" s="157"/>
      <c r="FV71" s="157"/>
      <c r="FW71" s="157"/>
      <c r="FX71" s="157"/>
      <c r="FY71" s="157"/>
      <c r="FZ71" s="157"/>
      <c r="GA71" s="157"/>
      <c r="GB71" s="157"/>
      <c r="GC71" s="157"/>
      <c r="GD71" s="157"/>
      <c r="GE71" s="157"/>
      <c r="GF71" s="157"/>
      <c r="GG71" s="157"/>
      <c r="GH71" s="157"/>
      <c r="GI71" s="157"/>
      <c r="GJ71" s="157"/>
      <c r="GK71" s="157"/>
      <c r="GL71" s="157"/>
      <c r="GM71" s="157"/>
      <c r="GN71" s="157"/>
      <c r="GO71" s="157"/>
      <c r="GP71" s="157"/>
      <c r="GQ71" s="157"/>
      <c r="GR71" s="157"/>
      <c r="GS71" s="157"/>
      <c r="GT71" s="157"/>
      <c r="GU71" s="157"/>
      <c r="GV71" s="157"/>
      <c r="GW71" s="157"/>
      <c r="GX71" s="157"/>
      <c r="GY71" s="157"/>
      <c r="GZ71" s="157"/>
      <c r="HA71" s="157"/>
      <c r="HB71" s="157"/>
      <c r="HC71" s="157"/>
      <c r="HD71" s="157"/>
      <c r="HE71" s="157"/>
      <c r="HF71" s="157"/>
      <c r="HG71" s="157"/>
      <c r="HH71" s="157"/>
      <c r="HI71" s="157"/>
      <c r="HJ71" s="157"/>
      <c r="HK71" s="157"/>
      <c r="HL71" s="157"/>
      <c r="HM71" s="157"/>
      <c r="HN71" s="157"/>
      <c r="HO71" s="157"/>
      <c r="HP71" s="157"/>
      <c r="HQ71" s="157"/>
      <c r="HR71" s="157"/>
      <c r="HS71" s="157"/>
      <c r="HT71" s="157"/>
      <c r="HU71" s="157"/>
      <c r="HV71" s="157"/>
      <c r="HW71" s="157"/>
      <c r="HX71" s="157"/>
      <c r="HY71" s="157"/>
      <c r="HZ71" s="157"/>
      <c r="IA71" s="157"/>
      <c r="IB71" s="157"/>
      <c r="IC71" s="157"/>
      <c r="ID71" s="157"/>
      <c r="IE71" s="157"/>
      <c r="IF71" s="157"/>
      <c r="IG71" s="157"/>
      <c r="IH71" s="157"/>
      <c r="II71" s="157"/>
      <c r="IJ71" s="157"/>
      <c r="IK71" s="157"/>
      <c r="IL71" s="157"/>
      <c r="IM71" s="157"/>
      <c r="IN71" s="157"/>
      <c r="IO71" s="157"/>
      <c r="IP71" s="157"/>
      <c r="IQ71" s="157"/>
      <c r="IR71" s="157"/>
      <c r="IS71" s="157"/>
      <c r="IT71" s="157"/>
      <c r="IU71" s="157"/>
      <c r="IV71" s="157"/>
      <c r="IW71" s="157"/>
      <c r="IX71" s="157"/>
      <c r="IY71" s="157"/>
      <c r="IZ71" s="157"/>
      <c r="JA71" s="157"/>
      <c r="JB71" s="157"/>
      <c r="JC71" s="157"/>
      <c r="JD71" s="157"/>
      <c r="JE71" s="157"/>
      <c r="JF71" s="157"/>
      <c r="JG71" s="157"/>
      <c r="JH71" s="157"/>
      <c r="JI71" s="157"/>
      <c r="JJ71" s="157"/>
      <c r="JK71" s="157"/>
      <c r="JL71" s="157"/>
      <c r="JM71" s="157"/>
      <c r="JN71" s="157"/>
      <c r="JO71" s="157"/>
      <c r="JP71" s="157"/>
      <c r="JQ71" s="157"/>
      <c r="JR71" s="157"/>
      <c r="JS71" s="157"/>
      <c r="JT71" s="157"/>
      <c r="JU71" s="157"/>
      <c r="JV71" s="157"/>
      <c r="JW71" s="157"/>
      <c r="JX71" s="157"/>
      <c r="JY71" s="157"/>
      <c r="JZ71" s="157"/>
      <c r="KA71" s="157"/>
      <c r="KB71" s="157"/>
      <c r="KC71" s="157"/>
      <c r="KD71" s="157"/>
      <c r="KE71" s="157"/>
      <c r="KF71" s="157"/>
      <c r="KG71" s="157"/>
      <c r="KH71" s="157"/>
      <c r="KI71" s="157"/>
      <c r="KJ71" s="157"/>
      <c r="KK71" s="157"/>
      <c r="KL71" s="157"/>
    </row>
    <row r="72" spans="40:298" x14ac:dyDescent="0.2">
      <c r="AN72" s="157"/>
      <c r="AO72" s="157"/>
      <c r="AP72" s="157"/>
      <c r="AQ72" s="157"/>
      <c r="AR72" s="157"/>
      <c r="AS72" s="157"/>
      <c r="AT72" s="157"/>
      <c r="AU72" s="157"/>
      <c r="AV72" s="157"/>
      <c r="AW72" s="157"/>
      <c r="AX72" s="157"/>
      <c r="AY72" s="157"/>
      <c r="AZ72" s="157"/>
      <c r="BA72" s="157"/>
      <c r="BB72" s="157"/>
      <c r="BC72" s="157"/>
      <c r="BD72" s="157"/>
      <c r="BE72" s="157"/>
      <c r="BF72" s="157"/>
      <c r="BG72" s="157"/>
      <c r="BH72" s="15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157"/>
      <c r="DO72" s="157"/>
      <c r="DP72" s="157"/>
      <c r="DQ72" s="157"/>
      <c r="DR72" s="157"/>
      <c r="DS72" s="157"/>
      <c r="DT72" s="157"/>
      <c r="DU72" s="157"/>
      <c r="DV72" s="157"/>
      <c r="DW72" s="157"/>
      <c r="DX72" s="157"/>
      <c r="DY72" s="157"/>
      <c r="DZ72" s="157"/>
      <c r="EA72" s="157"/>
      <c r="EB72" s="157"/>
      <c r="EC72" s="157"/>
      <c r="ED72" s="157"/>
      <c r="EE72" s="157"/>
      <c r="EF72" s="157"/>
      <c r="EG72" s="157"/>
      <c r="EH72" s="157"/>
      <c r="EI72" s="157"/>
      <c r="EJ72" s="157"/>
      <c r="EK72" s="157"/>
      <c r="EL72" s="157"/>
      <c r="EM72" s="157"/>
      <c r="EN72" s="157"/>
      <c r="EO72" s="157"/>
      <c r="EP72" s="157"/>
      <c r="EQ72" s="157"/>
      <c r="ER72" s="157"/>
      <c r="ES72" s="157"/>
      <c r="ET72" s="157"/>
      <c r="EU72" s="157"/>
      <c r="EV72" s="157"/>
      <c r="EW72" s="157"/>
      <c r="EX72" s="157"/>
      <c r="EY72" s="157"/>
      <c r="EZ72" s="157"/>
      <c r="FA72" s="157"/>
      <c r="FB72" s="157"/>
      <c r="FC72" s="157"/>
      <c r="FD72" s="157"/>
      <c r="FE72" s="157"/>
      <c r="FF72" s="157"/>
      <c r="FG72" s="157"/>
      <c r="FH72" s="157"/>
      <c r="FI72" s="157"/>
      <c r="FJ72" s="157"/>
      <c r="FK72" s="157"/>
      <c r="FL72" s="157"/>
      <c r="FM72" s="157"/>
      <c r="FN72" s="157"/>
      <c r="FO72" s="157"/>
      <c r="FP72" s="157"/>
      <c r="FQ72" s="157"/>
      <c r="FR72" s="157"/>
      <c r="FS72" s="157"/>
      <c r="FT72" s="157"/>
      <c r="FU72" s="157"/>
      <c r="FV72" s="157"/>
      <c r="FW72" s="157"/>
      <c r="FX72" s="157"/>
      <c r="FY72" s="157"/>
      <c r="FZ72" s="157"/>
      <c r="GA72" s="157"/>
      <c r="GB72" s="157"/>
      <c r="GC72" s="157"/>
      <c r="GD72" s="157"/>
      <c r="GE72" s="157"/>
      <c r="GF72" s="157"/>
      <c r="GG72" s="157"/>
      <c r="GH72" s="157"/>
      <c r="GI72" s="157"/>
      <c r="GJ72" s="157"/>
      <c r="GK72" s="157"/>
      <c r="GL72" s="157"/>
      <c r="GM72" s="157"/>
      <c r="GN72" s="157"/>
      <c r="GO72" s="157"/>
      <c r="GP72" s="157"/>
      <c r="GQ72" s="157"/>
      <c r="GR72" s="157"/>
      <c r="GS72" s="157"/>
      <c r="GT72" s="157"/>
      <c r="GU72" s="157"/>
      <c r="GV72" s="157"/>
      <c r="GW72" s="157"/>
      <c r="GX72" s="157"/>
      <c r="GY72" s="157"/>
      <c r="GZ72" s="157"/>
      <c r="HA72" s="157"/>
      <c r="HB72" s="157"/>
      <c r="HC72" s="157"/>
      <c r="HD72" s="157"/>
      <c r="HE72" s="157"/>
      <c r="HF72" s="157"/>
      <c r="HG72" s="157"/>
      <c r="HH72" s="157"/>
      <c r="HI72" s="157"/>
      <c r="HJ72" s="157"/>
      <c r="HK72" s="157"/>
      <c r="HL72" s="157"/>
      <c r="HM72" s="157"/>
      <c r="HN72" s="157"/>
      <c r="HO72" s="157"/>
      <c r="HP72" s="157"/>
      <c r="HQ72" s="157"/>
      <c r="HR72" s="157"/>
      <c r="HS72" s="157"/>
      <c r="HT72" s="157"/>
      <c r="HU72" s="157"/>
      <c r="HV72" s="157"/>
      <c r="HW72" s="157"/>
      <c r="HX72" s="157"/>
      <c r="HY72" s="157"/>
      <c r="HZ72" s="157"/>
      <c r="IA72" s="157"/>
      <c r="IB72" s="157"/>
      <c r="IC72" s="157"/>
      <c r="ID72" s="157"/>
      <c r="IE72" s="157"/>
      <c r="IF72" s="157"/>
      <c r="IG72" s="157"/>
      <c r="IH72" s="157"/>
      <c r="II72" s="157"/>
      <c r="IJ72" s="157"/>
      <c r="IK72" s="157"/>
      <c r="IL72" s="157"/>
      <c r="IM72" s="157"/>
      <c r="IN72" s="157"/>
      <c r="IO72" s="157"/>
      <c r="IP72" s="157"/>
      <c r="IQ72" s="157"/>
      <c r="IR72" s="157"/>
      <c r="IS72" s="157"/>
      <c r="IT72" s="157"/>
      <c r="IU72" s="157"/>
      <c r="IV72" s="157"/>
      <c r="IW72" s="157"/>
      <c r="IX72" s="157"/>
      <c r="IY72" s="157"/>
      <c r="IZ72" s="157"/>
      <c r="JA72" s="157"/>
      <c r="JB72" s="157"/>
      <c r="JC72" s="157"/>
      <c r="JD72" s="157"/>
      <c r="JE72" s="157"/>
      <c r="JF72" s="157"/>
      <c r="JG72" s="157"/>
      <c r="JH72" s="157"/>
      <c r="JI72" s="157"/>
      <c r="JJ72" s="157"/>
      <c r="JK72" s="157"/>
      <c r="JL72" s="157"/>
      <c r="JM72" s="157"/>
      <c r="JN72" s="157"/>
      <c r="JO72" s="157"/>
      <c r="JP72" s="157"/>
      <c r="JQ72" s="157"/>
      <c r="JR72" s="157"/>
      <c r="JS72" s="157"/>
      <c r="JT72" s="157"/>
      <c r="JU72" s="157"/>
      <c r="JV72" s="157"/>
      <c r="JW72" s="157"/>
      <c r="JX72" s="157"/>
      <c r="JY72" s="157"/>
      <c r="JZ72" s="157"/>
      <c r="KA72" s="157"/>
      <c r="KB72" s="157"/>
      <c r="KC72" s="157"/>
      <c r="KD72" s="157"/>
      <c r="KE72" s="157"/>
      <c r="KF72" s="157"/>
      <c r="KG72" s="157"/>
      <c r="KH72" s="157"/>
      <c r="KI72" s="157"/>
      <c r="KJ72" s="157"/>
      <c r="KK72" s="157"/>
      <c r="KL72" s="157"/>
    </row>
    <row r="73" spans="40:298" x14ac:dyDescent="0.2">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157"/>
      <c r="BU73" s="157"/>
      <c r="BV73" s="157"/>
      <c r="BW73" s="157"/>
      <c r="BX73" s="157"/>
      <c r="BY73" s="157"/>
      <c r="BZ73" s="157"/>
      <c r="CA73" s="157"/>
      <c r="CB73" s="15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157"/>
      <c r="DS73" s="157"/>
      <c r="DT73" s="157"/>
      <c r="DU73" s="157"/>
      <c r="DV73" s="157"/>
      <c r="DW73" s="157"/>
      <c r="DX73" s="157"/>
      <c r="DY73" s="157"/>
      <c r="DZ73" s="157"/>
      <c r="EA73" s="157"/>
      <c r="EB73" s="157"/>
      <c r="EC73" s="157"/>
      <c r="ED73" s="157"/>
      <c r="EE73" s="157"/>
      <c r="EF73" s="157"/>
      <c r="EG73" s="157"/>
      <c r="EH73" s="157"/>
      <c r="EI73" s="157"/>
      <c r="EJ73" s="157"/>
      <c r="EK73" s="157"/>
      <c r="EL73" s="157"/>
      <c r="EM73" s="157"/>
      <c r="EN73" s="157"/>
      <c r="EO73" s="157"/>
      <c r="EP73" s="157"/>
      <c r="EQ73" s="157"/>
      <c r="ER73" s="157"/>
      <c r="ES73" s="157"/>
      <c r="ET73" s="157"/>
      <c r="EU73" s="157"/>
      <c r="EV73" s="157"/>
      <c r="EW73" s="157"/>
      <c r="EX73" s="157"/>
      <c r="EY73" s="157"/>
      <c r="EZ73" s="157"/>
      <c r="FA73" s="157"/>
      <c r="FB73" s="157"/>
      <c r="FC73" s="157"/>
      <c r="FD73" s="157"/>
      <c r="FE73" s="157"/>
      <c r="FF73" s="157"/>
      <c r="FG73" s="157"/>
      <c r="FH73" s="157"/>
      <c r="FI73" s="157"/>
      <c r="FJ73" s="157"/>
      <c r="FK73" s="157"/>
      <c r="FL73" s="157"/>
      <c r="FM73" s="157"/>
      <c r="FN73" s="157"/>
      <c r="FO73" s="157"/>
      <c r="FP73" s="157"/>
      <c r="FQ73" s="157"/>
      <c r="FR73" s="157"/>
      <c r="FS73" s="157"/>
      <c r="FT73" s="157"/>
      <c r="FU73" s="157"/>
      <c r="FV73" s="157"/>
      <c r="FW73" s="157"/>
      <c r="FX73" s="157"/>
      <c r="FY73" s="157"/>
      <c r="FZ73" s="157"/>
      <c r="GA73" s="157"/>
      <c r="GB73" s="157"/>
      <c r="GC73" s="157"/>
      <c r="GD73" s="157"/>
      <c r="GE73" s="157"/>
      <c r="GF73" s="157"/>
      <c r="GG73" s="157"/>
      <c r="GH73" s="157"/>
      <c r="GI73" s="157"/>
      <c r="GJ73" s="157"/>
      <c r="GK73" s="157"/>
      <c r="GL73" s="157"/>
      <c r="GM73" s="157"/>
      <c r="GN73" s="157"/>
      <c r="GO73" s="157"/>
      <c r="GP73" s="157"/>
      <c r="GQ73" s="157"/>
      <c r="GR73" s="157"/>
      <c r="GS73" s="157"/>
      <c r="GT73" s="157"/>
      <c r="GU73" s="157"/>
      <c r="GV73" s="157"/>
      <c r="GW73" s="157"/>
      <c r="GX73" s="157"/>
      <c r="GY73" s="157"/>
      <c r="GZ73" s="157"/>
      <c r="HA73" s="157"/>
      <c r="HB73" s="157"/>
      <c r="HC73" s="157"/>
      <c r="HD73" s="157"/>
      <c r="HE73" s="157"/>
      <c r="HF73" s="157"/>
      <c r="HG73" s="157"/>
      <c r="HH73" s="157"/>
      <c r="HI73" s="157"/>
      <c r="HJ73" s="157"/>
      <c r="HK73" s="157"/>
      <c r="HL73" s="157"/>
      <c r="HM73" s="157"/>
      <c r="HN73" s="157"/>
      <c r="HO73" s="157"/>
      <c r="HP73" s="157"/>
      <c r="HQ73" s="157"/>
      <c r="HR73" s="157"/>
      <c r="HS73" s="157"/>
      <c r="HT73" s="157"/>
      <c r="HU73" s="157"/>
      <c r="HV73" s="157"/>
      <c r="HW73" s="157"/>
      <c r="HX73" s="157"/>
      <c r="HY73" s="157"/>
      <c r="HZ73" s="157"/>
      <c r="IA73" s="157"/>
      <c r="IB73" s="157"/>
      <c r="IC73" s="157"/>
      <c r="ID73" s="157"/>
      <c r="IE73" s="157"/>
      <c r="IF73" s="157"/>
      <c r="IG73" s="157"/>
      <c r="IH73" s="157"/>
      <c r="II73" s="157"/>
      <c r="IJ73" s="157"/>
      <c r="IK73" s="157"/>
      <c r="IL73" s="157"/>
      <c r="IM73" s="157"/>
      <c r="IN73" s="157"/>
      <c r="IO73" s="157"/>
      <c r="IP73" s="157"/>
      <c r="IQ73" s="157"/>
      <c r="IR73" s="157"/>
      <c r="IS73" s="157"/>
      <c r="IT73" s="157"/>
      <c r="IU73" s="157"/>
      <c r="IV73" s="157"/>
      <c r="IW73" s="157"/>
      <c r="IX73" s="157"/>
      <c r="IY73" s="157"/>
      <c r="IZ73" s="157"/>
      <c r="JA73" s="157"/>
      <c r="JB73" s="157"/>
      <c r="JC73" s="157"/>
      <c r="JD73" s="157"/>
      <c r="JE73" s="157"/>
      <c r="JF73" s="157"/>
      <c r="JG73" s="157"/>
      <c r="JH73" s="157"/>
      <c r="JI73" s="157"/>
      <c r="JJ73" s="157"/>
      <c r="JK73" s="157"/>
      <c r="JL73" s="157"/>
      <c r="JM73" s="157"/>
      <c r="JN73" s="157"/>
      <c r="JO73" s="157"/>
      <c r="JP73" s="157"/>
      <c r="JQ73" s="157"/>
      <c r="JR73" s="157"/>
      <c r="JS73" s="157"/>
      <c r="JT73" s="157"/>
      <c r="JU73" s="157"/>
      <c r="JV73" s="157"/>
      <c r="JW73" s="157"/>
      <c r="JX73" s="157"/>
      <c r="JY73" s="157"/>
      <c r="JZ73" s="157"/>
      <c r="KA73" s="157"/>
      <c r="KB73" s="157"/>
      <c r="KC73" s="157"/>
      <c r="KD73" s="157"/>
      <c r="KE73" s="157"/>
      <c r="KF73" s="157"/>
      <c r="KG73" s="157"/>
      <c r="KH73" s="157"/>
      <c r="KI73" s="157"/>
      <c r="KJ73" s="157"/>
      <c r="KK73" s="157"/>
      <c r="KL73" s="157"/>
    </row>
    <row r="74" spans="40:298" x14ac:dyDescent="0.2">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c r="CE74" s="157"/>
      <c r="CF74" s="157"/>
      <c r="CG74" s="157"/>
      <c r="CH74" s="157"/>
      <c r="CI74" s="157"/>
      <c r="CJ74" s="157"/>
      <c r="CK74" s="157"/>
      <c r="CL74" s="157"/>
      <c r="CM74" s="157"/>
      <c r="CN74" s="157"/>
      <c r="CO74" s="157"/>
      <c r="CP74" s="157"/>
      <c r="CQ74" s="157"/>
      <c r="CR74" s="157"/>
      <c r="CS74" s="157"/>
      <c r="CT74" s="157"/>
      <c r="CU74" s="157"/>
      <c r="CV74" s="157"/>
      <c r="CW74" s="157"/>
      <c r="CX74" s="157"/>
      <c r="CY74" s="157"/>
      <c r="CZ74" s="157"/>
      <c r="DA74" s="157"/>
      <c r="DB74" s="157"/>
      <c r="DC74" s="157"/>
      <c r="DD74" s="157"/>
      <c r="DE74" s="157"/>
      <c r="DF74" s="157"/>
      <c r="DG74" s="157"/>
      <c r="DH74" s="157"/>
      <c r="DI74" s="157"/>
      <c r="DJ74" s="157"/>
      <c r="DK74" s="157"/>
      <c r="DL74" s="157"/>
      <c r="DM74" s="157"/>
      <c r="DN74" s="157"/>
      <c r="DO74" s="157"/>
      <c r="DP74" s="157"/>
      <c r="DQ74" s="157"/>
      <c r="DR74" s="157"/>
      <c r="DS74" s="157"/>
      <c r="DT74" s="157"/>
      <c r="DU74" s="157"/>
      <c r="DV74" s="157"/>
      <c r="DW74" s="157"/>
      <c r="DX74" s="157"/>
      <c r="DY74" s="157"/>
      <c r="DZ74" s="157"/>
      <c r="EA74" s="157"/>
      <c r="EB74" s="157"/>
      <c r="EC74" s="157"/>
      <c r="ED74" s="157"/>
      <c r="EE74" s="157"/>
      <c r="EF74" s="157"/>
      <c r="EG74" s="157"/>
      <c r="EH74" s="157"/>
      <c r="EI74" s="157"/>
      <c r="EJ74" s="157"/>
      <c r="EK74" s="157"/>
      <c r="EL74" s="157"/>
      <c r="EM74" s="157"/>
      <c r="EN74" s="157"/>
      <c r="EO74" s="157"/>
      <c r="EP74" s="157"/>
      <c r="EQ74" s="157"/>
      <c r="ER74" s="157"/>
      <c r="ES74" s="157"/>
      <c r="ET74" s="157"/>
      <c r="EU74" s="157"/>
      <c r="EV74" s="157"/>
      <c r="EW74" s="157"/>
      <c r="EX74" s="157"/>
      <c r="EY74" s="157"/>
      <c r="EZ74" s="157"/>
      <c r="FA74" s="157"/>
      <c r="FB74" s="157"/>
      <c r="FC74" s="157"/>
      <c r="FD74" s="157"/>
      <c r="FE74" s="157"/>
      <c r="FF74" s="157"/>
      <c r="FG74" s="157"/>
      <c r="FH74" s="157"/>
      <c r="FI74" s="157"/>
      <c r="FJ74" s="157"/>
      <c r="FK74" s="157"/>
      <c r="FL74" s="157"/>
      <c r="FM74" s="157"/>
      <c r="FN74" s="157"/>
      <c r="FO74" s="157"/>
      <c r="FP74" s="157"/>
      <c r="FQ74" s="157"/>
      <c r="FR74" s="157"/>
      <c r="FS74" s="157"/>
      <c r="FT74" s="157"/>
      <c r="FU74" s="157"/>
      <c r="FV74" s="157"/>
      <c r="FW74" s="157"/>
      <c r="FX74" s="157"/>
      <c r="FY74" s="157"/>
      <c r="FZ74" s="157"/>
      <c r="GA74" s="157"/>
      <c r="GB74" s="157"/>
      <c r="GC74" s="157"/>
      <c r="GD74" s="157"/>
      <c r="GE74" s="157"/>
      <c r="GF74" s="157"/>
      <c r="GG74" s="157"/>
      <c r="GH74" s="157"/>
      <c r="GI74" s="157"/>
      <c r="GJ74" s="157"/>
      <c r="GK74" s="157"/>
      <c r="GL74" s="157"/>
      <c r="GM74" s="157"/>
      <c r="GN74" s="157"/>
      <c r="GO74" s="157"/>
      <c r="GP74" s="157"/>
      <c r="GQ74" s="157"/>
      <c r="GR74" s="157"/>
      <c r="GS74" s="157"/>
      <c r="GT74" s="157"/>
      <c r="GU74" s="157"/>
      <c r="GV74" s="157"/>
      <c r="GW74" s="157"/>
      <c r="GX74" s="157"/>
      <c r="GY74" s="157"/>
      <c r="GZ74" s="157"/>
      <c r="HA74" s="157"/>
      <c r="HB74" s="157"/>
      <c r="HC74" s="157"/>
      <c r="HD74" s="157"/>
      <c r="HE74" s="157"/>
      <c r="HF74" s="157"/>
      <c r="HG74" s="157"/>
      <c r="HH74" s="157"/>
      <c r="HI74" s="157"/>
      <c r="HJ74" s="157"/>
      <c r="HK74" s="157"/>
      <c r="HL74" s="157"/>
      <c r="HM74" s="157"/>
      <c r="HN74" s="157"/>
      <c r="HO74" s="157"/>
      <c r="HP74" s="157"/>
      <c r="HQ74" s="157"/>
      <c r="HR74" s="157"/>
      <c r="HS74" s="157"/>
      <c r="HT74" s="157"/>
      <c r="HU74" s="157"/>
      <c r="HV74" s="157"/>
      <c r="HW74" s="157"/>
      <c r="HX74" s="157"/>
      <c r="HY74" s="157"/>
      <c r="HZ74" s="157"/>
      <c r="IA74" s="157"/>
      <c r="IB74" s="157"/>
      <c r="IC74" s="157"/>
      <c r="ID74" s="157"/>
      <c r="IE74" s="157"/>
      <c r="IF74" s="157"/>
      <c r="IG74" s="157"/>
      <c r="IH74" s="157"/>
      <c r="II74" s="157"/>
      <c r="IJ74" s="157"/>
      <c r="IK74" s="157"/>
      <c r="IL74" s="157"/>
      <c r="IM74" s="157"/>
      <c r="IN74" s="157"/>
      <c r="IO74" s="157"/>
      <c r="IP74" s="157"/>
      <c r="IQ74" s="157"/>
      <c r="IR74" s="157"/>
      <c r="IS74" s="157"/>
      <c r="IT74" s="157"/>
      <c r="IU74" s="157"/>
      <c r="IV74" s="157"/>
      <c r="IW74" s="157"/>
      <c r="IX74" s="157"/>
      <c r="IY74" s="157"/>
      <c r="IZ74" s="157"/>
      <c r="JA74" s="157"/>
      <c r="JB74" s="157"/>
      <c r="JC74" s="157"/>
      <c r="JD74" s="157"/>
      <c r="JE74" s="157"/>
      <c r="JF74" s="157"/>
      <c r="JG74" s="157"/>
      <c r="JH74" s="157"/>
      <c r="JI74" s="157"/>
      <c r="JJ74" s="157"/>
      <c r="JK74" s="157"/>
      <c r="JL74" s="157"/>
      <c r="JM74" s="157"/>
      <c r="JN74" s="157"/>
      <c r="JO74" s="157"/>
      <c r="JP74" s="157"/>
      <c r="JQ74" s="157"/>
      <c r="JR74" s="157"/>
      <c r="JS74" s="157"/>
      <c r="JT74" s="157"/>
      <c r="JU74" s="157"/>
      <c r="JV74" s="157"/>
      <c r="JW74" s="157"/>
      <c r="JX74" s="157"/>
      <c r="JY74" s="157"/>
      <c r="JZ74" s="157"/>
      <c r="KA74" s="157"/>
      <c r="KB74" s="157"/>
      <c r="KC74" s="157"/>
      <c r="KD74" s="157"/>
      <c r="KE74" s="157"/>
      <c r="KF74" s="157"/>
      <c r="KG74" s="157"/>
      <c r="KH74" s="157"/>
      <c r="KI74" s="157"/>
      <c r="KJ74" s="157"/>
      <c r="KK74" s="157"/>
      <c r="KL74" s="157"/>
    </row>
    <row r="75" spans="40:298" x14ac:dyDescent="0.2">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c r="CE75" s="157"/>
      <c r="CF75" s="157"/>
      <c r="CG75" s="157"/>
      <c r="CH75" s="157"/>
      <c r="CI75" s="157"/>
      <c r="CJ75" s="157"/>
      <c r="CK75" s="157"/>
      <c r="CL75" s="157"/>
      <c r="CM75" s="157"/>
      <c r="CN75" s="157"/>
      <c r="CO75" s="157"/>
      <c r="CP75" s="157"/>
      <c r="CQ75" s="157"/>
      <c r="CR75" s="157"/>
      <c r="CS75" s="157"/>
      <c r="CT75" s="157"/>
      <c r="CU75" s="157"/>
      <c r="CV75" s="157"/>
      <c r="CW75" s="157"/>
      <c r="CX75" s="157"/>
      <c r="CY75" s="157"/>
      <c r="CZ75" s="157"/>
      <c r="DA75" s="157"/>
      <c r="DB75" s="157"/>
      <c r="DC75" s="157"/>
      <c r="DD75" s="157"/>
      <c r="DE75" s="157"/>
      <c r="DF75" s="157"/>
      <c r="DG75" s="157"/>
      <c r="DH75" s="157"/>
      <c r="DI75" s="157"/>
      <c r="DJ75" s="157"/>
      <c r="DK75" s="157"/>
      <c r="DL75" s="157"/>
      <c r="DM75" s="157"/>
      <c r="DN75" s="157"/>
      <c r="DO75" s="157"/>
      <c r="DP75" s="157"/>
      <c r="DQ75" s="157"/>
      <c r="DR75" s="157"/>
      <c r="DS75" s="157"/>
      <c r="DT75" s="157"/>
      <c r="DU75" s="157"/>
      <c r="DV75" s="157"/>
      <c r="DW75" s="157"/>
      <c r="DX75" s="157"/>
      <c r="DY75" s="157"/>
      <c r="DZ75" s="157"/>
      <c r="EA75" s="157"/>
      <c r="EB75" s="157"/>
      <c r="EC75" s="157"/>
      <c r="ED75" s="157"/>
      <c r="EE75" s="157"/>
      <c r="EF75" s="157"/>
      <c r="EG75" s="157"/>
      <c r="EH75" s="157"/>
      <c r="EI75" s="157"/>
      <c r="EJ75" s="157"/>
      <c r="EK75" s="157"/>
      <c r="EL75" s="157"/>
      <c r="EM75" s="157"/>
      <c r="EN75" s="157"/>
      <c r="EO75" s="157"/>
      <c r="EP75" s="157"/>
      <c r="EQ75" s="157"/>
      <c r="ER75" s="157"/>
      <c r="ES75" s="157"/>
      <c r="ET75" s="157"/>
      <c r="EU75" s="157"/>
      <c r="EV75" s="157"/>
      <c r="EW75" s="157"/>
      <c r="EX75" s="157"/>
      <c r="EY75" s="157"/>
      <c r="EZ75" s="157"/>
      <c r="FA75" s="157"/>
      <c r="FB75" s="157"/>
      <c r="FC75" s="157"/>
      <c r="FD75" s="157"/>
      <c r="FE75" s="157"/>
      <c r="FF75" s="157"/>
      <c r="FG75" s="157"/>
      <c r="FH75" s="157"/>
      <c r="FI75" s="157"/>
      <c r="FJ75" s="157"/>
      <c r="FK75" s="157"/>
      <c r="FL75" s="157"/>
      <c r="FM75" s="157"/>
      <c r="FN75" s="157"/>
      <c r="FO75" s="157"/>
      <c r="FP75" s="157"/>
      <c r="FQ75" s="157"/>
      <c r="FR75" s="157"/>
      <c r="FS75" s="157"/>
      <c r="FT75" s="157"/>
      <c r="FU75" s="157"/>
      <c r="FV75" s="157"/>
      <c r="FW75" s="157"/>
      <c r="FX75" s="157"/>
      <c r="FY75" s="157"/>
      <c r="FZ75" s="157"/>
      <c r="GA75" s="157"/>
      <c r="GB75" s="157"/>
      <c r="GC75" s="157"/>
      <c r="GD75" s="157"/>
      <c r="GE75" s="157"/>
      <c r="GF75" s="157"/>
      <c r="GG75" s="157"/>
      <c r="GH75" s="157"/>
      <c r="GI75" s="157"/>
      <c r="GJ75" s="157"/>
      <c r="GK75" s="157"/>
      <c r="GL75" s="157"/>
      <c r="GM75" s="157"/>
      <c r="GN75" s="157"/>
      <c r="GO75" s="157"/>
      <c r="GP75" s="157"/>
      <c r="GQ75" s="157"/>
      <c r="GR75" s="157"/>
      <c r="GS75" s="157"/>
      <c r="GT75" s="157"/>
      <c r="GU75" s="157"/>
      <c r="GV75" s="157"/>
      <c r="GW75" s="157"/>
      <c r="GX75" s="157"/>
      <c r="GY75" s="157"/>
      <c r="GZ75" s="157"/>
      <c r="HA75" s="157"/>
      <c r="HB75" s="157"/>
      <c r="HC75" s="157"/>
      <c r="HD75" s="157"/>
      <c r="HE75" s="157"/>
      <c r="HF75" s="157"/>
      <c r="HG75" s="157"/>
      <c r="HH75" s="157"/>
      <c r="HI75" s="157"/>
      <c r="HJ75" s="157"/>
      <c r="HK75" s="157"/>
      <c r="HL75" s="157"/>
      <c r="HM75" s="157"/>
      <c r="HN75" s="157"/>
      <c r="HO75" s="157"/>
      <c r="HP75" s="157"/>
      <c r="HQ75" s="157"/>
      <c r="HR75" s="157"/>
      <c r="HS75" s="157"/>
      <c r="HT75" s="157"/>
      <c r="HU75" s="157"/>
      <c r="HV75" s="157"/>
      <c r="HW75" s="157"/>
      <c r="HX75" s="157"/>
      <c r="HY75" s="157"/>
      <c r="HZ75" s="157"/>
      <c r="IA75" s="157"/>
      <c r="IB75" s="157"/>
      <c r="IC75" s="157"/>
      <c r="ID75" s="157"/>
      <c r="IE75" s="157"/>
      <c r="IF75" s="157"/>
      <c r="IG75" s="157"/>
      <c r="IH75" s="157"/>
      <c r="II75" s="157"/>
      <c r="IJ75" s="157"/>
      <c r="IK75" s="157"/>
      <c r="IL75" s="157"/>
      <c r="IM75" s="157"/>
      <c r="IN75" s="157"/>
      <c r="IO75" s="157"/>
      <c r="IP75" s="157"/>
      <c r="IQ75" s="157"/>
      <c r="IR75" s="157"/>
      <c r="IS75" s="157"/>
      <c r="IT75" s="157"/>
      <c r="IU75" s="157"/>
      <c r="IV75" s="157"/>
      <c r="IW75" s="157"/>
      <c r="IX75" s="157"/>
      <c r="IY75" s="157"/>
      <c r="IZ75" s="157"/>
      <c r="JA75" s="157"/>
      <c r="JB75" s="157"/>
      <c r="JC75" s="157"/>
      <c r="JD75" s="157"/>
      <c r="JE75" s="157"/>
      <c r="JF75" s="157"/>
      <c r="JG75" s="157"/>
      <c r="JH75" s="157"/>
      <c r="JI75" s="157"/>
      <c r="JJ75" s="157"/>
      <c r="JK75" s="157"/>
      <c r="JL75" s="157"/>
      <c r="JM75" s="157"/>
      <c r="JN75" s="157"/>
      <c r="JO75" s="157"/>
      <c r="JP75" s="157"/>
      <c r="JQ75" s="157"/>
      <c r="JR75" s="157"/>
      <c r="JS75" s="157"/>
      <c r="JT75" s="157"/>
      <c r="JU75" s="157"/>
      <c r="JV75" s="157"/>
      <c r="JW75" s="157"/>
      <c r="JX75" s="157"/>
      <c r="JY75" s="157"/>
      <c r="JZ75" s="157"/>
      <c r="KA75" s="157"/>
      <c r="KB75" s="157"/>
      <c r="KC75" s="157"/>
      <c r="KD75" s="157"/>
      <c r="KE75" s="157"/>
      <c r="KF75" s="157"/>
      <c r="KG75" s="157"/>
      <c r="KH75" s="157"/>
      <c r="KI75" s="157"/>
      <c r="KJ75" s="157"/>
      <c r="KK75" s="157"/>
      <c r="KL75" s="157"/>
    </row>
    <row r="76" spans="40:298" x14ac:dyDescent="0.2">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c r="CE76" s="157"/>
      <c r="CF76" s="157"/>
      <c r="CG76" s="157"/>
      <c r="CH76" s="157"/>
      <c r="CI76" s="157"/>
      <c r="CJ76" s="157"/>
      <c r="CK76" s="157"/>
      <c r="CL76" s="157"/>
      <c r="CM76" s="157"/>
      <c r="CN76" s="157"/>
      <c r="CO76" s="157"/>
      <c r="CP76" s="157"/>
      <c r="CQ76" s="157"/>
      <c r="CR76" s="157"/>
      <c r="CS76" s="157"/>
      <c r="CT76" s="157"/>
      <c r="CU76" s="157"/>
      <c r="CV76" s="157"/>
      <c r="CW76" s="157"/>
      <c r="CX76" s="157"/>
      <c r="CY76" s="157"/>
      <c r="CZ76" s="157"/>
      <c r="DA76" s="157"/>
      <c r="DB76" s="157"/>
      <c r="DC76" s="157"/>
      <c r="DD76" s="157"/>
      <c r="DE76" s="157"/>
      <c r="DF76" s="157"/>
      <c r="DG76" s="157"/>
      <c r="DH76" s="157"/>
      <c r="DI76" s="157"/>
      <c r="DJ76" s="157"/>
      <c r="DK76" s="157"/>
      <c r="DL76" s="157"/>
      <c r="DM76" s="157"/>
      <c r="DN76" s="157"/>
      <c r="DO76" s="157"/>
      <c r="DP76" s="157"/>
      <c r="DQ76" s="157"/>
      <c r="DR76" s="157"/>
      <c r="DS76" s="157"/>
      <c r="DT76" s="157"/>
      <c r="DU76" s="157"/>
      <c r="DV76" s="157"/>
      <c r="DW76" s="157"/>
      <c r="DX76" s="157"/>
      <c r="DY76" s="157"/>
      <c r="DZ76" s="157"/>
      <c r="EA76" s="157"/>
      <c r="EB76" s="157"/>
      <c r="EC76" s="157"/>
      <c r="ED76" s="157"/>
      <c r="EE76" s="157"/>
      <c r="EF76" s="157"/>
      <c r="EG76" s="157"/>
      <c r="EH76" s="157"/>
      <c r="EI76" s="157"/>
      <c r="EJ76" s="157"/>
      <c r="EK76" s="157"/>
      <c r="EL76" s="157"/>
      <c r="EM76" s="157"/>
      <c r="EN76" s="157"/>
      <c r="EO76" s="157"/>
      <c r="EP76" s="157"/>
      <c r="EQ76" s="157"/>
      <c r="ER76" s="157"/>
      <c r="ES76" s="157"/>
      <c r="ET76" s="157"/>
      <c r="EU76" s="157"/>
      <c r="EV76" s="157"/>
      <c r="EW76" s="157"/>
      <c r="EX76" s="157"/>
      <c r="EY76" s="157"/>
      <c r="EZ76" s="157"/>
      <c r="FA76" s="157"/>
      <c r="FB76" s="157"/>
      <c r="FC76" s="157"/>
      <c r="FD76" s="157"/>
      <c r="FE76" s="157"/>
      <c r="FF76" s="157"/>
      <c r="FG76" s="157"/>
      <c r="FH76" s="157"/>
      <c r="FI76" s="157"/>
      <c r="FJ76" s="157"/>
      <c r="FK76" s="157"/>
      <c r="FL76" s="157"/>
      <c r="FM76" s="157"/>
      <c r="FN76" s="157"/>
      <c r="FO76" s="157"/>
      <c r="FP76" s="157"/>
      <c r="FQ76" s="157"/>
      <c r="FR76" s="157"/>
      <c r="FS76" s="157"/>
      <c r="FT76" s="157"/>
      <c r="FU76" s="157"/>
      <c r="FV76" s="157"/>
      <c r="FW76" s="157"/>
      <c r="FX76" s="157"/>
      <c r="FY76" s="157"/>
      <c r="FZ76" s="157"/>
      <c r="GA76" s="157"/>
      <c r="GB76" s="157"/>
      <c r="GC76" s="157"/>
      <c r="GD76" s="157"/>
      <c r="GE76" s="157"/>
      <c r="GF76" s="157"/>
      <c r="GG76" s="157"/>
      <c r="GH76" s="157"/>
      <c r="GI76" s="157"/>
      <c r="GJ76" s="157"/>
      <c r="GK76" s="157"/>
      <c r="GL76" s="157"/>
      <c r="GM76" s="157"/>
      <c r="GN76" s="157"/>
      <c r="GO76" s="157"/>
      <c r="GP76" s="157"/>
      <c r="GQ76" s="157"/>
      <c r="GR76" s="157"/>
      <c r="GS76" s="157"/>
      <c r="GT76" s="157"/>
      <c r="GU76" s="157"/>
      <c r="GV76" s="157"/>
      <c r="GW76" s="157"/>
      <c r="GX76" s="157"/>
      <c r="GY76" s="157"/>
      <c r="GZ76" s="157"/>
      <c r="HA76" s="157"/>
      <c r="HB76" s="157"/>
      <c r="HC76" s="157"/>
      <c r="HD76" s="157"/>
      <c r="HE76" s="157"/>
      <c r="HF76" s="157"/>
      <c r="HG76" s="157"/>
      <c r="HH76" s="157"/>
      <c r="HI76" s="157"/>
      <c r="HJ76" s="157"/>
      <c r="HK76" s="157"/>
      <c r="HL76" s="157"/>
      <c r="HM76" s="157"/>
      <c r="HN76" s="157"/>
      <c r="HO76" s="157"/>
      <c r="HP76" s="157"/>
      <c r="HQ76" s="157"/>
      <c r="HR76" s="157"/>
      <c r="HS76" s="157"/>
      <c r="HT76" s="157"/>
      <c r="HU76" s="157"/>
      <c r="HV76" s="157"/>
      <c r="HW76" s="157"/>
      <c r="HX76" s="157"/>
      <c r="HY76" s="157"/>
      <c r="HZ76" s="157"/>
      <c r="IA76" s="157"/>
      <c r="IB76" s="157"/>
      <c r="IC76" s="157"/>
      <c r="ID76" s="157"/>
      <c r="IE76" s="157"/>
      <c r="IF76" s="157"/>
      <c r="IG76" s="157"/>
      <c r="IH76" s="157"/>
      <c r="II76" s="157"/>
      <c r="IJ76" s="157"/>
      <c r="IK76" s="157"/>
      <c r="IL76" s="157"/>
      <c r="IM76" s="157"/>
      <c r="IN76" s="157"/>
      <c r="IO76" s="157"/>
      <c r="IP76" s="157"/>
      <c r="IQ76" s="157"/>
      <c r="IR76" s="157"/>
      <c r="IS76" s="157"/>
      <c r="IT76" s="157"/>
      <c r="IU76" s="157"/>
      <c r="IV76" s="157"/>
      <c r="IW76" s="157"/>
      <c r="IX76" s="157"/>
      <c r="IY76" s="157"/>
      <c r="IZ76" s="157"/>
      <c r="JA76" s="157"/>
      <c r="JB76" s="157"/>
      <c r="JC76" s="157"/>
      <c r="JD76" s="157"/>
      <c r="JE76" s="157"/>
      <c r="JF76" s="157"/>
      <c r="JG76" s="157"/>
      <c r="JH76" s="157"/>
      <c r="JI76" s="157"/>
      <c r="JJ76" s="157"/>
      <c r="JK76" s="157"/>
      <c r="JL76" s="157"/>
      <c r="JM76" s="157"/>
      <c r="JN76" s="157"/>
      <c r="JO76" s="157"/>
      <c r="JP76" s="157"/>
      <c r="JQ76" s="157"/>
      <c r="JR76" s="157"/>
      <c r="JS76" s="157"/>
      <c r="JT76" s="157"/>
      <c r="JU76" s="157"/>
      <c r="JV76" s="157"/>
      <c r="JW76" s="157"/>
      <c r="JX76" s="157"/>
      <c r="JY76" s="157"/>
      <c r="JZ76" s="157"/>
      <c r="KA76" s="157"/>
      <c r="KB76" s="157"/>
      <c r="KC76" s="157"/>
      <c r="KD76" s="157"/>
      <c r="KE76" s="157"/>
      <c r="KF76" s="157"/>
      <c r="KG76" s="157"/>
      <c r="KH76" s="157"/>
      <c r="KI76" s="157"/>
      <c r="KJ76" s="157"/>
      <c r="KK76" s="157"/>
      <c r="KL76" s="157"/>
    </row>
    <row r="77" spans="40:298" x14ac:dyDescent="0.2">
      <c r="AN77" s="157"/>
      <c r="AO77" s="157"/>
      <c r="AP77" s="157"/>
      <c r="AQ77" s="157"/>
      <c r="AR77" s="157"/>
      <c r="AS77" s="157"/>
      <c r="AT77" s="157"/>
      <c r="AU77" s="157"/>
      <c r="AV77" s="157"/>
      <c r="AW77" s="157"/>
      <c r="AX77" s="157"/>
      <c r="AY77" s="157"/>
      <c r="AZ77" s="157"/>
      <c r="BA77" s="157"/>
      <c r="BB77" s="157"/>
      <c r="BC77" s="157"/>
      <c r="BD77" s="157"/>
      <c r="BE77" s="157"/>
      <c r="BF77" s="157"/>
      <c r="BG77" s="157"/>
      <c r="BH77" s="157"/>
      <c r="BI77" s="157"/>
      <c r="BJ77" s="157"/>
      <c r="BK77" s="157"/>
      <c r="BL77" s="157"/>
      <c r="BM77" s="157"/>
      <c r="BN77" s="157"/>
      <c r="BO77" s="157"/>
      <c r="BP77" s="157"/>
      <c r="BQ77" s="157"/>
      <c r="BR77" s="157"/>
      <c r="BS77" s="157"/>
      <c r="BT77" s="157"/>
      <c r="BU77" s="157"/>
      <c r="BV77" s="157"/>
      <c r="BW77" s="157"/>
      <c r="BX77" s="157"/>
      <c r="BY77" s="157"/>
      <c r="BZ77" s="157"/>
      <c r="CA77" s="157"/>
      <c r="CB77" s="157"/>
      <c r="CC77" s="157"/>
      <c r="CD77" s="157"/>
      <c r="CE77" s="157"/>
      <c r="CF77" s="157"/>
      <c r="CG77" s="157"/>
      <c r="CH77" s="157"/>
      <c r="CI77" s="157"/>
      <c r="CJ77" s="157"/>
      <c r="CK77" s="157"/>
      <c r="CL77" s="157"/>
      <c r="CM77" s="157"/>
      <c r="CN77" s="157"/>
      <c r="CO77" s="157"/>
      <c r="CP77" s="157"/>
      <c r="CQ77" s="157"/>
      <c r="CR77" s="157"/>
      <c r="CS77" s="157"/>
      <c r="CT77" s="157"/>
      <c r="CU77" s="157"/>
      <c r="CV77" s="157"/>
      <c r="CW77" s="157"/>
      <c r="CX77" s="157"/>
      <c r="CY77" s="157"/>
      <c r="CZ77" s="157"/>
      <c r="DA77" s="157"/>
      <c r="DB77" s="157"/>
      <c r="DC77" s="157"/>
      <c r="DD77" s="157"/>
      <c r="DE77" s="157"/>
      <c r="DF77" s="157"/>
      <c r="DG77" s="157"/>
      <c r="DH77" s="157"/>
      <c r="DI77" s="157"/>
      <c r="DJ77" s="157"/>
      <c r="DK77" s="157"/>
      <c r="DL77" s="157"/>
      <c r="DM77" s="157"/>
      <c r="DN77" s="157"/>
      <c r="DO77" s="157"/>
      <c r="DP77" s="157"/>
      <c r="DQ77" s="157"/>
      <c r="DR77" s="157"/>
      <c r="DS77" s="157"/>
      <c r="DT77" s="157"/>
      <c r="DU77" s="157"/>
      <c r="DV77" s="157"/>
      <c r="DW77" s="157"/>
      <c r="DX77" s="157"/>
      <c r="DY77" s="157"/>
      <c r="DZ77" s="157"/>
      <c r="EA77" s="157"/>
      <c r="EB77" s="157"/>
      <c r="EC77" s="157"/>
      <c r="ED77" s="157"/>
      <c r="EE77" s="157"/>
      <c r="EF77" s="157"/>
      <c r="EG77" s="157"/>
      <c r="EH77" s="157"/>
      <c r="EI77" s="157"/>
      <c r="EJ77" s="157"/>
      <c r="EK77" s="157"/>
      <c r="EL77" s="157"/>
      <c r="EM77" s="157"/>
      <c r="EN77" s="157"/>
      <c r="EO77" s="157"/>
      <c r="EP77" s="157"/>
      <c r="EQ77" s="157"/>
      <c r="ER77" s="157"/>
      <c r="ES77" s="157"/>
      <c r="ET77" s="157"/>
      <c r="EU77" s="157"/>
      <c r="EV77" s="157"/>
      <c r="EW77" s="157"/>
      <c r="EX77" s="157"/>
      <c r="EY77" s="157"/>
      <c r="EZ77" s="157"/>
      <c r="FA77" s="157"/>
      <c r="FB77" s="157"/>
      <c r="FC77" s="157"/>
      <c r="FD77" s="157"/>
      <c r="FE77" s="157"/>
      <c r="FF77" s="157"/>
      <c r="FG77" s="157"/>
      <c r="FH77" s="157"/>
      <c r="FI77" s="157"/>
      <c r="FJ77" s="157"/>
      <c r="FK77" s="157"/>
      <c r="FL77" s="157"/>
      <c r="FM77" s="157"/>
      <c r="FN77" s="157"/>
      <c r="FO77" s="157"/>
      <c r="FP77" s="157"/>
      <c r="FQ77" s="157"/>
      <c r="FR77" s="157"/>
      <c r="FS77" s="157"/>
      <c r="FT77" s="157"/>
      <c r="FU77" s="157"/>
      <c r="FV77" s="157"/>
      <c r="FW77" s="157"/>
      <c r="FX77" s="157"/>
      <c r="FY77" s="157"/>
      <c r="FZ77" s="157"/>
      <c r="GA77" s="157"/>
      <c r="GB77" s="157"/>
      <c r="GC77" s="157"/>
      <c r="GD77" s="157"/>
      <c r="GE77" s="157"/>
      <c r="GF77" s="157"/>
      <c r="GG77" s="157"/>
      <c r="GH77" s="157"/>
      <c r="GI77" s="157"/>
      <c r="GJ77" s="157"/>
      <c r="GK77" s="157"/>
      <c r="GL77" s="157"/>
      <c r="GM77" s="157"/>
      <c r="GN77" s="157"/>
      <c r="GO77" s="157"/>
      <c r="GP77" s="157"/>
      <c r="GQ77" s="157"/>
      <c r="GR77" s="157"/>
      <c r="GS77" s="157"/>
      <c r="GT77" s="157"/>
      <c r="GU77" s="157"/>
      <c r="GV77" s="157"/>
      <c r="GW77" s="157"/>
      <c r="GX77" s="157"/>
      <c r="GY77" s="157"/>
      <c r="GZ77" s="157"/>
      <c r="HA77" s="157"/>
      <c r="HB77" s="157"/>
      <c r="HC77" s="157"/>
      <c r="HD77" s="157"/>
      <c r="HE77" s="157"/>
      <c r="HF77" s="157"/>
      <c r="HG77" s="157"/>
      <c r="HH77" s="157"/>
      <c r="HI77" s="157"/>
      <c r="HJ77" s="157"/>
      <c r="HK77" s="157"/>
      <c r="HL77" s="157"/>
      <c r="HM77" s="157"/>
      <c r="HN77" s="157"/>
      <c r="HO77" s="157"/>
      <c r="HP77" s="157"/>
      <c r="HQ77" s="157"/>
      <c r="HR77" s="157"/>
      <c r="HS77" s="157"/>
      <c r="HT77" s="157"/>
      <c r="HU77" s="157"/>
      <c r="HV77" s="157"/>
      <c r="HW77" s="157"/>
      <c r="HX77" s="157"/>
      <c r="HY77" s="157"/>
      <c r="HZ77" s="157"/>
      <c r="IA77" s="157"/>
      <c r="IB77" s="157"/>
      <c r="IC77" s="157"/>
      <c r="ID77" s="157"/>
      <c r="IE77" s="157"/>
      <c r="IF77" s="157"/>
      <c r="IG77" s="157"/>
      <c r="IH77" s="157"/>
      <c r="II77" s="157"/>
      <c r="IJ77" s="157"/>
      <c r="IK77" s="157"/>
      <c r="IL77" s="157"/>
      <c r="IM77" s="157"/>
      <c r="IN77" s="157"/>
      <c r="IO77" s="157"/>
      <c r="IP77" s="157"/>
      <c r="IQ77" s="157"/>
      <c r="IR77" s="157"/>
      <c r="IS77" s="157"/>
      <c r="IT77" s="157"/>
      <c r="IU77" s="157"/>
      <c r="IV77" s="157"/>
      <c r="IW77" s="157"/>
      <c r="IX77" s="157"/>
      <c r="IY77" s="157"/>
      <c r="IZ77" s="157"/>
      <c r="JA77" s="157"/>
      <c r="JB77" s="157"/>
      <c r="JC77" s="157"/>
      <c r="JD77" s="157"/>
      <c r="JE77" s="157"/>
      <c r="JF77" s="157"/>
      <c r="JG77" s="157"/>
      <c r="JH77" s="157"/>
      <c r="JI77" s="157"/>
      <c r="JJ77" s="157"/>
      <c r="JK77" s="157"/>
      <c r="JL77" s="157"/>
      <c r="JM77" s="157"/>
      <c r="JN77" s="157"/>
      <c r="JO77" s="157"/>
      <c r="JP77" s="157"/>
      <c r="JQ77" s="157"/>
      <c r="JR77" s="157"/>
      <c r="JS77" s="157"/>
      <c r="JT77" s="157"/>
      <c r="JU77" s="157"/>
      <c r="JV77" s="157"/>
      <c r="JW77" s="157"/>
      <c r="JX77" s="157"/>
      <c r="JY77" s="157"/>
      <c r="JZ77" s="157"/>
      <c r="KA77" s="157"/>
      <c r="KB77" s="157"/>
      <c r="KC77" s="157"/>
      <c r="KD77" s="157"/>
      <c r="KE77" s="157"/>
      <c r="KF77" s="157"/>
      <c r="KG77" s="157"/>
      <c r="KH77" s="157"/>
      <c r="KI77" s="157"/>
      <c r="KJ77" s="157"/>
      <c r="KK77" s="157"/>
      <c r="KL77" s="157"/>
    </row>
    <row r="78" spans="40:298" x14ac:dyDescent="0.2">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157"/>
      <c r="BT78" s="157"/>
      <c r="BU78" s="157"/>
      <c r="BV78" s="157"/>
      <c r="BW78" s="157"/>
      <c r="BX78" s="157"/>
      <c r="BY78" s="157"/>
      <c r="BZ78" s="157"/>
      <c r="CA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c r="CZ78" s="157"/>
      <c r="DA78" s="157"/>
      <c r="DB78" s="157"/>
      <c r="DC78" s="157"/>
      <c r="DD78" s="157"/>
      <c r="DE78" s="157"/>
      <c r="DF78" s="157"/>
      <c r="DG78" s="157"/>
      <c r="DH78" s="157"/>
      <c r="DI78" s="157"/>
      <c r="DJ78" s="157"/>
      <c r="DK78" s="157"/>
      <c r="DL78" s="157"/>
      <c r="DM78" s="157"/>
      <c r="DN78" s="157"/>
      <c r="DO78" s="157"/>
      <c r="DP78" s="157"/>
      <c r="DQ78" s="157"/>
      <c r="DR78" s="157"/>
      <c r="DS78" s="157"/>
      <c r="DT78" s="157"/>
      <c r="DU78" s="157"/>
      <c r="DV78" s="157"/>
      <c r="DW78" s="157"/>
      <c r="DX78" s="157"/>
      <c r="DY78" s="157"/>
      <c r="DZ78" s="157"/>
      <c r="EA78" s="157"/>
      <c r="EB78" s="157"/>
      <c r="EC78" s="157"/>
      <c r="ED78" s="157"/>
      <c r="EE78" s="157"/>
      <c r="EF78" s="157"/>
      <c r="EG78" s="157"/>
      <c r="EH78" s="157"/>
      <c r="EI78" s="157"/>
      <c r="EJ78" s="157"/>
      <c r="EK78" s="157"/>
      <c r="EL78" s="157"/>
      <c r="EM78" s="157"/>
      <c r="EN78" s="157"/>
      <c r="EO78" s="157"/>
      <c r="EP78" s="157"/>
      <c r="EQ78" s="157"/>
      <c r="ER78" s="157"/>
      <c r="ES78" s="157"/>
      <c r="ET78" s="157"/>
      <c r="EU78" s="157"/>
      <c r="EV78" s="157"/>
      <c r="EW78" s="157"/>
      <c r="EX78" s="157"/>
      <c r="EY78" s="157"/>
      <c r="EZ78" s="157"/>
      <c r="FA78" s="157"/>
      <c r="FB78" s="157"/>
      <c r="FC78" s="157"/>
      <c r="FD78" s="157"/>
      <c r="FE78" s="157"/>
      <c r="FF78" s="157"/>
      <c r="FG78" s="157"/>
      <c r="FH78" s="157"/>
      <c r="FI78" s="157"/>
      <c r="FJ78" s="157"/>
      <c r="FK78" s="157"/>
      <c r="FL78" s="157"/>
      <c r="FM78" s="157"/>
      <c r="FN78" s="157"/>
      <c r="FO78" s="157"/>
      <c r="FP78" s="157"/>
      <c r="FQ78" s="157"/>
      <c r="FR78" s="157"/>
      <c r="FS78" s="157"/>
      <c r="FT78" s="157"/>
      <c r="FU78" s="157"/>
      <c r="FV78" s="157"/>
      <c r="FW78" s="157"/>
      <c r="FX78" s="157"/>
      <c r="FY78" s="157"/>
      <c r="FZ78" s="157"/>
      <c r="GA78" s="157"/>
      <c r="GB78" s="157"/>
      <c r="GC78" s="157"/>
      <c r="GD78" s="157"/>
      <c r="GE78" s="157"/>
      <c r="GF78" s="157"/>
      <c r="GG78" s="157"/>
      <c r="GH78" s="157"/>
      <c r="GI78" s="157"/>
      <c r="GJ78" s="157"/>
      <c r="GK78" s="157"/>
      <c r="GL78" s="157"/>
      <c r="GM78" s="157"/>
      <c r="GN78" s="157"/>
      <c r="GO78" s="157"/>
      <c r="GP78" s="157"/>
      <c r="GQ78" s="157"/>
      <c r="GR78" s="157"/>
      <c r="GS78" s="157"/>
      <c r="GT78" s="157"/>
      <c r="GU78" s="157"/>
      <c r="GV78" s="157"/>
      <c r="GW78" s="157"/>
      <c r="GX78" s="157"/>
      <c r="GY78" s="157"/>
      <c r="GZ78" s="157"/>
      <c r="HA78" s="157"/>
      <c r="HB78" s="157"/>
      <c r="HC78" s="157"/>
      <c r="HD78" s="157"/>
      <c r="HE78" s="157"/>
      <c r="HF78" s="157"/>
      <c r="HG78" s="157"/>
      <c r="HH78" s="157"/>
      <c r="HI78" s="157"/>
      <c r="HJ78" s="157"/>
      <c r="HK78" s="157"/>
      <c r="HL78" s="157"/>
      <c r="HM78" s="157"/>
      <c r="HN78" s="157"/>
      <c r="HO78" s="157"/>
      <c r="HP78" s="157"/>
      <c r="HQ78" s="157"/>
      <c r="HR78" s="157"/>
      <c r="HS78" s="157"/>
      <c r="HT78" s="157"/>
      <c r="HU78" s="157"/>
      <c r="HV78" s="157"/>
      <c r="HW78" s="157"/>
      <c r="HX78" s="157"/>
      <c r="HY78" s="157"/>
      <c r="HZ78" s="157"/>
      <c r="IA78" s="157"/>
      <c r="IB78" s="157"/>
      <c r="IC78" s="157"/>
      <c r="ID78" s="157"/>
      <c r="IE78" s="157"/>
      <c r="IF78" s="157"/>
      <c r="IG78" s="157"/>
      <c r="IH78" s="157"/>
      <c r="II78" s="157"/>
      <c r="IJ78" s="157"/>
      <c r="IK78" s="157"/>
      <c r="IL78" s="157"/>
      <c r="IM78" s="157"/>
      <c r="IN78" s="157"/>
      <c r="IO78" s="157"/>
      <c r="IP78" s="157"/>
      <c r="IQ78" s="157"/>
      <c r="IR78" s="157"/>
      <c r="IS78" s="157"/>
      <c r="IT78" s="157"/>
      <c r="IU78" s="157"/>
      <c r="IV78" s="157"/>
      <c r="IW78" s="157"/>
      <c r="IX78" s="157"/>
      <c r="IY78" s="157"/>
      <c r="IZ78" s="157"/>
      <c r="JA78" s="157"/>
      <c r="JB78" s="157"/>
      <c r="JC78" s="157"/>
      <c r="JD78" s="157"/>
      <c r="JE78" s="157"/>
      <c r="JF78" s="157"/>
      <c r="JG78" s="157"/>
      <c r="JH78" s="157"/>
      <c r="JI78" s="157"/>
      <c r="JJ78" s="157"/>
      <c r="JK78" s="157"/>
      <c r="JL78" s="157"/>
      <c r="JM78" s="157"/>
      <c r="JN78" s="157"/>
      <c r="JO78" s="157"/>
      <c r="JP78" s="157"/>
      <c r="JQ78" s="157"/>
      <c r="JR78" s="157"/>
      <c r="JS78" s="157"/>
      <c r="JT78" s="157"/>
      <c r="JU78" s="157"/>
      <c r="JV78" s="157"/>
      <c r="JW78" s="157"/>
      <c r="JX78" s="157"/>
      <c r="JY78" s="157"/>
      <c r="JZ78" s="157"/>
      <c r="KA78" s="157"/>
      <c r="KB78" s="157"/>
      <c r="KC78" s="157"/>
      <c r="KD78" s="157"/>
      <c r="KE78" s="157"/>
      <c r="KF78" s="157"/>
      <c r="KG78" s="157"/>
      <c r="KH78" s="157"/>
      <c r="KI78" s="157"/>
      <c r="KJ78" s="157"/>
      <c r="KK78" s="157"/>
      <c r="KL78" s="157"/>
    </row>
    <row r="79" spans="40:298" x14ac:dyDescent="0.2">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157"/>
      <c r="BS79" s="157"/>
      <c r="BT79" s="157"/>
      <c r="BU79" s="157"/>
      <c r="BV79" s="157"/>
      <c r="BW79" s="157"/>
      <c r="BX79" s="157"/>
      <c r="BY79" s="157"/>
      <c r="BZ79" s="157"/>
      <c r="CA79" s="15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c r="CZ79" s="157"/>
      <c r="DA79" s="157"/>
      <c r="DB79" s="157"/>
      <c r="DC79" s="157"/>
      <c r="DD79" s="157"/>
      <c r="DE79" s="157"/>
      <c r="DF79" s="157"/>
      <c r="DG79" s="157"/>
      <c r="DH79" s="157"/>
      <c r="DI79" s="157"/>
      <c r="DJ79" s="157"/>
      <c r="DK79" s="157"/>
      <c r="DL79" s="157"/>
      <c r="DM79" s="157"/>
      <c r="DN79" s="157"/>
      <c r="DO79" s="157"/>
      <c r="DP79" s="157"/>
      <c r="DQ79" s="157"/>
      <c r="DR79" s="157"/>
      <c r="DS79" s="157"/>
      <c r="DT79" s="157"/>
      <c r="DU79" s="157"/>
      <c r="DV79" s="157"/>
      <c r="DW79" s="157"/>
      <c r="DX79" s="157"/>
      <c r="DY79" s="157"/>
      <c r="DZ79" s="157"/>
      <c r="EA79" s="157"/>
      <c r="EB79" s="157"/>
      <c r="EC79" s="157"/>
      <c r="ED79" s="157"/>
      <c r="EE79" s="157"/>
      <c r="EF79" s="157"/>
      <c r="EG79" s="157"/>
      <c r="EH79" s="157"/>
      <c r="EI79" s="157"/>
      <c r="EJ79" s="157"/>
      <c r="EK79" s="157"/>
      <c r="EL79" s="157"/>
      <c r="EM79" s="157"/>
      <c r="EN79" s="157"/>
      <c r="EO79" s="157"/>
      <c r="EP79" s="157"/>
      <c r="EQ79" s="157"/>
      <c r="ER79" s="157"/>
      <c r="ES79" s="157"/>
      <c r="ET79" s="157"/>
      <c r="EU79" s="157"/>
      <c r="EV79" s="157"/>
      <c r="EW79" s="157"/>
      <c r="EX79" s="157"/>
      <c r="EY79" s="157"/>
      <c r="EZ79" s="157"/>
      <c r="FA79" s="157"/>
      <c r="FB79" s="157"/>
      <c r="FC79" s="157"/>
      <c r="FD79" s="157"/>
      <c r="FE79" s="157"/>
      <c r="FF79" s="157"/>
      <c r="FG79" s="157"/>
      <c r="FH79" s="157"/>
      <c r="FI79" s="157"/>
      <c r="FJ79" s="157"/>
      <c r="FK79" s="157"/>
      <c r="FL79" s="157"/>
      <c r="FM79" s="157"/>
      <c r="FN79" s="157"/>
      <c r="FO79" s="157"/>
      <c r="FP79" s="157"/>
      <c r="FQ79" s="157"/>
      <c r="FR79" s="157"/>
      <c r="FS79" s="157"/>
      <c r="FT79" s="157"/>
      <c r="FU79" s="157"/>
      <c r="FV79" s="157"/>
      <c r="FW79" s="157"/>
      <c r="FX79" s="157"/>
      <c r="FY79" s="157"/>
      <c r="FZ79" s="157"/>
      <c r="GA79" s="157"/>
      <c r="GB79" s="157"/>
      <c r="GC79" s="157"/>
      <c r="GD79" s="157"/>
      <c r="GE79" s="157"/>
      <c r="GF79" s="157"/>
      <c r="GG79" s="157"/>
      <c r="GH79" s="157"/>
      <c r="GI79" s="157"/>
      <c r="GJ79" s="157"/>
      <c r="GK79" s="157"/>
      <c r="GL79" s="157"/>
      <c r="GM79" s="157"/>
      <c r="GN79" s="157"/>
      <c r="GO79" s="157"/>
      <c r="GP79" s="157"/>
      <c r="GQ79" s="157"/>
      <c r="GR79" s="157"/>
      <c r="GS79" s="157"/>
      <c r="GT79" s="157"/>
      <c r="GU79" s="157"/>
      <c r="GV79" s="157"/>
      <c r="GW79" s="157"/>
      <c r="GX79" s="157"/>
      <c r="GY79" s="157"/>
      <c r="GZ79" s="157"/>
      <c r="HA79" s="157"/>
      <c r="HB79" s="157"/>
      <c r="HC79" s="157"/>
      <c r="HD79" s="157"/>
      <c r="HE79" s="157"/>
      <c r="HF79" s="157"/>
      <c r="HG79" s="157"/>
      <c r="HH79" s="157"/>
      <c r="HI79" s="157"/>
      <c r="HJ79" s="157"/>
      <c r="HK79" s="157"/>
      <c r="HL79" s="157"/>
      <c r="HM79" s="157"/>
      <c r="HN79" s="157"/>
      <c r="HO79" s="157"/>
      <c r="HP79" s="157"/>
      <c r="HQ79" s="157"/>
      <c r="HR79" s="157"/>
      <c r="HS79" s="157"/>
      <c r="HT79" s="157"/>
      <c r="HU79" s="157"/>
      <c r="HV79" s="157"/>
      <c r="HW79" s="157"/>
      <c r="HX79" s="157"/>
      <c r="HY79" s="157"/>
      <c r="HZ79" s="157"/>
      <c r="IA79" s="157"/>
      <c r="IB79" s="157"/>
      <c r="IC79" s="157"/>
      <c r="ID79" s="157"/>
      <c r="IE79" s="157"/>
      <c r="IF79" s="157"/>
      <c r="IG79" s="157"/>
      <c r="IH79" s="157"/>
      <c r="II79" s="157"/>
      <c r="IJ79" s="157"/>
      <c r="IK79" s="157"/>
      <c r="IL79" s="157"/>
      <c r="IM79" s="157"/>
      <c r="IN79" s="157"/>
      <c r="IO79" s="157"/>
      <c r="IP79" s="157"/>
      <c r="IQ79" s="157"/>
      <c r="IR79" s="157"/>
      <c r="IS79" s="157"/>
      <c r="IT79" s="157"/>
      <c r="IU79" s="157"/>
      <c r="IV79" s="157"/>
      <c r="IW79" s="157"/>
      <c r="IX79" s="157"/>
      <c r="IY79" s="157"/>
      <c r="IZ79" s="157"/>
      <c r="JA79" s="157"/>
      <c r="JB79" s="157"/>
      <c r="JC79" s="157"/>
      <c r="JD79" s="157"/>
      <c r="JE79" s="157"/>
      <c r="JF79" s="157"/>
      <c r="JG79" s="157"/>
      <c r="JH79" s="157"/>
      <c r="JI79" s="157"/>
      <c r="JJ79" s="157"/>
      <c r="JK79" s="157"/>
      <c r="JL79" s="157"/>
      <c r="JM79" s="157"/>
      <c r="JN79" s="157"/>
      <c r="JO79" s="157"/>
      <c r="JP79" s="157"/>
      <c r="JQ79" s="157"/>
      <c r="JR79" s="157"/>
      <c r="JS79" s="157"/>
      <c r="JT79" s="157"/>
      <c r="JU79" s="157"/>
      <c r="JV79" s="157"/>
      <c r="JW79" s="157"/>
      <c r="JX79" s="157"/>
      <c r="JY79" s="157"/>
      <c r="JZ79" s="157"/>
      <c r="KA79" s="157"/>
      <c r="KB79" s="157"/>
      <c r="KC79" s="157"/>
      <c r="KD79" s="157"/>
      <c r="KE79" s="157"/>
      <c r="KF79" s="157"/>
      <c r="KG79" s="157"/>
      <c r="KH79" s="157"/>
      <c r="KI79" s="157"/>
      <c r="KJ79" s="157"/>
      <c r="KK79" s="157"/>
      <c r="KL79" s="157"/>
    </row>
    <row r="80" spans="40:298" x14ac:dyDescent="0.2">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c r="CZ80" s="157"/>
      <c r="DA80" s="157"/>
      <c r="DB80" s="157"/>
      <c r="DC80" s="157"/>
      <c r="DD80" s="157"/>
      <c r="DE80" s="157"/>
      <c r="DF80" s="157"/>
      <c r="DG80" s="157"/>
      <c r="DH80" s="157"/>
      <c r="DI80" s="157"/>
      <c r="DJ80" s="157"/>
      <c r="DK80" s="157"/>
      <c r="DL80" s="157"/>
      <c r="DM80" s="157"/>
      <c r="DN80" s="157"/>
      <c r="DO80" s="157"/>
      <c r="DP80" s="157"/>
      <c r="DQ80" s="157"/>
      <c r="DR80" s="157"/>
      <c r="DS80" s="157"/>
      <c r="DT80" s="157"/>
      <c r="DU80" s="157"/>
      <c r="DV80" s="157"/>
      <c r="DW80" s="157"/>
      <c r="DX80" s="157"/>
      <c r="DY80" s="157"/>
      <c r="DZ80" s="157"/>
      <c r="EA80" s="157"/>
      <c r="EB80" s="157"/>
      <c r="EC80" s="157"/>
      <c r="ED80" s="157"/>
      <c r="EE80" s="157"/>
      <c r="EF80" s="157"/>
      <c r="EG80" s="157"/>
      <c r="EH80" s="157"/>
      <c r="EI80" s="157"/>
      <c r="EJ80" s="157"/>
      <c r="EK80" s="157"/>
      <c r="EL80" s="157"/>
      <c r="EM80" s="157"/>
      <c r="EN80" s="157"/>
      <c r="EO80" s="157"/>
      <c r="EP80" s="157"/>
      <c r="EQ80" s="157"/>
      <c r="ER80" s="157"/>
      <c r="ES80" s="157"/>
      <c r="ET80" s="157"/>
      <c r="EU80" s="157"/>
      <c r="EV80" s="157"/>
      <c r="EW80" s="157"/>
      <c r="EX80" s="157"/>
      <c r="EY80" s="157"/>
      <c r="EZ80" s="157"/>
      <c r="FA80" s="157"/>
      <c r="FB80" s="157"/>
      <c r="FC80" s="157"/>
      <c r="FD80" s="157"/>
      <c r="FE80" s="157"/>
      <c r="FF80" s="157"/>
      <c r="FG80" s="157"/>
      <c r="FH80" s="157"/>
      <c r="FI80" s="157"/>
      <c r="FJ80" s="157"/>
      <c r="FK80" s="157"/>
      <c r="FL80" s="157"/>
      <c r="FM80" s="157"/>
      <c r="FN80" s="157"/>
      <c r="FO80" s="157"/>
      <c r="FP80" s="157"/>
      <c r="FQ80" s="157"/>
      <c r="FR80" s="157"/>
      <c r="FS80" s="157"/>
      <c r="FT80" s="157"/>
      <c r="FU80" s="157"/>
      <c r="FV80" s="157"/>
      <c r="FW80" s="157"/>
      <c r="FX80" s="157"/>
      <c r="FY80" s="157"/>
      <c r="FZ80" s="157"/>
      <c r="GA80" s="157"/>
      <c r="GB80" s="157"/>
      <c r="GC80" s="157"/>
      <c r="GD80" s="157"/>
      <c r="GE80" s="157"/>
      <c r="GF80" s="157"/>
      <c r="GG80" s="157"/>
      <c r="GH80" s="157"/>
      <c r="GI80" s="157"/>
      <c r="GJ80" s="157"/>
      <c r="GK80" s="157"/>
      <c r="GL80" s="157"/>
      <c r="GM80" s="157"/>
      <c r="GN80" s="157"/>
      <c r="GO80" s="157"/>
      <c r="GP80" s="157"/>
      <c r="GQ80" s="157"/>
      <c r="GR80" s="157"/>
      <c r="GS80" s="157"/>
      <c r="GT80" s="157"/>
      <c r="GU80" s="157"/>
      <c r="GV80" s="157"/>
      <c r="GW80" s="157"/>
      <c r="GX80" s="157"/>
      <c r="GY80" s="157"/>
      <c r="GZ80" s="157"/>
      <c r="HA80" s="157"/>
      <c r="HB80" s="157"/>
      <c r="HC80" s="157"/>
      <c r="HD80" s="157"/>
      <c r="HE80" s="157"/>
      <c r="HF80" s="157"/>
      <c r="HG80" s="157"/>
      <c r="HH80" s="157"/>
      <c r="HI80" s="157"/>
      <c r="HJ80" s="157"/>
      <c r="HK80" s="157"/>
      <c r="HL80" s="157"/>
      <c r="HM80" s="157"/>
      <c r="HN80" s="157"/>
      <c r="HO80" s="157"/>
      <c r="HP80" s="157"/>
      <c r="HQ80" s="157"/>
      <c r="HR80" s="157"/>
      <c r="HS80" s="157"/>
      <c r="HT80" s="157"/>
      <c r="HU80" s="157"/>
      <c r="HV80" s="157"/>
      <c r="HW80" s="157"/>
      <c r="HX80" s="157"/>
      <c r="HY80" s="157"/>
      <c r="HZ80" s="157"/>
      <c r="IA80" s="157"/>
      <c r="IB80" s="157"/>
      <c r="IC80" s="157"/>
      <c r="ID80" s="157"/>
      <c r="IE80" s="157"/>
      <c r="IF80" s="157"/>
      <c r="IG80" s="157"/>
      <c r="IH80" s="157"/>
      <c r="II80" s="157"/>
      <c r="IJ80" s="157"/>
      <c r="IK80" s="157"/>
      <c r="IL80" s="157"/>
      <c r="IM80" s="157"/>
      <c r="IN80" s="157"/>
      <c r="IO80" s="157"/>
      <c r="IP80" s="157"/>
      <c r="IQ80" s="157"/>
      <c r="IR80" s="157"/>
      <c r="IS80" s="157"/>
      <c r="IT80" s="157"/>
      <c r="IU80" s="157"/>
      <c r="IV80" s="157"/>
      <c r="IW80" s="157"/>
      <c r="IX80" s="157"/>
      <c r="IY80" s="157"/>
      <c r="IZ80" s="157"/>
      <c r="JA80" s="157"/>
      <c r="JB80" s="157"/>
      <c r="JC80" s="157"/>
      <c r="JD80" s="157"/>
      <c r="JE80" s="157"/>
      <c r="JF80" s="157"/>
      <c r="JG80" s="157"/>
      <c r="JH80" s="157"/>
      <c r="JI80" s="157"/>
      <c r="JJ80" s="157"/>
      <c r="JK80" s="157"/>
      <c r="JL80" s="157"/>
      <c r="JM80" s="157"/>
      <c r="JN80" s="157"/>
      <c r="JO80" s="157"/>
      <c r="JP80" s="157"/>
      <c r="JQ80" s="157"/>
      <c r="JR80" s="157"/>
      <c r="JS80" s="157"/>
      <c r="JT80" s="157"/>
      <c r="JU80" s="157"/>
      <c r="JV80" s="157"/>
      <c r="JW80" s="157"/>
      <c r="JX80" s="157"/>
      <c r="JY80" s="157"/>
      <c r="JZ80" s="157"/>
      <c r="KA80" s="157"/>
      <c r="KB80" s="157"/>
      <c r="KC80" s="157"/>
      <c r="KD80" s="157"/>
      <c r="KE80" s="157"/>
      <c r="KF80" s="157"/>
      <c r="KG80" s="157"/>
      <c r="KH80" s="157"/>
      <c r="KI80" s="157"/>
      <c r="KJ80" s="157"/>
      <c r="KK80" s="157"/>
      <c r="KL80" s="157"/>
    </row>
    <row r="81" spans="40:298" x14ac:dyDescent="0.2">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c r="CZ81" s="157"/>
      <c r="DA81" s="157"/>
      <c r="DB81" s="157"/>
      <c r="DC81" s="157"/>
      <c r="DD81" s="157"/>
      <c r="DE81" s="157"/>
      <c r="DF81" s="157"/>
      <c r="DG81" s="157"/>
      <c r="DH81" s="157"/>
      <c r="DI81" s="157"/>
      <c r="DJ81" s="157"/>
      <c r="DK81" s="157"/>
      <c r="DL81" s="157"/>
      <c r="DM81" s="157"/>
      <c r="DN81" s="157"/>
      <c r="DO81" s="157"/>
      <c r="DP81" s="157"/>
      <c r="DQ81" s="157"/>
      <c r="DR81" s="157"/>
      <c r="DS81" s="157"/>
      <c r="DT81" s="157"/>
      <c r="DU81" s="157"/>
      <c r="DV81" s="157"/>
      <c r="DW81" s="157"/>
      <c r="DX81" s="157"/>
      <c r="DY81" s="157"/>
      <c r="DZ81" s="157"/>
      <c r="EA81" s="157"/>
      <c r="EB81" s="157"/>
      <c r="EC81" s="157"/>
      <c r="ED81" s="157"/>
      <c r="EE81" s="157"/>
      <c r="EF81" s="157"/>
      <c r="EG81" s="157"/>
      <c r="EH81" s="157"/>
      <c r="EI81" s="157"/>
      <c r="EJ81" s="157"/>
      <c r="EK81" s="157"/>
      <c r="EL81" s="157"/>
      <c r="EM81" s="157"/>
      <c r="EN81" s="157"/>
      <c r="EO81" s="157"/>
      <c r="EP81" s="157"/>
      <c r="EQ81" s="157"/>
      <c r="ER81" s="157"/>
      <c r="ES81" s="157"/>
      <c r="ET81" s="157"/>
      <c r="EU81" s="157"/>
      <c r="EV81" s="157"/>
      <c r="EW81" s="157"/>
      <c r="EX81" s="157"/>
      <c r="EY81" s="157"/>
      <c r="EZ81" s="157"/>
      <c r="FA81" s="157"/>
      <c r="FB81" s="157"/>
      <c r="FC81" s="157"/>
      <c r="FD81" s="157"/>
      <c r="FE81" s="157"/>
      <c r="FF81" s="157"/>
      <c r="FG81" s="157"/>
      <c r="FH81" s="157"/>
      <c r="FI81" s="157"/>
      <c r="FJ81" s="157"/>
      <c r="FK81" s="157"/>
      <c r="FL81" s="157"/>
      <c r="FM81" s="157"/>
      <c r="FN81" s="157"/>
      <c r="FO81" s="157"/>
      <c r="FP81" s="157"/>
      <c r="FQ81" s="157"/>
      <c r="FR81" s="157"/>
      <c r="FS81" s="157"/>
      <c r="FT81" s="157"/>
      <c r="FU81" s="157"/>
      <c r="FV81" s="157"/>
      <c r="FW81" s="157"/>
      <c r="FX81" s="157"/>
      <c r="FY81" s="157"/>
      <c r="FZ81" s="157"/>
      <c r="GA81" s="157"/>
      <c r="GB81" s="157"/>
      <c r="GC81" s="157"/>
      <c r="GD81" s="157"/>
      <c r="GE81" s="157"/>
      <c r="GF81" s="157"/>
      <c r="GG81" s="157"/>
      <c r="GH81" s="157"/>
      <c r="GI81" s="157"/>
      <c r="GJ81" s="157"/>
      <c r="GK81" s="157"/>
      <c r="GL81" s="157"/>
      <c r="GM81" s="157"/>
      <c r="GN81" s="157"/>
      <c r="GO81" s="157"/>
      <c r="GP81" s="157"/>
      <c r="GQ81" s="157"/>
      <c r="GR81" s="157"/>
      <c r="GS81" s="157"/>
      <c r="GT81" s="157"/>
      <c r="GU81" s="157"/>
      <c r="GV81" s="157"/>
      <c r="GW81" s="157"/>
      <c r="GX81" s="157"/>
      <c r="GY81" s="157"/>
      <c r="GZ81" s="157"/>
      <c r="HA81" s="157"/>
      <c r="HB81" s="157"/>
      <c r="HC81" s="157"/>
      <c r="HD81" s="157"/>
      <c r="HE81" s="157"/>
      <c r="HF81" s="157"/>
      <c r="HG81" s="157"/>
      <c r="HH81" s="157"/>
      <c r="HI81" s="157"/>
      <c r="HJ81" s="157"/>
      <c r="HK81" s="157"/>
      <c r="HL81" s="157"/>
      <c r="HM81" s="157"/>
      <c r="HN81" s="157"/>
      <c r="HO81" s="157"/>
      <c r="HP81" s="157"/>
      <c r="HQ81" s="157"/>
      <c r="HR81" s="157"/>
      <c r="HS81" s="157"/>
      <c r="HT81" s="157"/>
      <c r="HU81" s="157"/>
      <c r="HV81" s="157"/>
      <c r="HW81" s="157"/>
      <c r="HX81" s="157"/>
      <c r="HY81" s="157"/>
      <c r="HZ81" s="157"/>
      <c r="IA81" s="157"/>
      <c r="IB81" s="157"/>
      <c r="IC81" s="157"/>
      <c r="ID81" s="157"/>
      <c r="IE81" s="157"/>
      <c r="IF81" s="157"/>
      <c r="IG81" s="157"/>
      <c r="IH81" s="157"/>
      <c r="II81" s="157"/>
      <c r="IJ81" s="157"/>
      <c r="IK81" s="157"/>
      <c r="IL81" s="157"/>
      <c r="IM81" s="157"/>
      <c r="IN81" s="157"/>
      <c r="IO81" s="157"/>
      <c r="IP81" s="157"/>
      <c r="IQ81" s="157"/>
      <c r="IR81" s="157"/>
      <c r="IS81" s="157"/>
      <c r="IT81" s="157"/>
      <c r="IU81" s="157"/>
      <c r="IV81" s="157"/>
      <c r="IW81" s="157"/>
      <c r="IX81" s="157"/>
      <c r="IY81" s="157"/>
      <c r="IZ81" s="157"/>
      <c r="JA81" s="157"/>
      <c r="JB81" s="157"/>
      <c r="JC81" s="157"/>
      <c r="JD81" s="157"/>
      <c r="JE81" s="157"/>
      <c r="JF81" s="157"/>
      <c r="JG81" s="157"/>
      <c r="JH81" s="157"/>
      <c r="JI81" s="157"/>
      <c r="JJ81" s="157"/>
      <c r="JK81" s="157"/>
      <c r="JL81" s="157"/>
      <c r="JM81" s="157"/>
      <c r="JN81" s="157"/>
      <c r="JO81" s="157"/>
      <c r="JP81" s="157"/>
      <c r="JQ81" s="157"/>
      <c r="JR81" s="157"/>
      <c r="JS81" s="157"/>
      <c r="JT81" s="157"/>
      <c r="JU81" s="157"/>
      <c r="JV81" s="157"/>
      <c r="JW81" s="157"/>
      <c r="JX81" s="157"/>
      <c r="JY81" s="157"/>
      <c r="JZ81" s="157"/>
      <c r="KA81" s="157"/>
      <c r="KB81" s="157"/>
      <c r="KC81" s="157"/>
      <c r="KD81" s="157"/>
      <c r="KE81" s="157"/>
      <c r="KF81" s="157"/>
      <c r="KG81" s="157"/>
      <c r="KH81" s="157"/>
      <c r="KI81" s="157"/>
      <c r="KJ81" s="157"/>
      <c r="KK81" s="157"/>
      <c r="KL81" s="157"/>
    </row>
    <row r="82" spans="40:298" x14ac:dyDescent="0.2">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c r="CZ82" s="157"/>
      <c r="DA82" s="157"/>
      <c r="DB82" s="157"/>
      <c r="DC82" s="157"/>
      <c r="DD82" s="157"/>
      <c r="DE82" s="157"/>
      <c r="DF82" s="157"/>
      <c r="DG82" s="157"/>
      <c r="DH82" s="157"/>
      <c r="DI82" s="157"/>
      <c r="DJ82" s="157"/>
      <c r="DK82" s="157"/>
      <c r="DL82" s="157"/>
      <c r="DM82" s="157"/>
      <c r="DN82" s="157"/>
      <c r="DO82" s="157"/>
      <c r="DP82" s="157"/>
      <c r="DQ82" s="157"/>
      <c r="DR82" s="157"/>
      <c r="DS82" s="157"/>
      <c r="DT82" s="157"/>
      <c r="DU82" s="157"/>
      <c r="DV82" s="157"/>
      <c r="DW82" s="157"/>
      <c r="DX82" s="157"/>
      <c r="DY82" s="157"/>
      <c r="DZ82" s="157"/>
      <c r="EA82" s="157"/>
      <c r="EB82" s="157"/>
      <c r="EC82" s="157"/>
      <c r="ED82" s="157"/>
      <c r="EE82" s="157"/>
      <c r="EF82" s="157"/>
      <c r="EG82" s="157"/>
      <c r="EH82" s="157"/>
      <c r="EI82" s="157"/>
      <c r="EJ82" s="157"/>
      <c r="EK82" s="157"/>
      <c r="EL82" s="157"/>
      <c r="EM82" s="157"/>
      <c r="EN82" s="157"/>
      <c r="EO82" s="157"/>
      <c r="EP82" s="157"/>
      <c r="EQ82" s="157"/>
      <c r="ER82" s="157"/>
      <c r="ES82" s="157"/>
      <c r="ET82" s="157"/>
      <c r="EU82" s="157"/>
      <c r="EV82" s="157"/>
      <c r="EW82" s="157"/>
      <c r="EX82" s="157"/>
      <c r="EY82" s="157"/>
      <c r="EZ82" s="157"/>
      <c r="FA82" s="157"/>
      <c r="FB82" s="157"/>
      <c r="FC82" s="157"/>
      <c r="FD82" s="157"/>
      <c r="FE82" s="157"/>
      <c r="FF82" s="157"/>
      <c r="FG82" s="157"/>
      <c r="FH82" s="157"/>
      <c r="FI82" s="157"/>
      <c r="FJ82" s="157"/>
      <c r="FK82" s="157"/>
      <c r="FL82" s="157"/>
      <c r="FM82" s="157"/>
      <c r="FN82" s="157"/>
      <c r="FO82" s="157"/>
      <c r="FP82" s="157"/>
      <c r="FQ82" s="157"/>
      <c r="FR82" s="157"/>
      <c r="FS82" s="157"/>
      <c r="FT82" s="157"/>
      <c r="FU82" s="157"/>
      <c r="FV82" s="157"/>
      <c r="FW82" s="157"/>
      <c r="FX82" s="157"/>
      <c r="FY82" s="157"/>
      <c r="FZ82" s="157"/>
      <c r="GA82" s="157"/>
      <c r="GB82" s="157"/>
      <c r="GC82" s="157"/>
      <c r="GD82" s="157"/>
      <c r="GE82" s="157"/>
      <c r="GF82" s="157"/>
      <c r="GG82" s="157"/>
      <c r="GH82" s="157"/>
      <c r="GI82" s="157"/>
      <c r="GJ82" s="157"/>
      <c r="GK82" s="157"/>
      <c r="GL82" s="157"/>
      <c r="GM82" s="157"/>
      <c r="GN82" s="157"/>
      <c r="GO82" s="157"/>
      <c r="GP82" s="157"/>
      <c r="GQ82" s="157"/>
      <c r="GR82" s="157"/>
      <c r="GS82" s="157"/>
      <c r="GT82" s="157"/>
      <c r="GU82" s="157"/>
      <c r="GV82" s="157"/>
      <c r="GW82" s="157"/>
      <c r="GX82" s="157"/>
      <c r="GY82" s="157"/>
      <c r="GZ82" s="157"/>
      <c r="HA82" s="157"/>
      <c r="HB82" s="157"/>
      <c r="HC82" s="157"/>
      <c r="HD82" s="157"/>
      <c r="HE82" s="157"/>
      <c r="HF82" s="157"/>
      <c r="HG82" s="157"/>
      <c r="HH82" s="157"/>
      <c r="HI82" s="157"/>
      <c r="HJ82" s="157"/>
      <c r="HK82" s="157"/>
      <c r="HL82" s="157"/>
      <c r="HM82" s="157"/>
      <c r="HN82" s="157"/>
      <c r="HO82" s="157"/>
      <c r="HP82" s="157"/>
      <c r="HQ82" s="157"/>
      <c r="HR82" s="157"/>
      <c r="HS82" s="157"/>
      <c r="HT82" s="157"/>
      <c r="HU82" s="157"/>
      <c r="HV82" s="157"/>
      <c r="HW82" s="157"/>
      <c r="HX82" s="157"/>
      <c r="HY82" s="157"/>
      <c r="HZ82" s="157"/>
      <c r="IA82" s="157"/>
      <c r="IB82" s="157"/>
      <c r="IC82" s="157"/>
      <c r="ID82" s="157"/>
      <c r="IE82" s="157"/>
      <c r="IF82" s="157"/>
      <c r="IG82" s="157"/>
      <c r="IH82" s="157"/>
      <c r="II82" s="157"/>
      <c r="IJ82" s="157"/>
      <c r="IK82" s="157"/>
      <c r="IL82" s="157"/>
      <c r="IM82" s="157"/>
      <c r="IN82" s="157"/>
      <c r="IO82" s="157"/>
      <c r="IP82" s="157"/>
      <c r="IQ82" s="157"/>
      <c r="IR82" s="157"/>
      <c r="IS82" s="157"/>
      <c r="IT82" s="157"/>
      <c r="IU82" s="157"/>
      <c r="IV82" s="157"/>
      <c r="IW82" s="157"/>
      <c r="IX82" s="157"/>
      <c r="IY82" s="157"/>
      <c r="IZ82" s="157"/>
      <c r="JA82" s="157"/>
      <c r="JB82" s="157"/>
      <c r="JC82" s="157"/>
      <c r="JD82" s="157"/>
      <c r="JE82" s="157"/>
      <c r="JF82" s="157"/>
      <c r="JG82" s="157"/>
      <c r="JH82" s="157"/>
      <c r="JI82" s="157"/>
      <c r="JJ82" s="157"/>
      <c r="JK82" s="157"/>
      <c r="JL82" s="157"/>
      <c r="JM82" s="157"/>
      <c r="JN82" s="157"/>
      <c r="JO82" s="157"/>
      <c r="JP82" s="157"/>
      <c r="JQ82" s="157"/>
      <c r="JR82" s="157"/>
      <c r="JS82" s="157"/>
      <c r="JT82" s="157"/>
      <c r="JU82" s="157"/>
      <c r="JV82" s="157"/>
      <c r="JW82" s="157"/>
      <c r="JX82" s="157"/>
      <c r="JY82" s="157"/>
      <c r="JZ82" s="157"/>
      <c r="KA82" s="157"/>
      <c r="KB82" s="157"/>
      <c r="KC82" s="157"/>
      <c r="KD82" s="157"/>
      <c r="KE82" s="157"/>
      <c r="KF82" s="157"/>
      <c r="KG82" s="157"/>
      <c r="KH82" s="157"/>
      <c r="KI82" s="157"/>
      <c r="KJ82" s="157"/>
      <c r="KK82" s="157"/>
      <c r="KL82" s="157"/>
    </row>
    <row r="83" spans="40:298" x14ac:dyDescent="0.2">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c r="CZ83" s="157"/>
      <c r="DA83" s="157"/>
      <c r="DB83" s="157"/>
      <c r="DC83" s="157"/>
      <c r="DD83" s="157"/>
      <c r="DE83" s="157"/>
      <c r="DF83" s="157"/>
      <c r="DG83" s="157"/>
      <c r="DH83" s="157"/>
      <c r="DI83" s="157"/>
      <c r="DJ83" s="157"/>
      <c r="DK83" s="157"/>
      <c r="DL83" s="157"/>
      <c r="DM83" s="157"/>
      <c r="DN83" s="157"/>
      <c r="DO83" s="157"/>
      <c r="DP83" s="157"/>
      <c r="DQ83" s="157"/>
      <c r="DR83" s="157"/>
      <c r="DS83" s="157"/>
      <c r="DT83" s="157"/>
      <c r="DU83" s="157"/>
      <c r="DV83" s="157"/>
      <c r="DW83" s="157"/>
      <c r="DX83" s="157"/>
      <c r="DY83" s="157"/>
      <c r="DZ83" s="157"/>
      <c r="EA83" s="157"/>
      <c r="EB83" s="157"/>
      <c r="EC83" s="157"/>
      <c r="ED83" s="157"/>
      <c r="EE83" s="157"/>
      <c r="EF83" s="157"/>
      <c r="EG83" s="157"/>
      <c r="EH83" s="157"/>
      <c r="EI83" s="157"/>
      <c r="EJ83" s="157"/>
      <c r="EK83" s="157"/>
      <c r="EL83" s="157"/>
      <c r="EM83" s="157"/>
      <c r="EN83" s="157"/>
      <c r="EO83" s="157"/>
      <c r="EP83" s="157"/>
      <c r="EQ83" s="157"/>
      <c r="ER83" s="157"/>
      <c r="ES83" s="157"/>
      <c r="ET83" s="157"/>
      <c r="EU83" s="157"/>
      <c r="EV83" s="157"/>
      <c r="EW83" s="157"/>
      <c r="EX83" s="157"/>
      <c r="EY83" s="157"/>
      <c r="EZ83" s="157"/>
      <c r="FA83" s="157"/>
      <c r="FB83" s="157"/>
      <c r="FC83" s="157"/>
      <c r="FD83" s="157"/>
      <c r="FE83" s="157"/>
      <c r="FF83" s="157"/>
      <c r="FG83" s="157"/>
      <c r="FH83" s="157"/>
      <c r="FI83" s="157"/>
      <c r="FJ83" s="157"/>
      <c r="FK83" s="157"/>
      <c r="FL83" s="157"/>
      <c r="FM83" s="157"/>
      <c r="FN83" s="157"/>
      <c r="FO83" s="157"/>
      <c r="FP83" s="157"/>
      <c r="FQ83" s="157"/>
      <c r="FR83" s="157"/>
      <c r="FS83" s="157"/>
      <c r="FT83" s="157"/>
      <c r="FU83" s="157"/>
      <c r="FV83" s="157"/>
      <c r="FW83" s="157"/>
      <c r="FX83" s="157"/>
      <c r="FY83" s="157"/>
      <c r="FZ83" s="157"/>
      <c r="GA83" s="157"/>
      <c r="GB83" s="157"/>
      <c r="GC83" s="157"/>
      <c r="GD83" s="157"/>
      <c r="GE83" s="157"/>
      <c r="GF83" s="157"/>
      <c r="GG83" s="157"/>
      <c r="GH83" s="157"/>
      <c r="GI83" s="157"/>
      <c r="GJ83" s="157"/>
      <c r="GK83" s="157"/>
      <c r="GL83" s="157"/>
      <c r="GM83" s="157"/>
      <c r="GN83" s="157"/>
      <c r="GO83" s="157"/>
      <c r="GP83" s="157"/>
      <c r="GQ83" s="157"/>
      <c r="GR83" s="157"/>
      <c r="GS83" s="157"/>
      <c r="GT83" s="157"/>
      <c r="GU83" s="157"/>
      <c r="GV83" s="157"/>
      <c r="GW83" s="157"/>
      <c r="GX83" s="157"/>
      <c r="GY83" s="157"/>
      <c r="GZ83" s="157"/>
      <c r="HA83" s="157"/>
      <c r="HB83" s="157"/>
      <c r="HC83" s="157"/>
      <c r="HD83" s="157"/>
      <c r="HE83" s="157"/>
      <c r="HF83" s="157"/>
      <c r="HG83" s="157"/>
      <c r="HH83" s="157"/>
      <c r="HI83" s="157"/>
      <c r="HJ83" s="157"/>
      <c r="HK83" s="157"/>
      <c r="HL83" s="157"/>
      <c r="HM83" s="157"/>
      <c r="HN83" s="157"/>
      <c r="HO83" s="157"/>
      <c r="HP83" s="157"/>
      <c r="HQ83" s="157"/>
      <c r="HR83" s="157"/>
      <c r="HS83" s="157"/>
      <c r="HT83" s="157"/>
      <c r="HU83" s="157"/>
      <c r="HV83" s="157"/>
      <c r="HW83" s="157"/>
      <c r="HX83" s="157"/>
      <c r="HY83" s="157"/>
      <c r="HZ83" s="157"/>
      <c r="IA83" s="157"/>
      <c r="IB83" s="157"/>
      <c r="IC83" s="157"/>
      <c r="ID83" s="157"/>
      <c r="IE83" s="157"/>
      <c r="IF83" s="157"/>
      <c r="IG83" s="157"/>
      <c r="IH83" s="157"/>
      <c r="II83" s="157"/>
      <c r="IJ83" s="157"/>
      <c r="IK83" s="157"/>
      <c r="IL83" s="157"/>
      <c r="IM83" s="157"/>
      <c r="IN83" s="157"/>
      <c r="IO83" s="157"/>
      <c r="IP83" s="157"/>
      <c r="IQ83" s="157"/>
      <c r="IR83" s="157"/>
      <c r="IS83" s="157"/>
      <c r="IT83" s="157"/>
      <c r="IU83" s="157"/>
      <c r="IV83" s="157"/>
      <c r="IW83" s="157"/>
      <c r="IX83" s="157"/>
      <c r="IY83" s="157"/>
      <c r="IZ83" s="157"/>
      <c r="JA83" s="157"/>
      <c r="JB83" s="157"/>
      <c r="JC83" s="157"/>
      <c r="JD83" s="157"/>
      <c r="JE83" s="157"/>
      <c r="JF83" s="157"/>
      <c r="JG83" s="157"/>
      <c r="JH83" s="157"/>
      <c r="JI83" s="157"/>
      <c r="JJ83" s="157"/>
      <c r="JK83" s="157"/>
      <c r="JL83" s="157"/>
      <c r="JM83" s="157"/>
      <c r="JN83" s="157"/>
      <c r="JO83" s="157"/>
      <c r="JP83" s="157"/>
      <c r="JQ83" s="157"/>
      <c r="JR83" s="157"/>
      <c r="JS83" s="157"/>
      <c r="JT83" s="157"/>
      <c r="JU83" s="157"/>
      <c r="JV83" s="157"/>
      <c r="JW83" s="157"/>
      <c r="JX83" s="157"/>
      <c r="JY83" s="157"/>
      <c r="JZ83" s="157"/>
      <c r="KA83" s="157"/>
      <c r="KB83" s="157"/>
      <c r="KC83" s="157"/>
      <c r="KD83" s="157"/>
      <c r="KE83" s="157"/>
      <c r="KF83" s="157"/>
      <c r="KG83" s="157"/>
      <c r="KH83" s="157"/>
      <c r="KI83" s="157"/>
      <c r="KJ83" s="157"/>
      <c r="KK83" s="157"/>
      <c r="KL83" s="157"/>
    </row>
    <row r="84" spans="40:298" x14ac:dyDescent="0.2">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c r="CZ84" s="157"/>
      <c r="DA84" s="157"/>
      <c r="DB84" s="157"/>
      <c r="DC84" s="157"/>
      <c r="DD84" s="157"/>
      <c r="DE84" s="157"/>
      <c r="DF84" s="157"/>
      <c r="DG84" s="157"/>
      <c r="DH84" s="157"/>
      <c r="DI84" s="157"/>
      <c r="DJ84" s="157"/>
      <c r="DK84" s="157"/>
      <c r="DL84" s="157"/>
      <c r="DM84" s="157"/>
      <c r="DN84" s="157"/>
      <c r="DO84" s="157"/>
      <c r="DP84" s="157"/>
      <c r="DQ84" s="157"/>
      <c r="DR84" s="157"/>
      <c r="DS84" s="157"/>
      <c r="DT84" s="157"/>
      <c r="DU84" s="157"/>
      <c r="DV84" s="157"/>
      <c r="DW84" s="157"/>
      <c r="DX84" s="157"/>
      <c r="DY84" s="157"/>
      <c r="DZ84" s="157"/>
      <c r="EA84" s="157"/>
      <c r="EB84" s="157"/>
      <c r="EC84" s="157"/>
      <c r="ED84" s="157"/>
      <c r="EE84" s="157"/>
      <c r="EF84" s="157"/>
      <c r="EG84" s="157"/>
      <c r="EH84" s="157"/>
      <c r="EI84" s="157"/>
      <c r="EJ84" s="157"/>
      <c r="EK84" s="157"/>
      <c r="EL84" s="157"/>
      <c r="EM84" s="157"/>
      <c r="EN84" s="157"/>
      <c r="EO84" s="157"/>
      <c r="EP84" s="157"/>
      <c r="EQ84" s="157"/>
      <c r="ER84" s="157"/>
      <c r="ES84" s="157"/>
      <c r="ET84" s="157"/>
      <c r="EU84" s="157"/>
      <c r="EV84" s="157"/>
      <c r="EW84" s="157"/>
      <c r="EX84" s="157"/>
      <c r="EY84" s="157"/>
      <c r="EZ84" s="157"/>
      <c r="FA84" s="157"/>
      <c r="FB84" s="157"/>
      <c r="FC84" s="157"/>
      <c r="FD84" s="157"/>
      <c r="FE84" s="157"/>
      <c r="FF84" s="157"/>
      <c r="FG84" s="157"/>
      <c r="FH84" s="157"/>
      <c r="FI84" s="157"/>
      <c r="FJ84" s="157"/>
      <c r="FK84" s="157"/>
      <c r="FL84" s="157"/>
      <c r="FM84" s="157"/>
      <c r="FN84" s="157"/>
      <c r="FO84" s="157"/>
      <c r="FP84" s="157"/>
      <c r="FQ84" s="157"/>
      <c r="FR84" s="157"/>
      <c r="FS84" s="157"/>
      <c r="FT84" s="157"/>
      <c r="FU84" s="157"/>
      <c r="FV84" s="157"/>
      <c r="FW84" s="157"/>
      <c r="FX84" s="157"/>
      <c r="FY84" s="157"/>
      <c r="FZ84" s="157"/>
      <c r="GA84" s="157"/>
      <c r="GB84" s="157"/>
      <c r="GC84" s="157"/>
      <c r="GD84" s="157"/>
      <c r="GE84" s="157"/>
      <c r="GF84" s="157"/>
      <c r="GG84" s="157"/>
      <c r="GH84" s="157"/>
      <c r="GI84" s="157"/>
      <c r="GJ84" s="157"/>
      <c r="GK84" s="157"/>
      <c r="GL84" s="157"/>
      <c r="GM84" s="157"/>
      <c r="GN84" s="157"/>
      <c r="GO84" s="157"/>
      <c r="GP84" s="157"/>
      <c r="GQ84" s="157"/>
      <c r="GR84" s="157"/>
      <c r="GS84" s="157"/>
      <c r="GT84" s="157"/>
      <c r="GU84" s="157"/>
      <c r="GV84" s="157"/>
      <c r="GW84" s="157"/>
      <c r="GX84" s="157"/>
      <c r="GY84" s="157"/>
      <c r="GZ84" s="157"/>
      <c r="HA84" s="157"/>
      <c r="HB84" s="157"/>
      <c r="HC84" s="157"/>
      <c r="HD84" s="157"/>
      <c r="HE84" s="157"/>
      <c r="HF84" s="157"/>
      <c r="HG84" s="157"/>
      <c r="HH84" s="157"/>
      <c r="HI84" s="157"/>
      <c r="HJ84" s="157"/>
      <c r="HK84" s="157"/>
      <c r="HL84" s="157"/>
      <c r="HM84" s="157"/>
      <c r="HN84" s="157"/>
      <c r="HO84" s="157"/>
      <c r="HP84" s="157"/>
      <c r="HQ84" s="157"/>
      <c r="HR84" s="157"/>
      <c r="HS84" s="157"/>
      <c r="HT84" s="157"/>
      <c r="HU84" s="157"/>
      <c r="HV84" s="157"/>
      <c r="HW84" s="157"/>
      <c r="HX84" s="157"/>
      <c r="HY84" s="157"/>
      <c r="HZ84" s="157"/>
      <c r="IA84" s="157"/>
      <c r="IB84" s="157"/>
      <c r="IC84" s="157"/>
      <c r="ID84" s="157"/>
      <c r="IE84" s="157"/>
      <c r="IF84" s="157"/>
      <c r="IG84" s="157"/>
      <c r="IH84" s="157"/>
      <c r="II84" s="157"/>
      <c r="IJ84" s="157"/>
      <c r="IK84" s="157"/>
      <c r="IL84" s="157"/>
      <c r="IM84" s="157"/>
      <c r="IN84" s="157"/>
      <c r="IO84" s="157"/>
      <c r="IP84" s="157"/>
      <c r="IQ84" s="157"/>
      <c r="IR84" s="157"/>
      <c r="IS84" s="157"/>
      <c r="IT84" s="157"/>
      <c r="IU84" s="157"/>
      <c r="IV84" s="157"/>
      <c r="IW84" s="157"/>
      <c r="IX84" s="157"/>
      <c r="IY84" s="157"/>
      <c r="IZ84" s="157"/>
      <c r="JA84" s="157"/>
      <c r="JB84" s="157"/>
      <c r="JC84" s="157"/>
      <c r="JD84" s="157"/>
      <c r="JE84" s="157"/>
      <c r="JF84" s="157"/>
      <c r="JG84" s="157"/>
      <c r="JH84" s="157"/>
      <c r="JI84" s="157"/>
      <c r="JJ84" s="157"/>
      <c r="JK84" s="157"/>
      <c r="JL84" s="157"/>
      <c r="JM84" s="157"/>
      <c r="JN84" s="157"/>
      <c r="JO84" s="157"/>
      <c r="JP84" s="157"/>
      <c r="JQ84" s="157"/>
      <c r="JR84" s="157"/>
      <c r="JS84" s="157"/>
      <c r="JT84" s="157"/>
      <c r="JU84" s="157"/>
      <c r="JV84" s="157"/>
      <c r="JW84" s="157"/>
      <c r="JX84" s="157"/>
      <c r="JY84" s="157"/>
      <c r="JZ84" s="157"/>
      <c r="KA84" s="157"/>
      <c r="KB84" s="157"/>
      <c r="KC84" s="157"/>
      <c r="KD84" s="157"/>
      <c r="KE84" s="157"/>
      <c r="KF84" s="157"/>
      <c r="KG84" s="157"/>
      <c r="KH84" s="157"/>
      <c r="KI84" s="157"/>
      <c r="KJ84" s="157"/>
      <c r="KK84" s="157"/>
      <c r="KL84" s="157"/>
    </row>
    <row r="85" spans="40:298" x14ac:dyDescent="0.2">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c r="CZ85" s="157"/>
      <c r="DA85" s="157"/>
      <c r="DB85" s="157"/>
      <c r="DC85" s="157"/>
      <c r="DD85" s="157"/>
      <c r="DE85" s="157"/>
      <c r="DF85" s="157"/>
      <c r="DG85" s="157"/>
      <c r="DH85" s="157"/>
      <c r="DI85" s="157"/>
      <c r="DJ85" s="157"/>
      <c r="DK85" s="157"/>
      <c r="DL85" s="157"/>
      <c r="DM85" s="157"/>
      <c r="DN85" s="157"/>
      <c r="DO85" s="157"/>
      <c r="DP85" s="157"/>
      <c r="DQ85" s="157"/>
      <c r="DR85" s="157"/>
      <c r="DS85" s="157"/>
      <c r="DT85" s="157"/>
      <c r="DU85" s="157"/>
      <c r="DV85" s="157"/>
      <c r="DW85" s="157"/>
      <c r="DX85" s="157"/>
      <c r="DY85" s="157"/>
      <c r="DZ85" s="157"/>
      <c r="EA85" s="157"/>
      <c r="EB85" s="157"/>
      <c r="EC85" s="157"/>
      <c r="ED85" s="157"/>
      <c r="EE85" s="157"/>
      <c r="EF85" s="157"/>
      <c r="EG85" s="157"/>
      <c r="EH85" s="157"/>
      <c r="EI85" s="157"/>
      <c r="EJ85" s="157"/>
      <c r="EK85" s="157"/>
      <c r="EL85" s="157"/>
      <c r="EM85" s="157"/>
      <c r="EN85" s="157"/>
      <c r="EO85" s="157"/>
      <c r="EP85" s="157"/>
      <c r="EQ85" s="157"/>
      <c r="ER85" s="157"/>
      <c r="ES85" s="157"/>
      <c r="ET85" s="157"/>
      <c r="EU85" s="157"/>
      <c r="EV85" s="157"/>
      <c r="EW85" s="157"/>
      <c r="EX85" s="157"/>
      <c r="EY85" s="157"/>
      <c r="EZ85" s="157"/>
      <c r="FA85" s="157"/>
      <c r="FB85" s="157"/>
      <c r="FC85" s="157"/>
      <c r="FD85" s="157"/>
      <c r="FE85" s="157"/>
      <c r="FF85" s="157"/>
      <c r="FG85" s="157"/>
      <c r="FH85" s="157"/>
      <c r="FI85" s="157"/>
      <c r="FJ85" s="157"/>
      <c r="FK85" s="157"/>
      <c r="FL85" s="157"/>
      <c r="FM85" s="157"/>
      <c r="FN85" s="157"/>
      <c r="FO85" s="157"/>
      <c r="FP85" s="157"/>
      <c r="FQ85" s="157"/>
      <c r="FR85" s="157"/>
      <c r="FS85" s="157"/>
      <c r="FT85" s="157"/>
      <c r="FU85" s="157"/>
      <c r="FV85" s="157"/>
      <c r="FW85" s="157"/>
      <c r="FX85" s="157"/>
      <c r="FY85" s="157"/>
      <c r="FZ85" s="157"/>
      <c r="GA85" s="157"/>
      <c r="GB85" s="157"/>
      <c r="GC85" s="157"/>
      <c r="GD85" s="157"/>
      <c r="GE85" s="157"/>
      <c r="GF85" s="157"/>
      <c r="GG85" s="157"/>
      <c r="GH85" s="157"/>
      <c r="GI85" s="157"/>
      <c r="GJ85" s="157"/>
      <c r="GK85" s="157"/>
      <c r="GL85" s="157"/>
      <c r="GM85" s="157"/>
      <c r="GN85" s="157"/>
      <c r="GO85" s="157"/>
      <c r="GP85" s="157"/>
      <c r="GQ85" s="157"/>
      <c r="GR85" s="157"/>
      <c r="GS85" s="157"/>
      <c r="GT85" s="157"/>
      <c r="GU85" s="157"/>
      <c r="GV85" s="157"/>
      <c r="GW85" s="157"/>
      <c r="GX85" s="157"/>
      <c r="GY85" s="157"/>
      <c r="GZ85" s="157"/>
      <c r="HA85" s="157"/>
      <c r="HB85" s="157"/>
      <c r="HC85" s="157"/>
      <c r="HD85" s="157"/>
      <c r="HE85" s="157"/>
      <c r="HF85" s="157"/>
      <c r="HG85" s="157"/>
      <c r="HH85" s="157"/>
      <c r="HI85" s="157"/>
      <c r="HJ85" s="157"/>
      <c r="HK85" s="157"/>
      <c r="HL85" s="157"/>
      <c r="HM85" s="157"/>
      <c r="HN85" s="157"/>
      <c r="HO85" s="157"/>
      <c r="HP85" s="157"/>
      <c r="HQ85" s="157"/>
      <c r="HR85" s="157"/>
      <c r="HS85" s="157"/>
      <c r="HT85" s="157"/>
      <c r="HU85" s="157"/>
      <c r="HV85" s="157"/>
      <c r="HW85" s="157"/>
      <c r="HX85" s="157"/>
      <c r="HY85" s="157"/>
      <c r="HZ85" s="157"/>
      <c r="IA85" s="157"/>
      <c r="IB85" s="157"/>
      <c r="IC85" s="157"/>
      <c r="ID85" s="157"/>
      <c r="IE85" s="157"/>
      <c r="IF85" s="157"/>
      <c r="IG85" s="157"/>
      <c r="IH85" s="157"/>
      <c r="II85" s="157"/>
      <c r="IJ85" s="157"/>
      <c r="IK85" s="157"/>
      <c r="IL85" s="157"/>
      <c r="IM85" s="157"/>
      <c r="IN85" s="157"/>
      <c r="IO85" s="157"/>
      <c r="IP85" s="157"/>
      <c r="IQ85" s="157"/>
      <c r="IR85" s="157"/>
      <c r="IS85" s="157"/>
      <c r="IT85" s="157"/>
      <c r="IU85" s="157"/>
      <c r="IV85" s="157"/>
      <c r="IW85" s="157"/>
      <c r="IX85" s="157"/>
      <c r="IY85" s="157"/>
      <c r="IZ85" s="157"/>
      <c r="JA85" s="157"/>
      <c r="JB85" s="157"/>
      <c r="JC85" s="157"/>
      <c r="JD85" s="157"/>
      <c r="JE85" s="157"/>
      <c r="JF85" s="157"/>
      <c r="JG85" s="157"/>
      <c r="JH85" s="157"/>
      <c r="JI85" s="157"/>
      <c r="JJ85" s="157"/>
      <c r="JK85" s="157"/>
      <c r="JL85" s="157"/>
      <c r="JM85" s="157"/>
      <c r="JN85" s="157"/>
      <c r="JO85" s="157"/>
      <c r="JP85" s="157"/>
      <c r="JQ85" s="157"/>
      <c r="JR85" s="157"/>
      <c r="JS85" s="157"/>
      <c r="JT85" s="157"/>
      <c r="JU85" s="157"/>
      <c r="JV85" s="157"/>
      <c r="JW85" s="157"/>
      <c r="JX85" s="157"/>
      <c r="JY85" s="157"/>
      <c r="JZ85" s="157"/>
      <c r="KA85" s="157"/>
      <c r="KB85" s="157"/>
      <c r="KC85" s="157"/>
      <c r="KD85" s="157"/>
      <c r="KE85" s="157"/>
      <c r="KF85" s="157"/>
      <c r="KG85" s="157"/>
      <c r="KH85" s="157"/>
      <c r="KI85" s="157"/>
      <c r="KJ85" s="157"/>
      <c r="KK85" s="157"/>
      <c r="KL85" s="157"/>
    </row>
    <row r="86" spans="40:298" x14ac:dyDescent="0.2">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c r="CZ86" s="157"/>
      <c r="DA86" s="157"/>
      <c r="DB86" s="157"/>
      <c r="DC86" s="157"/>
      <c r="DD86" s="157"/>
      <c r="DE86" s="157"/>
      <c r="DF86" s="157"/>
      <c r="DG86" s="157"/>
      <c r="DH86" s="157"/>
      <c r="DI86" s="157"/>
      <c r="DJ86" s="157"/>
      <c r="DK86" s="157"/>
      <c r="DL86" s="157"/>
      <c r="DM86" s="157"/>
      <c r="DN86" s="157"/>
      <c r="DO86" s="157"/>
      <c r="DP86" s="157"/>
      <c r="DQ86" s="157"/>
      <c r="DR86" s="157"/>
      <c r="DS86" s="157"/>
      <c r="DT86" s="157"/>
      <c r="DU86" s="157"/>
      <c r="DV86" s="157"/>
      <c r="DW86" s="157"/>
      <c r="DX86" s="157"/>
      <c r="DY86" s="157"/>
      <c r="DZ86" s="157"/>
      <c r="EA86" s="157"/>
      <c r="EB86" s="157"/>
      <c r="EC86" s="157"/>
      <c r="ED86" s="157"/>
      <c r="EE86" s="157"/>
      <c r="EF86" s="157"/>
      <c r="EG86" s="157"/>
      <c r="EH86" s="157"/>
      <c r="EI86" s="157"/>
      <c r="EJ86" s="157"/>
      <c r="EK86" s="157"/>
      <c r="EL86" s="157"/>
      <c r="EM86" s="157"/>
      <c r="EN86" s="157"/>
      <c r="EO86" s="157"/>
      <c r="EP86" s="157"/>
      <c r="EQ86" s="157"/>
      <c r="ER86" s="157"/>
      <c r="ES86" s="157"/>
      <c r="ET86" s="157"/>
      <c r="EU86" s="157"/>
      <c r="EV86" s="157"/>
      <c r="EW86" s="157"/>
      <c r="EX86" s="157"/>
      <c r="EY86" s="157"/>
      <c r="EZ86" s="157"/>
      <c r="FA86" s="157"/>
      <c r="FB86" s="157"/>
      <c r="FC86" s="157"/>
      <c r="FD86" s="157"/>
      <c r="FE86" s="157"/>
      <c r="FF86" s="157"/>
      <c r="FG86" s="157"/>
      <c r="FH86" s="157"/>
      <c r="FI86" s="157"/>
      <c r="FJ86" s="157"/>
      <c r="FK86" s="157"/>
      <c r="FL86" s="157"/>
      <c r="FM86" s="157"/>
      <c r="FN86" s="157"/>
      <c r="FO86" s="157"/>
      <c r="FP86" s="157"/>
      <c r="FQ86" s="157"/>
      <c r="FR86" s="157"/>
      <c r="FS86" s="157"/>
      <c r="FT86" s="157"/>
      <c r="FU86" s="157"/>
      <c r="FV86" s="157"/>
      <c r="FW86" s="157"/>
      <c r="FX86" s="157"/>
      <c r="FY86" s="157"/>
      <c r="FZ86" s="157"/>
      <c r="GA86" s="157"/>
      <c r="GB86" s="157"/>
      <c r="GC86" s="157"/>
      <c r="GD86" s="157"/>
      <c r="GE86" s="157"/>
      <c r="GF86" s="157"/>
      <c r="GG86" s="157"/>
      <c r="GH86" s="157"/>
      <c r="GI86" s="157"/>
      <c r="GJ86" s="157"/>
      <c r="GK86" s="157"/>
      <c r="GL86" s="157"/>
      <c r="GM86" s="157"/>
      <c r="GN86" s="157"/>
      <c r="GO86" s="157"/>
      <c r="GP86" s="157"/>
      <c r="GQ86" s="157"/>
      <c r="GR86" s="157"/>
      <c r="GS86" s="157"/>
      <c r="GT86" s="157"/>
      <c r="GU86" s="157"/>
      <c r="GV86" s="157"/>
      <c r="GW86" s="157"/>
      <c r="GX86" s="157"/>
      <c r="GY86" s="157"/>
      <c r="GZ86" s="157"/>
      <c r="HA86" s="157"/>
      <c r="HB86" s="157"/>
      <c r="HC86" s="157"/>
      <c r="HD86" s="157"/>
      <c r="HE86" s="157"/>
      <c r="HF86" s="157"/>
      <c r="HG86" s="157"/>
      <c r="HH86" s="157"/>
      <c r="HI86" s="157"/>
      <c r="HJ86" s="157"/>
      <c r="HK86" s="157"/>
      <c r="HL86" s="157"/>
      <c r="HM86" s="157"/>
      <c r="HN86" s="157"/>
      <c r="HO86" s="157"/>
      <c r="HP86" s="157"/>
      <c r="HQ86" s="157"/>
      <c r="HR86" s="157"/>
      <c r="HS86" s="157"/>
      <c r="HT86" s="157"/>
      <c r="HU86" s="157"/>
      <c r="HV86" s="157"/>
      <c r="HW86" s="157"/>
      <c r="HX86" s="157"/>
      <c r="HY86" s="157"/>
      <c r="HZ86" s="157"/>
      <c r="IA86" s="157"/>
      <c r="IB86" s="157"/>
      <c r="IC86" s="157"/>
      <c r="ID86" s="157"/>
      <c r="IE86" s="157"/>
      <c r="IF86" s="157"/>
      <c r="IG86" s="157"/>
      <c r="IH86" s="157"/>
      <c r="II86" s="157"/>
      <c r="IJ86" s="157"/>
      <c r="IK86" s="157"/>
      <c r="IL86" s="157"/>
      <c r="IM86" s="157"/>
      <c r="IN86" s="157"/>
      <c r="IO86" s="157"/>
      <c r="IP86" s="157"/>
      <c r="IQ86" s="157"/>
      <c r="IR86" s="157"/>
      <c r="IS86" s="157"/>
      <c r="IT86" s="157"/>
      <c r="IU86" s="157"/>
      <c r="IV86" s="157"/>
      <c r="IW86" s="157"/>
      <c r="IX86" s="157"/>
      <c r="IY86" s="157"/>
      <c r="IZ86" s="157"/>
      <c r="JA86" s="157"/>
      <c r="JB86" s="157"/>
      <c r="JC86" s="157"/>
      <c r="JD86" s="157"/>
      <c r="JE86" s="157"/>
      <c r="JF86" s="157"/>
      <c r="JG86" s="157"/>
      <c r="JH86" s="157"/>
      <c r="JI86" s="157"/>
      <c r="JJ86" s="157"/>
      <c r="JK86" s="157"/>
      <c r="JL86" s="157"/>
      <c r="JM86" s="157"/>
      <c r="JN86" s="157"/>
      <c r="JO86" s="157"/>
      <c r="JP86" s="157"/>
      <c r="JQ86" s="157"/>
      <c r="JR86" s="157"/>
      <c r="JS86" s="157"/>
      <c r="JT86" s="157"/>
      <c r="JU86" s="157"/>
      <c r="JV86" s="157"/>
      <c r="JW86" s="157"/>
      <c r="JX86" s="157"/>
      <c r="JY86" s="157"/>
      <c r="JZ86" s="157"/>
      <c r="KA86" s="157"/>
      <c r="KB86" s="157"/>
      <c r="KC86" s="157"/>
      <c r="KD86" s="157"/>
      <c r="KE86" s="157"/>
      <c r="KF86" s="157"/>
      <c r="KG86" s="157"/>
      <c r="KH86" s="157"/>
      <c r="KI86" s="157"/>
      <c r="KJ86" s="157"/>
      <c r="KK86" s="157"/>
      <c r="KL86" s="157"/>
    </row>
    <row r="87" spans="40:298" x14ac:dyDescent="0.2">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c r="CZ87" s="157"/>
      <c r="DA87" s="157"/>
      <c r="DB87" s="157"/>
      <c r="DC87" s="157"/>
      <c r="DD87" s="157"/>
      <c r="DE87" s="157"/>
      <c r="DF87" s="157"/>
      <c r="DG87" s="157"/>
      <c r="DH87" s="157"/>
      <c r="DI87" s="157"/>
      <c r="DJ87" s="157"/>
      <c r="DK87" s="157"/>
      <c r="DL87" s="157"/>
      <c r="DM87" s="157"/>
      <c r="DN87" s="157"/>
      <c r="DO87" s="157"/>
      <c r="DP87" s="157"/>
      <c r="DQ87" s="157"/>
      <c r="DR87" s="157"/>
      <c r="DS87" s="157"/>
      <c r="DT87" s="157"/>
      <c r="DU87" s="157"/>
      <c r="DV87" s="157"/>
      <c r="DW87" s="157"/>
      <c r="DX87" s="157"/>
      <c r="DY87" s="157"/>
      <c r="DZ87" s="157"/>
      <c r="EA87" s="157"/>
      <c r="EB87" s="157"/>
      <c r="EC87" s="157"/>
      <c r="ED87" s="157"/>
      <c r="EE87" s="157"/>
      <c r="EF87" s="157"/>
      <c r="EG87" s="157"/>
      <c r="EH87" s="157"/>
      <c r="EI87" s="157"/>
      <c r="EJ87" s="157"/>
      <c r="EK87" s="157"/>
      <c r="EL87" s="157"/>
      <c r="EM87" s="157"/>
      <c r="EN87" s="157"/>
      <c r="EO87" s="157"/>
      <c r="EP87" s="157"/>
      <c r="EQ87" s="157"/>
      <c r="ER87" s="157"/>
      <c r="ES87" s="157"/>
      <c r="ET87" s="157"/>
      <c r="EU87" s="157"/>
      <c r="EV87" s="157"/>
      <c r="EW87" s="157"/>
      <c r="EX87" s="157"/>
      <c r="EY87" s="157"/>
      <c r="EZ87" s="157"/>
      <c r="FA87" s="157"/>
      <c r="FB87" s="157"/>
      <c r="FC87" s="157"/>
      <c r="FD87" s="157"/>
      <c r="FE87" s="157"/>
      <c r="FF87" s="157"/>
      <c r="FG87" s="157"/>
      <c r="FH87" s="157"/>
      <c r="FI87" s="157"/>
      <c r="FJ87" s="157"/>
      <c r="FK87" s="157"/>
      <c r="FL87" s="157"/>
      <c r="FM87" s="157"/>
      <c r="FN87" s="157"/>
      <c r="FO87" s="157"/>
      <c r="FP87" s="157"/>
      <c r="FQ87" s="157"/>
      <c r="FR87" s="157"/>
      <c r="FS87" s="157"/>
      <c r="FT87" s="157"/>
      <c r="FU87" s="157"/>
      <c r="FV87" s="157"/>
      <c r="FW87" s="157"/>
      <c r="FX87" s="157"/>
      <c r="FY87" s="157"/>
      <c r="FZ87" s="157"/>
      <c r="GA87" s="157"/>
      <c r="GB87" s="157"/>
      <c r="GC87" s="157"/>
      <c r="GD87" s="157"/>
      <c r="GE87" s="157"/>
      <c r="GF87" s="157"/>
      <c r="GG87" s="157"/>
      <c r="GH87" s="157"/>
      <c r="GI87" s="157"/>
      <c r="GJ87" s="157"/>
      <c r="GK87" s="157"/>
      <c r="GL87" s="157"/>
      <c r="GM87" s="157"/>
      <c r="GN87" s="157"/>
      <c r="GO87" s="157"/>
      <c r="GP87" s="157"/>
      <c r="GQ87" s="157"/>
      <c r="GR87" s="157"/>
      <c r="GS87" s="157"/>
      <c r="GT87" s="157"/>
      <c r="GU87" s="157"/>
      <c r="GV87" s="157"/>
      <c r="GW87" s="157"/>
      <c r="GX87" s="157"/>
      <c r="GY87" s="157"/>
      <c r="GZ87" s="157"/>
      <c r="HA87" s="157"/>
      <c r="HB87" s="157"/>
      <c r="HC87" s="157"/>
      <c r="HD87" s="157"/>
      <c r="HE87" s="157"/>
      <c r="HF87" s="157"/>
      <c r="HG87" s="157"/>
      <c r="HH87" s="157"/>
      <c r="HI87" s="157"/>
      <c r="HJ87" s="157"/>
      <c r="HK87" s="157"/>
      <c r="HL87" s="157"/>
      <c r="HM87" s="157"/>
      <c r="HN87" s="157"/>
      <c r="HO87" s="157"/>
      <c r="HP87" s="157"/>
      <c r="HQ87" s="157"/>
      <c r="HR87" s="157"/>
      <c r="HS87" s="157"/>
      <c r="HT87" s="157"/>
      <c r="HU87" s="157"/>
      <c r="HV87" s="157"/>
      <c r="HW87" s="157"/>
      <c r="HX87" s="157"/>
      <c r="HY87" s="157"/>
      <c r="HZ87" s="157"/>
      <c r="IA87" s="157"/>
      <c r="IB87" s="157"/>
      <c r="IC87" s="157"/>
      <c r="ID87" s="157"/>
      <c r="IE87" s="157"/>
      <c r="IF87" s="157"/>
      <c r="IG87" s="157"/>
      <c r="IH87" s="157"/>
      <c r="II87" s="157"/>
      <c r="IJ87" s="157"/>
      <c r="IK87" s="157"/>
      <c r="IL87" s="157"/>
      <c r="IM87" s="157"/>
      <c r="IN87" s="157"/>
      <c r="IO87" s="157"/>
      <c r="IP87" s="157"/>
      <c r="IQ87" s="157"/>
      <c r="IR87" s="157"/>
      <c r="IS87" s="157"/>
      <c r="IT87" s="157"/>
      <c r="IU87" s="157"/>
      <c r="IV87" s="157"/>
      <c r="IW87" s="157"/>
      <c r="IX87" s="157"/>
      <c r="IY87" s="157"/>
      <c r="IZ87" s="157"/>
      <c r="JA87" s="157"/>
      <c r="JB87" s="157"/>
      <c r="JC87" s="157"/>
      <c r="JD87" s="157"/>
      <c r="JE87" s="157"/>
      <c r="JF87" s="157"/>
      <c r="JG87" s="157"/>
      <c r="JH87" s="157"/>
      <c r="JI87" s="157"/>
      <c r="JJ87" s="157"/>
      <c r="JK87" s="157"/>
      <c r="JL87" s="157"/>
      <c r="JM87" s="157"/>
      <c r="JN87" s="157"/>
      <c r="JO87" s="157"/>
      <c r="JP87" s="157"/>
      <c r="JQ87" s="157"/>
      <c r="JR87" s="157"/>
      <c r="JS87" s="157"/>
      <c r="JT87" s="157"/>
      <c r="JU87" s="157"/>
      <c r="JV87" s="157"/>
      <c r="JW87" s="157"/>
      <c r="JX87" s="157"/>
      <c r="JY87" s="157"/>
      <c r="JZ87" s="157"/>
      <c r="KA87" s="157"/>
      <c r="KB87" s="157"/>
      <c r="KC87" s="157"/>
      <c r="KD87" s="157"/>
      <c r="KE87" s="157"/>
      <c r="KF87" s="157"/>
      <c r="KG87" s="157"/>
      <c r="KH87" s="157"/>
      <c r="KI87" s="157"/>
      <c r="KJ87" s="157"/>
      <c r="KK87" s="157"/>
      <c r="KL87" s="157"/>
    </row>
    <row r="88" spans="40:298" x14ac:dyDescent="0.2">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c r="CZ88" s="157"/>
      <c r="DA88" s="157"/>
      <c r="DB88" s="157"/>
      <c r="DC88" s="157"/>
      <c r="DD88" s="157"/>
      <c r="DE88" s="157"/>
      <c r="DF88" s="157"/>
      <c r="DG88" s="157"/>
      <c r="DH88" s="157"/>
      <c r="DI88" s="157"/>
      <c r="DJ88" s="157"/>
      <c r="DK88" s="157"/>
      <c r="DL88" s="157"/>
      <c r="DM88" s="157"/>
      <c r="DN88" s="157"/>
      <c r="DO88" s="157"/>
      <c r="DP88" s="157"/>
      <c r="DQ88" s="157"/>
      <c r="DR88" s="157"/>
      <c r="DS88" s="157"/>
      <c r="DT88" s="157"/>
      <c r="DU88" s="157"/>
      <c r="DV88" s="157"/>
      <c r="DW88" s="157"/>
      <c r="DX88" s="157"/>
      <c r="DY88" s="157"/>
      <c r="DZ88" s="157"/>
      <c r="EA88" s="157"/>
      <c r="EB88" s="157"/>
      <c r="EC88" s="157"/>
      <c r="ED88" s="157"/>
      <c r="EE88" s="157"/>
      <c r="EF88" s="157"/>
      <c r="EG88" s="157"/>
      <c r="EH88" s="157"/>
      <c r="EI88" s="157"/>
      <c r="EJ88" s="157"/>
      <c r="EK88" s="157"/>
      <c r="EL88" s="157"/>
      <c r="EM88" s="157"/>
      <c r="EN88" s="157"/>
      <c r="EO88" s="157"/>
      <c r="EP88" s="157"/>
      <c r="EQ88" s="157"/>
      <c r="ER88" s="157"/>
      <c r="ES88" s="157"/>
      <c r="ET88" s="157"/>
      <c r="EU88" s="157"/>
      <c r="EV88" s="157"/>
      <c r="EW88" s="157"/>
      <c r="EX88" s="157"/>
      <c r="EY88" s="157"/>
      <c r="EZ88" s="157"/>
      <c r="FA88" s="157"/>
      <c r="FB88" s="157"/>
      <c r="FC88" s="157"/>
      <c r="FD88" s="157"/>
      <c r="FE88" s="157"/>
      <c r="FF88" s="157"/>
      <c r="FG88" s="157"/>
      <c r="FH88" s="157"/>
      <c r="FI88" s="157"/>
      <c r="FJ88" s="157"/>
      <c r="FK88" s="157"/>
      <c r="FL88" s="157"/>
      <c r="FM88" s="157"/>
      <c r="FN88" s="157"/>
      <c r="FO88" s="157"/>
      <c r="FP88" s="157"/>
      <c r="FQ88" s="157"/>
      <c r="FR88" s="157"/>
      <c r="FS88" s="157"/>
      <c r="FT88" s="157"/>
      <c r="FU88" s="157"/>
      <c r="FV88" s="157"/>
      <c r="FW88" s="157"/>
      <c r="FX88" s="157"/>
      <c r="FY88" s="157"/>
      <c r="FZ88" s="157"/>
      <c r="GA88" s="157"/>
      <c r="GB88" s="157"/>
      <c r="GC88" s="157"/>
      <c r="GD88" s="157"/>
      <c r="GE88" s="157"/>
      <c r="GF88" s="157"/>
      <c r="GG88" s="157"/>
      <c r="GH88" s="157"/>
      <c r="GI88" s="157"/>
      <c r="GJ88" s="157"/>
      <c r="GK88" s="157"/>
      <c r="GL88" s="157"/>
      <c r="GM88" s="157"/>
      <c r="GN88" s="157"/>
      <c r="GO88" s="157"/>
      <c r="GP88" s="157"/>
      <c r="GQ88" s="157"/>
      <c r="GR88" s="157"/>
      <c r="GS88" s="157"/>
      <c r="GT88" s="157"/>
      <c r="GU88" s="157"/>
      <c r="GV88" s="157"/>
      <c r="GW88" s="157"/>
      <c r="GX88" s="157"/>
      <c r="GY88" s="157"/>
      <c r="GZ88" s="157"/>
      <c r="HA88" s="157"/>
      <c r="HB88" s="157"/>
      <c r="HC88" s="157"/>
      <c r="HD88" s="157"/>
      <c r="HE88" s="157"/>
      <c r="HF88" s="157"/>
      <c r="HG88" s="157"/>
      <c r="HH88" s="157"/>
      <c r="HI88" s="157"/>
      <c r="HJ88" s="157"/>
      <c r="HK88" s="157"/>
      <c r="HL88" s="157"/>
      <c r="HM88" s="157"/>
      <c r="HN88" s="157"/>
      <c r="HO88" s="157"/>
      <c r="HP88" s="157"/>
      <c r="HQ88" s="157"/>
      <c r="HR88" s="157"/>
      <c r="HS88" s="157"/>
      <c r="HT88" s="157"/>
      <c r="HU88" s="157"/>
      <c r="HV88" s="157"/>
      <c r="HW88" s="157"/>
      <c r="HX88" s="157"/>
      <c r="HY88" s="157"/>
      <c r="HZ88" s="157"/>
      <c r="IA88" s="157"/>
      <c r="IB88" s="157"/>
      <c r="IC88" s="157"/>
      <c r="ID88" s="157"/>
      <c r="IE88" s="157"/>
      <c r="IF88" s="157"/>
      <c r="IG88" s="157"/>
      <c r="IH88" s="157"/>
      <c r="II88" s="157"/>
      <c r="IJ88" s="157"/>
      <c r="IK88" s="157"/>
      <c r="IL88" s="157"/>
      <c r="IM88" s="157"/>
      <c r="IN88" s="157"/>
      <c r="IO88" s="157"/>
      <c r="IP88" s="157"/>
      <c r="IQ88" s="157"/>
      <c r="IR88" s="157"/>
      <c r="IS88" s="157"/>
      <c r="IT88" s="157"/>
      <c r="IU88" s="157"/>
      <c r="IV88" s="157"/>
      <c r="IW88" s="157"/>
      <c r="IX88" s="157"/>
      <c r="IY88" s="157"/>
      <c r="IZ88" s="157"/>
      <c r="JA88" s="157"/>
      <c r="JB88" s="157"/>
      <c r="JC88" s="157"/>
      <c r="JD88" s="157"/>
      <c r="JE88" s="157"/>
      <c r="JF88" s="157"/>
      <c r="JG88" s="157"/>
      <c r="JH88" s="157"/>
      <c r="JI88" s="157"/>
      <c r="JJ88" s="157"/>
      <c r="JK88" s="157"/>
      <c r="JL88" s="157"/>
      <c r="JM88" s="157"/>
      <c r="JN88" s="157"/>
      <c r="JO88" s="157"/>
      <c r="JP88" s="157"/>
      <c r="JQ88" s="157"/>
      <c r="JR88" s="157"/>
      <c r="JS88" s="157"/>
      <c r="JT88" s="157"/>
      <c r="JU88" s="157"/>
      <c r="JV88" s="157"/>
      <c r="JW88" s="157"/>
      <c r="JX88" s="157"/>
      <c r="JY88" s="157"/>
      <c r="JZ88" s="157"/>
      <c r="KA88" s="157"/>
      <c r="KB88" s="157"/>
      <c r="KC88" s="157"/>
      <c r="KD88" s="157"/>
      <c r="KE88" s="157"/>
      <c r="KF88" s="157"/>
      <c r="KG88" s="157"/>
      <c r="KH88" s="157"/>
      <c r="KI88" s="157"/>
      <c r="KJ88" s="157"/>
      <c r="KK88" s="157"/>
      <c r="KL88" s="157"/>
    </row>
    <row r="89" spans="40:298" x14ac:dyDescent="0.2">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c r="CZ89" s="157"/>
      <c r="DA89" s="157"/>
      <c r="DB89" s="157"/>
      <c r="DC89" s="157"/>
      <c r="DD89" s="157"/>
      <c r="DE89" s="157"/>
      <c r="DF89" s="157"/>
      <c r="DG89" s="157"/>
      <c r="DH89" s="157"/>
      <c r="DI89" s="157"/>
      <c r="DJ89" s="157"/>
      <c r="DK89" s="157"/>
      <c r="DL89" s="157"/>
      <c r="DM89" s="157"/>
      <c r="DN89" s="157"/>
      <c r="DO89" s="157"/>
      <c r="DP89" s="157"/>
      <c r="DQ89" s="157"/>
      <c r="DR89" s="157"/>
      <c r="DS89" s="157"/>
      <c r="DT89" s="157"/>
      <c r="DU89" s="157"/>
      <c r="DV89" s="157"/>
      <c r="DW89" s="157"/>
      <c r="DX89" s="157"/>
      <c r="DY89" s="157"/>
      <c r="DZ89" s="157"/>
      <c r="EA89" s="157"/>
      <c r="EB89" s="157"/>
      <c r="EC89" s="157"/>
      <c r="ED89" s="157"/>
      <c r="EE89" s="157"/>
      <c r="EF89" s="157"/>
      <c r="EG89" s="157"/>
      <c r="EH89" s="157"/>
      <c r="EI89" s="157"/>
      <c r="EJ89" s="157"/>
      <c r="EK89" s="157"/>
      <c r="EL89" s="157"/>
      <c r="EM89" s="157"/>
      <c r="EN89" s="157"/>
      <c r="EO89" s="157"/>
      <c r="EP89" s="157"/>
      <c r="EQ89" s="157"/>
      <c r="ER89" s="157"/>
      <c r="ES89" s="157"/>
      <c r="ET89" s="157"/>
      <c r="EU89" s="157"/>
      <c r="EV89" s="157"/>
      <c r="EW89" s="157"/>
      <c r="EX89" s="157"/>
      <c r="EY89" s="157"/>
      <c r="EZ89" s="157"/>
      <c r="FA89" s="157"/>
      <c r="FB89" s="157"/>
      <c r="FC89" s="157"/>
      <c r="FD89" s="157"/>
      <c r="FE89" s="157"/>
      <c r="FF89" s="157"/>
      <c r="FG89" s="157"/>
      <c r="FH89" s="157"/>
      <c r="FI89" s="157"/>
      <c r="FJ89" s="157"/>
      <c r="FK89" s="157"/>
      <c r="FL89" s="157"/>
      <c r="FM89" s="157"/>
      <c r="FN89" s="157"/>
      <c r="FO89" s="157"/>
      <c r="FP89" s="157"/>
      <c r="FQ89" s="157"/>
      <c r="FR89" s="157"/>
      <c r="FS89" s="157"/>
      <c r="FT89" s="157"/>
      <c r="FU89" s="157"/>
      <c r="FV89" s="157"/>
      <c r="FW89" s="157"/>
      <c r="FX89" s="157"/>
      <c r="FY89" s="157"/>
      <c r="FZ89" s="157"/>
      <c r="GA89" s="157"/>
      <c r="GB89" s="157"/>
      <c r="GC89" s="157"/>
      <c r="GD89" s="157"/>
      <c r="GE89" s="157"/>
      <c r="GF89" s="157"/>
      <c r="GG89" s="157"/>
      <c r="GH89" s="157"/>
      <c r="GI89" s="157"/>
      <c r="GJ89" s="157"/>
      <c r="GK89" s="157"/>
      <c r="GL89" s="157"/>
      <c r="GM89" s="157"/>
      <c r="GN89" s="157"/>
      <c r="GO89" s="157"/>
      <c r="GP89" s="157"/>
      <c r="GQ89" s="157"/>
      <c r="GR89" s="157"/>
      <c r="GS89" s="157"/>
      <c r="GT89" s="157"/>
      <c r="GU89" s="157"/>
      <c r="GV89" s="157"/>
      <c r="GW89" s="157"/>
      <c r="GX89" s="157"/>
      <c r="GY89" s="157"/>
      <c r="GZ89" s="157"/>
      <c r="HA89" s="157"/>
      <c r="HB89" s="157"/>
      <c r="HC89" s="157"/>
      <c r="HD89" s="157"/>
      <c r="HE89" s="157"/>
      <c r="HF89" s="157"/>
      <c r="HG89" s="157"/>
      <c r="HH89" s="157"/>
      <c r="HI89" s="157"/>
      <c r="HJ89" s="157"/>
      <c r="HK89" s="157"/>
      <c r="HL89" s="157"/>
      <c r="HM89" s="157"/>
      <c r="HN89" s="157"/>
      <c r="HO89" s="157"/>
      <c r="HP89" s="157"/>
      <c r="HQ89" s="157"/>
      <c r="HR89" s="157"/>
      <c r="HS89" s="157"/>
      <c r="HT89" s="157"/>
      <c r="HU89" s="157"/>
      <c r="HV89" s="157"/>
      <c r="HW89" s="157"/>
      <c r="HX89" s="157"/>
      <c r="HY89" s="157"/>
      <c r="HZ89" s="157"/>
      <c r="IA89" s="157"/>
      <c r="IB89" s="157"/>
      <c r="IC89" s="157"/>
      <c r="ID89" s="157"/>
      <c r="IE89" s="157"/>
      <c r="IF89" s="157"/>
      <c r="IG89" s="157"/>
      <c r="IH89" s="157"/>
      <c r="II89" s="157"/>
      <c r="IJ89" s="157"/>
      <c r="IK89" s="157"/>
      <c r="IL89" s="157"/>
      <c r="IM89" s="157"/>
      <c r="IN89" s="157"/>
      <c r="IO89" s="157"/>
      <c r="IP89" s="157"/>
      <c r="IQ89" s="157"/>
      <c r="IR89" s="157"/>
      <c r="IS89" s="157"/>
      <c r="IT89" s="157"/>
      <c r="IU89" s="157"/>
      <c r="IV89" s="157"/>
      <c r="IW89" s="157"/>
      <c r="IX89" s="157"/>
      <c r="IY89" s="157"/>
      <c r="IZ89" s="157"/>
      <c r="JA89" s="157"/>
      <c r="JB89" s="157"/>
      <c r="JC89" s="157"/>
      <c r="JD89" s="157"/>
      <c r="JE89" s="157"/>
      <c r="JF89" s="157"/>
      <c r="JG89" s="157"/>
      <c r="JH89" s="157"/>
      <c r="JI89" s="157"/>
      <c r="JJ89" s="157"/>
      <c r="JK89" s="157"/>
      <c r="JL89" s="157"/>
      <c r="JM89" s="157"/>
      <c r="JN89" s="157"/>
      <c r="JO89" s="157"/>
      <c r="JP89" s="157"/>
      <c r="JQ89" s="157"/>
      <c r="JR89" s="157"/>
      <c r="JS89" s="157"/>
      <c r="JT89" s="157"/>
      <c r="JU89" s="157"/>
      <c r="JV89" s="157"/>
      <c r="JW89" s="157"/>
      <c r="JX89" s="157"/>
      <c r="JY89" s="157"/>
      <c r="JZ89" s="157"/>
      <c r="KA89" s="157"/>
      <c r="KB89" s="157"/>
      <c r="KC89" s="157"/>
      <c r="KD89" s="157"/>
      <c r="KE89" s="157"/>
      <c r="KF89" s="157"/>
      <c r="KG89" s="157"/>
      <c r="KH89" s="157"/>
      <c r="KI89" s="157"/>
      <c r="KJ89" s="157"/>
      <c r="KK89" s="157"/>
      <c r="KL89" s="157"/>
    </row>
    <row r="90" spans="40:298" x14ac:dyDescent="0.2">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c r="CZ90" s="157"/>
      <c r="DA90" s="157"/>
      <c r="DB90" s="157"/>
      <c r="DC90" s="157"/>
      <c r="DD90" s="157"/>
      <c r="DE90" s="157"/>
      <c r="DF90" s="157"/>
      <c r="DG90" s="157"/>
      <c r="DH90" s="157"/>
      <c r="DI90" s="157"/>
      <c r="DJ90" s="157"/>
      <c r="DK90" s="157"/>
      <c r="DL90" s="157"/>
      <c r="DM90" s="157"/>
      <c r="DN90" s="157"/>
      <c r="DO90" s="157"/>
      <c r="DP90" s="157"/>
      <c r="DQ90" s="157"/>
      <c r="DR90" s="157"/>
      <c r="DS90" s="157"/>
      <c r="DT90" s="157"/>
      <c r="DU90" s="157"/>
      <c r="DV90" s="157"/>
      <c r="DW90" s="157"/>
      <c r="DX90" s="157"/>
      <c r="DY90" s="157"/>
      <c r="DZ90" s="157"/>
      <c r="EA90" s="157"/>
      <c r="EB90" s="157"/>
      <c r="EC90" s="157"/>
      <c r="ED90" s="157"/>
      <c r="EE90" s="157"/>
      <c r="EF90" s="157"/>
      <c r="EG90" s="157"/>
      <c r="EH90" s="157"/>
      <c r="EI90" s="157"/>
      <c r="EJ90" s="157"/>
      <c r="EK90" s="157"/>
      <c r="EL90" s="157"/>
      <c r="EM90" s="157"/>
      <c r="EN90" s="157"/>
      <c r="EO90" s="157"/>
      <c r="EP90" s="157"/>
      <c r="EQ90" s="157"/>
      <c r="ER90" s="157"/>
      <c r="ES90" s="157"/>
      <c r="ET90" s="157"/>
      <c r="EU90" s="157"/>
      <c r="EV90" s="157"/>
      <c r="EW90" s="157"/>
      <c r="EX90" s="157"/>
      <c r="EY90" s="157"/>
      <c r="EZ90" s="157"/>
      <c r="FA90" s="157"/>
      <c r="FB90" s="157"/>
      <c r="FC90" s="157"/>
      <c r="FD90" s="157"/>
      <c r="FE90" s="157"/>
      <c r="FF90" s="157"/>
      <c r="FG90" s="157"/>
      <c r="FH90" s="157"/>
      <c r="FI90" s="157"/>
      <c r="FJ90" s="157"/>
      <c r="FK90" s="157"/>
      <c r="FL90" s="157"/>
      <c r="FM90" s="157"/>
      <c r="FN90" s="157"/>
      <c r="FO90" s="157"/>
      <c r="FP90" s="157"/>
      <c r="FQ90" s="157"/>
      <c r="FR90" s="157"/>
      <c r="FS90" s="157"/>
      <c r="FT90" s="157"/>
      <c r="FU90" s="157"/>
      <c r="FV90" s="157"/>
      <c r="FW90" s="157"/>
      <c r="FX90" s="157"/>
      <c r="FY90" s="157"/>
      <c r="FZ90" s="157"/>
      <c r="GA90" s="157"/>
      <c r="GB90" s="157"/>
      <c r="GC90" s="157"/>
      <c r="GD90" s="157"/>
      <c r="GE90" s="157"/>
      <c r="GF90" s="157"/>
      <c r="GG90" s="157"/>
      <c r="GH90" s="157"/>
      <c r="GI90" s="157"/>
      <c r="GJ90" s="157"/>
      <c r="GK90" s="157"/>
      <c r="GL90" s="157"/>
      <c r="GM90" s="157"/>
      <c r="GN90" s="157"/>
      <c r="GO90" s="157"/>
      <c r="GP90" s="157"/>
      <c r="GQ90" s="157"/>
      <c r="GR90" s="157"/>
      <c r="GS90" s="157"/>
      <c r="GT90" s="157"/>
      <c r="GU90" s="157"/>
      <c r="GV90" s="157"/>
      <c r="GW90" s="157"/>
      <c r="GX90" s="157"/>
      <c r="GY90" s="157"/>
      <c r="GZ90" s="157"/>
      <c r="HA90" s="157"/>
      <c r="HB90" s="157"/>
      <c r="HC90" s="157"/>
      <c r="HD90" s="157"/>
      <c r="HE90" s="157"/>
      <c r="HF90" s="157"/>
      <c r="HG90" s="157"/>
      <c r="HH90" s="157"/>
      <c r="HI90" s="157"/>
      <c r="HJ90" s="157"/>
      <c r="HK90" s="157"/>
      <c r="HL90" s="157"/>
      <c r="HM90" s="157"/>
      <c r="HN90" s="157"/>
      <c r="HO90" s="157"/>
      <c r="HP90" s="157"/>
      <c r="HQ90" s="157"/>
      <c r="HR90" s="157"/>
      <c r="HS90" s="157"/>
      <c r="HT90" s="157"/>
      <c r="HU90" s="157"/>
      <c r="HV90" s="157"/>
      <c r="HW90" s="157"/>
      <c r="HX90" s="157"/>
      <c r="HY90" s="157"/>
      <c r="HZ90" s="157"/>
      <c r="IA90" s="157"/>
      <c r="IB90" s="157"/>
      <c r="IC90" s="157"/>
      <c r="ID90" s="157"/>
      <c r="IE90" s="157"/>
      <c r="IF90" s="157"/>
      <c r="IG90" s="157"/>
      <c r="IH90" s="157"/>
      <c r="II90" s="157"/>
      <c r="IJ90" s="157"/>
      <c r="IK90" s="157"/>
      <c r="IL90" s="157"/>
      <c r="IM90" s="157"/>
      <c r="IN90" s="157"/>
      <c r="IO90" s="157"/>
      <c r="IP90" s="157"/>
      <c r="IQ90" s="157"/>
      <c r="IR90" s="157"/>
      <c r="IS90" s="157"/>
      <c r="IT90" s="157"/>
      <c r="IU90" s="157"/>
      <c r="IV90" s="157"/>
      <c r="IW90" s="157"/>
      <c r="IX90" s="157"/>
      <c r="IY90" s="157"/>
      <c r="IZ90" s="157"/>
      <c r="JA90" s="157"/>
      <c r="JB90" s="157"/>
      <c r="JC90" s="157"/>
      <c r="JD90" s="157"/>
      <c r="JE90" s="157"/>
      <c r="JF90" s="157"/>
      <c r="JG90" s="157"/>
      <c r="JH90" s="157"/>
      <c r="JI90" s="157"/>
      <c r="JJ90" s="157"/>
      <c r="JK90" s="157"/>
      <c r="JL90" s="157"/>
      <c r="JM90" s="157"/>
      <c r="JN90" s="157"/>
      <c r="JO90" s="157"/>
      <c r="JP90" s="157"/>
      <c r="JQ90" s="157"/>
      <c r="JR90" s="157"/>
      <c r="JS90" s="157"/>
      <c r="JT90" s="157"/>
      <c r="JU90" s="157"/>
      <c r="JV90" s="157"/>
      <c r="JW90" s="157"/>
      <c r="JX90" s="157"/>
      <c r="JY90" s="157"/>
      <c r="JZ90" s="157"/>
      <c r="KA90" s="157"/>
      <c r="KB90" s="157"/>
      <c r="KC90" s="157"/>
      <c r="KD90" s="157"/>
      <c r="KE90" s="157"/>
      <c r="KF90" s="157"/>
      <c r="KG90" s="157"/>
      <c r="KH90" s="157"/>
      <c r="KI90" s="157"/>
      <c r="KJ90" s="157"/>
      <c r="KK90" s="157"/>
      <c r="KL90" s="157"/>
    </row>
    <row r="91" spans="40:298" x14ac:dyDescent="0.2">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c r="CZ91" s="157"/>
      <c r="DA91" s="157"/>
      <c r="DB91" s="157"/>
      <c r="DC91" s="157"/>
      <c r="DD91" s="157"/>
      <c r="DE91" s="157"/>
      <c r="DF91" s="157"/>
      <c r="DG91" s="157"/>
      <c r="DH91" s="157"/>
      <c r="DI91" s="157"/>
      <c r="DJ91" s="157"/>
      <c r="DK91" s="157"/>
      <c r="DL91" s="157"/>
      <c r="DM91" s="157"/>
      <c r="DN91" s="157"/>
      <c r="DO91" s="157"/>
      <c r="DP91" s="157"/>
      <c r="DQ91" s="157"/>
      <c r="DR91" s="157"/>
      <c r="DS91" s="157"/>
      <c r="DT91" s="157"/>
      <c r="DU91" s="157"/>
      <c r="DV91" s="157"/>
      <c r="DW91" s="157"/>
      <c r="DX91" s="157"/>
      <c r="DY91" s="157"/>
      <c r="DZ91" s="157"/>
      <c r="EA91" s="157"/>
      <c r="EB91" s="157"/>
      <c r="EC91" s="157"/>
      <c r="ED91" s="157"/>
      <c r="EE91" s="157"/>
      <c r="EF91" s="157"/>
      <c r="EG91" s="157"/>
      <c r="EH91" s="157"/>
      <c r="EI91" s="157"/>
      <c r="EJ91" s="157"/>
      <c r="EK91" s="157"/>
      <c r="EL91" s="157"/>
      <c r="EM91" s="157"/>
      <c r="EN91" s="157"/>
      <c r="EO91" s="157"/>
      <c r="EP91" s="157"/>
      <c r="EQ91" s="157"/>
      <c r="ER91" s="157"/>
      <c r="ES91" s="157"/>
      <c r="ET91" s="157"/>
      <c r="EU91" s="157"/>
      <c r="EV91" s="157"/>
      <c r="EW91" s="157"/>
      <c r="EX91" s="157"/>
      <c r="EY91" s="157"/>
      <c r="EZ91" s="157"/>
      <c r="FA91" s="157"/>
      <c r="FB91" s="157"/>
      <c r="FC91" s="157"/>
      <c r="FD91" s="157"/>
      <c r="FE91" s="157"/>
      <c r="FF91" s="157"/>
      <c r="FG91" s="157"/>
      <c r="FH91" s="157"/>
      <c r="FI91" s="157"/>
      <c r="FJ91" s="157"/>
      <c r="FK91" s="157"/>
      <c r="FL91" s="157"/>
      <c r="FM91" s="157"/>
      <c r="FN91" s="157"/>
      <c r="FO91" s="157"/>
      <c r="FP91" s="157"/>
      <c r="FQ91" s="157"/>
      <c r="FR91" s="157"/>
      <c r="FS91" s="157"/>
      <c r="FT91" s="157"/>
      <c r="FU91" s="157"/>
      <c r="FV91" s="157"/>
      <c r="FW91" s="157"/>
      <c r="FX91" s="157"/>
      <c r="FY91" s="157"/>
      <c r="FZ91" s="157"/>
      <c r="GA91" s="157"/>
      <c r="GB91" s="157"/>
      <c r="GC91" s="157"/>
      <c r="GD91" s="157"/>
      <c r="GE91" s="157"/>
      <c r="GF91" s="157"/>
      <c r="GG91" s="157"/>
      <c r="GH91" s="157"/>
      <c r="GI91" s="157"/>
      <c r="GJ91" s="157"/>
      <c r="GK91" s="157"/>
      <c r="GL91" s="157"/>
      <c r="GM91" s="157"/>
      <c r="GN91" s="157"/>
      <c r="GO91" s="157"/>
      <c r="GP91" s="157"/>
      <c r="GQ91" s="157"/>
      <c r="GR91" s="157"/>
      <c r="GS91" s="157"/>
      <c r="GT91" s="157"/>
      <c r="GU91" s="157"/>
      <c r="GV91" s="157"/>
      <c r="GW91" s="157"/>
      <c r="GX91" s="157"/>
      <c r="GY91" s="157"/>
      <c r="GZ91" s="157"/>
      <c r="HA91" s="157"/>
      <c r="HB91" s="157"/>
      <c r="HC91" s="157"/>
      <c r="HD91" s="157"/>
      <c r="HE91" s="157"/>
      <c r="HF91" s="157"/>
      <c r="HG91" s="157"/>
      <c r="HH91" s="157"/>
      <c r="HI91" s="157"/>
      <c r="HJ91" s="157"/>
      <c r="HK91" s="157"/>
      <c r="HL91" s="157"/>
      <c r="HM91" s="157"/>
      <c r="HN91" s="157"/>
      <c r="HO91" s="157"/>
      <c r="HP91" s="157"/>
      <c r="HQ91" s="157"/>
      <c r="HR91" s="157"/>
      <c r="HS91" s="157"/>
      <c r="HT91" s="157"/>
      <c r="HU91" s="157"/>
      <c r="HV91" s="157"/>
      <c r="HW91" s="157"/>
      <c r="HX91" s="157"/>
      <c r="HY91" s="157"/>
      <c r="HZ91" s="157"/>
      <c r="IA91" s="157"/>
      <c r="IB91" s="157"/>
      <c r="IC91" s="157"/>
      <c r="ID91" s="157"/>
      <c r="IE91" s="157"/>
      <c r="IF91" s="157"/>
      <c r="IG91" s="157"/>
      <c r="IH91" s="157"/>
      <c r="II91" s="157"/>
      <c r="IJ91" s="157"/>
      <c r="IK91" s="157"/>
      <c r="IL91" s="157"/>
      <c r="IM91" s="157"/>
      <c r="IN91" s="157"/>
      <c r="IO91" s="157"/>
      <c r="IP91" s="157"/>
      <c r="IQ91" s="157"/>
      <c r="IR91" s="157"/>
      <c r="IS91" s="157"/>
      <c r="IT91" s="157"/>
      <c r="IU91" s="157"/>
      <c r="IV91" s="157"/>
      <c r="IW91" s="157"/>
      <c r="IX91" s="157"/>
      <c r="IY91" s="157"/>
      <c r="IZ91" s="157"/>
      <c r="JA91" s="157"/>
      <c r="JB91" s="157"/>
      <c r="JC91" s="157"/>
      <c r="JD91" s="157"/>
      <c r="JE91" s="157"/>
      <c r="JF91" s="157"/>
      <c r="JG91" s="157"/>
      <c r="JH91" s="157"/>
      <c r="JI91" s="157"/>
      <c r="JJ91" s="157"/>
      <c r="JK91" s="157"/>
      <c r="JL91" s="157"/>
      <c r="JM91" s="157"/>
      <c r="JN91" s="157"/>
      <c r="JO91" s="157"/>
      <c r="JP91" s="157"/>
      <c r="JQ91" s="157"/>
      <c r="JR91" s="157"/>
      <c r="JS91" s="157"/>
      <c r="JT91" s="157"/>
      <c r="JU91" s="157"/>
      <c r="JV91" s="157"/>
      <c r="JW91" s="157"/>
      <c r="JX91" s="157"/>
      <c r="JY91" s="157"/>
      <c r="JZ91" s="157"/>
      <c r="KA91" s="157"/>
      <c r="KB91" s="157"/>
      <c r="KC91" s="157"/>
      <c r="KD91" s="157"/>
      <c r="KE91" s="157"/>
      <c r="KF91" s="157"/>
      <c r="KG91" s="157"/>
      <c r="KH91" s="157"/>
      <c r="KI91" s="157"/>
      <c r="KJ91" s="157"/>
      <c r="KK91" s="157"/>
      <c r="KL91" s="157"/>
    </row>
    <row r="92" spans="40:298" x14ac:dyDescent="0.2">
      <c r="AN92" s="157"/>
      <c r="AO92" s="157"/>
      <c r="AP92" s="157"/>
      <c r="AQ92" s="157"/>
      <c r="AR92" s="157"/>
      <c r="AS92" s="157"/>
      <c r="AT92" s="157"/>
      <c r="AU92" s="157"/>
      <c r="AV92" s="157"/>
      <c r="AW92" s="157"/>
      <c r="AX92" s="157"/>
      <c r="AY92" s="157"/>
      <c r="AZ92" s="157"/>
      <c r="BA92" s="157"/>
      <c r="BB92" s="157"/>
      <c r="BC92" s="157"/>
      <c r="BD92" s="157"/>
      <c r="BE92" s="157"/>
      <c r="BF92" s="157"/>
      <c r="BG92" s="157"/>
      <c r="BH92" s="157"/>
      <c r="BI92" s="157"/>
      <c r="BJ92" s="157"/>
      <c r="BK92" s="157"/>
      <c r="BL92" s="157"/>
      <c r="BM92" s="157"/>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c r="CZ92" s="157"/>
      <c r="DA92" s="157"/>
      <c r="DB92" s="157"/>
      <c r="DC92" s="157"/>
      <c r="DD92" s="157"/>
      <c r="DE92" s="157"/>
      <c r="DF92" s="157"/>
      <c r="DG92" s="157"/>
      <c r="DH92" s="157"/>
      <c r="DI92" s="157"/>
      <c r="DJ92" s="157"/>
      <c r="DK92" s="157"/>
      <c r="DL92" s="157"/>
      <c r="DM92" s="157"/>
      <c r="DN92" s="157"/>
      <c r="DO92" s="157"/>
      <c r="DP92" s="157"/>
      <c r="DQ92" s="157"/>
      <c r="DR92" s="157"/>
      <c r="DS92" s="157"/>
      <c r="DT92" s="157"/>
      <c r="DU92" s="157"/>
      <c r="DV92" s="157"/>
      <c r="DW92" s="157"/>
      <c r="DX92" s="157"/>
      <c r="DY92" s="157"/>
      <c r="DZ92" s="157"/>
      <c r="EA92" s="157"/>
      <c r="EB92" s="157"/>
      <c r="EC92" s="157"/>
      <c r="ED92" s="157"/>
      <c r="EE92" s="157"/>
      <c r="EF92" s="157"/>
      <c r="EG92" s="157"/>
      <c r="EH92" s="157"/>
      <c r="EI92" s="157"/>
      <c r="EJ92" s="157"/>
      <c r="EK92" s="157"/>
      <c r="EL92" s="157"/>
      <c r="EM92" s="157"/>
      <c r="EN92" s="157"/>
      <c r="EO92" s="157"/>
      <c r="EP92" s="157"/>
      <c r="EQ92" s="157"/>
      <c r="ER92" s="157"/>
      <c r="ES92" s="157"/>
      <c r="ET92" s="157"/>
      <c r="EU92" s="157"/>
      <c r="EV92" s="157"/>
      <c r="EW92" s="157"/>
      <c r="EX92" s="157"/>
      <c r="EY92" s="157"/>
      <c r="EZ92" s="157"/>
      <c r="FA92" s="157"/>
      <c r="FB92" s="157"/>
      <c r="FC92" s="157"/>
      <c r="FD92" s="157"/>
      <c r="FE92" s="157"/>
      <c r="FF92" s="157"/>
      <c r="FG92" s="157"/>
      <c r="FH92" s="157"/>
      <c r="FI92" s="157"/>
      <c r="FJ92" s="157"/>
      <c r="FK92" s="157"/>
      <c r="FL92" s="157"/>
      <c r="FM92" s="157"/>
      <c r="FN92" s="157"/>
      <c r="FO92" s="157"/>
      <c r="FP92" s="157"/>
      <c r="FQ92" s="157"/>
      <c r="FR92" s="157"/>
      <c r="FS92" s="157"/>
      <c r="FT92" s="157"/>
      <c r="FU92" s="157"/>
      <c r="FV92" s="157"/>
      <c r="FW92" s="157"/>
      <c r="FX92" s="157"/>
      <c r="FY92" s="157"/>
      <c r="FZ92" s="157"/>
      <c r="GA92" s="157"/>
      <c r="GB92" s="157"/>
      <c r="GC92" s="157"/>
      <c r="GD92" s="157"/>
      <c r="GE92" s="157"/>
      <c r="GF92" s="157"/>
      <c r="GG92" s="157"/>
      <c r="GH92" s="157"/>
      <c r="GI92" s="157"/>
      <c r="GJ92" s="157"/>
      <c r="GK92" s="157"/>
      <c r="GL92" s="157"/>
      <c r="GM92" s="157"/>
      <c r="GN92" s="157"/>
      <c r="GO92" s="157"/>
      <c r="GP92" s="157"/>
      <c r="GQ92" s="157"/>
      <c r="GR92" s="157"/>
      <c r="GS92" s="157"/>
      <c r="GT92" s="157"/>
      <c r="GU92" s="157"/>
      <c r="GV92" s="157"/>
      <c r="GW92" s="157"/>
      <c r="GX92" s="157"/>
      <c r="GY92" s="157"/>
      <c r="GZ92" s="157"/>
      <c r="HA92" s="157"/>
      <c r="HB92" s="157"/>
      <c r="HC92" s="157"/>
      <c r="HD92" s="157"/>
      <c r="HE92" s="157"/>
      <c r="HF92" s="157"/>
      <c r="HG92" s="157"/>
      <c r="HH92" s="157"/>
      <c r="HI92" s="157"/>
      <c r="HJ92" s="157"/>
      <c r="HK92" s="157"/>
      <c r="HL92" s="157"/>
      <c r="HM92" s="157"/>
      <c r="HN92" s="157"/>
      <c r="HO92" s="157"/>
      <c r="HP92" s="157"/>
      <c r="HQ92" s="157"/>
      <c r="HR92" s="157"/>
      <c r="HS92" s="157"/>
      <c r="HT92" s="157"/>
      <c r="HU92" s="157"/>
      <c r="HV92" s="157"/>
      <c r="HW92" s="157"/>
      <c r="HX92" s="157"/>
      <c r="HY92" s="157"/>
      <c r="HZ92" s="157"/>
      <c r="IA92" s="157"/>
      <c r="IB92" s="157"/>
      <c r="IC92" s="157"/>
      <c r="ID92" s="157"/>
      <c r="IE92" s="157"/>
      <c r="IF92" s="157"/>
      <c r="IG92" s="157"/>
      <c r="IH92" s="157"/>
      <c r="II92" s="157"/>
      <c r="IJ92" s="157"/>
      <c r="IK92" s="157"/>
      <c r="IL92" s="157"/>
      <c r="IM92" s="157"/>
      <c r="IN92" s="157"/>
      <c r="IO92" s="157"/>
      <c r="IP92" s="157"/>
      <c r="IQ92" s="157"/>
      <c r="IR92" s="157"/>
      <c r="IS92" s="157"/>
      <c r="IT92" s="157"/>
      <c r="IU92" s="157"/>
      <c r="IV92" s="157"/>
      <c r="IW92" s="157"/>
      <c r="IX92" s="157"/>
      <c r="IY92" s="157"/>
      <c r="IZ92" s="157"/>
      <c r="JA92" s="157"/>
      <c r="JB92" s="157"/>
      <c r="JC92" s="157"/>
      <c r="JD92" s="157"/>
      <c r="JE92" s="157"/>
      <c r="JF92" s="157"/>
      <c r="JG92" s="157"/>
      <c r="JH92" s="157"/>
      <c r="JI92" s="157"/>
      <c r="JJ92" s="157"/>
      <c r="JK92" s="157"/>
      <c r="JL92" s="157"/>
      <c r="JM92" s="157"/>
      <c r="JN92" s="157"/>
      <c r="JO92" s="157"/>
      <c r="JP92" s="157"/>
      <c r="JQ92" s="157"/>
      <c r="JR92" s="157"/>
      <c r="JS92" s="157"/>
      <c r="JT92" s="157"/>
      <c r="JU92" s="157"/>
      <c r="JV92" s="157"/>
      <c r="JW92" s="157"/>
      <c r="JX92" s="157"/>
      <c r="JY92" s="157"/>
      <c r="JZ92" s="157"/>
      <c r="KA92" s="157"/>
      <c r="KB92" s="157"/>
      <c r="KC92" s="157"/>
      <c r="KD92" s="157"/>
      <c r="KE92" s="157"/>
      <c r="KF92" s="157"/>
      <c r="KG92" s="157"/>
      <c r="KH92" s="157"/>
      <c r="KI92" s="157"/>
      <c r="KJ92" s="157"/>
      <c r="KK92" s="157"/>
      <c r="KL92" s="157"/>
    </row>
    <row r="93" spans="40:298" x14ac:dyDescent="0.2">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c r="CZ93" s="157"/>
      <c r="DA93" s="157"/>
      <c r="DB93" s="157"/>
      <c r="DC93" s="157"/>
      <c r="DD93" s="157"/>
      <c r="DE93" s="157"/>
      <c r="DF93" s="157"/>
      <c r="DG93" s="157"/>
      <c r="DH93" s="157"/>
      <c r="DI93" s="157"/>
      <c r="DJ93" s="157"/>
      <c r="DK93" s="157"/>
      <c r="DL93" s="157"/>
      <c r="DM93" s="157"/>
      <c r="DN93" s="157"/>
      <c r="DO93" s="157"/>
      <c r="DP93" s="157"/>
      <c r="DQ93" s="157"/>
      <c r="DR93" s="157"/>
      <c r="DS93" s="157"/>
      <c r="DT93" s="157"/>
      <c r="DU93" s="157"/>
      <c r="DV93" s="157"/>
      <c r="DW93" s="157"/>
      <c r="DX93" s="157"/>
      <c r="DY93" s="157"/>
      <c r="DZ93" s="157"/>
      <c r="EA93" s="157"/>
      <c r="EB93" s="157"/>
      <c r="EC93" s="157"/>
      <c r="ED93" s="157"/>
      <c r="EE93" s="157"/>
      <c r="EF93" s="157"/>
      <c r="EG93" s="157"/>
      <c r="EH93" s="157"/>
      <c r="EI93" s="157"/>
      <c r="EJ93" s="157"/>
      <c r="EK93" s="157"/>
      <c r="EL93" s="157"/>
      <c r="EM93" s="157"/>
      <c r="EN93" s="157"/>
      <c r="EO93" s="157"/>
      <c r="EP93" s="157"/>
      <c r="EQ93" s="157"/>
      <c r="ER93" s="157"/>
      <c r="ES93" s="157"/>
      <c r="ET93" s="157"/>
      <c r="EU93" s="157"/>
      <c r="EV93" s="157"/>
      <c r="EW93" s="157"/>
      <c r="EX93" s="157"/>
      <c r="EY93" s="157"/>
      <c r="EZ93" s="157"/>
      <c r="FA93" s="157"/>
      <c r="FB93" s="157"/>
      <c r="FC93" s="157"/>
      <c r="FD93" s="157"/>
      <c r="FE93" s="157"/>
      <c r="FF93" s="157"/>
      <c r="FG93" s="157"/>
      <c r="FH93" s="157"/>
      <c r="FI93" s="157"/>
      <c r="FJ93" s="157"/>
      <c r="FK93" s="157"/>
      <c r="FL93" s="157"/>
      <c r="FM93" s="157"/>
      <c r="FN93" s="157"/>
      <c r="FO93" s="157"/>
      <c r="FP93" s="157"/>
      <c r="FQ93" s="157"/>
      <c r="FR93" s="157"/>
      <c r="FS93" s="157"/>
      <c r="FT93" s="157"/>
      <c r="FU93" s="157"/>
      <c r="FV93" s="157"/>
      <c r="FW93" s="157"/>
      <c r="FX93" s="157"/>
      <c r="FY93" s="157"/>
      <c r="FZ93" s="157"/>
      <c r="GA93" s="157"/>
      <c r="GB93" s="157"/>
      <c r="GC93" s="157"/>
      <c r="GD93" s="157"/>
      <c r="GE93" s="157"/>
      <c r="GF93" s="157"/>
      <c r="GG93" s="157"/>
      <c r="GH93" s="157"/>
      <c r="GI93" s="157"/>
      <c r="GJ93" s="157"/>
      <c r="GK93" s="157"/>
      <c r="GL93" s="157"/>
      <c r="GM93" s="157"/>
      <c r="GN93" s="157"/>
      <c r="GO93" s="157"/>
      <c r="GP93" s="157"/>
      <c r="GQ93" s="157"/>
      <c r="GR93" s="157"/>
      <c r="GS93" s="157"/>
      <c r="GT93" s="157"/>
      <c r="GU93" s="157"/>
      <c r="GV93" s="157"/>
      <c r="GW93" s="157"/>
      <c r="GX93" s="157"/>
      <c r="GY93" s="157"/>
      <c r="GZ93" s="157"/>
      <c r="HA93" s="157"/>
      <c r="HB93" s="157"/>
      <c r="HC93" s="157"/>
      <c r="HD93" s="157"/>
      <c r="HE93" s="157"/>
      <c r="HF93" s="157"/>
      <c r="HG93" s="157"/>
      <c r="HH93" s="157"/>
      <c r="HI93" s="157"/>
      <c r="HJ93" s="157"/>
      <c r="HK93" s="157"/>
      <c r="HL93" s="157"/>
      <c r="HM93" s="157"/>
      <c r="HN93" s="157"/>
      <c r="HO93" s="157"/>
      <c r="HP93" s="157"/>
      <c r="HQ93" s="157"/>
      <c r="HR93" s="157"/>
      <c r="HS93" s="157"/>
      <c r="HT93" s="157"/>
      <c r="HU93" s="157"/>
      <c r="HV93" s="157"/>
      <c r="HW93" s="157"/>
      <c r="HX93" s="157"/>
      <c r="HY93" s="157"/>
      <c r="HZ93" s="157"/>
      <c r="IA93" s="157"/>
      <c r="IB93" s="157"/>
      <c r="IC93" s="157"/>
      <c r="ID93" s="157"/>
      <c r="IE93" s="157"/>
      <c r="IF93" s="157"/>
      <c r="IG93" s="157"/>
      <c r="IH93" s="157"/>
      <c r="II93" s="157"/>
      <c r="IJ93" s="157"/>
      <c r="IK93" s="157"/>
      <c r="IL93" s="157"/>
      <c r="IM93" s="157"/>
      <c r="IN93" s="157"/>
      <c r="IO93" s="157"/>
      <c r="IP93" s="157"/>
      <c r="IQ93" s="157"/>
      <c r="IR93" s="157"/>
      <c r="IS93" s="157"/>
      <c r="IT93" s="157"/>
      <c r="IU93" s="157"/>
      <c r="IV93" s="157"/>
      <c r="IW93" s="157"/>
      <c r="IX93" s="157"/>
      <c r="IY93" s="157"/>
      <c r="IZ93" s="157"/>
      <c r="JA93" s="157"/>
      <c r="JB93" s="157"/>
      <c r="JC93" s="157"/>
      <c r="JD93" s="157"/>
      <c r="JE93" s="157"/>
      <c r="JF93" s="157"/>
      <c r="JG93" s="157"/>
      <c r="JH93" s="157"/>
      <c r="JI93" s="157"/>
      <c r="JJ93" s="157"/>
      <c r="JK93" s="157"/>
      <c r="JL93" s="157"/>
      <c r="JM93" s="157"/>
      <c r="JN93" s="157"/>
      <c r="JO93" s="157"/>
      <c r="JP93" s="157"/>
      <c r="JQ93" s="157"/>
      <c r="JR93" s="157"/>
      <c r="JS93" s="157"/>
      <c r="JT93" s="157"/>
      <c r="JU93" s="157"/>
      <c r="JV93" s="157"/>
      <c r="JW93" s="157"/>
      <c r="JX93" s="157"/>
      <c r="JY93" s="157"/>
      <c r="JZ93" s="157"/>
      <c r="KA93" s="157"/>
      <c r="KB93" s="157"/>
      <c r="KC93" s="157"/>
      <c r="KD93" s="157"/>
      <c r="KE93" s="157"/>
      <c r="KF93" s="157"/>
      <c r="KG93" s="157"/>
      <c r="KH93" s="157"/>
      <c r="KI93" s="157"/>
      <c r="KJ93" s="157"/>
      <c r="KK93" s="157"/>
      <c r="KL93" s="157"/>
    </row>
    <row r="94" spans="40:298" x14ac:dyDescent="0.2">
      <c r="AN94" s="157"/>
      <c r="AO94" s="157"/>
      <c r="AP94" s="157"/>
      <c r="AQ94" s="157"/>
      <c r="AR94" s="157"/>
      <c r="AS94" s="157"/>
      <c r="AT94" s="157"/>
      <c r="AU94" s="157"/>
      <c r="AV94" s="157"/>
      <c r="AW94" s="157"/>
      <c r="AX94" s="157"/>
      <c r="AY94" s="157"/>
      <c r="AZ94" s="157"/>
      <c r="BA94" s="157"/>
      <c r="BB94" s="157"/>
      <c r="BC94" s="157"/>
      <c r="BD94" s="157"/>
      <c r="BE94" s="157"/>
      <c r="BF94" s="157"/>
      <c r="BG94" s="157"/>
      <c r="BH94" s="157"/>
      <c r="BI94" s="157"/>
      <c r="BJ94" s="157"/>
      <c r="BK94" s="157"/>
      <c r="BL94" s="157"/>
      <c r="BM94" s="157"/>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c r="CZ94" s="157"/>
      <c r="DA94" s="157"/>
      <c r="DB94" s="157"/>
      <c r="DC94" s="157"/>
      <c r="DD94" s="157"/>
      <c r="DE94" s="157"/>
      <c r="DF94" s="157"/>
      <c r="DG94" s="157"/>
      <c r="DH94" s="157"/>
      <c r="DI94" s="157"/>
      <c r="DJ94" s="157"/>
      <c r="DK94" s="157"/>
      <c r="DL94" s="157"/>
      <c r="DM94" s="157"/>
      <c r="DN94" s="157"/>
      <c r="DO94" s="157"/>
      <c r="DP94" s="157"/>
      <c r="DQ94" s="157"/>
      <c r="DR94" s="157"/>
      <c r="DS94" s="157"/>
      <c r="DT94" s="157"/>
      <c r="DU94" s="157"/>
      <c r="DV94" s="157"/>
      <c r="DW94" s="157"/>
      <c r="DX94" s="157"/>
      <c r="DY94" s="157"/>
      <c r="DZ94" s="157"/>
      <c r="EA94" s="157"/>
      <c r="EB94" s="157"/>
      <c r="EC94" s="157"/>
      <c r="ED94" s="157"/>
      <c r="EE94" s="157"/>
      <c r="EF94" s="157"/>
      <c r="EG94" s="157"/>
      <c r="EH94" s="157"/>
      <c r="EI94" s="157"/>
      <c r="EJ94" s="157"/>
      <c r="EK94" s="157"/>
      <c r="EL94" s="157"/>
      <c r="EM94" s="157"/>
      <c r="EN94" s="157"/>
      <c r="EO94" s="157"/>
      <c r="EP94" s="157"/>
      <c r="EQ94" s="157"/>
      <c r="ER94" s="157"/>
      <c r="ES94" s="157"/>
      <c r="ET94" s="157"/>
      <c r="EU94" s="157"/>
      <c r="EV94" s="157"/>
      <c r="EW94" s="157"/>
      <c r="EX94" s="157"/>
      <c r="EY94" s="157"/>
      <c r="EZ94" s="157"/>
      <c r="FA94" s="157"/>
      <c r="FB94" s="157"/>
      <c r="FC94" s="157"/>
      <c r="FD94" s="157"/>
      <c r="FE94" s="157"/>
      <c r="FF94" s="157"/>
      <c r="FG94" s="157"/>
      <c r="FH94" s="157"/>
      <c r="FI94" s="157"/>
      <c r="FJ94" s="157"/>
      <c r="FK94" s="157"/>
      <c r="FL94" s="157"/>
      <c r="FM94" s="157"/>
      <c r="FN94" s="157"/>
      <c r="FO94" s="157"/>
      <c r="FP94" s="157"/>
      <c r="FQ94" s="157"/>
      <c r="FR94" s="157"/>
      <c r="FS94" s="157"/>
      <c r="FT94" s="157"/>
      <c r="FU94" s="157"/>
      <c r="FV94" s="157"/>
      <c r="FW94" s="157"/>
      <c r="FX94" s="157"/>
      <c r="FY94" s="157"/>
      <c r="FZ94" s="157"/>
      <c r="GA94" s="157"/>
      <c r="GB94" s="157"/>
      <c r="GC94" s="157"/>
      <c r="GD94" s="157"/>
      <c r="GE94" s="157"/>
      <c r="GF94" s="157"/>
      <c r="GG94" s="157"/>
      <c r="GH94" s="157"/>
      <c r="GI94" s="157"/>
      <c r="GJ94" s="157"/>
      <c r="GK94" s="157"/>
      <c r="GL94" s="157"/>
      <c r="GM94" s="157"/>
      <c r="GN94" s="157"/>
      <c r="GO94" s="157"/>
      <c r="GP94" s="157"/>
      <c r="GQ94" s="157"/>
      <c r="GR94" s="157"/>
      <c r="GS94" s="157"/>
      <c r="GT94" s="157"/>
      <c r="GU94" s="157"/>
      <c r="GV94" s="157"/>
      <c r="GW94" s="157"/>
      <c r="GX94" s="157"/>
      <c r="GY94" s="157"/>
      <c r="GZ94" s="157"/>
      <c r="HA94" s="157"/>
      <c r="HB94" s="157"/>
      <c r="HC94" s="157"/>
      <c r="HD94" s="157"/>
      <c r="HE94" s="157"/>
      <c r="HF94" s="157"/>
      <c r="HG94" s="157"/>
      <c r="HH94" s="157"/>
      <c r="HI94" s="157"/>
      <c r="HJ94" s="157"/>
      <c r="HK94" s="157"/>
      <c r="HL94" s="157"/>
      <c r="HM94" s="157"/>
      <c r="HN94" s="157"/>
      <c r="HO94" s="157"/>
      <c r="HP94" s="157"/>
      <c r="HQ94" s="157"/>
      <c r="HR94" s="157"/>
      <c r="HS94" s="157"/>
      <c r="HT94" s="157"/>
      <c r="HU94" s="157"/>
      <c r="HV94" s="157"/>
      <c r="HW94" s="157"/>
      <c r="HX94" s="157"/>
      <c r="HY94" s="157"/>
      <c r="HZ94" s="157"/>
      <c r="IA94" s="157"/>
      <c r="IB94" s="157"/>
      <c r="IC94" s="157"/>
      <c r="ID94" s="157"/>
      <c r="IE94" s="157"/>
      <c r="IF94" s="157"/>
      <c r="IG94" s="157"/>
      <c r="IH94" s="157"/>
      <c r="II94" s="157"/>
      <c r="IJ94" s="157"/>
      <c r="IK94" s="157"/>
      <c r="IL94" s="157"/>
      <c r="IM94" s="157"/>
      <c r="IN94" s="157"/>
      <c r="IO94" s="157"/>
      <c r="IP94" s="157"/>
      <c r="IQ94" s="157"/>
      <c r="IR94" s="157"/>
      <c r="IS94" s="157"/>
      <c r="IT94" s="157"/>
      <c r="IU94" s="157"/>
      <c r="IV94" s="157"/>
      <c r="IW94" s="157"/>
      <c r="IX94" s="157"/>
      <c r="IY94" s="157"/>
      <c r="IZ94" s="157"/>
      <c r="JA94" s="157"/>
      <c r="JB94" s="157"/>
      <c r="JC94" s="157"/>
      <c r="JD94" s="157"/>
      <c r="JE94" s="157"/>
      <c r="JF94" s="157"/>
      <c r="JG94" s="157"/>
      <c r="JH94" s="157"/>
      <c r="JI94" s="157"/>
      <c r="JJ94" s="157"/>
      <c r="JK94" s="157"/>
      <c r="JL94" s="157"/>
      <c r="JM94" s="157"/>
      <c r="JN94" s="157"/>
      <c r="JO94" s="157"/>
      <c r="JP94" s="157"/>
      <c r="JQ94" s="157"/>
      <c r="JR94" s="157"/>
      <c r="JS94" s="157"/>
      <c r="JT94" s="157"/>
      <c r="JU94" s="157"/>
      <c r="JV94" s="157"/>
      <c r="JW94" s="157"/>
      <c r="JX94" s="157"/>
      <c r="JY94" s="157"/>
      <c r="JZ94" s="157"/>
      <c r="KA94" s="157"/>
      <c r="KB94" s="157"/>
      <c r="KC94" s="157"/>
      <c r="KD94" s="157"/>
      <c r="KE94" s="157"/>
      <c r="KF94" s="157"/>
      <c r="KG94" s="157"/>
      <c r="KH94" s="157"/>
      <c r="KI94" s="157"/>
      <c r="KJ94" s="157"/>
      <c r="KK94" s="157"/>
      <c r="KL94" s="157"/>
    </row>
    <row r="95" spans="40:298" x14ac:dyDescent="0.2">
      <c r="AN95" s="157"/>
      <c r="AO95" s="157"/>
      <c r="AP95" s="157"/>
      <c r="AQ95" s="157"/>
      <c r="AR95" s="157"/>
      <c r="AS95" s="157"/>
      <c r="AT95" s="157"/>
      <c r="AU95" s="157"/>
      <c r="AV95" s="157"/>
      <c r="AW95" s="157"/>
      <c r="AX95" s="157"/>
      <c r="AY95" s="157"/>
      <c r="AZ95" s="157"/>
      <c r="BA95" s="157"/>
      <c r="BB95" s="157"/>
      <c r="BC95" s="157"/>
      <c r="BD95" s="157"/>
      <c r="BE95" s="157"/>
      <c r="BF95" s="157"/>
      <c r="BG95" s="157"/>
      <c r="BH95" s="157"/>
      <c r="BI95" s="157"/>
      <c r="BJ95" s="157"/>
      <c r="BK95" s="157"/>
      <c r="BL95" s="157"/>
      <c r="BM95" s="157"/>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c r="CZ95" s="157"/>
      <c r="DA95" s="157"/>
      <c r="DB95" s="157"/>
      <c r="DC95" s="157"/>
      <c r="DD95" s="157"/>
      <c r="DE95" s="157"/>
      <c r="DF95" s="157"/>
      <c r="DG95" s="157"/>
      <c r="DH95" s="157"/>
      <c r="DI95" s="157"/>
      <c r="DJ95" s="157"/>
      <c r="DK95" s="157"/>
      <c r="DL95" s="157"/>
      <c r="DM95" s="157"/>
      <c r="DN95" s="157"/>
      <c r="DO95" s="157"/>
      <c r="DP95" s="157"/>
      <c r="DQ95" s="157"/>
      <c r="DR95" s="157"/>
      <c r="DS95" s="157"/>
      <c r="DT95" s="157"/>
      <c r="DU95" s="157"/>
      <c r="DV95" s="157"/>
      <c r="DW95" s="157"/>
      <c r="DX95" s="157"/>
      <c r="DY95" s="157"/>
      <c r="DZ95" s="157"/>
      <c r="EA95" s="157"/>
      <c r="EB95" s="157"/>
      <c r="EC95" s="157"/>
      <c r="ED95" s="157"/>
      <c r="EE95" s="157"/>
      <c r="EF95" s="157"/>
      <c r="EG95" s="157"/>
      <c r="EH95" s="157"/>
      <c r="EI95" s="157"/>
      <c r="EJ95" s="157"/>
      <c r="EK95" s="157"/>
      <c r="EL95" s="157"/>
      <c r="EM95" s="157"/>
      <c r="EN95" s="157"/>
      <c r="EO95" s="157"/>
      <c r="EP95" s="157"/>
      <c r="EQ95" s="157"/>
      <c r="ER95" s="157"/>
      <c r="ES95" s="157"/>
      <c r="ET95" s="157"/>
      <c r="EU95" s="157"/>
      <c r="EV95" s="157"/>
      <c r="EW95" s="157"/>
      <c r="EX95" s="157"/>
      <c r="EY95" s="157"/>
      <c r="EZ95" s="157"/>
      <c r="FA95" s="157"/>
      <c r="FB95" s="157"/>
      <c r="FC95" s="157"/>
      <c r="FD95" s="157"/>
      <c r="FE95" s="157"/>
      <c r="FF95" s="157"/>
      <c r="FG95" s="157"/>
      <c r="FH95" s="157"/>
      <c r="FI95" s="157"/>
      <c r="FJ95" s="157"/>
      <c r="FK95" s="157"/>
      <c r="FL95" s="157"/>
      <c r="FM95" s="157"/>
      <c r="FN95" s="157"/>
      <c r="FO95" s="157"/>
      <c r="FP95" s="157"/>
      <c r="FQ95" s="157"/>
      <c r="FR95" s="157"/>
      <c r="FS95" s="157"/>
      <c r="FT95" s="157"/>
      <c r="FU95" s="157"/>
      <c r="FV95" s="157"/>
      <c r="FW95" s="157"/>
      <c r="FX95" s="157"/>
      <c r="FY95" s="157"/>
      <c r="FZ95" s="157"/>
      <c r="GA95" s="157"/>
      <c r="GB95" s="157"/>
      <c r="GC95" s="157"/>
      <c r="GD95" s="157"/>
      <c r="GE95" s="157"/>
      <c r="GF95" s="157"/>
      <c r="GG95" s="157"/>
      <c r="GH95" s="157"/>
      <c r="GI95" s="157"/>
      <c r="GJ95" s="157"/>
      <c r="GK95" s="157"/>
      <c r="GL95" s="157"/>
      <c r="GM95" s="157"/>
      <c r="GN95" s="157"/>
      <c r="GO95" s="157"/>
      <c r="GP95" s="157"/>
      <c r="GQ95" s="157"/>
      <c r="GR95" s="157"/>
      <c r="GS95" s="157"/>
      <c r="GT95" s="157"/>
      <c r="GU95" s="157"/>
      <c r="GV95" s="157"/>
      <c r="GW95" s="157"/>
      <c r="GX95" s="157"/>
      <c r="GY95" s="157"/>
      <c r="GZ95" s="157"/>
      <c r="HA95" s="157"/>
      <c r="HB95" s="157"/>
      <c r="HC95" s="157"/>
      <c r="HD95" s="157"/>
      <c r="HE95" s="157"/>
      <c r="HF95" s="157"/>
      <c r="HG95" s="157"/>
      <c r="HH95" s="157"/>
      <c r="HI95" s="157"/>
      <c r="HJ95" s="157"/>
      <c r="HK95" s="157"/>
      <c r="HL95" s="157"/>
      <c r="HM95" s="157"/>
      <c r="HN95" s="157"/>
      <c r="HO95" s="157"/>
      <c r="HP95" s="157"/>
      <c r="HQ95" s="157"/>
      <c r="HR95" s="157"/>
      <c r="HS95" s="157"/>
      <c r="HT95" s="157"/>
      <c r="HU95" s="157"/>
      <c r="HV95" s="157"/>
      <c r="HW95" s="157"/>
      <c r="HX95" s="157"/>
      <c r="HY95" s="157"/>
      <c r="HZ95" s="157"/>
      <c r="IA95" s="157"/>
      <c r="IB95" s="157"/>
      <c r="IC95" s="157"/>
      <c r="ID95" s="157"/>
      <c r="IE95" s="157"/>
      <c r="IF95" s="157"/>
      <c r="IG95" s="157"/>
      <c r="IH95" s="157"/>
      <c r="II95" s="157"/>
      <c r="IJ95" s="157"/>
      <c r="IK95" s="157"/>
      <c r="IL95" s="157"/>
      <c r="IM95" s="157"/>
      <c r="IN95" s="157"/>
      <c r="IO95" s="157"/>
      <c r="IP95" s="157"/>
      <c r="IQ95" s="157"/>
      <c r="IR95" s="157"/>
      <c r="IS95" s="157"/>
      <c r="IT95" s="157"/>
      <c r="IU95" s="157"/>
      <c r="IV95" s="157"/>
      <c r="IW95" s="157"/>
      <c r="IX95" s="157"/>
      <c r="IY95" s="157"/>
      <c r="IZ95" s="157"/>
      <c r="JA95" s="157"/>
      <c r="JB95" s="157"/>
      <c r="JC95" s="157"/>
      <c r="JD95" s="157"/>
      <c r="JE95" s="157"/>
      <c r="JF95" s="157"/>
      <c r="JG95" s="157"/>
      <c r="JH95" s="157"/>
      <c r="JI95" s="157"/>
      <c r="JJ95" s="157"/>
      <c r="JK95" s="157"/>
      <c r="JL95" s="157"/>
      <c r="JM95" s="157"/>
      <c r="JN95" s="157"/>
      <c r="JO95" s="157"/>
      <c r="JP95" s="157"/>
      <c r="JQ95" s="157"/>
      <c r="JR95" s="157"/>
      <c r="JS95" s="157"/>
      <c r="JT95" s="157"/>
      <c r="JU95" s="157"/>
      <c r="JV95" s="157"/>
      <c r="JW95" s="157"/>
      <c r="JX95" s="157"/>
      <c r="JY95" s="157"/>
      <c r="JZ95" s="157"/>
      <c r="KA95" s="157"/>
      <c r="KB95" s="157"/>
      <c r="KC95" s="157"/>
      <c r="KD95" s="157"/>
      <c r="KE95" s="157"/>
      <c r="KF95" s="157"/>
      <c r="KG95" s="157"/>
      <c r="KH95" s="157"/>
      <c r="KI95" s="157"/>
      <c r="KJ95" s="157"/>
      <c r="KK95" s="157"/>
      <c r="KL95" s="157"/>
    </row>
    <row r="96" spans="40:298" x14ac:dyDescent="0.2">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c r="CZ96" s="157"/>
      <c r="DA96" s="157"/>
      <c r="DB96" s="157"/>
      <c r="DC96" s="157"/>
      <c r="DD96" s="157"/>
      <c r="DE96" s="157"/>
      <c r="DF96" s="157"/>
      <c r="DG96" s="157"/>
      <c r="DH96" s="157"/>
      <c r="DI96" s="157"/>
      <c r="DJ96" s="157"/>
      <c r="DK96" s="157"/>
      <c r="DL96" s="157"/>
      <c r="DM96" s="157"/>
      <c r="DN96" s="157"/>
      <c r="DO96" s="157"/>
      <c r="DP96" s="157"/>
      <c r="DQ96" s="157"/>
      <c r="DR96" s="157"/>
      <c r="DS96" s="157"/>
      <c r="DT96" s="157"/>
      <c r="DU96" s="157"/>
      <c r="DV96" s="157"/>
      <c r="DW96" s="157"/>
      <c r="DX96" s="157"/>
      <c r="DY96" s="157"/>
      <c r="DZ96" s="157"/>
      <c r="EA96" s="157"/>
      <c r="EB96" s="157"/>
      <c r="EC96" s="157"/>
      <c r="ED96" s="157"/>
      <c r="EE96" s="157"/>
      <c r="EF96" s="157"/>
      <c r="EG96" s="157"/>
      <c r="EH96" s="157"/>
      <c r="EI96" s="157"/>
      <c r="EJ96" s="157"/>
      <c r="EK96" s="157"/>
      <c r="EL96" s="157"/>
      <c r="EM96" s="157"/>
      <c r="EN96" s="157"/>
      <c r="EO96" s="157"/>
      <c r="EP96" s="157"/>
      <c r="EQ96" s="157"/>
      <c r="ER96" s="157"/>
      <c r="ES96" s="157"/>
      <c r="ET96" s="157"/>
      <c r="EU96" s="157"/>
      <c r="EV96" s="157"/>
      <c r="EW96" s="157"/>
      <c r="EX96" s="157"/>
      <c r="EY96" s="157"/>
      <c r="EZ96" s="157"/>
      <c r="FA96" s="157"/>
      <c r="FB96" s="157"/>
      <c r="FC96" s="157"/>
      <c r="FD96" s="157"/>
      <c r="FE96" s="157"/>
      <c r="FF96" s="157"/>
      <c r="FG96" s="157"/>
      <c r="FH96" s="157"/>
      <c r="FI96" s="157"/>
      <c r="FJ96" s="157"/>
      <c r="FK96" s="157"/>
      <c r="FL96" s="157"/>
      <c r="FM96" s="157"/>
      <c r="FN96" s="157"/>
      <c r="FO96" s="157"/>
      <c r="FP96" s="157"/>
      <c r="FQ96" s="157"/>
      <c r="FR96" s="157"/>
      <c r="FS96" s="157"/>
      <c r="FT96" s="157"/>
      <c r="FU96" s="157"/>
      <c r="FV96" s="157"/>
      <c r="FW96" s="157"/>
      <c r="FX96" s="157"/>
      <c r="FY96" s="157"/>
      <c r="FZ96" s="157"/>
      <c r="GA96" s="157"/>
      <c r="GB96" s="157"/>
      <c r="GC96" s="157"/>
      <c r="GD96" s="157"/>
      <c r="GE96" s="157"/>
      <c r="GF96" s="157"/>
      <c r="GG96" s="157"/>
      <c r="GH96" s="157"/>
      <c r="GI96" s="157"/>
      <c r="GJ96" s="157"/>
      <c r="GK96" s="157"/>
      <c r="GL96" s="157"/>
      <c r="GM96" s="157"/>
      <c r="GN96" s="157"/>
      <c r="GO96" s="157"/>
      <c r="GP96" s="157"/>
      <c r="GQ96" s="157"/>
      <c r="GR96" s="157"/>
      <c r="GS96" s="157"/>
      <c r="GT96" s="157"/>
      <c r="GU96" s="157"/>
      <c r="GV96" s="157"/>
      <c r="GW96" s="157"/>
      <c r="GX96" s="157"/>
      <c r="GY96" s="157"/>
      <c r="GZ96" s="157"/>
      <c r="HA96" s="157"/>
      <c r="HB96" s="157"/>
      <c r="HC96" s="157"/>
      <c r="HD96" s="157"/>
      <c r="HE96" s="157"/>
      <c r="HF96" s="157"/>
      <c r="HG96" s="157"/>
      <c r="HH96" s="157"/>
      <c r="HI96" s="157"/>
      <c r="HJ96" s="157"/>
      <c r="HK96" s="157"/>
      <c r="HL96" s="157"/>
      <c r="HM96" s="157"/>
      <c r="HN96" s="157"/>
      <c r="HO96" s="157"/>
      <c r="HP96" s="157"/>
      <c r="HQ96" s="157"/>
      <c r="HR96" s="157"/>
      <c r="HS96" s="157"/>
      <c r="HT96" s="157"/>
      <c r="HU96" s="157"/>
      <c r="HV96" s="157"/>
      <c r="HW96" s="157"/>
      <c r="HX96" s="157"/>
      <c r="HY96" s="157"/>
      <c r="HZ96" s="157"/>
      <c r="IA96" s="157"/>
      <c r="IB96" s="157"/>
      <c r="IC96" s="157"/>
      <c r="ID96" s="157"/>
      <c r="IE96" s="157"/>
      <c r="IF96" s="157"/>
      <c r="IG96" s="157"/>
      <c r="IH96" s="157"/>
      <c r="II96" s="157"/>
      <c r="IJ96" s="157"/>
      <c r="IK96" s="157"/>
      <c r="IL96" s="157"/>
      <c r="IM96" s="157"/>
      <c r="IN96" s="157"/>
      <c r="IO96" s="157"/>
      <c r="IP96" s="157"/>
      <c r="IQ96" s="157"/>
      <c r="IR96" s="157"/>
      <c r="IS96" s="157"/>
      <c r="IT96" s="157"/>
      <c r="IU96" s="157"/>
      <c r="IV96" s="157"/>
      <c r="IW96" s="157"/>
      <c r="IX96" s="157"/>
      <c r="IY96" s="157"/>
      <c r="IZ96" s="157"/>
      <c r="JA96" s="157"/>
      <c r="JB96" s="157"/>
      <c r="JC96" s="157"/>
      <c r="JD96" s="157"/>
      <c r="JE96" s="157"/>
      <c r="JF96" s="157"/>
      <c r="JG96" s="157"/>
      <c r="JH96" s="157"/>
      <c r="JI96" s="157"/>
      <c r="JJ96" s="157"/>
      <c r="JK96" s="157"/>
      <c r="JL96" s="157"/>
      <c r="JM96" s="157"/>
      <c r="JN96" s="157"/>
      <c r="JO96" s="157"/>
      <c r="JP96" s="157"/>
      <c r="JQ96" s="157"/>
      <c r="JR96" s="157"/>
      <c r="JS96" s="157"/>
      <c r="JT96" s="157"/>
      <c r="JU96" s="157"/>
      <c r="JV96" s="157"/>
      <c r="JW96" s="157"/>
      <c r="JX96" s="157"/>
      <c r="JY96" s="157"/>
      <c r="JZ96" s="157"/>
      <c r="KA96" s="157"/>
      <c r="KB96" s="157"/>
      <c r="KC96" s="157"/>
      <c r="KD96" s="157"/>
      <c r="KE96" s="157"/>
      <c r="KF96" s="157"/>
      <c r="KG96" s="157"/>
      <c r="KH96" s="157"/>
      <c r="KI96" s="157"/>
      <c r="KJ96" s="157"/>
      <c r="KK96" s="157"/>
      <c r="KL96" s="157"/>
    </row>
    <row r="97" spans="40:298" x14ac:dyDescent="0.2">
      <c r="AN97" s="157"/>
      <c r="AO97" s="157"/>
      <c r="AP97" s="157"/>
      <c r="AQ97" s="157"/>
      <c r="AR97" s="157"/>
      <c r="AS97" s="157"/>
      <c r="AT97" s="157"/>
      <c r="AU97" s="157"/>
      <c r="AV97" s="157"/>
      <c r="AW97" s="157"/>
      <c r="AX97" s="157"/>
      <c r="AY97" s="157"/>
      <c r="AZ97" s="157"/>
      <c r="BA97" s="157"/>
      <c r="BB97" s="157"/>
      <c r="BC97" s="157"/>
      <c r="BD97" s="157"/>
      <c r="BE97" s="157"/>
      <c r="BF97" s="157"/>
      <c r="BG97" s="157"/>
      <c r="BH97" s="157"/>
      <c r="BI97" s="157"/>
      <c r="BJ97" s="157"/>
      <c r="BK97" s="157"/>
      <c r="BL97" s="157"/>
      <c r="BM97" s="157"/>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c r="CZ97" s="157"/>
      <c r="DA97" s="157"/>
      <c r="DB97" s="157"/>
      <c r="DC97" s="157"/>
      <c r="DD97" s="157"/>
      <c r="DE97" s="157"/>
      <c r="DF97" s="157"/>
      <c r="DG97" s="157"/>
      <c r="DH97" s="157"/>
      <c r="DI97" s="157"/>
      <c r="DJ97" s="157"/>
      <c r="DK97" s="157"/>
      <c r="DL97" s="157"/>
      <c r="DM97" s="157"/>
      <c r="DN97" s="157"/>
      <c r="DO97" s="157"/>
      <c r="DP97" s="157"/>
      <c r="DQ97" s="157"/>
      <c r="DR97" s="157"/>
      <c r="DS97" s="157"/>
      <c r="DT97" s="157"/>
      <c r="DU97" s="157"/>
      <c r="DV97" s="157"/>
      <c r="DW97" s="157"/>
      <c r="DX97" s="157"/>
      <c r="DY97" s="157"/>
      <c r="DZ97" s="157"/>
      <c r="EA97" s="157"/>
      <c r="EB97" s="157"/>
      <c r="EC97" s="157"/>
      <c r="ED97" s="157"/>
      <c r="EE97" s="157"/>
      <c r="EF97" s="157"/>
      <c r="EG97" s="157"/>
      <c r="EH97" s="157"/>
      <c r="EI97" s="157"/>
      <c r="EJ97" s="157"/>
      <c r="EK97" s="157"/>
      <c r="EL97" s="157"/>
      <c r="EM97" s="157"/>
      <c r="EN97" s="157"/>
      <c r="EO97" s="157"/>
      <c r="EP97" s="157"/>
      <c r="EQ97" s="157"/>
      <c r="ER97" s="157"/>
      <c r="ES97" s="157"/>
      <c r="ET97" s="157"/>
      <c r="EU97" s="157"/>
      <c r="EV97" s="157"/>
      <c r="EW97" s="157"/>
      <c r="EX97" s="157"/>
      <c r="EY97" s="157"/>
      <c r="EZ97" s="157"/>
      <c r="FA97" s="157"/>
      <c r="FB97" s="157"/>
      <c r="FC97" s="157"/>
      <c r="FD97" s="157"/>
      <c r="FE97" s="157"/>
      <c r="FF97" s="157"/>
      <c r="FG97" s="157"/>
      <c r="FH97" s="157"/>
      <c r="FI97" s="157"/>
      <c r="FJ97" s="157"/>
      <c r="FK97" s="157"/>
      <c r="FL97" s="157"/>
      <c r="FM97" s="157"/>
      <c r="FN97" s="157"/>
      <c r="FO97" s="157"/>
      <c r="FP97" s="157"/>
      <c r="FQ97" s="157"/>
      <c r="FR97" s="157"/>
      <c r="FS97" s="157"/>
      <c r="FT97" s="157"/>
      <c r="FU97" s="157"/>
      <c r="FV97" s="157"/>
      <c r="FW97" s="157"/>
      <c r="FX97" s="157"/>
      <c r="FY97" s="157"/>
      <c r="FZ97" s="157"/>
      <c r="GA97" s="157"/>
      <c r="GB97" s="157"/>
      <c r="GC97" s="157"/>
      <c r="GD97" s="157"/>
      <c r="GE97" s="157"/>
      <c r="GF97" s="157"/>
      <c r="GG97" s="157"/>
      <c r="GH97" s="157"/>
      <c r="GI97" s="157"/>
      <c r="GJ97" s="157"/>
      <c r="GK97" s="157"/>
      <c r="GL97" s="157"/>
      <c r="GM97" s="157"/>
      <c r="GN97" s="157"/>
      <c r="GO97" s="157"/>
      <c r="GP97" s="157"/>
      <c r="GQ97" s="157"/>
      <c r="GR97" s="157"/>
      <c r="GS97" s="157"/>
      <c r="GT97" s="157"/>
      <c r="GU97" s="157"/>
      <c r="GV97" s="157"/>
      <c r="GW97" s="157"/>
      <c r="GX97" s="157"/>
      <c r="GY97" s="157"/>
      <c r="GZ97" s="157"/>
      <c r="HA97" s="157"/>
      <c r="HB97" s="157"/>
      <c r="HC97" s="157"/>
      <c r="HD97" s="157"/>
      <c r="HE97" s="157"/>
      <c r="HF97" s="157"/>
      <c r="HG97" s="157"/>
      <c r="HH97" s="157"/>
      <c r="HI97" s="157"/>
      <c r="HJ97" s="157"/>
      <c r="HK97" s="157"/>
      <c r="HL97" s="157"/>
      <c r="HM97" s="157"/>
      <c r="HN97" s="157"/>
      <c r="HO97" s="157"/>
      <c r="HP97" s="157"/>
      <c r="HQ97" s="157"/>
      <c r="HR97" s="157"/>
      <c r="HS97" s="157"/>
      <c r="HT97" s="157"/>
      <c r="HU97" s="157"/>
      <c r="HV97" s="157"/>
      <c r="HW97" s="157"/>
      <c r="HX97" s="157"/>
      <c r="HY97" s="157"/>
      <c r="HZ97" s="157"/>
      <c r="IA97" s="157"/>
      <c r="IB97" s="157"/>
      <c r="IC97" s="157"/>
      <c r="ID97" s="157"/>
      <c r="IE97" s="157"/>
      <c r="IF97" s="157"/>
      <c r="IG97" s="157"/>
      <c r="IH97" s="157"/>
      <c r="II97" s="157"/>
      <c r="IJ97" s="157"/>
      <c r="IK97" s="157"/>
      <c r="IL97" s="157"/>
      <c r="IM97" s="157"/>
      <c r="IN97" s="157"/>
      <c r="IO97" s="157"/>
      <c r="IP97" s="157"/>
      <c r="IQ97" s="157"/>
      <c r="IR97" s="157"/>
      <c r="IS97" s="157"/>
      <c r="IT97" s="157"/>
      <c r="IU97" s="157"/>
      <c r="IV97" s="157"/>
      <c r="IW97" s="157"/>
      <c r="IX97" s="157"/>
      <c r="IY97" s="157"/>
      <c r="IZ97" s="157"/>
      <c r="JA97" s="157"/>
      <c r="JB97" s="157"/>
      <c r="JC97" s="157"/>
      <c r="JD97" s="157"/>
      <c r="JE97" s="157"/>
      <c r="JF97" s="157"/>
      <c r="JG97" s="157"/>
      <c r="JH97" s="157"/>
      <c r="JI97" s="157"/>
      <c r="JJ97" s="157"/>
      <c r="JK97" s="157"/>
      <c r="JL97" s="157"/>
      <c r="JM97" s="157"/>
      <c r="JN97" s="157"/>
      <c r="JO97" s="157"/>
      <c r="JP97" s="157"/>
      <c r="JQ97" s="157"/>
      <c r="JR97" s="157"/>
      <c r="JS97" s="157"/>
      <c r="JT97" s="157"/>
      <c r="JU97" s="157"/>
      <c r="JV97" s="157"/>
      <c r="JW97" s="157"/>
      <c r="JX97" s="157"/>
      <c r="JY97" s="157"/>
      <c r="JZ97" s="157"/>
      <c r="KA97" s="157"/>
      <c r="KB97" s="157"/>
      <c r="KC97" s="157"/>
      <c r="KD97" s="157"/>
      <c r="KE97" s="157"/>
      <c r="KF97" s="157"/>
      <c r="KG97" s="157"/>
      <c r="KH97" s="157"/>
      <c r="KI97" s="157"/>
      <c r="KJ97" s="157"/>
      <c r="KK97" s="157"/>
      <c r="KL97" s="157"/>
    </row>
    <row r="98" spans="40:298" x14ac:dyDescent="0.2">
      <c r="AN98" s="157"/>
      <c r="AO98" s="157"/>
      <c r="AP98" s="157"/>
      <c r="AQ98" s="157"/>
      <c r="AR98" s="157"/>
      <c r="AS98" s="157"/>
      <c r="AT98" s="157"/>
      <c r="AU98" s="157"/>
      <c r="AV98" s="157"/>
      <c r="AW98" s="157"/>
      <c r="AX98" s="157"/>
      <c r="AY98" s="157"/>
      <c r="AZ98" s="157"/>
      <c r="BA98" s="157"/>
      <c r="BB98" s="157"/>
      <c r="BC98" s="157"/>
      <c r="BD98" s="157"/>
      <c r="BE98" s="157"/>
      <c r="BF98" s="157"/>
      <c r="BG98" s="157"/>
      <c r="BH98" s="157"/>
      <c r="BI98" s="157"/>
      <c r="BJ98" s="157"/>
      <c r="BK98" s="157"/>
      <c r="BL98" s="157"/>
      <c r="BM98" s="157"/>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c r="CZ98" s="157"/>
      <c r="DA98" s="157"/>
      <c r="DB98" s="157"/>
      <c r="DC98" s="157"/>
      <c r="DD98" s="157"/>
      <c r="DE98" s="157"/>
      <c r="DF98" s="157"/>
      <c r="DG98" s="157"/>
      <c r="DH98" s="157"/>
      <c r="DI98" s="157"/>
      <c r="DJ98" s="157"/>
      <c r="DK98" s="157"/>
      <c r="DL98" s="157"/>
      <c r="DM98" s="157"/>
      <c r="DN98" s="157"/>
      <c r="DO98" s="157"/>
      <c r="DP98" s="157"/>
      <c r="DQ98" s="157"/>
      <c r="DR98" s="157"/>
      <c r="DS98" s="157"/>
      <c r="DT98" s="157"/>
      <c r="DU98" s="157"/>
      <c r="DV98" s="157"/>
      <c r="DW98" s="157"/>
      <c r="DX98" s="157"/>
      <c r="DY98" s="157"/>
      <c r="DZ98" s="157"/>
      <c r="EA98" s="157"/>
      <c r="EB98" s="157"/>
      <c r="EC98" s="157"/>
      <c r="ED98" s="157"/>
      <c r="EE98" s="157"/>
      <c r="EF98" s="157"/>
      <c r="EG98" s="157"/>
      <c r="EH98" s="157"/>
      <c r="EI98" s="157"/>
      <c r="EJ98" s="157"/>
      <c r="EK98" s="157"/>
      <c r="EL98" s="157"/>
      <c r="EM98" s="157"/>
      <c r="EN98" s="157"/>
      <c r="EO98" s="157"/>
      <c r="EP98" s="157"/>
      <c r="EQ98" s="157"/>
      <c r="ER98" s="157"/>
      <c r="ES98" s="157"/>
      <c r="ET98" s="157"/>
      <c r="EU98" s="157"/>
      <c r="EV98" s="157"/>
      <c r="EW98" s="157"/>
      <c r="EX98" s="157"/>
      <c r="EY98" s="157"/>
      <c r="EZ98" s="157"/>
      <c r="FA98" s="157"/>
      <c r="FB98" s="157"/>
      <c r="FC98" s="157"/>
      <c r="FD98" s="157"/>
      <c r="FE98" s="157"/>
      <c r="FF98" s="157"/>
      <c r="FG98" s="157"/>
      <c r="FH98" s="157"/>
      <c r="FI98" s="157"/>
      <c r="FJ98" s="157"/>
      <c r="FK98" s="157"/>
      <c r="FL98" s="157"/>
      <c r="FM98" s="157"/>
      <c r="FN98" s="157"/>
      <c r="FO98" s="157"/>
      <c r="FP98" s="157"/>
      <c r="FQ98" s="157"/>
      <c r="FR98" s="157"/>
      <c r="FS98" s="157"/>
      <c r="FT98" s="157"/>
      <c r="FU98" s="157"/>
      <c r="FV98" s="157"/>
      <c r="FW98" s="157"/>
      <c r="FX98" s="157"/>
      <c r="FY98" s="157"/>
      <c r="FZ98" s="157"/>
      <c r="GA98" s="157"/>
      <c r="GB98" s="157"/>
      <c r="GC98" s="157"/>
      <c r="GD98" s="157"/>
      <c r="GE98" s="157"/>
      <c r="GF98" s="157"/>
      <c r="GG98" s="157"/>
      <c r="GH98" s="157"/>
      <c r="GI98" s="157"/>
      <c r="GJ98" s="157"/>
      <c r="GK98" s="157"/>
      <c r="GL98" s="157"/>
      <c r="GM98" s="157"/>
      <c r="GN98" s="157"/>
      <c r="GO98" s="157"/>
      <c r="GP98" s="157"/>
      <c r="GQ98" s="157"/>
      <c r="GR98" s="157"/>
      <c r="GS98" s="157"/>
      <c r="GT98" s="157"/>
      <c r="GU98" s="157"/>
      <c r="GV98" s="157"/>
      <c r="GW98" s="157"/>
      <c r="GX98" s="157"/>
      <c r="GY98" s="157"/>
      <c r="GZ98" s="157"/>
      <c r="HA98" s="157"/>
      <c r="HB98" s="157"/>
      <c r="HC98" s="157"/>
      <c r="HD98" s="157"/>
      <c r="HE98" s="157"/>
      <c r="HF98" s="157"/>
      <c r="HG98" s="157"/>
      <c r="HH98" s="157"/>
      <c r="HI98" s="157"/>
      <c r="HJ98" s="157"/>
      <c r="HK98" s="157"/>
      <c r="HL98" s="157"/>
      <c r="HM98" s="157"/>
      <c r="HN98" s="157"/>
      <c r="HO98" s="157"/>
      <c r="HP98" s="157"/>
      <c r="HQ98" s="157"/>
      <c r="HR98" s="157"/>
      <c r="HS98" s="157"/>
      <c r="HT98" s="157"/>
      <c r="HU98" s="157"/>
      <c r="HV98" s="157"/>
      <c r="HW98" s="157"/>
      <c r="HX98" s="157"/>
      <c r="HY98" s="157"/>
      <c r="HZ98" s="157"/>
      <c r="IA98" s="157"/>
      <c r="IB98" s="157"/>
      <c r="IC98" s="157"/>
      <c r="ID98" s="157"/>
      <c r="IE98" s="157"/>
      <c r="IF98" s="157"/>
      <c r="IG98" s="157"/>
      <c r="IH98" s="157"/>
      <c r="II98" s="157"/>
      <c r="IJ98" s="157"/>
      <c r="IK98" s="157"/>
      <c r="IL98" s="157"/>
      <c r="IM98" s="157"/>
      <c r="IN98" s="157"/>
      <c r="IO98" s="157"/>
      <c r="IP98" s="157"/>
      <c r="IQ98" s="157"/>
      <c r="IR98" s="157"/>
      <c r="IS98" s="157"/>
      <c r="IT98" s="157"/>
      <c r="IU98" s="157"/>
      <c r="IV98" s="157"/>
      <c r="IW98" s="157"/>
      <c r="IX98" s="157"/>
      <c r="IY98" s="157"/>
      <c r="IZ98" s="157"/>
      <c r="JA98" s="157"/>
      <c r="JB98" s="157"/>
      <c r="JC98" s="157"/>
      <c r="JD98" s="157"/>
      <c r="JE98" s="157"/>
      <c r="JF98" s="157"/>
      <c r="JG98" s="157"/>
      <c r="JH98" s="157"/>
      <c r="JI98" s="157"/>
      <c r="JJ98" s="157"/>
      <c r="JK98" s="157"/>
      <c r="JL98" s="157"/>
      <c r="JM98" s="157"/>
      <c r="JN98" s="157"/>
      <c r="JO98" s="157"/>
      <c r="JP98" s="157"/>
      <c r="JQ98" s="157"/>
      <c r="JR98" s="157"/>
      <c r="JS98" s="157"/>
      <c r="JT98" s="157"/>
      <c r="JU98" s="157"/>
      <c r="JV98" s="157"/>
      <c r="JW98" s="157"/>
      <c r="JX98" s="157"/>
      <c r="JY98" s="157"/>
      <c r="JZ98" s="157"/>
      <c r="KA98" s="157"/>
      <c r="KB98" s="157"/>
      <c r="KC98" s="157"/>
      <c r="KD98" s="157"/>
      <c r="KE98" s="157"/>
      <c r="KF98" s="157"/>
      <c r="KG98" s="157"/>
      <c r="KH98" s="157"/>
      <c r="KI98" s="157"/>
      <c r="KJ98" s="157"/>
      <c r="KK98" s="157"/>
      <c r="KL98" s="157"/>
    </row>
    <row r="99" spans="40:298" x14ac:dyDescent="0.2">
      <c r="AN99" s="157"/>
      <c r="AO99" s="157"/>
      <c r="AP99" s="157"/>
      <c r="AQ99" s="157"/>
      <c r="AR99" s="157"/>
      <c r="AS99" s="157"/>
      <c r="AT99" s="157"/>
      <c r="AU99" s="157"/>
      <c r="AV99" s="157"/>
      <c r="AW99" s="157"/>
      <c r="AX99" s="157"/>
      <c r="AY99" s="157"/>
      <c r="AZ99" s="157"/>
      <c r="BA99" s="157"/>
      <c r="BB99" s="157"/>
      <c r="BC99" s="157"/>
      <c r="BD99" s="157"/>
      <c r="BE99" s="157"/>
      <c r="BF99" s="157"/>
      <c r="BG99" s="157"/>
      <c r="BH99" s="157"/>
      <c r="BI99" s="157"/>
      <c r="BJ99" s="157"/>
      <c r="BK99" s="157"/>
      <c r="BL99" s="157"/>
      <c r="BM99" s="157"/>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c r="CZ99" s="157"/>
      <c r="DA99" s="157"/>
      <c r="DB99" s="157"/>
      <c r="DC99" s="157"/>
      <c r="DD99" s="157"/>
      <c r="DE99" s="157"/>
      <c r="DF99" s="157"/>
      <c r="DG99" s="157"/>
      <c r="DH99" s="157"/>
      <c r="DI99" s="157"/>
      <c r="DJ99" s="157"/>
      <c r="DK99" s="157"/>
      <c r="DL99" s="157"/>
      <c r="DM99" s="157"/>
      <c r="DN99" s="157"/>
      <c r="DO99" s="157"/>
      <c r="DP99" s="157"/>
      <c r="DQ99" s="157"/>
      <c r="DR99" s="157"/>
      <c r="DS99" s="157"/>
      <c r="DT99" s="157"/>
      <c r="DU99" s="157"/>
      <c r="DV99" s="157"/>
      <c r="DW99" s="157"/>
      <c r="DX99" s="157"/>
      <c r="DY99" s="157"/>
      <c r="DZ99" s="157"/>
      <c r="EA99" s="157"/>
      <c r="EB99" s="157"/>
      <c r="EC99" s="157"/>
      <c r="ED99" s="157"/>
      <c r="EE99" s="157"/>
      <c r="EF99" s="157"/>
      <c r="EG99" s="157"/>
      <c r="EH99" s="157"/>
      <c r="EI99" s="157"/>
      <c r="EJ99" s="157"/>
      <c r="EK99" s="157"/>
      <c r="EL99" s="157"/>
      <c r="EM99" s="157"/>
      <c r="EN99" s="157"/>
      <c r="EO99" s="157"/>
      <c r="EP99" s="157"/>
      <c r="EQ99" s="157"/>
      <c r="ER99" s="157"/>
      <c r="ES99" s="157"/>
      <c r="ET99" s="157"/>
      <c r="EU99" s="157"/>
      <c r="EV99" s="157"/>
      <c r="EW99" s="157"/>
      <c r="EX99" s="157"/>
      <c r="EY99" s="157"/>
      <c r="EZ99" s="157"/>
      <c r="FA99" s="157"/>
      <c r="FB99" s="157"/>
      <c r="FC99" s="157"/>
      <c r="FD99" s="157"/>
      <c r="FE99" s="157"/>
      <c r="FF99" s="157"/>
      <c r="FG99" s="157"/>
      <c r="FH99" s="157"/>
      <c r="FI99" s="157"/>
      <c r="FJ99" s="157"/>
      <c r="FK99" s="157"/>
      <c r="FL99" s="157"/>
      <c r="FM99" s="157"/>
      <c r="FN99" s="157"/>
      <c r="FO99" s="157"/>
      <c r="FP99" s="157"/>
      <c r="FQ99" s="157"/>
      <c r="FR99" s="157"/>
      <c r="FS99" s="157"/>
      <c r="FT99" s="157"/>
      <c r="FU99" s="157"/>
      <c r="FV99" s="157"/>
      <c r="FW99" s="157"/>
      <c r="FX99" s="157"/>
      <c r="FY99" s="157"/>
      <c r="FZ99" s="157"/>
      <c r="GA99" s="157"/>
      <c r="GB99" s="157"/>
      <c r="GC99" s="157"/>
      <c r="GD99" s="157"/>
      <c r="GE99" s="157"/>
      <c r="GF99" s="157"/>
      <c r="GG99" s="157"/>
      <c r="GH99" s="157"/>
      <c r="GI99" s="157"/>
      <c r="GJ99" s="157"/>
      <c r="GK99" s="157"/>
      <c r="GL99" s="157"/>
      <c r="GM99" s="157"/>
      <c r="GN99" s="157"/>
      <c r="GO99" s="157"/>
      <c r="GP99" s="157"/>
      <c r="GQ99" s="157"/>
      <c r="GR99" s="157"/>
      <c r="GS99" s="157"/>
      <c r="GT99" s="157"/>
      <c r="GU99" s="157"/>
      <c r="GV99" s="157"/>
      <c r="GW99" s="157"/>
      <c r="GX99" s="157"/>
      <c r="GY99" s="157"/>
      <c r="GZ99" s="157"/>
      <c r="HA99" s="157"/>
      <c r="HB99" s="157"/>
      <c r="HC99" s="157"/>
      <c r="HD99" s="157"/>
      <c r="HE99" s="157"/>
      <c r="HF99" s="157"/>
      <c r="HG99" s="157"/>
      <c r="HH99" s="157"/>
      <c r="HI99" s="157"/>
      <c r="HJ99" s="157"/>
      <c r="HK99" s="157"/>
      <c r="HL99" s="157"/>
      <c r="HM99" s="157"/>
      <c r="HN99" s="157"/>
      <c r="HO99" s="157"/>
      <c r="HP99" s="157"/>
      <c r="HQ99" s="157"/>
      <c r="HR99" s="157"/>
      <c r="HS99" s="157"/>
      <c r="HT99" s="157"/>
      <c r="HU99" s="157"/>
      <c r="HV99" s="157"/>
      <c r="HW99" s="157"/>
      <c r="HX99" s="157"/>
      <c r="HY99" s="157"/>
      <c r="HZ99" s="157"/>
      <c r="IA99" s="157"/>
      <c r="IB99" s="157"/>
      <c r="IC99" s="157"/>
      <c r="ID99" s="157"/>
      <c r="IE99" s="157"/>
      <c r="IF99" s="157"/>
      <c r="IG99" s="157"/>
      <c r="IH99" s="157"/>
      <c r="II99" s="157"/>
      <c r="IJ99" s="157"/>
      <c r="IK99" s="157"/>
      <c r="IL99" s="157"/>
      <c r="IM99" s="157"/>
      <c r="IN99" s="157"/>
      <c r="IO99" s="157"/>
      <c r="IP99" s="157"/>
      <c r="IQ99" s="157"/>
      <c r="IR99" s="157"/>
      <c r="IS99" s="157"/>
      <c r="IT99" s="157"/>
      <c r="IU99" s="157"/>
      <c r="IV99" s="157"/>
      <c r="IW99" s="157"/>
      <c r="IX99" s="157"/>
      <c r="IY99" s="157"/>
      <c r="IZ99" s="157"/>
      <c r="JA99" s="157"/>
      <c r="JB99" s="157"/>
      <c r="JC99" s="157"/>
      <c r="JD99" s="157"/>
      <c r="JE99" s="157"/>
      <c r="JF99" s="157"/>
      <c r="JG99" s="157"/>
      <c r="JH99" s="157"/>
      <c r="JI99" s="157"/>
      <c r="JJ99" s="157"/>
      <c r="JK99" s="157"/>
      <c r="JL99" s="157"/>
      <c r="JM99" s="157"/>
      <c r="JN99" s="157"/>
      <c r="JO99" s="157"/>
      <c r="JP99" s="157"/>
      <c r="JQ99" s="157"/>
      <c r="JR99" s="157"/>
      <c r="JS99" s="157"/>
      <c r="JT99" s="157"/>
      <c r="JU99" s="157"/>
      <c r="JV99" s="157"/>
      <c r="JW99" s="157"/>
      <c r="JX99" s="157"/>
      <c r="JY99" s="157"/>
      <c r="JZ99" s="157"/>
      <c r="KA99" s="157"/>
      <c r="KB99" s="157"/>
      <c r="KC99" s="157"/>
      <c r="KD99" s="157"/>
      <c r="KE99" s="157"/>
      <c r="KF99" s="157"/>
      <c r="KG99" s="157"/>
      <c r="KH99" s="157"/>
      <c r="KI99" s="157"/>
      <c r="KJ99" s="157"/>
      <c r="KK99" s="157"/>
      <c r="KL99" s="157"/>
    </row>
    <row r="100" spans="40:298" x14ac:dyDescent="0.2">
      <c r="AN100" s="157"/>
      <c r="AO100" s="157"/>
      <c r="AP100" s="157"/>
      <c r="AQ100" s="157"/>
      <c r="AR100" s="157"/>
      <c r="AS100" s="157"/>
      <c r="AT100" s="157"/>
      <c r="AU100" s="157"/>
      <c r="AV100" s="157"/>
      <c r="AW100" s="157"/>
      <c r="AX100" s="157"/>
      <c r="AY100" s="157"/>
      <c r="AZ100" s="157"/>
      <c r="BA100" s="157"/>
      <c r="BB100" s="157"/>
      <c r="BC100" s="157"/>
      <c r="BD100" s="157"/>
      <c r="BE100" s="157"/>
      <c r="BF100" s="157"/>
      <c r="BG100" s="157"/>
      <c r="BH100" s="157"/>
      <c r="BI100" s="157"/>
      <c r="BJ100" s="157"/>
      <c r="BK100" s="157"/>
      <c r="BL100" s="157"/>
      <c r="BM100" s="157"/>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c r="CZ100" s="157"/>
      <c r="DA100" s="157"/>
      <c r="DB100" s="157"/>
      <c r="DC100" s="157"/>
      <c r="DD100" s="157"/>
      <c r="DE100" s="157"/>
      <c r="DF100" s="157"/>
      <c r="DG100" s="157"/>
      <c r="DH100" s="157"/>
      <c r="DI100" s="157"/>
      <c r="DJ100" s="157"/>
      <c r="DK100" s="157"/>
      <c r="DL100" s="157"/>
      <c r="DM100" s="157"/>
      <c r="DN100" s="157"/>
      <c r="DO100" s="157"/>
      <c r="DP100" s="157"/>
      <c r="DQ100" s="157"/>
      <c r="DR100" s="157"/>
      <c r="DS100" s="157"/>
      <c r="DT100" s="157"/>
      <c r="DU100" s="157"/>
      <c r="DV100" s="157"/>
      <c r="DW100" s="157"/>
      <c r="DX100" s="157"/>
      <c r="DY100" s="157"/>
      <c r="DZ100" s="157"/>
      <c r="EA100" s="157"/>
      <c r="EB100" s="157"/>
      <c r="EC100" s="157"/>
      <c r="ED100" s="157"/>
      <c r="EE100" s="157"/>
      <c r="EF100" s="157"/>
      <c r="EG100" s="157"/>
      <c r="EH100" s="157"/>
      <c r="EI100" s="157"/>
      <c r="EJ100" s="157"/>
      <c r="EK100" s="157"/>
      <c r="EL100" s="157"/>
      <c r="EM100" s="157"/>
      <c r="EN100" s="157"/>
      <c r="EO100" s="157"/>
      <c r="EP100" s="157"/>
      <c r="EQ100" s="157"/>
      <c r="ER100" s="157"/>
      <c r="ES100" s="157"/>
      <c r="ET100" s="157"/>
      <c r="EU100" s="157"/>
      <c r="EV100" s="157"/>
      <c r="EW100" s="157"/>
      <c r="EX100" s="157"/>
      <c r="EY100" s="157"/>
      <c r="EZ100" s="157"/>
      <c r="FA100" s="157"/>
      <c r="FB100" s="157"/>
      <c r="FC100" s="157"/>
      <c r="FD100" s="157"/>
      <c r="FE100" s="157"/>
      <c r="FF100" s="157"/>
      <c r="FG100" s="157"/>
      <c r="FH100" s="157"/>
      <c r="FI100" s="157"/>
      <c r="FJ100" s="157"/>
      <c r="FK100" s="157"/>
      <c r="FL100" s="157"/>
      <c r="FM100" s="157"/>
      <c r="FN100" s="157"/>
      <c r="FO100" s="157"/>
      <c r="FP100" s="157"/>
      <c r="FQ100" s="157"/>
      <c r="FR100" s="157"/>
      <c r="FS100" s="157"/>
      <c r="FT100" s="157"/>
      <c r="FU100" s="157"/>
      <c r="FV100" s="157"/>
      <c r="FW100" s="157"/>
      <c r="FX100" s="157"/>
      <c r="FY100" s="157"/>
      <c r="FZ100" s="157"/>
      <c r="GA100" s="157"/>
      <c r="GB100" s="157"/>
      <c r="GC100" s="157"/>
      <c r="GD100" s="157"/>
      <c r="GE100" s="157"/>
      <c r="GF100" s="157"/>
      <c r="GG100" s="157"/>
      <c r="GH100" s="157"/>
      <c r="GI100" s="157"/>
      <c r="GJ100" s="157"/>
      <c r="GK100" s="157"/>
      <c r="GL100" s="157"/>
      <c r="GM100" s="157"/>
      <c r="GN100" s="157"/>
      <c r="GO100" s="157"/>
      <c r="GP100" s="157"/>
      <c r="GQ100" s="157"/>
      <c r="GR100" s="157"/>
      <c r="GS100" s="157"/>
      <c r="GT100" s="157"/>
      <c r="GU100" s="157"/>
      <c r="GV100" s="157"/>
      <c r="GW100" s="157"/>
      <c r="GX100" s="157"/>
      <c r="GY100" s="157"/>
      <c r="GZ100" s="157"/>
      <c r="HA100" s="157"/>
      <c r="HB100" s="157"/>
      <c r="HC100" s="157"/>
      <c r="HD100" s="157"/>
      <c r="HE100" s="157"/>
      <c r="HF100" s="157"/>
      <c r="HG100" s="157"/>
      <c r="HH100" s="157"/>
      <c r="HI100" s="157"/>
      <c r="HJ100" s="157"/>
      <c r="HK100" s="157"/>
      <c r="HL100" s="157"/>
      <c r="HM100" s="157"/>
      <c r="HN100" s="157"/>
      <c r="HO100" s="157"/>
      <c r="HP100" s="157"/>
      <c r="HQ100" s="157"/>
      <c r="HR100" s="157"/>
      <c r="HS100" s="157"/>
      <c r="HT100" s="157"/>
      <c r="HU100" s="157"/>
      <c r="HV100" s="157"/>
      <c r="HW100" s="157"/>
      <c r="HX100" s="157"/>
      <c r="HY100" s="157"/>
      <c r="HZ100" s="157"/>
      <c r="IA100" s="157"/>
      <c r="IB100" s="157"/>
      <c r="IC100" s="157"/>
      <c r="ID100" s="157"/>
      <c r="IE100" s="157"/>
      <c r="IF100" s="157"/>
      <c r="IG100" s="157"/>
      <c r="IH100" s="157"/>
      <c r="II100" s="157"/>
      <c r="IJ100" s="157"/>
      <c r="IK100" s="157"/>
      <c r="IL100" s="157"/>
      <c r="IM100" s="157"/>
      <c r="IN100" s="157"/>
      <c r="IO100" s="157"/>
      <c r="IP100" s="157"/>
      <c r="IQ100" s="157"/>
      <c r="IR100" s="157"/>
      <c r="IS100" s="157"/>
      <c r="IT100" s="157"/>
      <c r="IU100" s="157"/>
      <c r="IV100" s="157"/>
      <c r="IW100" s="157"/>
      <c r="IX100" s="157"/>
      <c r="IY100" s="157"/>
      <c r="IZ100" s="157"/>
      <c r="JA100" s="157"/>
      <c r="JB100" s="157"/>
      <c r="JC100" s="157"/>
      <c r="JD100" s="157"/>
      <c r="JE100" s="157"/>
      <c r="JF100" s="157"/>
      <c r="JG100" s="157"/>
      <c r="JH100" s="157"/>
      <c r="JI100" s="157"/>
      <c r="JJ100" s="157"/>
      <c r="JK100" s="157"/>
      <c r="JL100" s="157"/>
      <c r="JM100" s="157"/>
      <c r="JN100" s="157"/>
      <c r="JO100" s="157"/>
      <c r="JP100" s="157"/>
      <c r="JQ100" s="157"/>
      <c r="JR100" s="157"/>
      <c r="JS100" s="157"/>
      <c r="JT100" s="157"/>
      <c r="JU100" s="157"/>
      <c r="JV100" s="157"/>
      <c r="JW100" s="157"/>
      <c r="JX100" s="157"/>
      <c r="JY100" s="157"/>
      <c r="JZ100" s="157"/>
      <c r="KA100" s="157"/>
      <c r="KB100" s="157"/>
      <c r="KC100" s="157"/>
      <c r="KD100" s="157"/>
      <c r="KE100" s="157"/>
      <c r="KF100" s="157"/>
      <c r="KG100" s="157"/>
      <c r="KH100" s="157"/>
      <c r="KI100" s="157"/>
      <c r="KJ100" s="157"/>
      <c r="KK100" s="157"/>
      <c r="KL100" s="157"/>
    </row>
    <row r="101" spans="40:298" x14ac:dyDescent="0.2">
      <c r="AN101" s="157"/>
      <c r="AO101" s="157"/>
      <c r="AP101" s="157"/>
      <c r="AQ101" s="157"/>
      <c r="AR101" s="157"/>
      <c r="AS101" s="157"/>
      <c r="AT101" s="157"/>
      <c r="AU101" s="157"/>
      <c r="AV101" s="157"/>
      <c r="AW101" s="157"/>
      <c r="AX101" s="157"/>
      <c r="AY101" s="157"/>
      <c r="AZ101" s="157"/>
      <c r="BA101" s="157"/>
      <c r="BB101" s="157"/>
      <c r="BC101" s="157"/>
      <c r="BD101" s="157"/>
      <c r="BE101" s="157"/>
      <c r="BF101" s="157"/>
      <c r="BG101" s="157"/>
      <c r="BH101" s="157"/>
      <c r="BI101" s="157"/>
      <c r="BJ101" s="157"/>
      <c r="BK101" s="157"/>
      <c r="BL101" s="157"/>
      <c r="BM101" s="157"/>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c r="CZ101" s="157"/>
      <c r="DA101" s="157"/>
      <c r="DB101" s="157"/>
      <c r="DC101" s="157"/>
      <c r="DD101" s="157"/>
      <c r="DE101" s="157"/>
      <c r="DF101" s="157"/>
      <c r="DG101" s="157"/>
      <c r="DH101" s="157"/>
      <c r="DI101" s="157"/>
      <c r="DJ101" s="157"/>
      <c r="DK101" s="157"/>
      <c r="DL101" s="157"/>
      <c r="DM101" s="157"/>
      <c r="DN101" s="157"/>
      <c r="DO101" s="157"/>
      <c r="DP101" s="157"/>
      <c r="DQ101" s="157"/>
      <c r="DR101" s="157"/>
      <c r="DS101" s="157"/>
      <c r="DT101" s="157"/>
      <c r="DU101" s="157"/>
      <c r="DV101" s="157"/>
      <c r="DW101" s="157"/>
      <c r="DX101" s="157"/>
      <c r="DY101" s="157"/>
      <c r="DZ101" s="157"/>
      <c r="EA101" s="157"/>
      <c r="EB101" s="157"/>
      <c r="EC101" s="157"/>
      <c r="ED101" s="157"/>
      <c r="EE101" s="157"/>
      <c r="EF101" s="157"/>
      <c r="EG101" s="157"/>
      <c r="EH101" s="157"/>
      <c r="EI101" s="157"/>
      <c r="EJ101" s="157"/>
      <c r="EK101" s="157"/>
      <c r="EL101" s="157"/>
      <c r="EM101" s="157"/>
      <c r="EN101" s="157"/>
      <c r="EO101" s="157"/>
      <c r="EP101" s="157"/>
      <c r="EQ101" s="157"/>
      <c r="ER101" s="157"/>
      <c r="ES101" s="157"/>
      <c r="ET101" s="157"/>
      <c r="EU101" s="157"/>
      <c r="EV101" s="157"/>
      <c r="EW101" s="157"/>
      <c r="EX101" s="157"/>
      <c r="EY101" s="157"/>
      <c r="EZ101" s="157"/>
      <c r="FA101" s="157"/>
      <c r="FB101" s="157"/>
      <c r="FC101" s="157"/>
      <c r="FD101" s="157"/>
      <c r="FE101" s="157"/>
      <c r="FF101" s="157"/>
      <c r="FG101" s="157"/>
      <c r="FH101" s="157"/>
      <c r="FI101" s="157"/>
      <c r="FJ101" s="157"/>
      <c r="FK101" s="157"/>
      <c r="FL101" s="157"/>
      <c r="FM101" s="157"/>
      <c r="FN101" s="157"/>
      <c r="FO101" s="157"/>
      <c r="FP101" s="157"/>
      <c r="FQ101" s="157"/>
      <c r="FR101" s="157"/>
      <c r="FS101" s="157"/>
      <c r="FT101" s="157"/>
      <c r="FU101" s="157"/>
      <c r="FV101" s="157"/>
      <c r="FW101" s="157"/>
      <c r="FX101" s="157"/>
      <c r="FY101" s="157"/>
      <c r="FZ101" s="157"/>
      <c r="GA101" s="157"/>
      <c r="GB101" s="157"/>
      <c r="GC101" s="157"/>
      <c r="GD101" s="157"/>
      <c r="GE101" s="157"/>
      <c r="GF101" s="157"/>
      <c r="GG101" s="157"/>
      <c r="GH101" s="157"/>
      <c r="GI101" s="157"/>
      <c r="GJ101" s="157"/>
      <c r="GK101" s="157"/>
      <c r="GL101" s="157"/>
      <c r="GM101" s="157"/>
      <c r="GN101" s="157"/>
      <c r="GO101" s="157"/>
      <c r="GP101" s="157"/>
      <c r="GQ101" s="157"/>
      <c r="GR101" s="157"/>
      <c r="GS101" s="157"/>
      <c r="GT101" s="157"/>
      <c r="GU101" s="157"/>
      <c r="GV101" s="157"/>
      <c r="GW101" s="157"/>
      <c r="GX101" s="157"/>
      <c r="GY101" s="157"/>
      <c r="GZ101" s="157"/>
      <c r="HA101" s="157"/>
      <c r="HB101" s="157"/>
      <c r="HC101" s="157"/>
      <c r="HD101" s="157"/>
      <c r="HE101" s="157"/>
      <c r="HF101" s="157"/>
      <c r="HG101" s="157"/>
      <c r="HH101" s="157"/>
      <c r="HI101" s="157"/>
      <c r="HJ101" s="157"/>
      <c r="HK101" s="157"/>
      <c r="HL101" s="157"/>
      <c r="HM101" s="157"/>
      <c r="HN101" s="157"/>
      <c r="HO101" s="157"/>
      <c r="HP101" s="157"/>
      <c r="HQ101" s="157"/>
      <c r="HR101" s="157"/>
      <c r="HS101" s="157"/>
      <c r="HT101" s="157"/>
      <c r="HU101" s="157"/>
      <c r="HV101" s="157"/>
      <c r="HW101" s="157"/>
      <c r="HX101" s="157"/>
      <c r="HY101" s="157"/>
      <c r="HZ101" s="157"/>
      <c r="IA101" s="157"/>
      <c r="IB101" s="157"/>
      <c r="IC101" s="157"/>
      <c r="ID101" s="157"/>
      <c r="IE101" s="157"/>
      <c r="IF101" s="157"/>
      <c r="IG101" s="157"/>
      <c r="IH101" s="157"/>
      <c r="II101" s="157"/>
      <c r="IJ101" s="157"/>
      <c r="IK101" s="157"/>
      <c r="IL101" s="157"/>
      <c r="IM101" s="157"/>
      <c r="IN101" s="157"/>
      <c r="IO101" s="157"/>
      <c r="IP101" s="157"/>
      <c r="IQ101" s="157"/>
      <c r="IR101" s="157"/>
      <c r="IS101" s="157"/>
      <c r="IT101" s="157"/>
      <c r="IU101" s="157"/>
      <c r="IV101" s="157"/>
      <c r="IW101" s="157"/>
      <c r="IX101" s="157"/>
      <c r="IY101" s="157"/>
      <c r="IZ101" s="157"/>
      <c r="JA101" s="157"/>
      <c r="JB101" s="157"/>
      <c r="JC101" s="157"/>
      <c r="JD101" s="157"/>
      <c r="JE101" s="157"/>
      <c r="JF101" s="157"/>
      <c r="JG101" s="157"/>
      <c r="JH101" s="157"/>
      <c r="JI101" s="157"/>
      <c r="JJ101" s="157"/>
      <c r="JK101" s="157"/>
      <c r="JL101" s="157"/>
      <c r="JM101" s="157"/>
      <c r="JN101" s="157"/>
      <c r="JO101" s="157"/>
      <c r="JP101" s="157"/>
      <c r="JQ101" s="157"/>
      <c r="JR101" s="157"/>
      <c r="JS101" s="157"/>
      <c r="JT101" s="157"/>
      <c r="JU101" s="157"/>
      <c r="JV101" s="157"/>
      <c r="JW101" s="157"/>
      <c r="JX101" s="157"/>
      <c r="JY101" s="157"/>
      <c r="JZ101" s="157"/>
      <c r="KA101" s="157"/>
      <c r="KB101" s="157"/>
      <c r="KC101" s="157"/>
      <c r="KD101" s="157"/>
      <c r="KE101" s="157"/>
      <c r="KF101" s="157"/>
      <c r="KG101" s="157"/>
      <c r="KH101" s="157"/>
      <c r="KI101" s="157"/>
      <c r="KJ101" s="157"/>
      <c r="KK101" s="157"/>
      <c r="KL101" s="157"/>
    </row>
    <row r="102" spans="40:298" x14ac:dyDescent="0.2">
      <c r="AN102" s="157"/>
      <c r="AO102" s="157"/>
      <c r="AP102" s="157"/>
      <c r="AQ102" s="157"/>
      <c r="AR102" s="157"/>
      <c r="AS102" s="157"/>
      <c r="AT102" s="157"/>
      <c r="AU102" s="157"/>
      <c r="AV102" s="157"/>
      <c r="AW102" s="157"/>
      <c r="AX102" s="157"/>
      <c r="AY102" s="157"/>
      <c r="AZ102" s="157"/>
      <c r="BA102" s="157"/>
      <c r="BB102" s="157"/>
      <c r="BC102" s="157"/>
      <c r="BD102" s="157"/>
      <c r="BE102" s="157"/>
      <c r="BF102" s="157"/>
      <c r="BG102" s="157"/>
      <c r="BH102" s="157"/>
      <c r="BI102" s="157"/>
      <c r="BJ102" s="157"/>
      <c r="BK102" s="157"/>
      <c r="BL102" s="157"/>
      <c r="BM102" s="157"/>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c r="CZ102" s="157"/>
      <c r="DA102" s="157"/>
      <c r="DB102" s="157"/>
      <c r="DC102" s="157"/>
      <c r="DD102" s="157"/>
      <c r="DE102" s="157"/>
      <c r="DF102" s="157"/>
      <c r="DG102" s="157"/>
      <c r="DH102" s="157"/>
      <c r="DI102" s="157"/>
      <c r="DJ102" s="157"/>
      <c r="DK102" s="157"/>
      <c r="DL102" s="157"/>
      <c r="DM102" s="157"/>
      <c r="DN102" s="157"/>
      <c r="DO102" s="157"/>
      <c r="DP102" s="157"/>
      <c r="DQ102" s="157"/>
      <c r="DR102" s="157"/>
      <c r="DS102" s="157"/>
      <c r="DT102" s="157"/>
      <c r="DU102" s="157"/>
      <c r="DV102" s="157"/>
      <c r="DW102" s="157"/>
      <c r="DX102" s="157"/>
      <c r="DY102" s="157"/>
      <c r="DZ102" s="157"/>
      <c r="EA102" s="157"/>
      <c r="EB102" s="157"/>
      <c r="EC102" s="157"/>
      <c r="ED102" s="157"/>
      <c r="EE102" s="157"/>
      <c r="EF102" s="157"/>
      <c r="EG102" s="157"/>
      <c r="EH102" s="157"/>
      <c r="EI102" s="157"/>
      <c r="EJ102" s="157"/>
      <c r="EK102" s="157"/>
      <c r="EL102" s="157"/>
      <c r="EM102" s="157"/>
      <c r="EN102" s="157"/>
      <c r="EO102" s="157"/>
      <c r="EP102" s="157"/>
      <c r="EQ102" s="157"/>
      <c r="ER102" s="157"/>
      <c r="ES102" s="157"/>
      <c r="ET102" s="157"/>
      <c r="EU102" s="157"/>
      <c r="EV102" s="157"/>
      <c r="EW102" s="157"/>
      <c r="EX102" s="157"/>
      <c r="EY102" s="157"/>
      <c r="EZ102" s="157"/>
      <c r="FA102" s="157"/>
      <c r="FB102" s="157"/>
      <c r="FC102" s="157"/>
      <c r="FD102" s="157"/>
      <c r="FE102" s="157"/>
      <c r="FF102" s="157"/>
      <c r="FG102" s="157"/>
      <c r="FH102" s="157"/>
      <c r="FI102" s="157"/>
      <c r="FJ102" s="157"/>
      <c r="FK102" s="157"/>
      <c r="FL102" s="157"/>
      <c r="FM102" s="157"/>
      <c r="FN102" s="157"/>
      <c r="FO102" s="157"/>
      <c r="FP102" s="157"/>
      <c r="FQ102" s="157"/>
      <c r="FR102" s="157"/>
      <c r="FS102" s="157"/>
      <c r="FT102" s="157"/>
      <c r="FU102" s="157"/>
      <c r="FV102" s="157"/>
      <c r="FW102" s="157"/>
      <c r="FX102" s="157"/>
      <c r="FY102" s="157"/>
      <c r="FZ102" s="157"/>
      <c r="GA102" s="157"/>
      <c r="GB102" s="157"/>
      <c r="GC102" s="157"/>
      <c r="GD102" s="157"/>
      <c r="GE102" s="157"/>
      <c r="GF102" s="157"/>
      <c r="GG102" s="157"/>
      <c r="GH102" s="157"/>
      <c r="GI102" s="157"/>
      <c r="GJ102" s="157"/>
      <c r="GK102" s="157"/>
      <c r="GL102" s="157"/>
      <c r="GM102" s="157"/>
      <c r="GN102" s="157"/>
      <c r="GO102" s="157"/>
      <c r="GP102" s="157"/>
      <c r="GQ102" s="157"/>
      <c r="GR102" s="157"/>
      <c r="GS102" s="157"/>
      <c r="GT102" s="157"/>
      <c r="GU102" s="157"/>
      <c r="GV102" s="157"/>
      <c r="GW102" s="157"/>
      <c r="GX102" s="157"/>
      <c r="GY102" s="157"/>
      <c r="GZ102" s="157"/>
      <c r="HA102" s="157"/>
      <c r="HB102" s="157"/>
      <c r="HC102" s="157"/>
      <c r="HD102" s="157"/>
      <c r="HE102" s="157"/>
      <c r="HF102" s="157"/>
      <c r="HG102" s="157"/>
      <c r="HH102" s="157"/>
      <c r="HI102" s="157"/>
      <c r="HJ102" s="157"/>
      <c r="HK102" s="157"/>
      <c r="HL102" s="157"/>
      <c r="HM102" s="157"/>
      <c r="HN102" s="157"/>
      <c r="HO102" s="157"/>
      <c r="HP102" s="157"/>
      <c r="HQ102" s="157"/>
      <c r="HR102" s="157"/>
      <c r="HS102" s="157"/>
      <c r="HT102" s="157"/>
      <c r="HU102" s="157"/>
      <c r="HV102" s="157"/>
      <c r="HW102" s="157"/>
      <c r="HX102" s="157"/>
      <c r="HY102" s="157"/>
      <c r="HZ102" s="157"/>
      <c r="IA102" s="157"/>
      <c r="IB102" s="157"/>
      <c r="IC102" s="157"/>
      <c r="ID102" s="157"/>
      <c r="IE102" s="157"/>
      <c r="IF102" s="157"/>
      <c r="IG102" s="157"/>
      <c r="IH102" s="157"/>
      <c r="II102" s="157"/>
      <c r="IJ102" s="157"/>
      <c r="IK102" s="157"/>
      <c r="IL102" s="157"/>
      <c r="IM102" s="157"/>
      <c r="IN102" s="157"/>
      <c r="IO102" s="157"/>
      <c r="IP102" s="157"/>
      <c r="IQ102" s="157"/>
      <c r="IR102" s="157"/>
      <c r="IS102" s="157"/>
      <c r="IT102" s="157"/>
      <c r="IU102" s="157"/>
      <c r="IV102" s="157"/>
      <c r="IW102" s="157"/>
      <c r="IX102" s="157"/>
      <c r="IY102" s="157"/>
      <c r="IZ102" s="157"/>
      <c r="JA102" s="157"/>
      <c r="JB102" s="157"/>
      <c r="JC102" s="157"/>
      <c r="JD102" s="157"/>
      <c r="JE102" s="157"/>
      <c r="JF102" s="157"/>
      <c r="JG102" s="157"/>
      <c r="JH102" s="157"/>
      <c r="JI102" s="157"/>
      <c r="JJ102" s="157"/>
      <c r="JK102" s="157"/>
      <c r="JL102" s="157"/>
      <c r="JM102" s="157"/>
      <c r="JN102" s="157"/>
      <c r="JO102" s="157"/>
      <c r="JP102" s="157"/>
      <c r="JQ102" s="157"/>
      <c r="JR102" s="157"/>
      <c r="JS102" s="157"/>
      <c r="JT102" s="157"/>
      <c r="JU102" s="157"/>
      <c r="JV102" s="157"/>
      <c r="JW102" s="157"/>
      <c r="JX102" s="157"/>
      <c r="JY102" s="157"/>
      <c r="JZ102" s="157"/>
      <c r="KA102" s="157"/>
      <c r="KB102" s="157"/>
      <c r="KC102" s="157"/>
      <c r="KD102" s="157"/>
      <c r="KE102" s="157"/>
      <c r="KF102" s="157"/>
      <c r="KG102" s="157"/>
      <c r="KH102" s="157"/>
      <c r="KI102" s="157"/>
      <c r="KJ102" s="157"/>
      <c r="KK102" s="157"/>
      <c r="KL102" s="157"/>
    </row>
    <row r="103" spans="40:298" x14ac:dyDescent="0.2">
      <c r="AN103" s="157"/>
      <c r="AO103" s="157"/>
      <c r="AP103" s="157"/>
      <c r="AQ103" s="157"/>
      <c r="AR103" s="157"/>
      <c r="AS103" s="157"/>
      <c r="AT103" s="157"/>
      <c r="AU103" s="157"/>
      <c r="AV103" s="157"/>
      <c r="AW103" s="157"/>
      <c r="AX103" s="157"/>
      <c r="AY103" s="157"/>
      <c r="AZ103" s="157"/>
      <c r="BA103" s="157"/>
      <c r="BB103" s="157"/>
      <c r="BC103" s="157"/>
      <c r="BD103" s="157"/>
      <c r="BE103" s="157"/>
      <c r="BF103" s="157"/>
      <c r="BG103" s="157"/>
      <c r="BH103" s="157"/>
      <c r="BI103" s="157"/>
      <c r="BJ103" s="157"/>
      <c r="BK103" s="157"/>
      <c r="BL103" s="157"/>
      <c r="BM103" s="157"/>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c r="CZ103" s="157"/>
      <c r="DA103" s="157"/>
      <c r="DB103" s="157"/>
      <c r="DC103" s="157"/>
      <c r="DD103" s="157"/>
      <c r="DE103" s="157"/>
      <c r="DF103" s="157"/>
      <c r="DG103" s="157"/>
      <c r="DH103" s="157"/>
      <c r="DI103" s="157"/>
      <c r="DJ103" s="157"/>
      <c r="DK103" s="157"/>
      <c r="DL103" s="157"/>
      <c r="DM103" s="157"/>
      <c r="DN103" s="157"/>
      <c r="DO103" s="157"/>
      <c r="DP103" s="157"/>
      <c r="DQ103" s="157"/>
      <c r="DR103" s="157"/>
      <c r="DS103" s="157"/>
      <c r="DT103" s="157"/>
      <c r="DU103" s="157"/>
      <c r="DV103" s="157"/>
      <c r="DW103" s="157"/>
      <c r="DX103" s="157"/>
      <c r="DY103" s="157"/>
      <c r="DZ103" s="157"/>
      <c r="EA103" s="157"/>
      <c r="EB103" s="157"/>
      <c r="EC103" s="157"/>
      <c r="ED103" s="157"/>
      <c r="EE103" s="157"/>
      <c r="EF103" s="157"/>
      <c r="EG103" s="157"/>
      <c r="EH103" s="157"/>
      <c r="EI103" s="157"/>
      <c r="EJ103" s="157"/>
      <c r="EK103" s="157"/>
      <c r="EL103" s="157"/>
      <c r="EM103" s="157"/>
      <c r="EN103" s="157"/>
      <c r="EO103" s="157"/>
      <c r="EP103" s="157"/>
      <c r="EQ103" s="157"/>
      <c r="ER103" s="157"/>
      <c r="ES103" s="157"/>
      <c r="ET103" s="157"/>
      <c r="EU103" s="157"/>
      <c r="EV103" s="157"/>
      <c r="EW103" s="157"/>
      <c r="EX103" s="157"/>
      <c r="EY103" s="157"/>
      <c r="EZ103" s="157"/>
      <c r="FA103" s="157"/>
      <c r="FB103" s="157"/>
      <c r="FC103" s="157"/>
      <c r="FD103" s="157"/>
      <c r="FE103" s="157"/>
      <c r="FF103" s="157"/>
      <c r="FG103" s="157"/>
      <c r="FH103" s="157"/>
      <c r="FI103" s="157"/>
      <c r="FJ103" s="157"/>
      <c r="FK103" s="157"/>
      <c r="FL103" s="157"/>
      <c r="FM103" s="157"/>
      <c r="FN103" s="157"/>
      <c r="FO103" s="157"/>
      <c r="FP103" s="157"/>
      <c r="FQ103" s="157"/>
      <c r="FR103" s="157"/>
      <c r="FS103" s="157"/>
      <c r="FT103" s="157"/>
      <c r="FU103" s="157"/>
      <c r="FV103" s="157"/>
      <c r="FW103" s="157"/>
      <c r="FX103" s="157"/>
      <c r="FY103" s="157"/>
      <c r="FZ103" s="157"/>
      <c r="GA103" s="157"/>
      <c r="GB103" s="157"/>
      <c r="GC103" s="157"/>
      <c r="GD103" s="157"/>
      <c r="GE103" s="157"/>
      <c r="GF103" s="157"/>
      <c r="GG103" s="157"/>
      <c r="GH103" s="157"/>
      <c r="GI103" s="157"/>
      <c r="GJ103" s="157"/>
      <c r="GK103" s="157"/>
      <c r="GL103" s="157"/>
      <c r="GM103" s="157"/>
      <c r="GN103" s="157"/>
      <c r="GO103" s="157"/>
      <c r="GP103" s="157"/>
      <c r="GQ103" s="157"/>
      <c r="GR103" s="157"/>
      <c r="GS103" s="157"/>
      <c r="GT103" s="157"/>
      <c r="GU103" s="157"/>
      <c r="GV103" s="157"/>
      <c r="GW103" s="157"/>
      <c r="GX103" s="157"/>
      <c r="GY103" s="157"/>
      <c r="GZ103" s="157"/>
      <c r="HA103" s="157"/>
      <c r="HB103" s="157"/>
      <c r="HC103" s="157"/>
      <c r="HD103" s="157"/>
      <c r="HE103" s="157"/>
      <c r="HF103" s="157"/>
      <c r="HG103" s="157"/>
      <c r="HH103" s="157"/>
      <c r="HI103" s="157"/>
      <c r="HJ103" s="157"/>
      <c r="HK103" s="157"/>
      <c r="HL103" s="157"/>
      <c r="HM103" s="157"/>
      <c r="HN103" s="157"/>
      <c r="HO103" s="157"/>
      <c r="HP103" s="157"/>
      <c r="HQ103" s="157"/>
      <c r="HR103" s="157"/>
      <c r="HS103" s="157"/>
      <c r="HT103" s="157"/>
      <c r="HU103" s="157"/>
      <c r="HV103" s="157"/>
      <c r="HW103" s="157"/>
      <c r="HX103" s="157"/>
      <c r="HY103" s="157"/>
      <c r="HZ103" s="157"/>
      <c r="IA103" s="157"/>
      <c r="IB103" s="157"/>
      <c r="IC103" s="157"/>
      <c r="ID103" s="157"/>
      <c r="IE103" s="157"/>
      <c r="IF103" s="157"/>
      <c r="IG103" s="157"/>
      <c r="IH103" s="157"/>
      <c r="II103" s="157"/>
      <c r="IJ103" s="157"/>
      <c r="IK103" s="157"/>
      <c r="IL103" s="157"/>
      <c r="IM103" s="157"/>
      <c r="IN103" s="157"/>
      <c r="IO103" s="157"/>
      <c r="IP103" s="157"/>
      <c r="IQ103" s="157"/>
      <c r="IR103" s="157"/>
      <c r="IS103" s="157"/>
      <c r="IT103" s="157"/>
      <c r="IU103" s="157"/>
      <c r="IV103" s="157"/>
      <c r="IW103" s="157"/>
      <c r="IX103" s="157"/>
      <c r="IY103" s="157"/>
      <c r="IZ103" s="157"/>
      <c r="JA103" s="157"/>
      <c r="JB103" s="157"/>
      <c r="JC103" s="157"/>
      <c r="JD103" s="157"/>
      <c r="JE103" s="157"/>
      <c r="JF103" s="157"/>
      <c r="JG103" s="157"/>
      <c r="JH103" s="157"/>
      <c r="JI103" s="157"/>
      <c r="JJ103" s="157"/>
      <c r="JK103" s="157"/>
      <c r="JL103" s="157"/>
      <c r="JM103" s="157"/>
      <c r="JN103" s="157"/>
      <c r="JO103" s="157"/>
      <c r="JP103" s="157"/>
      <c r="JQ103" s="157"/>
      <c r="JR103" s="157"/>
      <c r="JS103" s="157"/>
      <c r="JT103" s="157"/>
      <c r="JU103" s="157"/>
      <c r="JV103" s="157"/>
      <c r="JW103" s="157"/>
      <c r="JX103" s="157"/>
      <c r="JY103" s="157"/>
      <c r="JZ103" s="157"/>
      <c r="KA103" s="157"/>
      <c r="KB103" s="157"/>
      <c r="KC103" s="157"/>
      <c r="KD103" s="157"/>
      <c r="KE103" s="157"/>
      <c r="KF103" s="157"/>
      <c r="KG103" s="157"/>
      <c r="KH103" s="157"/>
      <c r="KI103" s="157"/>
      <c r="KJ103" s="157"/>
      <c r="KK103" s="157"/>
      <c r="KL103" s="157"/>
    </row>
    <row r="104" spans="40:298" x14ac:dyDescent="0.2">
      <c r="AN104" s="157"/>
      <c r="AO104" s="157"/>
      <c r="AP104" s="157"/>
      <c r="AQ104" s="157"/>
      <c r="AR104" s="157"/>
      <c r="AS104" s="157"/>
      <c r="AT104" s="157"/>
      <c r="AU104" s="157"/>
      <c r="AV104" s="157"/>
      <c r="AW104" s="157"/>
      <c r="AX104" s="157"/>
      <c r="AY104" s="157"/>
      <c r="AZ104" s="157"/>
      <c r="BA104" s="157"/>
      <c r="BB104" s="157"/>
      <c r="BC104" s="157"/>
      <c r="BD104" s="157"/>
      <c r="BE104" s="157"/>
      <c r="BF104" s="157"/>
      <c r="BG104" s="157"/>
      <c r="BH104" s="157"/>
      <c r="BI104" s="157"/>
      <c r="BJ104" s="157"/>
      <c r="BK104" s="157"/>
      <c r="BL104" s="157"/>
      <c r="BM104" s="157"/>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c r="CZ104" s="157"/>
      <c r="DA104" s="157"/>
      <c r="DB104" s="157"/>
      <c r="DC104" s="157"/>
      <c r="DD104" s="157"/>
      <c r="DE104" s="157"/>
      <c r="DF104" s="157"/>
      <c r="DG104" s="157"/>
      <c r="DH104" s="157"/>
      <c r="DI104" s="157"/>
      <c r="DJ104" s="157"/>
      <c r="DK104" s="157"/>
      <c r="DL104" s="157"/>
      <c r="DM104" s="157"/>
      <c r="DN104" s="157"/>
      <c r="DO104" s="157"/>
      <c r="DP104" s="157"/>
      <c r="DQ104" s="157"/>
      <c r="DR104" s="157"/>
      <c r="DS104" s="157"/>
      <c r="DT104" s="157"/>
      <c r="DU104" s="157"/>
      <c r="DV104" s="157"/>
      <c r="DW104" s="157"/>
      <c r="DX104" s="157"/>
      <c r="DY104" s="157"/>
      <c r="DZ104" s="157"/>
      <c r="EA104" s="157"/>
      <c r="EB104" s="157"/>
      <c r="EC104" s="157"/>
      <c r="ED104" s="157"/>
      <c r="EE104" s="157"/>
      <c r="EF104" s="157"/>
      <c r="EG104" s="157"/>
      <c r="EH104" s="157"/>
      <c r="EI104" s="157"/>
      <c r="EJ104" s="157"/>
      <c r="EK104" s="157"/>
      <c r="EL104" s="157"/>
      <c r="EM104" s="157"/>
      <c r="EN104" s="157"/>
      <c r="EO104" s="157"/>
      <c r="EP104" s="157"/>
      <c r="EQ104" s="157"/>
      <c r="ER104" s="157"/>
      <c r="ES104" s="157"/>
      <c r="ET104" s="157"/>
      <c r="EU104" s="157"/>
      <c r="EV104" s="157"/>
      <c r="EW104" s="157"/>
      <c r="EX104" s="157"/>
      <c r="EY104" s="157"/>
      <c r="EZ104" s="157"/>
      <c r="FA104" s="157"/>
      <c r="FB104" s="157"/>
      <c r="FC104" s="157"/>
      <c r="FD104" s="157"/>
      <c r="FE104" s="157"/>
      <c r="FF104" s="157"/>
      <c r="FG104" s="157"/>
      <c r="FH104" s="157"/>
      <c r="FI104" s="157"/>
      <c r="FJ104" s="157"/>
      <c r="FK104" s="157"/>
      <c r="FL104" s="157"/>
      <c r="FM104" s="157"/>
      <c r="FN104" s="157"/>
      <c r="FO104" s="157"/>
      <c r="FP104" s="157"/>
      <c r="FQ104" s="157"/>
      <c r="FR104" s="157"/>
      <c r="FS104" s="157"/>
      <c r="FT104" s="157"/>
      <c r="FU104" s="157"/>
      <c r="FV104" s="157"/>
      <c r="FW104" s="157"/>
      <c r="FX104" s="157"/>
      <c r="FY104" s="157"/>
      <c r="FZ104" s="157"/>
      <c r="GA104" s="157"/>
      <c r="GB104" s="157"/>
      <c r="GC104" s="157"/>
      <c r="GD104" s="157"/>
      <c r="GE104" s="157"/>
      <c r="GF104" s="157"/>
      <c r="GG104" s="157"/>
      <c r="GH104" s="157"/>
      <c r="GI104" s="157"/>
      <c r="GJ104" s="157"/>
      <c r="GK104" s="157"/>
      <c r="GL104" s="157"/>
      <c r="GM104" s="157"/>
      <c r="GN104" s="157"/>
      <c r="GO104" s="157"/>
      <c r="GP104" s="157"/>
      <c r="GQ104" s="157"/>
      <c r="GR104" s="157"/>
      <c r="GS104" s="157"/>
      <c r="GT104" s="157"/>
      <c r="GU104" s="157"/>
      <c r="GV104" s="157"/>
      <c r="GW104" s="157"/>
      <c r="GX104" s="157"/>
      <c r="GY104" s="157"/>
      <c r="GZ104" s="157"/>
      <c r="HA104" s="157"/>
      <c r="HB104" s="157"/>
      <c r="HC104" s="157"/>
      <c r="HD104" s="157"/>
      <c r="HE104" s="157"/>
      <c r="HF104" s="157"/>
      <c r="HG104" s="157"/>
      <c r="HH104" s="157"/>
      <c r="HI104" s="157"/>
      <c r="HJ104" s="157"/>
      <c r="HK104" s="157"/>
      <c r="HL104" s="157"/>
      <c r="HM104" s="157"/>
      <c r="HN104" s="157"/>
      <c r="HO104" s="157"/>
      <c r="HP104" s="157"/>
      <c r="HQ104" s="157"/>
      <c r="HR104" s="157"/>
      <c r="HS104" s="157"/>
      <c r="HT104" s="157"/>
      <c r="HU104" s="157"/>
      <c r="HV104" s="157"/>
      <c r="HW104" s="157"/>
      <c r="HX104" s="157"/>
      <c r="HY104" s="157"/>
      <c r="HZ104" s="157"/>
      <c r="IA104" s="157"/>
      <c r="IB104" s="157"/>
      <c r="IC104" s="157"/>
      <c r="ID104" s="157"/>
      <c r="IE104" s="157"/>
      <c r="IF104" s="157"/>
      <c r="IG104" s="157"/>
      <c r="IH104" s="157"/>
      <c r="II104" s="157"/>
      <c r="IJ104" s="157"/>
      <c r="IK104" s="157"/>
      <c r="IL104" s="157"/>
      <c r="IM104" s="157"/>
      <c r="IN104" s="157"/>
      <c r="IO104" s="157"/>
      <c r="IP104" s="157"/>
      <c r="IQ104" s="157"/>
      <c r="IR104" s="157"/>
      <c r="IS104" s="157"/>
      <c r="IT104" s="157"/>
      <c r="IU104" s="157"/>
      <c r="IV104" s="157"/>
      <c r="IW104" s="157"/>
      <c r="IX104" s="157"/>
      <c r="IY104" s="157"/>
      <c r="IZ104" s="157"/>
      <c r="JA104" s="157"/>
      <c r="JB104" s="157"/>
      <c r="JC104" s="157"/>
      <c r="JD104" s="157"/>
      <c r="JE104" s="157"/>
      <c r="JF104" s="157"/>
      <c r="JG104" s="157"/>
      <c r="JH104" s="157"/>
      <c r="JI104" s="157"/>
      <c r="JJ104" s="157"/>
      <c r="JK104" s="157"/>
      <c r="JL104" s="157"/>
      <c r="JM104" s="157"/>
      <c r="JN104" s="157"/>
      <c r="JO104" s="157"/>
      <c r="JP104" s="157"/>
      <c r="JQ104" s="157"/>
      <c r="JR104" s="157"/>
      <c r="JS104" s="157"/>
      <c r="JT104" s="157"/>
      <c r="JU104" s="157"/>
      <c r="JV104" s="157"/>
      <c r="JW104" s="157"/>
      <c r="JX104" s="157"/>
      <c r="JY104" s="157"/>
      <c r="JZ104" s="157"/>
      <c r="KA104" s="157"/>
      <c r="KB104" s="157"/>
      <c r="KC104" s="157"/>
      <c r="KD104" s="157"/>
      <c r="KE104" s="157"/>
      <c r="KF104" s="157"/>
      <c r="KG104" s="157"/>
      <c r="KH104" s="157"/>
      <c r="KI104" s="157"/>
      <c r="KJ104" s="157"/>
      <c r="KK104" s="157"/>
      <c r="KL104" s="157"/>
    </row>
  </sheetData>
  <mergeCells count="5">
    <mergeCell ref="B4:T4"/>
    <mergeCell ref="U4:AM4"/>
    <mergeCell ref="AO7:AQ7"/>
    <mergeCell ref="AR7:AT7"/>
    <mergeCell ref="AU7:AW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EF84-53F2-4734-A008-69FE36519D85}">
  <dimension ref="A2:KK16418"/>
  <sheetViews>
    <sheetView tabSelected="1" topLeftCell="A60" zoomScale="83" workbookViewId="0">
      <pane xSplit="1" topLeftCell="N1" activePane="topRight" state="frozen"/>
      <selection activeCell="D27" sqref="D27"/>
      <selection pane="topRight" activeCell="F23" sqref="F23:M23"/>
    </sheetView>
  </sheetViews>
  <sheetFormatPr baseColWidth="10" defaultRowHeight="15" x14ac:dyDescent="0.2"/>
  <cols>
    <col min="1" max="1" width="25.33203125" style="155" customWidth="1"/>
    <col min="2" max="2" width="32.33203125" style="155" bestFit="1" customWidth="1"/>
    <col min="3" max="3" width="25.6640625" style="155" customWidth="1"/>
    <col min="4" max="5" width="17.6640625" style="155" customWidth="1"/>
    <col min="6" max="6" width="31.1640625" style="155" bestFit="1" customWidth="1"/>
    <col min="7" max="7" width="38.5" style="155" customWidth="1"/>
    <col min="8" max="8" width="16.6640625" style="155" customWidth="1"/>
    <col min="9" max="9" width="14.5" style="155" customWidth="1"/>
    <col min="10" max="10" width="16.5" style="155" customWidth="1"/>
    <col min="11" max="11" width="15.6640625" style="155" customWidth="1"/>
    <col min="12" max="12" width="15.5" style="155" customWidth="1"/>
    <col min="13" max="13" width="16.1640625" style="155" customWidth="1"/>
    <col min="14" max="14" width="17.1640625" style="155" customWidth="1"/>
    <col min="15" max="15" width="17.33203125" style="155" customWidth="1"/>
    <col min="16" max="16" width="22.6640625" style="155" customWidth="1"/>
    <col min="17" max="17" width="22" style="155" bestFit="1" customWidth="1"/>
    <col min="18" max="18" width="12.83203125" style="155" bestFit="1" customWidth="1"/>
    <col min="19" max="21" width="13.33203125" style="155" bestFit="1" customWidth="1"/>
    <col min="22" max="22" width="19.6640625" style="155" customWidth="1"/>
    <col min="23" max="23" width="15.83203125" style="155" customWidth="1"/>
    <col min="24" max="24" width="21.83203125" style="155" customWidth="1"/>
    <col min="25" max="25" width="19.5" style="155" customWidth="1"/>
    <col min="26" max="26" width="17.1640625" style="155" customWidth="1"/>
    <col min="27" max="27" width="15.5" style="155" customWidth="1"/>
    <col min="28" max="28" width="13.6640625" style="155" customWidth="1"/>
    <col min="29" max="29" width="16" style="155" customWidth="1"/>
    <col min="30" max="30" width="12.83203125" style="155" bestFit="1" customWidth="1"/>
    <col min="31" max="31" width="15.1640625" style="155" customWidth="1"/>
    <col min="32" max="32" width="14.5" style="155" bestFit="1" customWidth="1"/>
    <col min="33" max="33" width="15.6640625" style="155" customWidth="1"/>
    <col min="34" max="34" width="23.5" style="155" customWidth="1"/>
    <col min="35" max="35" width="23.1640625" style="155" customWidth="1"/>
    <col min="36" max="36" width="15.1640625" style="155" customWidth="1"/>
    <col min="37" max="37" width="12.83203125" style="155" bestFit="1" customWidth="1"/>
    <col min="38" max="38" width="11.1640625" style="155" bestFit="1" customWidth="1"/>
    <col min="39" max="16384" width="10.83203125" style="155"/>
  </cols>
  <sheetData>
    <row r="2" spans="1:297" ht="19" x14ac:dyDescent="0.25">
      <c r="A2" s="154"/>
      <c r="B2" s="23" t="s">
        <v>90</v>
      </c>
    </row>
    <row r="3" spans="1:297" ht="16" thickBot="1" x14ac:dyDescent="0.25">
      <c r="A3" s="154"/>
      <c r="B3" s="156"/>
      <c r="C3" s="154"/>
      <c r="D3" s="154"/>
      <c r="E3" s="154"/>
      <c r="F3" s="154"/>
      <c r="N3" s="154"/>
      <c r="O3" s="154"/>
      <c r="P3" s="154"/>
    </row>
    <row r="4" spans="1:297" ht="16" thickBot="1" x14ac:dyDescent="0.25">
      <c r="B4" s="1" t="s">
        <v>417</v>
      </c>
      <c r="C4" s="429" t="s">
        <v>156</v>
      </c>
      <c r="D4" s="430"/>
      <c r="E4" s="431"/>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c r="CE4" s="157"/>
      <c r="CF4" s="157"/>
      <c r="CG4" s="157"/>
      <c r="CH4" s="157"/>
      <c r="CI4" s="157"/>
      <c r="CJ4" s="157"/>
      <c r="CK4" s="157"/>
      <c r="CL4" s="157"/>
      <c r="CM4" s="157"/>
      <c r="CN4" s="157"/>
      <c r="CO4" s="157"/>
      <c r="CP4" s="157"/>
      <c r="CQ4" s="157"/>
      <c r="CR4" s="157"/>
      <c r="CS4" s="157"/>
      <c r="CT4" s="157"/>
      <c r="CU4" s="157"/>
      <c r="CV4" s="157"/>
      <c r="CW4" s="157"/>
      <c r="CX4" s="157"/>
      <c r="CY4" s="157"/>
      <c r="CZ4" s="157"/>
      <c r="DA4" s="157"/>
      <c r="DB4" s="157"/>
      <c r="DC4" s="157"/>
      <c r="DD4" s="157"/>
      <c r="DE4" s="157"/>
      <c r="DF4" s="157"/>
      <c r="DG4" s="157"/>
      <c r="DH4" s="157"/>
      <c r="DI4" s="157"/>
      <c r="DJ4" s="157"/>
      <c r="DK4" s="157"/>
      <c r="DL4" s="157"/>
      <c r="DM4" s="157"/>
      <c r="DN4" s="157"/>
      <c r="DO4" s="157"/>
      <c r="DP4" s="157"/>
      <c r="DQ4" s="157"/>
      <c r="DR4" s="157"/>
      <c r="DS4" s="157"/>
      <c r="DT4" s="157"/>
      <c r="DU4" s="157"/>
      <c r="DV4" s="157"/>
      <c r="DW4" s="157"/>
      <c r="DX4" s="157"/>
      <c r="DY4" s="157"/>
      <c r="DZ4" s="157"/>
      <c r="EA4" s="157"/>
      <c r="EB4" s="157"/>
      <c r="EC4" s="157"/>
      <c r="ED4" s="157"/>
      <c r="EE4" s="157"/>
      <c r="EF4" s="157"/>
      <c r="EG4" s="157"/>
      <c r="EH4" s="157"/>
      <c r="EI4" s="157"/>
      <c r="EJ4" s="157"/>
      <c r="EK4" s="157"/>
      <c r="EL4" s="157"/>
      <c r="EM4" s="157"/>
      <c r="EN4" s="157"/>
      <c r="EO4" s="157"/>
      <c r="EP4" s="157"/>
      <c r="EQ4" s="157"/>
      <c r="ER4" s="157"/>
      <c r="ES4" s="157"/>
      <c r="ET4" s="157"/>
      <c r="EU4" s="157"/>
      <c r="EV4" s="157"/>
      <c r="EW4" s="157"/>
      <c r="EX4" s="157"/>
      <c r="EY4" s="157"/>
      <c r="EZ4" s="157"/>
      <c r="FA4" s="157"/>
      <c r="FB4" s="157"/>
      <c r="FC4" s="157"/>
      <c r="FD4" s="157"/>
      <c r="FE4" s="157"/>
      <c r="FF4" s="157"/>
      <c r="FG4" s="157"/>
      <c r="FH4" s="157"/>
      <c r="FI4" s="157"/>
      <c r="FJ4" s="157"/>
      <c r="FK4" s="157"/>
      <c r="FL4" s="157"/>
      <c r="FM4" s="157"/>
      <c r="FN4" s="157"/>
      <c r="FO4" s="157"/>
      <c r="FP4" s="157"/>
      <c r="FQ4" s="157"/>
      <c r="FR4" s="157"/>
      <c r="FS4" s="157"/>
      <c r="FT4" s="157"/>
      <c r="FU4" s="157"/>
      <c r="FV4" s="157"/>
      <c r="FW4" s="157"/>
      <c r="FX4" s="157"/>
      <c r="FY4" s="157"/>
      <c r="FZ4" s="157"/>
      <c r="GA4" s="157"/>
      <c r="GB4" s="157"/>
      <c r="GC4" s="157"/>
      <c r="GD4" s="157"/>
      <c r="GE4" s="157"/>
      <c r="GF4" s="157"/>
      <c r="GG4" s="157"/>
      <c r="GH4" s="157"/>
      <c r="GI4" s="157"/>
      <c r="GJ4" s="157"/>
      <c r="GK4" s="157"/>
      <c r="GL4" s="157"/>
      <c r="GM4" s="157"/>
      <c r="GN4" s="157"/>
      <c r="GO4" s="157"/>
      <c r="GP4" s="157"/>
      <c r="GQ4" s="157"/>
      <c r="GR4" s="157"/>
      <c r="GS4" s="157"/>
      <c r="GT4" s="157"/>
      <c r="GU4" s="157"/>
      <c r="GV4" s="157"/>
      <c r="GW4" s="157"/>
      <c r="GX4" s="157"/>
      <c r="GY4" s="157"/>
      <c r="GZ4" s="157"/>
      <c r="HA4" s="157"/>
      <c r="HB4" s="157"/>
      <c r="HC4" s="157"/>
      <c r="HD4" s="157"/>
      <c r="HE4" s="157"/>
      <c r="HF4" s="157"/>
      <c r="HG4" s="157"/>
      <c r="HH4" s="157"/>
      <c r="HI4" s="157"/>
      <c r="HJ4" s="157"/>
      <c r="HK4" s="157"/>
      <c r="HL4" s="157"/>
      <c r="HM4" s="157"/>
      <c r="HN4" s="157"/>
      <c r="HO4" s="157"/>
      <c r="HP4" s="157"/>
      <c r="HQ4" s="157"/>
      <c r="HR4" s="157"/>
      <c r="HS4" s="157"/>
      <c r="HT4" s="157"/>
      <c r="HU4" s="157"/>
      <c r="HV4" s="157"/>
      <c r="HW4" s="157"/>
      <c r="HX4" s="157"/>
      <c r="HY4" s="157"/>
      <c r="HZ4" s="157"/>
      <c r="IA4" s="157"/>
      <c r="IB4" s="157"/>
      <c r="IC4" s="157"/>
      <c r="ID4" s="157"/>
      <c r="IE4" s="157"/>
      <c r="IF4" s="157"/>
      <c r="IG4" s="157"/>
      <c r="IH4" s="157"/>
      <c r="II4" s="157"/>
      <c r="IJ4" s="157"/>
      <c r="IK4" s="157"/>
      <c r="IL4" s="157"/>
      <c r="IM4" s="157"/>
      <c r="IN4" s="157"/>
      <c r="IO4" s="157"/>
      <c r="IP4" s="157"/>
      <c r="IQ4" s="157"/>
      <c r="IR4" s="157"/>
      <c r="IS4" s="157"/>
      <c r="IT4" s="157"/>
      <c r="IU4" s="157"/>
      <c r="IV4" s="157"/>
      <c r="IW4" s="157"/>
      <c r="IX4" s="157"/>
      <c r="IY4" s="157"/>
      <c r="IZ4" s="157"/>
      <c r="JA4" s="157"/>
      <c r="JB4" s="157"/>
      <c r="JC4" s="157"/>
      <c r="JD4" s="157"/>
      <c r="JE4" s="157"/>
      <c r="JF4" s="157"/>
      <c r="JG4" s="157"/>
      <c r="JH4" s="157"/>
      <c r="JI4" s="157"/>
      <c r="JJ4" s="157"/>
      <c r="JK4" s="157"/>
      <c r="JL4" s="157"/>
      <c r="JM4" s="157"/>
      <c r="JN4" s="157"/>
      <c r="JO4" s="157"/>
      <c r="JP4" s="157"/>
      <c r="JQ4" s="157"/>
      <c r="JR4" s="157"/>
      <c r="JS4" s="157"/>
      <c r="JT4" s="157"/>
      <c r="JU4" s="157"/>
      <c r="JV4" s="157"/>
      <c r="JW4" s="157"/>
      <c r="JX4" s="157"/>
      <c r="JY4" s="157"/>
      <c r="JZ4" s="157"/>
      <c r="KA4" s="157"/>
      <c r="KB4" s="157"/>
      <c r="KC4" s="157"/>
      <c r="KD4" s="157"/>
      <c r="KE4" s="157"/>
      <c r="KF4" s="157"/>
      <c r="KG4" s="157"/>
      <c r="KH4" s="157"/>
      <c r="KI4" s="157"/>
      <c r="KJ4" s="157"/>
      <c r="KK4" s="157"/>
    </row>
    <row r="5" spans="1:297" ht="17" thickBot="1" x14ac:dyDescent="0.25">
      <c r="A5" s="158" t="s">
        <v>59</v>
      </c>
      <c r="B5" s="308" t="s">
        <v>126</v>
      </c>
      <c r="C5" s="308" t="s">
        <v>140</v>
      </c>
      <c r="D5" s="308" t="s">
        <v>141</v>
      </c>
      <c r="E5" s="308" t="s">
        <v>142</v>
      </c>
      <c r="F5" s="309" t="s">
        <v>124</v>
      </c>
      <c r="G5" s="310" t="s">
        <v>47</v>
      </c>
      <c r="H5" s="309" t="s">
        <v>30</v>
      </c>
      <c r="I5" s="310" t="s">
        <v>125</v>
      </c>
      <c r="J5" s="309" t="s">
        <v>49</v>
      </c>
      <c r="K5" s="310" t="s">
        <v>50</v>
      </c>
      <c r="L5" s="309" t="s">
        <v>51</v>
      </c>
      <c r="M5" s="310" t="s">
        <v>31</v>
      </c>
      <c r="N5" s="311" t="s">
        <v>94</v>
      </c>
      <c r="O5" s="312" t="s">
        <v>92</v>
      </c>
      <c r="P5" s="310" t="s">
        <v>91</v>
      </c>
      <c r="Q5" s="155" t="s">
        <v>161</v>
      </c>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57"/>
      <c r="BO5" s="157"/>
      <c r="BP5" s="157"/>
      <c r="BQ5" s="157"/>
      <c r="BR5" s="157"/>
      <c r="BS5" s="157"/>
      <c r="BT5" s="157"/>
      <c r="BU5" s="157"/>
      <c r="BV5" s="157"/>
      <c r="BW5" s="157"/>
      <c r="BX5" s="157"/>
      <c r="BY5" s="157"/>
      <c r="BZ5" s="157"/>
      <c r="CA5" s="157"/>
      <c r="CB5" s="157"/>
      <c r="CC5" s="157"/>
      <c r="CD5" s="157"/>
      <c r="CE5" s="157"/>
      <c r="CF5" s="157"/>
      <c r="CG5" s="157"/>
      <c r="CH5" s="157"/>
      <c r="CI5" s="157"/>
      <c r="CJ5" s="157"/>
      <c r="CK5" s="157"/>
      <c r="CL5" s="157"/>
      <c r="CM5" s="157"/>
      <c r="CN5" s="157"/>
      <c r="CO5" s="157"/>
      <c r="CP5" s="157"/>
      <c r="CQ5" s="157"/>
      <c r="CR5" s="157"/>
      <c r="CS5" s="157"/>
      <c r="CT5" s="157"/>
      <c r="CU5" s="157"/>
      <c r="CV5" s="157"/>
      <c r="CW5" s="157"/>
      <c r="CX5" s="157"/>
      <c r="CY5" s="157"/>
      <c r="CZ5" s="157"/>
      <c r="DA5" s="157"/>
      <c r="DB5" s="157"/>
      <c r="DC5" s="157"/>
      <c r="DD5" s="157"/>
      <c r="DE5" s="157"/>
      <c r="DF5" s="157"/>
      <c r="DG5" s="157"/>
      <c r="DH5" s="157"/>
      <c r="DI5" s="157"/>
      <c r="DJ5" s="157"/>
      <c r="DK5" s="157"/>
      <c r="DL5" s="157"/>
      <c r="DM5" s="157"/>
      <c r="DN5" s="157"/>
      <c r="DO5" s="157"/>
      <c r="DP5" s="157"/>
      <c r="DQ5" s="157"/>
      <c r="DR5" s="157"/>
      <c r="DS5" s="157"/>
      <c r="DT5" s="157"/>
      <c r="DU5" s="157"/>
      <c r="DV5" s="157"/>
      <c r="DW5" s="157"/>
      <c r="DX5" s="157"/>
      <c r="DY5" s="157"/>
      <c r="DZ5" s="157"/>
      <c r="EA5" s="157"/>
      <c r="EB5" s="157"/>
      <c r="EC5" s="157"/>
      <c r="ED5" s="157"/>
      <c r="EE5" s="157"/>
      <c r="EF5" s="157"/>
      <c r="EG5" s="157"/>
      <c r="EH5" s="157"/>
      <c r="EI5" s="157"/>
      <c r="EJ5" s="157"/>
      <c r="EK5" s="157"/>
      <c r="EL5" s="157"/>
      <c r="EM5" s="157"/>
      <c r="EN5" s="157"/>
      <c r="EO5" s="157"/>
      <c r="EP5" s="157"/>
      <c r="EQ5" s="157"/>
      <c r="ER5" s="157"/>
      <c r="ES5" s="157"/>
      <c r="ET5" s="157"/>
      <c r="EU5" s="157"/>
      <c r="EV5" s="157"/>
      <c r="EW5" s="157"/>
      <c r="EX5" s="157"/>
      <c r="EY5" s="157"/>
      <c r="EZ5" s="157"/>
      <c r="FA5" s="157"/>
      <c r="FB5" s="157"/>
      <c r="FC5" s="157"/>
      <c r="FD5" s="157"/>
      <c r="FE5" s="157"/>
      <c r="FF5" s="157"/>
      <c r="FG5" s="157"/>
      <c r="FH5" s="157"/>
      <c r="FI5" s="157"/>
      <c r="FJ5" s="157"/>
      <c r="FK5" s="157"/>
      <c r="FL5" s="157"/>
      <c r="FM5" s="157"/>
      <c r="FN5" s="157"/>
      <c r="FO5" s="157"/>
      <c r="FP5" s="157"/>
      <c r="FQ5" s="157"/>
      <c r="FR5" s="157"/>
      <c r="FS5" s="157"/>
      <c r="FT5" s="157"/>
      <c r="FU5" s="157"/>
      <c r="FV5" s="157"/>
      <c r="FW5" s="157"/>
      <c r="FX5" s="157"/>
      <c r="FY5" s="157"/>
      <c r="FZ5" s="157"/>
      <c r="GA5" s="157"/>
      <c r="GB5" s="157"/>
      <c r="GC5" s="157"/>
      <c r="GD5" s="157"/>
      <c r="GE5" s="157"/>
      <c r="GF5" s="157"/>
      <c r="GG5" s="157"/>
      <c r="GH5" s="157"/>
      <c r="GI5" s="157"/>
      <c r="GJ5" s="157"/>
      <c r="GK5" s="157"/>
      <c r="GL5" s="157"/>
      <c r="GM5" s="157"/>
      <c r="GN5" s="157"/>
      <c r="GO5" s="157"/>
      <c r="GP5" s="157"/>
      <c r="GQ5" s="157"/>
      <c r="GR5" s="157"/>
      <c r="GS5" s="157"/>
      <c r="GT5" s="157"/>
      <c r="GU5" s="157"/>
      <c r="GV5" s="157"/>
      <c r="GW5" s="157"/>
      <c r="GX5" s="157"/>
      <c r="GY5" s="157"/>
      <c r="GZ5" s="157"/>
      <c r="HA5" s="157"/>
      <c r="HB5" s="157"/>
      <c r="HC5" s="157"/>
      <c r="HD5" s="157"/>
      <c r="HE5" s="157"/>
      <c r="HF5" s="157"/>
      <c r="HG5" s="157"/>
      <c r="HH5" s="157"/>
      <c r="HI5" s="157"/>
      <c r="HJ5" s="157"/>
      <c r="HK5" s="157"/>
      <c r="HL5" s="157"/>
      <c r="HM5" s="157"/>
      <c r="HN5" s="157"/>
      <c r="HO5" s="157"/>
      <c r="HP5" s="157"/>
      <c r="HQ5" s="157"/>
      <c r="HR5" s="157"/>
      <c r="HS5" s="157"/>
      <c r="HT5" s="157"/>
      <c r="HU5" s="157"/>
      <c r="HV5" s="157"/>
      <c r="HW5" s="157"/>
      <c r="HX5" s="157"/>
      <c r="HY5" s="157"/>
      <c r="HZ5" s="157"/>
      <c r="IA5" s="157"/>
      <c r="IB5" s="157"/>
      <c r="IC5" s="157"/>
      <c r="ID5" s="157"/>
      <c r="IE5" s="157"/>
      <c r="IF5" s="157"/>
      <c r="IG5" s="157"/>
      <c r="IH5" s="157"/>
      <c r="II5" s="157"/>
      <c r="IJ5" s="157"/>
      <c r="IK5" s="157"/>
      <c r="IL5" s="157"/>
      <c r="IM5" s="157"/>
      <c r="IN5" s="157"/>
      <c r="IO5" s="157"/>
      <c r="IP5" s="157"/>
      <c r="IQ5" s="157"/>
      <c r="IR5" s="157"/>
      <c r="IS5" s="157"/>
      <c r="IT5" s="157"/>
      <c r="IU5" s="157"/>
      <c r="IV5" s="157"/>
      <c r="IW5" s="157"/>
      <c r="IX5" s="157"/>
      <c r="IY5" s="157"/>
      <c r="IZ5" s="157"/>
      <c r="JA5" s="157"/>
      <c r="JB5" s="157"/>
      <c r="JC5" s="157"/>
      <c r="JD5" s="157"/>
      <c r="JE5" s="157"/>
      <c r="JF5" s="157"/>
      <c r="JG5" s="157"/>
      <c r="JH5" s="157"/>
      <c r="JI5" s="157"/>
      <c r="JJ5" s="157"/>
      <c r="JK5" s="157"/>
      <c r="JL5" s="157"/>
      <c r="JM5" s="157"/>
      <c r="JN5" s="157"/>
      <c r="JO5" s="157"/>
      <c r="JP5" s="157"/>
      <c r="JQ5" s="157"/>
      <c r="JR5" s="157"/>
      <c r="JS5" s="157"/>
      <c r="JT5" s="157"/>
      <c r="JU5" s="157"/>
      <c r="JV5" s="157"/>
      <c r="JW5" s="157"/>
      <c r="JX5" s="157"/>
      <c r="JY5" s="157"/>
      <c r="JZ5" s="157"/>
      <c r="KA5" s="157"/>
      <c r="KB5" s="157"/>
      <c r="KC5" s="157"/>
      <c r="KD5" s="157"/>
      <c r="KE5" s="157"/>
      <c r="KF5" s="157"/>
      <c r="KG5" s="157"/>
      <c r="KH5" s="157"/>
      <c r="KI5" s="157"/>
      <c r="KJ5" s="157"/>
      <c r="KK5" s="157"/>
    </row>
    <row r="6" spans="1:297" ht="17" thickBot="1" x14ac:dyDescent="0.25">
      <c r="A6" s="432" t="s">
        <v>119</v>
      </c>
      <c r="B6" s="313" t="s">
        <v>60</v>
      </c>
      <c r="C6" s="314"/>
      <c r="D6" s="314" t="s">
        <v>143</v>
      </c>
      <c r="E6" s="314"/>
      <c r="F6" s="355">
        <v>14489979580766.801</v>
      </c>
      <c r="G6" s="356">
        <v>20877899900370.199</v>
      </c>
      <c r="H6" s="355">
        <v>8566213575935.6807</v>
      </c>
      <c r="I6" s="356">
        <v>34298330152064.801</v>
      </c>
      <c r="J6" s="355">
        <v>16876935824361.801</v>
      </c>
      <c r="K6" s="356">
        <v>16866063542825.699</v>
      </c>
      <c r="L6" s="355">
        <v>18299925118543.301</v>
      </c>
      <c r="M6" s="357">
        <v>8124748106563.8301</v>
      </c>
      <c r="N6" s="315" t="s">
        <v>95</v>
      </c>
      <c r="O6" s="316" t="s">
        <v>93</v>
      </c>
      <c r="P6" s="317" t="s">
        <v>101</v>
      </c>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c r="KJ6" s="157"/>
      <c r="KK6" s="157"/>
    </row>
    <row r="7" spans="1:297" ht="17" thickBot="1" x14ac:dyDescent="0.25">
      <c r="A7" s="433"/>
      <c r="B7" s="159" t="s">
        <v>61</v>
      </c>
      <c r="C7" s="160"/>
      <c r="D7" s="160" t="s">
        <v>143</v>
      </c>
      <c r="E7" s="160"/>
      <c r="F7" s="358">
        <v>1837407377949.6099</v>
      </c>
      <c r="G7" s="359">
        <v>2972896722143.1802</v>
      </c>
      <c r="H7" s="358">
        <v>1700186862387.1301</v>
      </c>
      <c r="I7" s="359">
        <v>1590401121051.1799</v>
      </c>
      <c r="J7" s="358">
        <v>736295687453.38806</v>
      </c>
      <c r="K7" s="359">
        <v>5337404627321.1104</v>
      </c>
      <c r="L7" s="358">
        <v>5624861905886.04</v>
      </c>
      <c r="M7" s="360">
        <v>2240568531289.3301</v>
      </c>
      <c r="N7" s="164" t="s">
        <v>96</v>
      </c>
      <c r="O7" s="154" t="s">
        <v>93</v>
      </c>
      <c r="P7" s="318" t="s">
        <v>101</v>
      </c>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7"/>
      <c r="EC7" s="157"/>
      <c r="ED7" s="157"/>
      <c r="EE7" s="157"/>
      <c r="EF7" s="157"/>
      <c r="EG7" s="157"/>
      <c r="EH7" s="157"/>
      <c r="EI7" s="157"/>
      <c r="EJ7" s="157"/>
      <c r="EK7" s="157"/>
      <c r="EL7" s="157"/>
      <c r="EM7" s="157"/>
      <c r="EN7" s="157"/>
      <c r="EO7" s="157"/>
      <c r="EP7" s="157"/>
      <c r="EQ7" s="157"/>
      <c r="ER7" s="157"/>
      <c r="ES7" s="157"/>
      <c r="ET7" s="157"/>
      <c r="EU7" s="157"/>
      <c r="EV7" s="157"/>
      <c r="EW7" s="157"/>
      <c r="EX7" s="157"/>
      <c r="EY7" s="157"/>
      <c r="EZ7" s="157"/>
      <c r="FA7" s="157"/>
      <c r="FB7" s="157"/>
      <c r="FC7" s="157"/>
      <c r="FD7" s="157"/>
      <c r="FE7" s="157"/>
      <c r="FF7" s="157"/>
      <c r="FG7" s="157"/>
      <c r="FH7" s="157"/>
      <c r="FI7" s="157"/>
      <c r="FJ7" s="157"/>
      <c r="FK7" s="157"/>
      <c r="FL7" s="157"/>
      <c r="FM7" s="157"/>
      <c r="FN7" s="157"/>
      <c r="FO7" s="157"/>
      <c r="FP7" s="157"/>
      <c r="FQ7" s="157"/>
      <c r="FR7" s="157"/>
      <c r="FS7" s="157"/>
      <c r="FT7" s="157"/>
      <c r="FU7" s="157"/>
      <c r="FV7" s="157"/>
      <c r="FW7" s="157"/>
      <c r="FX7" s="157"/>
      <c r="FY7" s="157"/>
      <c r="FZ7" s="157"/>
      <c r="GA7" s="157"/>
      <c r="GB7" s="157"/>
      <c r="GC7" s="157"/>
      <c r="GD7" s="157"/>
      <c r="GE7" s="157"/>
      <c r="GF7" s="157"/>
      <c r="GG7" s="157"/>
      <c r="GH7" s="157"/>
      <c r="GI7" s="157"/>
      <c r="GJ7" s="157"/>
      <c r="GK7" s="157"/>
      <c r="GL7" s="157"/>
      <c r="GM7" s="157"/>
      <c r="GN7" s="157"/>
      <c r="GO7" s="157"/>
      <c r="GP7" s="157"/>
      <c r="GQ7" s="157"/>
      <c r="GR7" s="157"/>
      <c r="GS7" s="157"/>
      <c r="GT7" s="157"/>
      <c r="GU7" s="157"/>
      <c r="GV7" s="157"/>
      <c r="GW7" s="157"/>
      <c r="GX7" s="157"/>
      <c r="GY7" s="157"/>
      <c r="GZ7" s="157"/>
      <c r="HA7" s="157"/>
      <c r="HB7" s="157"/>
      <c r="HC7" s="157"/>
      <c r="HD7" s="157"/>
      <c r="HE7" s="157"/>
      <c r="HF7" s="157"/>
      <c r="HG7" s="157"/>
      <c r="HH7" s="157"/>
      <c r="HI7" s="157"/>
      <c r="HJ7" s="157"/>
      <c r="HK7" s="157"/>
      <c r="HL7" s="157"/>
      <c r="HM7" s="157"/>
      <c r="HN7" s="157"/>
      <c r="HO7" s="157"/>
      <c r="HP7" s="157"/>
      <c r="HQ7" s="157"/>
      <c r="HR7" s="157"/>
      <c r="HS7" s="157"/>
      <c r="HT7" s="157"/>
      <c r="HU7" s="157"/>
      <c r="HV7" s="157"/>
      <c r="HW7" s="157"/>
      <c r="HX7" s="157"/>
      <c r="HY7" s="157"/>
      <c r="HZ7" s="157"/>
      <c r="IA7" s="157"/>
      <c r="IB7" s="157"/>
      <c r="IC7" s="157"/>
      <c r="ID7" s="157"/>
      <c r="IE7" s="157"/>
      <c r="IF7" s="157"/>
      <c r="IG7" s="157"/>
      <c r="IH7" s="157"/>
      <c r="II7" s="157"/>
      <c r="IJ7" s="157"/>
      <c r="IK7" s="157"/>
      <c r="IL7" s="157"/>
      <c r="IM7" s="157"/>
      <c r="IN7" s="157"/>
      <c r="IO7" s="157"/>
      <c r="IP7" s="157"/>
      <c r="IQ7" s="157"/>
      <c r="IR7" s="157"/>
      <c r="IS7" s="157"/>
      <c r="IT7" s="157"/>
      <c r="IU7" s="157"/>
      <c r="IV7" s="157"/>
      <c r="IW7" s="157"/>
      <c r="IX7" s="157"/>
      <c r="IY7" s="157"/>
      <c r="IZ7" s="157"/>
      <c r="JA7" s="157"/>
      <c r="JB7" s="157"/>
      <c r="JC7" s="157"/>
      <c r="JD7" s="157"/>
      <c r="JE7" s="157"/>
      <c r="JF7" s="157"/>
      <c r="JG7" s="157"/>
      <c r="JH7" s="157"/>
      <c r="JI7" s="157"/>
      <c r="JJ7" s="157"/>
      <c r="JK7" s="157"/>
      <c r="JL7" s="157"/>
      <c r="JM7" s="157"/>
      <c r="JN7" s="157"/>
      <c r="JO7" s="157"/>
      <c r="JP7" s="157"/>
      <c r="JQ7" s="157"/>
      <c r="JR7" s="157"/>
      <c r="JS7" s="157"/>
      <c r="JT7" s="157"/>
      <c r="JU7" s="157"/>
      <c r="JV7" s="157"/>
      <c r="JW7" s="157"/>
      <c r="JX7" s="157"/>
      <c r="JY7" s="157"/>
      <c r="JZ7" s="157"/>
      <c r="KA7" s="157"/>
      <c r="KB7" s="157"/>
      <c r="KC7" s="157"/>
      <c r="KD7" s="157"/>
      <c r="KE7" s="157"/>
      <c r="KF7" s="157"/>
      <c r="KG7" s="157"/>
      <c r="KH7" s="157"/>
      <c r="KI7" s="157"/>
      <c r="KJ7" s="157"/>
      <c r="KK7" s="157"/>
    </row>
    <row r="8" spans="1:297" ht="16" thickBot="1" x14ac:dyDescent="0.25">
      <c r="A8" s="433"/>
      <c r="B8" s="159"/>
      <c r="C8" s="159" t="s">
        <v>145</v>
      </c>
      <c r="D8" s="159" t="s">
        <v>143</v>
      </c>
      <c r="E8" s="159"/>
      <c r="F8" s="358">
        <f>F6+F7</f>
        <v>16327386958716.41</v>
      </c>
      <c r="G8" s="358">
        <f t="shared" ref="G8:M8" si="0">G6+G7</f>
        <v>23850796622513.379</v>
      </c>
      <c r="H8" s="358">
        <f t="shared" si="0"/>
        <v>10266400438322.811</v>
      </c>
      <c r="I8" s="358">
        <f t="shared" si="0"/>
        <v>35888731273115.984</v>
      </c>
      <c r="J8" s="358">
        <f t="shared" si="0"/>
        <v>17613231511815.188</v>
      </c>
      <c r="K8" s="358">
        <f t="shared" si="0"/>
        <v>22203468170146.809</v>
      </c>
      <c r="L8" s="358">
        <f t="shared" si="0"/>
        <v>23924787024429.34</v>
      </c>
      <c r="M8" s="358">
        <f t="shared" si="0"/>
        <v>10365316637853.16</v>
      </c>
      <c r="N8" s="164"/>
      <c r="O8" s="154"/>
      <c r="P8" s="318"/>
      <c r="AM8" s="157"/>
      <c r="AN8" s="157"/>
      <c r="AO8" s="157"/>
      <c r="AP8" s="157"/>
      <c r="AQ8" s="157"/>
      <c r="AR8" s="157"/>
      <c r="AS8" s="157"/>
      <c r="AT8" s="157"/>
      <c r="AU8" s="157"/>
      <c r="AV8" s="157"/>
      <c r="AW8" s="157"/>
      <c r="AX8" s="157"/>
      <c r="AY8" s="157"/>
      <c r="AZ8" s="157"/>
      <c r="BA8" s="157"/>
      <c r="BB8" s="157"/>
      <c r="BC8" s="157"/>
      <c r="BD8" s="157"/>
      <c r="BE8" s="157"/>
      <c r="BF8" s="157"/>
      <c r="BG8" s="157"/>
      <c r="BH8" s="157"/>
      <c r="BI8" s="157"/>
      <c r="BJ8" s="157"/>
      <c r="BK8" s="157"/>
      <c r="BL8" s="157"/>
      <c r="BM8" s="157"/>
      <c r="BN8" s="157"/>
      <c r="BO8" s="157"/>
      <c r="BP8" s="157"/>
      <c r="BQ8" s="157"/>
      <c r="BR8" s="157"/>
      <c r="BS8" s="157"/>
      <c r="BT8" s="157"/>
      <c r="BU8" s="157"/>
      <c r="BV8" s="157"/>
      <c r="BW8" s="157"/>
      <c r="BX8" s="157"/>
      <c r="BY8" s="157"/>
      <c r="BZ8" s="157"/>
      <c r="CA8" s="157"/>
      <c r="CB8" s="157"/>
      <c r="CC8" s="157"/>
      <c r="CD8" s="157"/>
      <c r="CE8" s="157"/>
      <c r="CF8" s="157"/>
      <c r="CG8" s="157"/>
      <c r="CH8" s="157"/>
      <c r="CI8" s="157"/>
      <c r="CJ8" s="157"/>
      <c r="CK8" s="157"/>
      <c r="CL8" s="157"/>
      <c r="CM8" s="157"/>
      <c r="CN8" s="157"/>
      <c r="CO8" s="157"/>
      <c r="CP8" s="157"/>
      <c r="CQ8" s="157"/>
      <c r="CR8" s="157"/>
      <c r="CS8" s="157"/>
      <c r="CT8" s="157"/>
      <c r="CU8" s="157"/>
      <c r="CV8" s="157"/>
      <c r="CW8" s="157"/>
      <c r="CX8" s="157"/>
      <c r="CY8" s="157"/>
      <c r="CZ8" s="157"/>
      <c r="DA8" s="157"/>
      <c r="DB8" s="157"/>
      <c r="DC8" s="157"/>
      <c r="DD8" s="157"/>
      <c r="DE8" s="157"/>
      <c r="DF8" s="157"/>
      <c r="DG8" s="157"/>
      <c r="DH8" s="157"/>
      <c r="DI8" s="157"/>
      <c r="DJ8" s="157"/>
      <c r="DK8" s="157"/>
      <c r="DL8" s="157"/>
      <c r="DM8" s="157"/>
      <c r="DN8" s="157"/>
      <c r="DO8" s="157"/>
      <c r="DP8" s="157"/>
      <c r="DQ8" s="157"/>
      <c r="DR8" s="157"/>
      <c r="DS8" s="157"/>
      <c r="DT8" s="157"/>
      <c r="DU8" s="157"/>
      <c r="DV8" s="157"/>
      <c r="DW8" s="157"/>
      <c r="DX8" s="157"/>
      <c r="DY8" s="157"/>
      <c r="DZ8" s="157"/>
      <c r="EA8" s="157"/>
      <c r="EB8" s="157"/>
      <c r="EC8" s="157"/>
      <c r="ED8" s="157"/>
      <c r="EE8" s="157"/>
      <c r="EF8" s="157"/>
      <c r="EG8" s="157"/>
      <c r="EH8" s="157"/>
      <c r="EI8" s="157"/>
      <c r="EJ8" s="157"/>
      <c r="EK8" s="157"/>
      <c r="EL8" s="157"/>
      <c r="EM8" s="157"/>
      <c r="EN8" s="157"/>
      <c r="EO8" s="157"/>
      <c r="EP8" s="157"/>
      <c r="EQ8" s="157"/>
      <c r="ER8" s="157"/>
      <c r="ES8" s="157"/>
      <c r="ET8" s="157"/>
      <c r="EU8" s="157"/>
      <c r="EV8" s="157"/>
      <c r="EW8" s="157"/>
      <c r="EX8" s="157"/>
      <c r="EY8" s="157"/>
      <c r="EZ8" s="157"/>
      <c r="FA8" s="157"/>
      <c r="FB8" s="157"/>
      <c r="FC8" s="157"/>
      <c r="FD8" s="157"/>
      <c r="FE8" s="157"/>
      <c r="FF8" s="157"/>
      <c r="FG8" s="157"/>
      <c r="FH8" s="157"/>
      <c r="FI8" s="157"/>
      <c r="FJ8" s="157"/>
      <c r="FK8" s="157"/>
      <c r="FL8" s="157"/>
      <c r="FM8" s="157"/>
      <c r="FN8" s="157"/>
      <c r="FO8" s="157"/>
      <c r="FP8" s="157"/>
      <c r="FQ8" s="157"/>
      <c r="FR8" s="157"/>
      <c r="FS8" s="157"/>
      <c r="FT8" s="157"/>
      <c r="FU8" s="157"/>
      <c r="FV8" s="157"/>
      <c r="FW8" s="157"/>
      <c r="FX8" s="157"/>
      <c r="FY8" s="157"/>
      <c r="FZ8" s="157"/>
      <c r="GA8" s="157"/>
      <c r="GB8" s="157"/>
      <c r="GC8" s="157"/>
      <c r="GD8" s="157"/>
      <c r="GE8" s="157"/>
      <c r="GF8" s="157"/>
      <c r="GG8" s="157"/>
      <c r="GH8" s="157"/>
      <c r="GI8" s="157"/>
      <c r="GJ8" s="157"/>
      <c r="GK8" s="157"/>
      <c r="GL8" s="157"/>
      <c r="GM8" s="157"/>
      <c r="GN8" s="157"/>
      <c r="GO8" s="157"/>
      <c r="GP8" s="157"/>
      <c r="GQ8" s="157"/>
      <c r="GR8" s="157"/>
      <c r="GS8" s="157"/>
      <c r="GT8" s="157"/>
      <c r="GU8" s="157"/>
      <c r="GV8" s="157"/>
      <c r="GW8" s="157"/>
      <c r="GX8" s="157"/>
      <c r="GY8" s="157"/>
      <c r="GZ8" s="157"/>
      <c r="HA8" s="157"/>
      <c r="HB8" s="157"/>
      <c r="HC8" s="157"/>
      <c r="HD8" s="157"/>
      <c r="HE8" s="157"/>
      <c r="HF8" s="157"/>
      <c r="HG8" s="157"/>
      <c r="HH8" s="157"/>
      <c r="HI8" s="157"/>
      <c r="HJ8" s="157"/>
      <c r="HK8" s="157"/>
      <c r="HL8" s="157"/>
      <c r="HM8" s="157"/>
      <c r="HN8" s="157"/>
      <c r="HO8" s="157"/>
      <c r="HP8" s="157"/>
      <c r="HQ8" s="157"/>
      <c r="HR8" s="157"/>
      <c r="HS8" s="157"/>
      <c r="HT8" s="157"/>
      <c r="HU8" s="157"/>
      <c r="HV8" s="157"/>
      <c r="HW8" s="157"/>
      <c r="HX8" s="157"/>
      <c r="HY8" s="157"/>
      <c r="HZ8" s="157"/>
      <c r="IA8" s="157"/>
      <c r="IB8" s="157"/>
      <c r="IC8" s="157"/>
      <c r="ID8" s="157"/>
      <c r="IE8" s="157"/>
      <c r="IF8" s="157"/>
      <c r="IG8" s="157"/>
      <c r="IH8" s="157"/>
      <c r="II8" s="157"/>
      <c r="IJ8" s="157"/>
      <c r="IK8" s="157"/>
      <c r="IL8" s="157"/>
      <c r="IM8" s="157"/>
      <c r="IN8" s="157"/>
      <c r="IO8" s="157"/>
      <c r="IP8" s="157"/>
      <c r="IQ8" s="157"/>
      <c r="IR8" s="157"/>
      <c r="IS8" s="157"/>
      <c r="IT8" s="157"/>
      <c r="IU8" s="157"/>
      <c r="IV8" s="157"/>
      <c r="IW8" s="157"/>
      <c r="IX8" s="157"/>
      <c r="IY8" s="157"/>
      <c r="IZ8" s="157"/>
      <c r="JA8" s="157"/>
      <c r="JB8" s="157"/>
      <c r="JC8" s="157"/>
      <c r="JD8" s="157"/>
      <c r="JE8" s="157"/>
      <c r="JF8" s="157"/>
      <c r="JG8" s="157"/>
      <c r="JH8" s="157"/>
      <c r="JI8" s="157"/>
      <c r="JJ8" s="157"/>
      <c r="JK8" s="157"/>
      <c r="JL8" s="157"/>
      <c r="JM8" s="157"/>
      <c r="JN8" s="157"/>
      <c r="JO8" s="157"/>
      <c r="JP8" s="157"/>
      <c r="JQ8" s="157"/>
      <c r="JR8" s="157"/>
      <c r="JS8" s="157"/>
      <c r="JT8" s="157"/>
      <c r="JU8" s="157"/>
      <c r="JV8" s="157"/>
      <c r="JW8" s="157"/>
      <c r="JX8" s="157"/>
      <c r="JY8" s="157"/>
      <c r="JZ8" s="157"/>
      <c r="KA8" s="157"/>
      <c r="KB8" s="157"/>
      <c r="KC8" s="157"/>
      <c r="KD8" s="157"/>
      <c r="KE8" s="157"/>
      <c r="KF8" s="157"/>
      <c r="KG8" s="157"/>
      <c r="KH8" s="157"/>
      <c r="KI8" s="157"/>
      <c r="KJ8" s="157"/>
      <c r="KK8" s="157"/>
    </row>
    <row r="9" spans="1:297" ht="16" thickBot="1" x14ac:dyDescent="0.25">
      <c r="A9" s="433"/>
      <c r="B9" s="159"/>
      <c r="C9" s="159" t="s">
        <v>146</v>
      </c>
      <c r="D9" s="159" t="s">
        <v>143</v>
      </c>
      <c r="E9" s="159"/>
      <c r="F9" s="358">
        <f>F7/F8</f>
        <v>0.1125352992855177</v>
      </c>
      <c r="G9" s="358">
        <f t="shared" ref="G9:M9" si="1">G7/G8</f>
        <v>0.12464559440907674</v>
      </c>
      <c r="H9" s="358">
        <f t="shared" si="1"/>
        <v>0.16560691087409837</v>
      </c>
      <c r="I9" s="358">
        <f t="shared" si="1"/>
        <v>4.4314776940653208E-2</v>
      </c>
      <c r="J9" s="358">
        <f t="shared" si="1"/>
        <v>4.1803554728697637E-2</v>
      </c>
      <c r="K9" s="358">
        <f t="shared" si="1"/>
        <v>0.24038607781541993</v>
      </c>
      <c r="L9" s="358">
        <f t="shared" si="1"/>
        <v>0.23510603877654396</v>
      </c>
      <c r="M9" s="358">
        <f t="shared" si="1"/>
        <v>0.21616016273993838</v>
      </c>
      <c r="N9" s="164"/>
      <c r="O9" s="154"/>
      <c r="P9" s="318"/>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c r="CQ9" s="157"/>
      <c r="CR9" s="157"/>
      <c r="CS9" s="157"/>
      <c r="CT9" s="157"/>
      <c r="CU9" s="157"/>
      <c r="CV9" s="157"/>
      <c r="CW9" s="157"/>
      <c r="CX9" s="157"/>
      <c r="CY9" s="157"/>
      <c r="CZ9" s="157"/>
      <c r="DA9" s="157"/>
      <c r="DB9" s="157"/>
      <c r="DC9" s="157"/>
      <c r="DD9" s="157"/>
      <c r="DE9" s="157"/>
      <c r="DF9" s="157"/>
      <c r="DG9" s="157"/>
      <c r="DH9" s="157"/>
      <c r="DI9" s="157"/>
      <c r="DJ9" s="157"/>
      <c r="DK9" s="157"/>
      <c r="DL9" s="157"/>
      <c r="DM9" s="157"/>
      <c r="DN9" s="157"/>
      <c r="DO9" s="157"/>
      <c r="DP9" s="157"/>
      <c r="DQ9" s="157"/>
      <c r="DR9" s="157"/>
      <c r="DS9" s="157"/>
      <c r="DT9" s="157"/>
      <c r="DU9" s="157"/>
      <c r="DV9" s="157"/>
      <c r="DW9" s="157"/>
      <c r="DX9" s="157"/>
      <c r="DY9" s="157"/>
      <c r="DZ9" s="157"/>
      <c r="EA9" s="157"/>
      <c r="EB9" s="157"/>
      <c r="EC9" s="157"/>
      <c r="ED9" s="157"/>
      <c r="EE9" s="157"/>
      <c r="EF9" s="157"/>
      <c r="EG9" s="157"/>
      <c r="EH9" s="157"/>
      <c r="EI9" s="157"/>
      <c r="EJ9" s="157"/>
      <c r="EK9" s="157"/>
      <c r="EL9" s="157"/>
      <c r="EM9" s="157"/>
      <c r="EN9" s="157"/>
      <c r="EO9" s="157"/>
      <c r="EP9" s="157"/>
      <c r="EQ9" s="157"/>
      <c r="ER9" s="157"/>
      <c r="ES9" s="157"/>
      <c r="ET9" s="157"/>
      <c r="EU9" s="157"/>
      <c r="EV9" s="157"/>
      <c r="EW9" s="157"/>
      <c r="EX9" s="157"/>
      <c r="EY9" s="157"/>
      <c r="EZ9" s="157"/>
      <c r="FA9" s="157"/>
      <c r="FB9" s="157"/>
      <c r="FC9" s="157"/>
      <c r="FD9" s="157"/>
      <c r="FE9" s="157"/>
      <c r="FF9" s="157"/>
      <c r="FG9" s="157"/>
      <c r="FH9" s="157"/>
      <c r="FI9" s="157"/>
      <c r="FJ9" s="157"/>
      <c r="FK9" s="157"/>
      <c r="FL9" s="157"/>
      <c r="FM9" s="157"/>
      <c r="FN9" s="157"/>
      <c r="FO9" s="157"/>
      <c r="FP9" s="157"/>
      <c r="FQ9" s="157"/>
      <c r="FR9" s="157"/>
      <c r="FS9" s="157"/>
      <c r="FT9" s="157"/>
      <c r="FU9" s="157"/>
      <c r="FV9" s="157"/>
      <c r="FW9" s="157"/>
      <c r="FX9" s="157"/>
      <c r="FY9" s="157"/>
      <c r="FZ9" s="157"/>
      <c r="GA9" s="157"/>
      <c r="GB9" s="157"/>
      <c r="GC9" s="157"/>
      <c r="GD9" s="157"/>
      <c r="GE9" s="157"/>
      <c r="GF9" s="157"/>
      <c r="GG9" s="157"/>
      <c r="GH9" s="157"/>
      <c r="GI9" s="157"/>
      <c r="GJ9" s="157"/>
      <c r="GK9" s="157"/>
      <c r="GL9" s="157"/>
      <c r="GM9" s="157"/>
      <c r="GN9" s="157"/>
      <c r="GO9" s="157"/>
      <c r="GP9" s="157"/>
      <c r="GQ9" s="157"/>
      <c r="GR9" s="157"/>
      <c r="GS9" s="157"/>
      <c r="GT9" s="157"/>
      <c r="GU9" s="157"/>
      <c r="GV9" s="157"/>
      <c r="GW9" s="157"/>
      <c r="GX9" s="157"/>
      <c r="GY9" s="157"/>
      <c r="GZ9" s="157"/>
      <c r="HA9" s="157"/>
      <c r="HB9" s="157"/>
      <c r="HC9" s="157"/>
      <c r="HD9" s="157"/>
      <c r="HE9" s="157"/>
      <c r="HF9" s="157"/>
      <c r="HG9" s="157"/>
      <c r="HH9" s="157"/>
      <c r="HI9" s="157"/>
      <c r="HJ9" s="157"/>
      <c r="HK9" s="157"/>
      <c r="HL9" s="157"/>
      <c r="HM9" s="157"/>
      <c r="HN9" s="157"/>
      <c r="HO9" s="157"/>
      <c r="HP9" s="157"/>
      <c r="HQ9" s="157"/>
      <c r="HR9" s="157"/>
      <c r="HS9" s="157"/>
      <c r="HT9" s="157"/>
      <c r="HU9" s="157"/>
      <c r="HV9" s="157"/>
      <c r="HW9" s="157"/>
      <c r="HX9" s="157"/>
      <c r="HY9" s="157"/>
      <c r="HZ9" s="157"/>
      <c r="IA9" s="157"/>
      <c r="IB9" s="157"/>
      <c r="IC9" s="157"/>
      <c r="ID9" s="157"/>
      <c r="IE9" s="157"/>
      <c r="IF9" s="157"/>
      <c r="IG9" s="157"/>
      <c r="IH9" s="157"/>
      <c r="II9" s="157"/>
      <c r="IJ9" s="157"/>
      <c r="IK9" s="157"/>
      <c r="IL9" s="157"/>
      <c r="IM9" s="157"/>
      <c r="IN9" s="157"/>
      <c r="IO9" s="157"/>
      <c r="IP9" s="157"/>
      <c r="IQ9" s="157"/>
      <c r="IR9" s="157"/>
      <c r="IS9" s="157"/>
      <c r="IT9" s="157"/>
      <c r="IU9" s="157"/>
      <c r="IV9" s="157"/>
      <c r="IW9" s="157"/>
      <c r="IX9" s="157"/>
      <c r="IY9" s="157"/>
      <c r="IZ9" s="157"/>
      <c r="JA9" s="157"/>
      <c r="JB9" s="157"/>
      <c r="JC9" s="157"/>
      <c r="JD9" s="157"/>
      <c r="JE9" s="157"/>
      <c r="JF9" s="157"/>
      <c r="JG9" s="157"/>
      <c r="JH9" s="157"/>
      <c r="JI9" s="157"/>
      <c r="JJ9" s="157"/>
      <c r="JK9" s="157"/>
      <c r="JL9" s="157"/>
      <c r="JM9" s="157"/>
      <c r="JN9" s="157"/>
      <c r="JO9" s="157"/>
      <c r="JP9" s="157"/>
      <c r="JQ9" s="157"/>
      <c r="JR9" s="157"/>
      <c r="JS9" s="157"/>
      <c r="JT9" s="157"/>
      <c r="JU9" s="157"/>
      <c r="JV9" s="157"/>
      <c r="JW9" s="157"/>
      <c r="JX9" s="157"/>
      <c r="JY9" s="157"/>
      <c r="JZ9" s="157"/>
      <c r="KA9" s="157"/>
      <c r="KB9" s="157"/>
      <c r="KC9" s="157"/>
      <c r="KD9" s="157"/>
      <c r="KE9" s="157"/>
      <c r="KF9" s="157"/>
      <c r="KG9" s="157"/>
      <c r="KH9" s="157"/>
      <c r="KI9" s="157"/>
      <c r="KJ9" s="157"/>
      <c r="KK9" s="157"/>
    </row>
    <row r="10" spans="1:297" ht="49" thickBot="1" x14ac:dyDescent="0.25">
      <c r="A10" s="433"/>
      <c r="B10" s="159" t="s">
        <v>131</v>
      </c>
      <c r="C10" s="159" t="s">
        <v>147</v>
      </c>
      <c r="D10" s="159" t="s">
        <v>143</v>
      </c>
      <c r="E10" s="159" t="s">
        <v>148</v>
      </c>
      <c r="F10" s="348">
        <v>3.4304356000073844E-3</v>
      </c>
      <c r="G10" s="349">
        <v>6.4487284649363975E-3</v>
      </c>
      <c r="H10" s="348">
        <v>5.0055028981526159E-3</v>
      </c>
      <c r="I10" s="349">
        <v>1.3076168516333635E-4</v>
      </c>
      <c r="J10" s="348">
        <v>2.2461359140138106E-3</v>
      </c>
      <c r="K10" s="349">
        <v>1.2328111324045821E-2</v>
      </c>
      <c r="L10" s="348">
        <v>4.6867292368314396E-3</v>
      </c>
      <c r="M10" s="350">
        <v>8.9982340465944517E-4</v>
      </c>
      <c r="N10" s="164" t="s">
        <v>97</v>
      </c>
      <c r="O10" s="154" t="s">
        <v>14</v>
      </c>
      <c r="P10" s="319" t="s">
        <v>102</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7"/>
      <c r="CE10" s="157"/>
      <c r="CF10" s="157"/>
      <c r="CG10" s="157"/>
      <c r="CH10" s="157"/>
      <c r="CI10" s="157"/>
      <c r="CJ10" s="157"/>
      <c r="CK10" s="157"/>
      <c r="CL10" s="157"/>
      <c r="CM10" s="157"/>
      <c r="CN10" s="157"/>
      <c r="CO10" s="157"/>
      <c r="CP10" s="157"/>
      <c r="CQ10" s="157"/>
      <c r="CR10" s="157"/>
      <c r="CS10" s="157"/>
      <c r="CT10" s="157"/>
      <c r="CU10" s="157"/>
      <c r="CV10" s="157"/>
      <c r="CW10" s="157"/>
      <c r="CX10" s="157"/>
      <c r="CY10" s="157"/>
      <c r="CZ10" s="157"/>
      <c r="DA10" s="157"/>
      <c r="DB10" s="157"/>
      <c r="DC10" s="157"/>
      <c r="DD10" s="157"/>
      <c r="DE10" s="157"/>
      <c r="DF10" s="157"/>
      <c r="DG10" s="157"/>
      <c r="DH10" s="157"/>
      <c r="DI10" s="157"/>
      <c r="DJ10" s="157"/>
      <c r="DK10" s="157"/>
      <c r="DL10" s="157"/>
      <c r="DM10" s="157"/>
      <c r="DN10" s="157"/>
      <c r="DO10" s="157"/>
      <c r="DP10" s="157"/>
      <c r="DQ10" s="157"/>
      <c r="DR10" s="157"/>
      <c r="DS10" s="157"/>
      <c r="DT10" s="157"/>
      <c r="DU10" s="157"/>
      <c r="DV10" s="157"/>
      <c r="DW10" s="157"/>
      <c r="DX10" s="157"/>
      <c r="DY10" s="157"/>
      <c r="DZ10" s="157"/>
      <c r="EA10" s="157"/>
      <c r="EB10" s="157"/>
      <c r="EC10" s="157"/>
      <c r="ED10" s="157"/>
      <c r="EE10" s="157"/>
      <c r="EF10" s="157"/>
      <c r="EG10" s="157"/>
      <c r="EH10" s="157"/>
      <c r="EI10" s="157"/>
      <c r="EJ10" s="157"/>
      <c r="EK10" s="157"/>
      <c r="EL10" s="157"/>
      <c r="EM10" s="157"/>
      <c r="EN10" s="157"/>
      <c r="EO10" s="157"/>
      <c r="EP10" s="157"/>
      <c r="EQ10" s="157"/>
      <c r="ER10" s="157"/>
      <c r="ES10" s="157"/>
      <c r="ET10" s="157"/>
      <c r="EU10" s="157"/>
      <c r="EV10" s="157"/>
      <c r="EW10" s="157"/>
      <c r="EX10" s="157"/>
      <c r="EY10" s="157"/>
      <c r="EZ10" s="157"/>
      <c r="FA10" s="157"/>
      <c r="FB10" s="157"/>
      <c r="FC10" s="157"/>
      <c r="FD10" s="157"/>
      <c r="FE10" s="157"/>
      <c r="FF10" s="157"/>
      <c r="FG10" s="157"/>
      <c r="FH10" s="157"/>
      <c r="FI10" s="157"/>
      <c r="FJ10" s="157"/>
      <c r="FK10" s="157"/>
      <c r="FL10" s="157"/>
      <c r="FM10" s="157"/>
      <c r="FN10" s="157"/>
      <c r="FO10" s="157"/>
      <c r="FP10" s="157"/>
      <c r="FQ10" s="157"/>
      <c r="FR10" s="157"/>
      <c r="FS10" s="157"/>
      <c r="FT10" s="157"/>
      <c r="FU10" s="157"/>
      <c r="FV10" s="157"/>
      <c r="FW10" s="157"/>
      <c r="FX10" s="157"/>
      <c r="FY10" s="157"/>
      <c r="FZ10" s="157"/>
      <c r="GA10" s="157"/>
      <c r="GB10" s="157"/>
      <c r="GC10" s="157"/>
      <c r="GD10" s="157"/>
      <c r="GE10" s="157"/>
      <c r="GF10" s="157"/>
      <c r="GG10" s="157"/>
      <c r="GH10" s="157"/>
      <c r="GI10" s="157"/>
      <c r="GJ10" s="157"/>
      <c r="GK10" s="157"/>
      <c r="GL10" s="157"/>
      <c r="GM10" s="157"/>
      <c r="GN10" s="157"/>
      <c r="GO10" s="157"/>
      <c r="GP10" s="157"/>
      <c r="GQ10" s="157"/>
      <c r="GR10" s="157"/>
      <c r="GS10" s="157"/>
      <c r="GT10" s="157"/>
      <c r="GU10" s="157"/>
      <c r="GV10" s="157"/>
      <c r="GW10" s="157"/>
      <c r="GX10" s="157"/>
      <c r="GY10" s="157"/>
      <c r="GZ10" s="157"/>
      <c r="HA10" s="157"/>
      <c r="HB10" s="157"/>
      <c r="HC10" s="157"/>
      <c r="HD10" s="157"/>
      <c r="HE10" s="157"/>
      <c r="HF10" s="157"/>
      <c r="HG10" s="157"/>
      <c r="HH10" s="157"/>
      <c r="HI10" s="157"/>
      <c r="HJ10" s="157"/>
      <c r="HK10" s="157"/>
      <c r="HL10" s="157"/>
      <c r="HM10" s="157"/>
      <c r="HN10" s="157"/>
      <c r="HO10" s="157"/>
      <c r="HP10" s="157"/>
      <c r="HQ10" s="157"/>
      <c r="HR10" s="157"/>
      <c r="HS10" s="157"/>
      <c r="HT10" s="157"/>
      <c r="HU10" s="157"/>
      <c r="HV10" s="157"/>
      <c r="HW10" s="157"/>
      <c r="HX10" s="157"/>
      <c r="HY10" s="157"/>
      <c r="HZ10" s="157"/>
      <c r="IA10" s="157"/>
      <c r="IB10" s="157"/>
      <c r="IC10" s="157"/>
      <c r="ID10" s="157"/>
      <c r="IE10" s="157"/>
      <c r="IF10" s="157"/>
      <c r="IG10" s="157"/>
      <c r="IH10" s="157"/>
      <c r="II10" s="157"/>
      <c r="IJ10" s="157"/>
      <c r="IK10" s="157"/>
      <c r="IL10" s="157"/>
      <c r="IM10" s="157"/>
      <c r="IN10" s="157"/>
      <c r="IO10" s="157"/>
      <c r="IP10" s="157"/>
      <c r="IQ10" s="157"/>
      <c r="IR10" s="157"/>
      <c r="IS10" s="157"/>
      <c r="IT10" s="157"/>
      <c r="IU10" s="157"/>
      <c r="IV10" s="157"/>
      <c r="IW10" s="157"/>
      <c r="IX10" s="157"/>
      <c r="IY10" s="157"/>
      <c r="IZ10" s="157"/>
      <c r="JA10" s="157"/>
      <c r="JB10" s="157"/>
      <c r="JC10" s="157"/>
      <c r="JD10" s="157"/>
      <c r="JE10" s="157"/>
      <c r="JF10" s="157"/>
      <c r="JG10" s="157"/>
      <c r="JH10" s="157"/>
      <c r="JI10" s="157"/>
      <c r="JJ10" s="157"/>
      <c r="JK10" s="157"/>
      <c r="JL10" s="157"/>
      <c r="JM10" s="157"/>
      <c r="JN10" s="157"/>
      <c r="JO10" s="157"/>
      <c r="JP10" s="157"/>
      <c r="JQ10" s="157"/>
      <c r="JR10" s="157"/>
      <c r="JS10" s="157"/>
      <c r="JT10" s="157"/>
      <c r="JU10" s="157"/>
      <c r="JV10" s="157"/>
      <c r="JW10" s="157"/>
      <c r="JX10" s="157"/>
      <c r="JY10" s="157"/>
      <c r="JZ10" s="157"/>
      <c r="KA10" s="157"/>
      <c r="KB10" s="157"/>
      <c r="KC10" s="157"/>
      <c r="KD10" s="157"/>
      <c r="KE10" s="157"/>
      <c r="KF10" s="157"/>
      <c r="KG10" s="157"/>
      <c r="KH10" s="157"/>
      <c r="KI10" s="157"/>
      <c r="KJ10" s="157"/>
      <c r="KK10" s="157"/>
    </row>
    <row r="11" spans="1:297" ht="49" thickBot="1" x14ac:dyDescent="0.25">
      <c r="A11" s="433"/>
      <c r="B11" s="159" t="s">
        <v>62</v>
      </c>
      <c r="C11" s="159" t="s">
        <v>147</v>
      </c>
      <c r="D11" s="159" t="s">
        <v>143</v>
      </c>
      <c r="E11" s="159" t="s">
        <v>149</v>
      </c>
      <c r="F11" s="348">
        <v>8.3169844140130969E-2</v>
      </c>
      <c r="G11" s="349">
        <v>1.2684411937745631E-2</v>
      </c>
      <c r="H11" s="348">
        <v>2.5460717751545882E-2</v>
      </c>
      <c r="I11" s="349">
        <v>1.3897745698828992E-2</v>
      </c>
      <c r="J11" s="348">
        <v>2.7333048290666514E-2</v>
      </c>
      <c r="K11" s="349">
        <v>2.6854951071182274E-2</v>
      </c>
      <c r="L11" s="348">
        <v>5.1861908448400822E-2</v>
      </c>
      <c r="M11" s="350">
        <v>5.8477675078838082E-3</v>
      </c>
      <c r="N11" s="164" t="s">
        <v>98</v>
      </c>
      <c r="O11" s="154" t="s">
        <v>14</v>
      </c>
      <c r="P11" s="319" t="s">
        <v>102</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c r="CH11" s="157"/>
      <c r="CI11" s="157"/>
      <c r="CJ11" s="157"/>
      <c r="CK11" s="157"/>
      <c r="CL11" s="157"/>
      <c r="CM11" s="157"/>
      <c r="CN11" s="157"/>
      <c r="CO11" s="157"/>
      <c r="CP11" s="157"/>
      <c r="CQ11" s="157"/>
      <c r="CR11" s="157"/>
      <c r="CS11" s="157"/>
      <c r="CT11" s="157"/>
      <c r="CU11" s="157"/>
      <c r="CV11" s="157"/>
      <c r="CW11" s="157"/>
      <c r="CX11" s="157"/>
      <c r="CY11" s="157"/>
      <c r="CZ11" s="157"/>
      <c r="DA11" s="157"/>
      <c r="DB11" s="157"/>
      <c r="DC11" s="157"/>
      <c r="DD11" s="157"/>
      <c r="DE11" s="157"/>
      <c r="DF11" s="157"/>
      <c r="DG11" s="157"/>
      <c r="DH11" s="157"/>
      <c r="DI11" s="157"/>
      <c r="DJ11" s="157"/>
      <c r="DK11" s="157"/>
      <c r="DL11" s="157"/>
      <c r="DM11" s="157"/>
      <c r="DN11" s="157"/>
      <c r="DO11" s="157"/>
      <c r="DP11" s="157"/>
      <c r="DQ11" s="157"/>
      <c r="DR11" s="157"/>
      <c r="DS11" s="157"/>
      <c r="DT11" s="157"/>
      <c r="DU11" s="157"/>
      <c r="DV11" s="157"/>
      <c r="DW11" s="157"/>
      <c r="DX11" s="157"/>
      <c r="DY11" s="157"/>
      <c r="DZ11" s="157"/>
      <c r="EA11" s="157"/>
      <c r="EB11" s="157"/>
      <c r="EC11" s="157"/>
      <c r="ED11" s="157"/>
      <c r="EE11" s="157"/>
      <c r="EF11" s="157"/>
      <c r="EG11" s="157"/>
      <c r="EH11" s="157"/>
      <c r="EI11" s="157"/>
      <c r="EJ11" s="157"/>
      <c r="EK11" s="157"/>
      <c r="EL11" s="157"/>
      <c r="EM11" s="157"/>
      <c r="EN11" s="157"/>
      <c r="EO11" s="157"/>
      <c r="EP11" s="157"/>
      <c r="EQ11" s="157"/>
      <c r="ER11" s="157"/>
      <c r="ES11" s="157"/>
      <c r="ET11" s="157"/>
      <c r="EU11" s="157"/>
      <c r="EV11" s="157"/>
      <c r="EW11" s="157"/>
      <c r="EX11" s="157"/>
      <c r="EY11" s="157"/>
      <c r="EZ11" s="157"/>
      <c r="FA11" s="157"/>
      <c r="FB11" s="157"/>
      <c r="FC11" s="157"/>
      <c r="FD11" s="157"/>
      <c r="FE11" s="157"/>
      <c r="FF11" s="157"/>
      <c r="FG11" s="157"/>
      <c r="FH11" s="157"/>
      <c r="FI11" s="157"/>
      <c r="FJ11" s="157"/>
      <c r="FK11" s="157"/>
      <c r="FL11" s="157"/>
      <c r="FM11" s="157"/>
      <c r="FN11" s="157"/>
      <c r="FO11" s="157"/>
      <c r="FP11" s="157"/>
      <c r="FQ11" s="157"/>
      <c r="FR11" s="157"/>
      <c r="FS11" s="157"/>
      <c r="FT11" s="157"/>
      <c r="FU11" s="157"/>
      <c r="FV11" s="157"/>
      <c r="FW11" s="157"/>
      <c r="FX11" s="157"/>
      <c r="FY11" s="157"/>
      <c r="FZ11" s="157"/>
      <c r="GA11" s="157"/>
      <c r="GB11" s="157"/>
      <c r="GC11" s="157"/>
      <c r="GD11" s="157"/>
      <c r="GE11" s="157"/>
      <c r="GF11" s="157"/>
      <c r="GG11" s="157"/>
      <c r="GH11" s="157"/>
      <c r="GI11" s="157"/>
      <c r="GJ11" s="157"/>
      <c r="GK11" s="157"/>
      <c r="GL11" s="157"/>
      <c r="GM11" s="157"/>
      <c r="GN11" s="157"/>
      <c r="GO11" s="157"/>
      <c r="GP11" s="157"/>
      <c r="GQ11" s="157"/>
      <c r="GR11" s="157"/>
      <c r="GS11" s="157"/>
      <c r="GT11" s="157"/>
      <c r="GU11" s="157"/>
      <c r="GV11" s="157"/>
      <c r="GW11" s="157"/>
      <c r="GX11" s="157"/>
      <c r="GY11" s="157"/>
      <c r="GZ11" s="157"/>
      <c r="HA11" s="157"/>
      <c r="HB11" s="157"/>
      <c r="HC11" s="157"/>
      <c r="HD11" s="157"/>
      <c r="HE11" s="157"/>
      <c r="HF11" s="157"/>
      <c r="HG11" s="157"/>
      <c r="HH11" s="157"/>
      <c r="HI11" s="157"/>
      <c r="HJ11" s="157"/>
      <c r="HK11" s="157"/>
      <c r="HL11" s="157"/>
      <c r="HM11" s="157"/>
      <c r="HN11" s="157"/>
      <c r="HO11" s="157"/>
      <c r="HP11" s="157"/>
      <c r="HQ11" s="157"/>
      <c r="HR11" s="157"/>
      <c r="HS11" s="157"/>
      <c r="HT11" s="157"/>
      <c r="HU11" s="157"/>
      <c r="HV11" s="157"/>
      <c r="HW11" s="157"/>
      <c r="HX11" s="157"/>
      <c r="HY11" s="157"/>
      <c r="HZ11" s="157"/>
      <c r="IA11" s="157"/>
      <c r="IB11" s="157"/>
      <c r="IC11" s="157"/>
      <c r="ID11" s="157"/>
      <c r="IE11" s="157"/>
      <c r="IF11" s="157"/>
      <c r="IG11" s="157"/>
      <c r="IH11" s="157"/>
      <c r="II11" s="157"/>
      <c r="IJ11" s="157"/>
      <c r="IK11" s="157"/>
      <c r="IL11" s="157"/>
      <c r="IM11" s="157"/>
      <c r="IN11" s="157"/>
      <c r="IO11" s="157"/>
      <c r="IP11" s="157"/>
      <c r="IQ11" s="157"/>
      <c r="IR11" s="157"/>
      <c r="IS11" s="157"/>
      <c r="IT11" s="157"/>
      <c r="IU11" s="157"/>
      <c r="IV11" s="157"/>
      <c r="IW11" s="157"/>
      <c r="IX11" s="157"/>
      <c r="IY11" s="157"/>
      <c r="IZ11" s="157"/>
      <c r="JA11" s="157"/>
      <c r="JB11" s="157"/>
      <c r="JC11" s="157"/>
      <c r="JD11" s="157"/>
      <c r="JE11" s="157"/>
      <c r="JF11" s="157"/>
      <c r="JG11" s="157"/>
      <c r="JH11" s="157"/>
      <c r="JI11" s="157"/>
      <c r="JJ11" s="157"/>
      <c r="JK11" s="157"/>
      <c r="JL11" s="157"/>
      <c r="JM11" s="157"/>
      <c r="JN11" s="157"/>
      <c r="JO11" s="157"/>
      <c r="JP11" s="157"/>
      <c r="JQ11" s="157"/>
      <c r="JR11" s="157"/>
      <c r="JS11" s="157"/>
      <c r="JT11" s="157"/>
      <c r="JU11" s="157"/>
      <c r="JV11" s="157"/>
      <c r="JW11" s="157"/>
      <c r="JX11" s="157"/>
      <c r="JY11" s="157"/>
      <c r="JZ11" s="157"/>
      <c r="KA11" s="157"/>
      <c r="KB11" s="157"/>
      <c r="KC11" s="157"/>
      <c r="KD11" s="157"/>
      <c r="KE11" s="157"/>
      <c r="KF11" s="157"/>
      <c r="KG11" s="157"/>
      <c r="KH11" s="157"/>
      <c r="KI11" s="157"/>
      <c r="KJ11" s="157"/>
      <c r="KK11" s="157"/>
    </row>
    <row r="12" spans="1:297" ht="49" thickBot="1" x14ac:dyDescent="0.25">
      <c r="A12" s="433"/>
      <c r="B12" s="159" t="s">
        <v>63</v>
      </c>
      <c r="C12" s="159" t="s">
        <v>147</v>
      </c>
      <c r="D12" s="159" t="s">
        <v>143</v>
      </c>
      <c r="E12" s="159" t="s">
        <v>150</v>
      </c>
      <c r="F12" s="348">
        <v>0.63128839415949811</v>
      </c>
      <c r="G12" s="349">
        <v>0.65377256005720807</v>
      </c>
      <c r="H12" s="348">
        <v>0.58452600122672826</v>
      </c>
      <c r="I12" s="349">
        <v>0.58847301602478064</v>
      </c>
      <c r="J12" s="348">
        <v>0.52138909583025883</v>
      </c>
      <c r="K12" s="349">
        <v>0.49742034593361567</v>
      </c>
      <c r="L12" s="348">
        <v>0.82125081990086912</v>
      </c>
      <c r="M12" s="350">
        <v>0.53527811649280743</v>
      </c>
      <c r="N12" s="164" t="s">
        <v>99</v>
      </c>
      <c r="O12" s="154" t="s">
        <v>14</v>
      </c>
      <c r="P12" s="318" t="s">
        <v>101</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157"/>
      <c r="DJ12" s="157"/>
      <c r="DK12" s="157"/>
      <c r="DL12" s="157"/>
      <c r="DM12" s="157"/>
      <c r="DN12" s="157"/>
      <c r="DO12" s="157"/>
      <c r="DP12" s="157"/>
      <c r="DQ12" s="157"/>
      <c r="DR12" s="157"/>
      <c r="DS12" s="157"/>
      <c r="DT12" s="157"/>
      <c r="DU12" s="157"/>
      <c r="DV12" s="157"/>
      <c r="DW12" s="157"/>
      <c r="DX12" s="157"/>
      <c r="DY12" s="157"/>
      <c r="DZ12" s="157"/>
      <c r="EA12" s="157"/>
      <c r="EB12" s="157"/>
      <c r="EC12" s="157"/>
      <c r="ED12" s="157"/>
      <c r="EE12" s="157"/>
      <c r="EF12" s="157"/>
      <c r="EG12" s="157"/>
      <c r="EH12" s="157"/>
      <c r="EI12" s="157"/>
      <c r="EJ12" s="157"/>
      <c r="EK12" s="157"/>
      <c r="EL12" s="157"/>
      <c r="EM12" s="157"/>
      <c r="EN12" s="157"/>
      <c r="EO12" s="157"/>
      <c r="EP12" s="157"/>
      <c r="EQ12" s="157"/>
      <c r="ER12" s="157"/>
      <c r="ES12" s="157"/>
      <c r="ET12" s="157"/>
      <c r="EU12" s="157"/>
      <c r="EV12" s="157"/>
      <c r="EW12" s="157"/>
      <c r="EX12" s="157"/>
      <c r="EY12" s="157"/>
      <c r="EZ12" s="157"/>
      <c r="FA12" s="157"/>
      <c r="FB12" s="157"/>
      <c r="FC12" s="157"/>
      <c r="FD12" s="157"/>
      <c r="FE12" s="157"/>
      <c r="FF12" s="157"/>
      <c r="FG12" s="157"/>
      <c r="FH12" s="157"/>
      <c r="FI12" s="157"/>
      <c r="FJ12" s="157"/>
      <c r="FK12" s="157"/>
      <c r="FL12" s="157"/>
      <c r="FM12" s="157"/>
      <c r="FN12" s="157"/>
      <c r="FO12" s="157"/>
      <c r="FP12" s="157"/>
      <c r="FQ12" s="157"/>
      <c r="FR12" s="157"/>
      <c r="FS12" s="157"/>
      <c r="FT12" s="157"/>
      <c r="FU12" s="157"/>
      <c r="FV12" s="157"/>
      <c r="FW12" s="157"/>
      <c r="FX12" s="157"/>
      <c r="FY12" s="157"/>
      <c r="FZ12" s="157"/>
      <c r="GA12" s="157"/>
      <c r="GB12" s="157"/>
      <c r="GC12" s="157"/>
      <c r="GD12" s="157"/>
      <c r="GE12" s="157"/>
      <c r="GF12" s="157"/>
      <c r="GG12" s="157"/>
      <c r="GH12" s="157"/>
      <c r="GI12" s="157"/>
      <c r="GJ12" s="157"/>
      <c r="GK12" s="157"/>
      <c r="GL12" s="157"/>
      <c r="GM12" s="157"/>
      <c r="GN12" s="157"/>
      <c r="GO12" s="157"/>
      <c r="GP12" s="157"/>
      <c r="GQ12" s="157"/>
      <c r="GR12" s="157"/>
      <c r="GS12" s="157"/>
      <c r="GT12" s="157"/>
      <c r="GU12" s="157"/>
      <c r="GV12" s="157"/>
      <c r="GW12" s="157"/>
      <c r="GX12" s="157"/>
      <c r="GY12" s="157"/>
      <c r="GZ12" s="157"/>
      <c r="HA12" s="157"/>
      <c r="HB12" s="157"/>
      <c r="HC12" s="157"/>
      <c r="HD12" s="157"/>
      <c r="HE12" s="157"/>
      <c r="HF12" s="157"/>
      <c r="HG12" s="157"/>
      <c r="HH12" s="157"/>
      <c r="HI12" s="157"/>
      <c r="HJ12" s="157"/>
      <c r="HK12" s="157"/>
      <c r="HL12" s="157"/>
      <c r="HM12" s="157"/>
      <c r="HN12" s="157"/>
      <c r="HO12" s="157"/>
      <c r="HP12" s="157"/>
      <c r="HQ12" s="157"/>
      <c r="HR12" s="157"/>
      <c r="HS12" s="157"/>
      <c r="HT12" s="157"/>
      <c r="HU12" s="157"/>
      <c r="HV12" s="157"/>
      <c r="HW12" s="157"/>
      <c r="HX12" s="157"/>
      <c r="HY12" s="157"/>
      <c r="HZ12" s="157"/>
      <c r="IA12" s="157"/>
      <c r="IB12" s="157"/>
      <c r="IC12" s="157"/>
      <c r="ID12" s="157"/>
      <c r="IE12" s="157"/>
      <c r="IF12" s="157"/>
      <c r="IG12" s="157"/>
      <c r="IH12" s="157"/>
      <c r="II12" s="157"/>
      <c r="IJ12" s="157"/>
      <c r="IK12" s="157"/>
      <c r="IL12" s="157"/>
      <c r="IM12" s="157"/>
      <c r="IN12" s="157"/>
      <c r="IO12" s="157"/>
      <c r="IP12" s="157"/>
      <c r="IQ12" s="157"/>
      <c r="IR12" s="157"/>
      <c r="IS12" s="157"/>
      <c r="IT12" s="157"/>
      <c r="IU12" s="157"/>
      <c r="IV12" s="157"/>
      <c r="IW12" s="157"/>
      <c r="IX12" s="157"/>
      <c r="IY12" s="157"/>
      <c r="IZ12" s="157"/>
      <c r="JA12" s="157"/>
      <c r="JB12" s="157"/>
      <c r="JC12" s="157"/>
      <c r="JD12" s="157"/>
      <c r="JE12" s="157"/>
      <c r="JF12" s="157"/>
      <c r="JG12" s="157"/>
      <c r="JH12" s="157"/>
      <c r="JI12" s="157"/>
      <c r="JJ12" s="157"/>
      <c r="JK12" s="157"/>
      <c r="JL12" s="157"/>
      <c r="JM12" s="157"/>
      <c r="JN12" s="157"/>
      <c r="JO12" s="157"/>
      <c r="JP12" s="157"/>
      <c r="JQ12" s="157"/>
      <c r="JR12" s="157"/>
      <c r="JS12" s="157"/>
      <c r="JT12" s="157"/>
      <c r="JU12" s="157"/>
      <c r="JV12" s="157"/>
      <c r="JW12" s="157"/>
      <c r="JX12" s="157"/>
      <c r="JY12" s="157"/>
      <c r="JZ12" s="157"/>
      <c r="KA12" s="157"/>
      <c r="KB12" s="157"/>
      <c r="KC12" s="157"/>
      <c r="KD12" s="157"/>
      <c r="KE12" s="157"/>
      <c r="KF12" s="157"/>
      <c r="KG12" s="157"/>
      <c r="KH12" s="157"/>
      <c r="KI12" s="157"/>
      <c r="KJ12" s="157"/>
      <c r="KK12" s="157"/>
    </row>
    <row r="13" spans="1:297" ht="49" thickBot="1" x14ac:dyDescent="0.25">
      <c r="A13" s="433"/>
      <c r="B13" s="159" t="s">
        <v>64</v>
      </c>
      <c r="C13" s="159" t="s">
        <v>147</v>
      </c>
      <c r="D13" s="159" t="s">
        <v>143</v>
      </c>
      <c r="E13" s="159" t="s">
        <v>151</v>
      </c>
      <c r="F13" s="348">
        <v>0.28211132610036338</v>
      </c>
      <c r="G13" s="349">
        <v>0.32709429954010982</v>
      </c>
      <c r="H13" s="348">
        <v>0.38500777812357329</v>
      </c>
      <c r="I13" s="349">
        <v>0.39749847659122717</v>
      </c>
      <c r="J13" s="348">
        <v>0.44903171996506064</v>
      </c>
      <c r="K13" s="349">
        <v>0.46339659167115632</v>
      </c>
      <c r="L13" s="348">
        <v>0.12220054241389856</v>
      </c>
      <c r="M13" s="350">
        <v>0.45797429259464939</v>
      </c>
      <c r="N13" s="164" t="s">
        <v>100</v>
      </c>
      <c r="O13" s="154" t="s">
        <v>14</v>
      </c>
      <c r="P13" s="318" t="s">
        <v>101</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7"/>
      <c r="CD13" s="157"/>
      <c r="CE13" s="15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157"/>
      <c r="DG13" s="157"/>
      <c r="DH13" s="157"/>
      <c r="DI13" s="157"/>
      <c r="DJ13" s="157"/>
      <c r="DK13" s="157"/>
      <c r="DL13" s="157"/>
      <c r="DM13" s="157"/>
      <c r="DN13" s="157"/>
      <c r="DO13" s="157"/>
      <c r="DP13" s="157"/>
      <c r="DQ13" s="157"/>
      <c r="DR13" s="157"/>
      <c r="DS13" s="157"/>
      <c r="DT13" s="157"/>
      <c r="DU13" s="157"/>
      <c r="DV13" s="157"/>
      <c r="DW13" s="157"/>
      <c r="DX13" s="157"/>
      <c r="DY13" s="157"/>
      <c r="DZ13" s="157"/>
      <c r="EA13" s="157"/>
      <c r="EB13" s="157"/>
      <c r="EC13" s="157"/>
      <c r="ED13" s="157"/>
      <c r="EE13" s="157"/>
      <c r="EF13" s="157"/>
      <c r="EG13" s="157"/>
      <c r="EH13" s="157"/>
      <c r="EI13" s="157"/>
      <c r="EJ13" s="157"/>
      <c r="EK13" s="157"/>
      <c r="EL13" s="157"/>
      <c r="EM13" s="157"/>
      <c r="EN13" s="157"/>
      <c r="EO13" s="157"/>
      <c r="EP13" s="157"/>
      <c r="EQ13" s="157"/>
      <c r="ER13" s="157"/>
      <c r="ES13" s="157"/>
      <c r="ET13" s="157"/>
      <c r="EU13" s="157"/>
      <c r="EV13" s="157"/>
      <c r="EW13" s="157"/>
      <c r="EX13" s="157"/>
      <c r="EY13" s="157"/>
      <c r="EZ13" s="157"/>
      <c r="FA13" s="157"/>
      <c r="FB13" s="157"/>
      <c r="FC13" s="157"/>
      <c r="FD13" s="157"/>
      <c r="FE13" s="157"/>
      <c r="FF13" s="157"/>
      <c r="FG13" s="157"/>
      <c r="FH13" s="157"/>
      <c r="FI13" s="157"/>
      <c r="FJ13" s="157"/>
      <c r="FK13" s="157"/>
      <c r="FL13" s="157"/>
      <c r="FM13" s="157"/>
      <c r="FN13" s="157"/>
      <c r="FO13" s="157"/>
      <c r="FP13" s="157"/>
      <c r="FQ13" s="157"/>
      <c r="FR13" s="157"/>
      <c r="FS13" s="157"/>
      <c r="FT13" s="157"/>
      <c r="FU13" s="157"/>
      <c r="FV13" s="157"/>
      <c r="FW13" s="157"/>
      <c r="FX13" s="157"/>
      <c r="FY13" s="157"/>
      <c r="FZ13" s="157"/>
      <c r="GA13" s="157"/>
      <c r="GB13" s="157"/>
      <c r="GC13" s="157"/>
      <c r="GD13" s="157"/>
      <c r="GE13" s="157"/>
      <c r="GF13" s="157"/>
      <c r="GG13" s="157"/>
      <c r="GH13" s="157"/>
      <c r="GI13" s="157"/>
      <c r="GJ13" s="157"/>
      <c r="GK13" s="157"/>
      <c r="GL13" s="157"/>
      <c r="GM13" s="157"/>
      <c r="GN13" s="157"/>
      <c r="GO13" s="157"/>
      <c r="GP13" s="157"/>
      <c r="GQ13" s="157"/>
      <c r="GR13" s="157"/>
      <c r="GS13" s="157"/>
      <c r="GT13" s="157"/>
      <c r="GU13" s="157"/>
      <c r="GV13" s="157"/>
      <c r="GW13" s="157"/>
      <c r="GX13" s="157"/>
      <c r="GY13" s="157"/>
      <c r="GZ13" s="157"/>
      <c r="HA13" s="157"/>
      <c r="HB13" s="157"/>
      <c r="HC13" s="157"/>
      <c r="HD13" s="157"/>
      <c r="HE13" s="157"/>
      <c r="HF13" s="157"/>
      <c r="HG13" s="157"/>
      <c r="HH13" s="157"/>
      <c r="HI13" s="157"/>
      <c r="HJ13" s="157"/>
      <c r="HK13" s="157"/>
      <c r="HL13" s="157"/>
      <c r="HM13" s="157"/>
      <c r="HN13" s="157"/>
      <c r="HO13" s="157"/>
      <c r="HP13" s="157"/>
      <c r="HQ13" s="157"/>
      <c r="HR13" s="157"/>
      <c r="HS13" s="157"/>
      <c r="HT13" s="157"/>
      <c r="HU13" s="157"/>
      <c r="HV13" s="157"/>
      <c r="HW13" s="157"/>
      <c r="HX13" s="157"/>
      <c r="HY13" s="157"/>
      <c r="HZ13" s="157"/>
      <c r="IA13" s="157"/>
      <c r="IB13" s="157"/>
      <c r="IC13" s="157"/>
      <c r="ID13" s="157"/>
      <c r="IE13" s="157"/>
      <c r="IF13" s="157"/>
      <c r="IG13" s="157"/>
      <c r="IH13" s="157"/>
      <c r="II13" s="157"/>
      <c r="IJ13" s="157"/>
      <c r="IK13" s="157"/>
      <c r="IL13" s="157"/>
      <c r="IM13" s="157"/>
      <c r="IN13" s="157"/>
      <c r="IO13" s="157"/>
      <c r="IP13" s="157"/>
      <c r="IQ13" s="157"/>
      <c r="IR13" s="157"/>
      <c r="IS13" s="157"/>
      <c r="IT13" s="157"/>
      <c r="IU13" s="157"/>
      <c r="IV13" s="157"/>
      <c r="IW13" s="157"/>
      <c r="IX13" s="157"/>
      <c r="IY13" s="157"/>
      <c r="IZ13" s="157"/>
      <c r="JA13" s="157"/>
      <c r="JB13" s="157"/>
      <c r="JC13" s="157"/>
      <c r="JD13" s="157"/>
      <c r="JE13" s="157"/>
      <c r="JF13" s="157"/>
      <c r="JG13" s="157"/>
      <c r="JH13" s="157"/>
      <c r="JI13" s="157"/>
      <c r="JJ13" s="157"/>
      <c r="JK13" s="157"/>
      <c r="JL13" s="157"/>
      <c r="JM13" s="157"/>
      <c r="JN13" s="157"/>
      <c r="JO13" s="157"/>
      <c r="JP13" s="157"/>
      <c r="JQ13" s="157"/>
      <c r="JR13" s="157"/>
      <c r="JS13" s="157"/>
      <c r="JT13" s="157"/>
      <c r="JU13" s="157"/>
      <c r="JV13" s="157"/>
      <c r="JW13" s="157"/>
      <c r="JX13" s="157"/>
      <c r="JY13" s="157"/>
      <c r="JZ13" s="157"/>
      <c r="KA13" s="157"/>
      <c r="KB13" s="157"/>
      <c r="KC13" s="157"/>
      <c r="KD13" s="157"/>
      <c r="KE13" s="157"/>
      <c r="KF13" s="157"/>
      <c r="KG13" s="157"/>
      <c r="KH13" s="157"/>
      <c r="KI13" s="157"/>
      <c r="KJ13" s="157"/>
      <c r="KK13" s="157"/>
    </row>
    <row r="14" spans="1:297" ht="49" thickBot="1" x14ac:dyDescent="0.25">
      <c r="A14" s="433"/>
      <c r="B14" s="159" t="s">
        <v>64</v>
      </c>
      <c r="C14" s="159" t="s">
        <v>147</v>
      </c>
      <c r="D14" s="159" t="s">
        <v>143</v>
      </c>
      <c r="E14" s="159" t="s">
        <v>162</v>
      </c>
      <c r="F14" s="348">
        <v>9.9999999999999995E-21</v>
      </c>
      <c r="G14" s="348">
        <v>9.9999999999999995E-21</v>
      </c>
      <c r="H14" s="348">
        <v>9.9999999999999995E-21</v>
      </c>
      <c r="I14" s="348">
        <v>9.9999999999999995E-21</v>
      </c>
      <c r="J14" s="348">
        <v>9.9999999999999995E-21</v>
      </c>
      <c r="K14" s="348">
        <v>9.9999999999999995E-21</v>
      </c>
      <c r="L14" s="348">
        <v>9.9999999999999995E-21</v>
      </c>
      <c r="M14" s="348">
        <v>9.9999999999999995E-21</v>
      </c>
      <c r="N14" s="164" t="s">
        <v>163</v>
      </c>
      <c r="O14" s="154" t="s">
        <v>14</v>
      </c>
      <c r="P14" s="318" t="s">
        <v>14</v>
      </c>
      <c r="Q14" s="155" t="s">
        <v>164</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7"/>
      <c r="BQ14" s="157"/>
      <c r="BR14" s="157"/>
      <c r="BS14" s="157"/>
      <c r="BT14" s="157"/>
      <c r="BU14" s="157"/>
      <c r="BV14" s="157"/>
      <c r="BW14" s="157"/>
      <c r="BX14" s="157"/>
      <c r="BY14" s="157"/>
      <c r="BZ14" s="157"/>
      <c r="CA14" s="157"/>
      <c r="CB14" s="157"/>
      <c r="CC14" s="157"/>
      <c r="CD14" s="157"/>
      <c r="CE14" s="157"/>
      <c r="CF14" s="157"/>
      <c r="CG14" s="157"/>
      <c r="CH14" s="157"/>
      <c r="CI14" s="157"/>
      <c r="CJ14" s="157"/>
      <c r="CK14" s="157"/>
      <c r="CL14" s="157"/>
      <c r="CM14" s="157"/>
      <c r="CN14" s="157"/>
      <c r="CO14" s="157"/>
      <c r="CP14" s="157"/>
      <c r="CQ14" s="157"/>
      <c r="CR14" s="157"/>
      <c r="CS14" s="157"/>
      <c r="CT14" s="157"/>
      <c r="CU14" s="157"/>
      <c r="CV14" s="157"/>
      <c r="CW14" s="157"/>
      <c r="CX14" s="157"/>
      <c r="CY14" s="157"/>
      <c r="CZ14" s="157"/>
      <c r="DA14" s="157"/>
      <c r="DB14" s="157"/>
      <c r="DC14" s="157"/>
      <c r="DD14" s="157"/>
      <c r="DE14" s="157"/>
      <c r="DF14" s="157"/>
      <c r="DG14" s="157"/>
      <c r="DH14" s="157"/>
      <c r="DI14" s="157"/>
      <c r="DJ14" s="157"/>
      <c r="DK14" s="157"/>
      <c r="DL14" s="157"/>
      <c r="DM14" s="157"/>
      <c r="DN14" s="157"/>
      <c r="DO14" s="157"/>
      <c r="DP14" s="157"/>
      <c r="DQ14" s="157"/>
      <c r="DR14" s="157"/>
      <c r="DS14" s="157"/>
      <c r="DT14" s="157"/>
      <c r="DU14" s="157"/>
      <c r="DV14" s="157"/>
      <c r="DW14" s="157"/>
      <c r="DX14" s="157"/>
      <c r="DY14" s="157"/>
      <c r="DZ14" s="157"/>
      <c r="EA14" s="157"/>
      <c r="EB14" s="157"/>
      <c r="EC14" s="157"/>
      <c r="ED14" s="157"/>
      <c r="EE14" s="157"/>
      <c r="EF14" s="157"/>
      <c r="EG14" s="157"/>
      <c r="EH14" s="157"/>
      <c r="EI14" s="157"/>
      <c r="EJ14" s="157"/>
      <c r="EK14" s="157"/>
      <c r="EL14" s="157"/>
      <c r="EM14" s="157"/>
      <c r="EN14" s="157"/>
      <c r="EO14" s="157"/>
      <c r="EP14" s="157"/>
      <c r="EQ14" s="157"/>
      <c r="ER14" s="157"/>
      <c r="ES14" s="157"/>
      <c r="ET14" s="157"/>
      <c r="EU14" s="157"/>
      <c r="EV14" s="157"/>
      <c r="EW14" s="157"/>
      <c r="EX14" s="157"/>
      <c r="EY14" s="157"/>
      <c r="EZ14" s="157"/>
      <c r="FA14" s="157"/>
      <c r="FB14" s="157"/>
      <c r="FC14" s="157"/>
      <c r="FD14" s="157"/>
      <c r="FE14" s="157"/>
      <c r="FF14" s="157"/>
      <c r="FG14" s="157"/>
      <c r="FH14" s="157"/>
      <c r="FI14" s="157"/>
      <c r="FJ14" s="157"/>
      <c r="FK14" s="157"/>
      <c r="FL14" s="157"/>
      <c r="FM14" s="157"/>
      <c r="FN14" s="157"/>
      <c r="FO14" s="157"/>
      <c r="FP14" s="157"/>
      <c r="FQ14" s="157"/>
      <c r="FR14" s="157"/>
      <c r="FS14" s="157"/>
      <c r="FT14" s="157"/>
      <c r="FU14" s="157"/>
      <c r="FV14" s="157"/>
      <c r="FW14" s="157"/>
      <c r="FX14" s="157"/>
      <c r="FY14" s="157"/>
      <c r="FZ14" s="157"/>
      <c r="GA14" s="157"/>
      <c r="GB14" s="157"/>
      <c r="GC14" s="157"/>
      <c r="GD14" s="157"/>
      <c r="GE14" s="157"/>
      <c r="GF14" s="157"/>
      <c r="GG14" s="157"/>
      <c r="GH14" s="157"/>
      <c r="GI14" s="157"/>
      <c r="GJ14" s="157"/>
      <c r="GK14" s="157"/>
      <c r="GL14" s="157"/>
      <c r="GM14" s="157"/>
      <c r="GN14" s="157"/>
      <c r="GO14" s="157"/>
      <c r="GP14" s="157"/>
      <c r="GQ14" s="157"/>
      <c r="GR14" s="157"/>
      <c r="GS14" s="157"/>
      <c r="GT14" s="157"/>
      <c r="GU14" s="157"/>
      <c r="GV14" s="157"/>
      <c r="GW14" s="157"/>
      <c r="GX14" s="157"/>
      <c r="GY14" s="157"/>
      <c r="GZ14" s="157"/>
      <c r="HA14" s="157"/>
      <c r="HB14" s="157"/>
      <c r="HC14" s="157"/>
      <c r="HD14" s="157"/>
      <c r="HE14" s="157"/>
      <c r="HF14" s="157"/>
      <c r="HG14" s="157"/>
      <c r="HH14" s="157"/>
      <c r="HI14" s="157"/>
      <c r="HJ14" s="157"/>
      <c r="HK14" s="157"/>
      <c r="HL14" s="157"/>
      <c r="HM14" s="157"/>
      <c r="HN14" s="157"/>
      <c r="HO14" s="157"/>
      <c r="HP14" s="157"/>
      <c r="HQ14" s="157"/>
      <c r="HR14" s="157"/>
      <c r="HS14" s="157"/>
      <c r="HT14" s="157"/>
      <c r="HU14" s="157"/>
      <c r="HV14" s="157"/>
      <c r="HW14" s="157"/>
      <c r="HX14" s="157"/>
      <c r="HY14" s="157"/>
      <c r="HZ14" s="157"/>
      <c r="IA14" s="157"/>
      <c r="IB14" s="157"/>
      <c r="IC14" s="157"/>
      <c r="ID14" s="157"/>
      <c r="IE14" s="157"/>
      <c r="IF14" s="157"/>
      <c r="IG14" s="157"/>
      <c r="IH14" s="157"/>
      <c r="II14" s="157"/>
      <c r="IJ14" s="157"/>
      <c r="IK14" s="157"/>
      <c r="IL14" s="157"/>
      <c r="IM14" s="157"/>
      <c r="IN14" s="157"/>
      <c r="IO14" s="157"/>
      <c r="IP14" s="157"/>
      <c r="IQ14" s="157"/>
      <c r="IR14" s="157"/>
      <c r="IS14" s="157"/>
      <c r="IT14" s="157"/>
      <c r="IU14" s="157"/>
      <c r="IV14" s="157"/>
      <c r="IW14" s="157"/>
      <c r="IX14" s="157"/>
      <c r="IY14" s="157"/>
      <c r="IZ14" s="157"/>
      <c r="JA14" s="157"/>
      <c r="JB14" s="157"/>
      <c r="JC14" s="157"/>
      <c r="JD14" s="157"/>
      <c r="JE14" s="157"/>
      <c r="JF14" s="157"/>
      <c r="JG14" s="157"/>
      <c r="JH14" s="157"/>
      <c r="JI14" s="157"/>
      <c r="JJ14" s="157"/>
      <c r="JK14" s="157"/>
      <c r="JL14" s="157"/>
      <c r="JM14" s="157"/>
      <c r="JN14" s="157"/>
      <c r="JO14" s="157"/>
      <c r="JP14" s="157"/>
      <c r="JQ14" s="157"/>
      <c r="JR14" s="157"/>
      <c r="JS14" s="157"/>
      <c r="JT14" s="157"/>
      <c r="JU14" s="157"/>
      <c r="JV14" s="157"/>
      <c r="JW14" s="157"/>
      <c r="JX14" s="157"/>
      <c r="JY14" s="157"/>
      <c r="JZ14" s="157"/>
      <c r="KA14" s="157"/>
      <c r="KB14" s="157"/>
      <c r="KC14" s="157"/>
      <c r="KD14" s="157"/>
      <c r="KE14" s="157"/>
      <c r="KF14" s="157"/>
      <c r="KG14" s="157"/>
      <c r="KH14" s="157"/>
      <c r="KI14" s="157"/>
      <c r="KJ14" s="157"/>
      <c r="KK14" s="157"/>
    </row>
    <row r="15" spans="1:297" ht="49" thickBot="1" x14ac:dyDescent="0.25">
      <c r="A15" s="433"/>
      <c r="B15" s="159" t="s">
        <v>132</v>
      </c>
      <c r="C15" s="160"/>
      <c r="D15" s="160" t="s">
        <v>143</v>
      </c>
      <c r="E15" s="160"/>
      <c r="F15" s="358">
        <v>3.9612292365580108E-2</v>
      </c>
      <c r="G15" s="359">
        <v>0.3370449559881154</v>
      </c>
      <c r="H15" s="358">
        <v>0.16429681107171235</v>
      </c>
      <c r="I15" s="359">
        <v>9.3211402741638864E-3</v>
      </c>
      <c r="J15" s="358">
        <v>7.5936371282964724E-2</v>
      </c>
      <c r="K15" s="359">
        <v>0.3146285810867912</v>
      </c>
      <c r="L15" s="358">
        <v>8.287961352701842E-2</v>
      </c>
      <c r="M15" s="360">
        <v>0.13335476562260801</v>
      </c>
      <c r="N15" s="164" t="s">
        <v>103</v>
      </c>
      <c r="O15" s="154" t="s">
        <v>14</v>
      </c>
      <c r="P15" s="319" t="s">
        <v>102</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7"/>
      <c r="BQ15" s="157"/>
      <c r="BR15" s="157"/>
      <c r="BS15" s="157"/>
      <c r="BT15" s="157"/>
      <c r="BU15" s="157"/>
      <c r="BV15" s="157"/>
      <c r="BW15" s="157"/>
      <c r="BX15" s="157"/>
      <c r="BY15" s="157"/>
      <c r="BZ15" s="157"/>
      <c r="CA15" s="157"/>
      <c r="CB15" s="157"/>
      <c r="CC15" s="157"/>
      <c r="CD15" s="157"/>
      <c r="CE15" s="157"/>
      <c r="CF15" s="157"/>
      <c r="CG15" s="157"/>
      <c r="CH15" s="157"/>
      <c r="CI15" s="157"/>
      <c r="CJ15" s="157"/>
      <c r="CK15" s="157"/>
      <c r="CL15" s="157"/>
      <c r="CM15" s="157"/>
      <c r="CN15" s="157"/>
      <c r="CO15" s="157"/>
      <c r="CP15" s="157"/>
      <c r="CQ15" s="157"/>
      <c r="CR15" s="157"/>
      <c r="CS15" s="157"/>
      <c r="CT15" s="157"/>
      <c r="CU15" s="157"/>
      <c r="CV15" s="157"/>
      <c r="CW15" s="157"/>
      <c r="CX15" s="157"/>
      <c r="CY15" s="157"/>
      <c r="CZ15" s="157"/>
      <c r="DA15" s="157"/>
      <c r="DB15" s="157"/>
      <c r="DC15" s="157"/>
      <c r="DD15" s="157"/>
      <c r="DE15" s="157"/>
      <c r="DF15" s="157"/>
      <c r="DG15" s="157"/>
      <c r="DH15" s="157"/>
      <c r="DI15" s="157"/>
      <c r="DJ15" s="157"/>
      <c r="DK15" s="157"/>
      <c r="DL15" s="157"/>
      <c r="DM15" s="157"/>
      <c r="DN15" s="157"/>
      <c r="DO15" s="157"/>
      <c r="DP15" s="157"/>
      <c r="DQ15" s="157"/>
      <c r="DR15" s="157"/>
      <c r="DS15" s="157"/>
      <c r="DT15" s="157"/>
      <c r="DU15" s="157"/>
      <c r="DV15" s="157"/>
      <c r="DW15" s="157"/>
      <c r="DX15" s="157"/>
      <c r="DY15" s="157"/>
      <c r="DZ15" s="157"/>
      <c r="EA15" s="157"/>
      <c r="EB15" s="157"/>
      <c r="EC15" s="157"/>
      <c r="ED15" s="157"/>
      <c r="EE15" s="157"/>
      <c r="EF15" s="157"/>
      <c r="EG15" s="157"/>
      <c r="EH15" s="157"/>
      <c r="EI15" s="157"/>
      <c r="EJ15" s="157"/>
      <c r="EK15" s="157"/>
      <c r="EL15" s="157"/>
      <c r="EM15" s="157"/>
      <c r="EN15" s="157"/>
      <c r="EO15" s="157"/>
      <c r="EP15" s="157"/>
      <c r="EQ15" s="157"/>
      <c r="ER15" s="157"/>
      <c r="ES15" s="157"/>
      <c r="ET15" s="157"/>
      <c r="EU15" s="157"/>
      <c r="EV15" s="157"/>
      <c r="EW15" s="157"/>
      <c r="EX15" s="157"/>
      <c r="EY15" s="157"/>
      <c r="EZ15" s="157"/>
      <c r="FA15" s="157"/>
      <c r="FB15" s="157"/>
      <c r="FC15" s="157"/>
      <c r="FD15" s="157"/>
      <c r="FE15" s="157"/>
      <c r="FF15" s="157"/>
      <c r="FG15" s="157"/>
      <c r="FH15" s="157"/>
      <c r="FI15" s="157"/>
      <c r="FJ15" s="157"/>
      <c r="FK15" s="157"/>
      <c r="FL15" s="157"/>
      <c r="FM15" s="157"/>
      <c r="FN15" s="157"/>
      <c r="FO15" s="157"/>
      <c r="FP15" s="157"/>
      <c r="FQ15" s="157"/>
      <c r="FR15" s="157"/>
      <c r="FS15" s="157"/>
      <c r="FT15" s="157"/>
      <c r="FU15" s="157"/>
      <c r="FV15" s="157"/>
      <c r="FW15" s="157"/>
      <c r="FX15" s="157"/>
      <c r="FY15" s="157"/>
      <c r="FZ15" s="157"/>
      <c r="GA15" s="157"/>
      <c r="GB15" s="157"/>
      <c r="GC15" s="157"/>
      <c r="GD15" s="157"/>
      <c r="GE15" s="157"/>
      <c r="GF15" s="157"/>
      <c r="GG15" s="157"/>
      <c r="GH15" s="157"/>
      <c r="GI15" s="157"/>
      <c r="GJ15" s="157"/>
      <c r="GK15" s="157"/>
      <c r="GL15" s="157"/>
      <c r="GM15" s="157"/>
      <c r="GN15" s="157"/>
      <c r="GO15" s="157"/>
      <c r="GP15" s="157"/>
      <c r="GQ15" s="157"/>
      <c r="GR15" s="157"/>
      <c r="GS15" s="157"/>
      <c r="GT15" s="157"/>
      <c r="GU15" s="157"/>
      <c r="GV15" s="157"/>
      <c r="GW15" s="157"/>
      <c r="GX15" s="157"/>
      <c r="GY15" s="157"/>
      <c r="GZ15" s="157"/>
      <c r="HA15" s="157"/>
      <c r="HB15" s="157"/>
      <c r="HC15" s="157"/>
      <c r="HD15" s="157"/>
      <c r="HE15" s="157"/>
      <c r="HF15" s="157"/>
      <c r="HG15" s="157"/>
      <c r="HH15" s="157"/>
      <c r="HI15" s="157"/>
      <c r="HJ15" s="157"/>
      <c r="HK15" s="157"/>
      <c r="HL15" s="157"/>
      <c r="HM15" s="157"/>
      <c r="HN15" s="157"/>
      <c r="HO15" s="157"/>
      <c r="HP15" s="157"/>
      <c r="HQ15" s="157"/>
      <c r="HR15" s="157"/>
      <c r="HS15" s="157"/>
      <c r="HT15" s="157"/>
      <c r="HU15" s="157"/>
      <c r="HV15" s="157"/>
      <c r="HW15" s="157"/>
      <c r="HX15" s="157"/>
      <c r="HY15" s="157"/>
      <c r="HZ15" s="157"/>
      <c r="IA15" s="157"/>
      <c r="IB15" s="157"/>
      <c r="IC15" s="157"/>
      <c r="ID15" s="157"/>
      <c r="IE15" s="157"/>
      <c r="IF15" s="157"/>
      <c r="IG15" s="157"/>
      <c r="IH15" s="157"/>
      <c r="II15" s="157"/>
      <c r="IJ15" s="157"/>
      <c r="IK15" s="157"/>
      <c r="IL15" s="157"/>
      <c r="IM15" s="157"/>
      <c r="IN15" s="157"/>
      <c r="IO15" s="157"/>
      <c r="IP15" s="157"/>
      <c r="IQ15" s="157"/>
      <c r="IR15" s="157"/>
      <c r="IS15" s="157"/>
      <c r="IT15" s="157"/>
      <c r="IU15" s="157"/>
      <c r="IV15" s="157"/>
      <c r="IW15" s="157"/>
      <c r="IX15" s="157"/>
      <c r="IY15" s="157"/>
      <c r="IZ15" s="157"/>
      <c r="JA15" s="157"/>
      <c r="JB15" s="157"/>
      <c r="JC15" s="157"/>
      <c r="JD15" s="157"/>
      <c r="JE15" s="157"/>
      <c r="JF15" s="157"/>
      <c r="JG15" s="157"/>
      <c r="JH15" s="157"/>
      <c r="JI15" s="157"/>
      <c r="JJ15" s="157"/>
      <c r="JK15" s="157"/>
      <c r="JL15" s="157"/>
      <c r="JM15" s="157"/>
      <c r="JN15" s="157"/>
      <c r="JO15" s="157"/>
      <c r="JP15" s="157"/>
      <c r="JQ15" s="157"/>
      <c r="JR15" s="157"/>
      <c r="JS15" s="157"/>
      <c r="JT15" s="157"/>
      <c r="JU15" s="157"/>
      <c r="JV15" s="157"/>
      <c r="JW15" s="157"/>
      <c r="JX15" s="157"/>
      <c r="JY15" s="157"/>
      <c r="JZ15" s="157"/>
      <c r="KA15" s="157"/>
      <c r="KB15" s="157"/>
      <c r="KC15" s="157"/>
      <c r="KD15" s="157"/>
      <c r="KE15" s="157"/>
      <c r="KF15" s="157"/>
      <c r="KG15" s="157"/>
      <c r="KH15" s="157"/>
      <c r="KI15" s="157"/>
      <c r="KJ15" s="157"/>
      <c r="KK15" s="157"/>
    </row>
    <row r="16" spans="1:297" ht="49" thickBot="1" x14ac:dyDescent="0.25">
      <c r="A16" s="433"/>
      <c r="B16" s="159" t="s">
        <v>65</v>
      </c>
      <c r="C16" s="160"/>
      <c r="D16" s="160" t="s">
        <v>143</v>
      </c>
      <c r="E16" s="160"/>
      <c r="F16" s="358">
        <v>0.96038770763441994</v>
      </c>
      <c r="G16" s="359">
        <v>0.66295504401188454</v>
      </c>
      <c r="H16" s="358">
        <v>0.83570318892828765</v>
      </c>
      <c r="I16" s="359">
        <v>0.99067885972583614</v>
      </c>
      <c r="J16" s="358">
        <v>0.92406362871703529</v>
      </c>
      <c r="K16" s="359">
        <v>0.68537141891320885</v>
      </c>
      <c r="L16" s="358">
        <v>0.91712038647298155</v>
      </c>
      <c r="M16" s="360">
        <v>0.86664523437739205</v>
      </c>
      <c r="N16" s="164" t="s">
        <v>104</v>
      </c>
      <c r="O16" s="154" t="s">
        <v>14</v>
      </c>
      <c r="P16" s="319" t="s">
        <v>102</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57"/>
      <c r="CE16" s="157"/>
      <c r="CF16" s="157"/>
      <c r="CG16" s="157"/>
      <c r="CH16" s="157"/>
      <c r="CI16" s="157"/>
      <c r="CJ16" s="157"/>
      <c r="CK16" s="157"/>
      <c r="CL16" s="157"/>
      <c r="CM16" s="157"/>
      <c r="CN16" s="157"/>
      <c r="CO16" s="157"/>
      <c r="CP16" s="157"/>
      <c r="CQ16" s="157"/>
      <c r="CR16" s="157"/>
      <c r="CS16" s="157"/>
      <c r="CT16" s="157"/>
      <c r="CU16" s="157"/>
      <c r="CV16" s="157"/>
      <c r="CW16" s="157"/>
      <c r="CX16" s="157"/>
      <c r="CY16" s="157"/>
      <c r="CZ16" s="157"/>
      <c r="DA16" s="157"/>
      <c r="DB16" s="157"/>
      <c r="DC16" s="157"/>
      <c r="DD16" s="157"/>
      <c r="DE16" s="157"/>
      <c r="DF16" s="157"/>
      <c r="DG16" s="157"/>
      <c r="DH16" s="157"/>
      <c r="DI16" s="157"/>
      <c r="DJ16" s="157"/>
      <c r="DK16" s="157"/>
      <c r="DL16" s="157"/>
      <c r="DM16" s="157"/>
      <c r="DN16" s="157"/>
      <c r="DO16" s="157"/>
      <c r="DP16" s="157"/>
      <c r="DQ16" s="157"/>
      <c r="DR16" s="157"/>
      <c r="DS16" s="157"/>
      <c r="DT16" s="157"/>
      <c r="DU16" s="157"/>
      <c r="DV16" s="157"/>
      <c r="DW16" s="157"/>
      <c r="DX16" s="157"/>
      <c r="DY16" s="157"/>
      <c r="DZ16" s="157"/>
      <c r="EA16" s="157"/>
      <c r="EB16" s="157"/>
      <c r="EC16" s="157"/>
      <c r="ED16" s="157"/>
      <c r="EE16" s="157"/>
      <c r="EF16" s="157"/>
      <c r="EG16" s="157"/>
      <c r="EH16" s="157"/>
      <c r="EI16" s="157"/>
      <c r="EJ16" s="157"/>
      <c r="EK16" s="157"/>
      <c r="EL16" s="157"/>
      <c r="EM16" s="157"/>
      <c r="EN16" s="157"/>
      <c r="EO16" s="157"/>
      <c r="EP16" s="157"/>
      <c r="EQ16" s="157"/>
      <c r="ER16" s="157"/>
      <c r="ES16" s="157"/>
      <c r="ET16" s="157"/>
      <c r="EU16" s="157"/>
      <c r="EV16" s="157"/>
      <c r="EW16" s="157"/>
      <c r="EX16" s="157"/>
      <c r="EY16" s="157"/>
      <c r="EZ16" s="157"/>
      <c r="FA16" s="157"/>
      <c r="FB16" s="157"/>
      <c r="FC16" s="157"/>
      <c r="FD16" s="157"/>
      <c r="FE16" s="157"/>
      <c r="FF16" s="157"/>
      <c r="FG16" s="157"/>
      <c r="FH16" s="157"/>
      <c r="FI16" s="157"/>
      <c r="FJ16" s="157"/>
      <c r="FK16" s="157"/>
      <c r="FL16" s="157"/>
      <c r="FM16" s="157"/>
      <c r="FN16" s="157"/>
      <c r="FO16" s="157"/>
      <c r="FP16" s="157"/>
      <c r="FQ16" s="157"/>
      <c r="FR16" s="157"/>
      <c r="FS16" s="157"/>
      <c r="FT16" s="157"/>
      <c r="FU16" s="157"/>
      <c r="FV16" s="157"/>
      <c r="FW16" s="157"/>
      <c r="FX16" s="157"/>
      <c r="FY16" s="157"/>
      <c r="FZ16" s="157"/>
      <c r="GA16" s="157"/>
      <c r="GB16" s="157"/>
      <c r="GC16" s="157"/>
      <c r="GD16" s="157"/>
      <c r="GE16" s="157"/>
      <c r="GF16" s="157"/>
      <c r="GG16" s="157"/>
      <c r="GH16" s="157"/>
      <c r="GI16" s="157"/>
      <c r="GJ16" s="157"/>
      <c r="GK16" s="157"/>
      <c r="GL16" s="157"/>
      <c r="GM16" s="157"/>
      <c r="GN16" s="157"/>
      <c r="GO16" s="157"/>
      <c r="GP16" s="157"/>
      <c r="GQ16" s="157"/>
      <c r="GR16" s="157"/>
      <c r="GS16" s="157"/>
      <c r="GT16" s="157"/>
      <c r="GU16" s="157"/>
      <c r="GV16" s="157"/>
      <c r="GW16" s="157"/>
      <c r="GX16" s="157"/>
      <c r="GY16" s="157"/>
      <c r="GZ16" s="157"/>
      <c r="HA16" s="157"/>
      <c r="HB16" s="157"/>
      <c r="HC16" s="157"/>
      <c r="HD16" s="157"/>
      <c r="HE16" s="157"/>
      <c r="HF16" s="157"/>
      <c r="HG16" s="157"/>
      <c r="HH16" s="157"/>
      <c r="HI16" s="157"/>
      <c r="HJ16" s="157"/>
      <c r="HK16" s="157"/>
      <c r="HL16" s="157"/>
      <c r="HM16" s="157"/>
      <c r="HN16" s="157"/>
      <c r="HO16" s="157"/>
      <c r="HP16" s="157"/>
      <c r="HQ16" s="157"/>
      <c r="HR16" s="157"/>
      <c r="HS16" s="157"/>
      <c r="HT16" s="157"/>
      <c r="HU16" s="157"/>
      <c r="HV16" s="157"/>
      <c r="HW16" s="157"/>
      <c r="HX16" s="157"/>
      <c r="HY16" s="157"/>
      <c r="HZ16" s="157"/>
      <c r="IA16" s="157"/>
      <c r="IB16" s="157"/>
      <c r="IC16" s="157"/>
      <c r="ID16" s="157"/>
      <c r="IE16" s="157"/>
      <c r="IF16" s="157"/>
      <c r="IG16" s="157"/>
      <c r="IH16" s="157"/>
      <c r="II16" s="157"/>
      <c r="IJ16" s="157"/>
      <c r="IK16" s="157"/>
      <c r="IL16" s="157"/>
      <c r="IM16" s="157"/>
      <c r="IN16" s="157"/>
      <c r="IO16" s="157"/>
      <c r="IP16" s="157"/>
      <c r="IQ16" s="157"/>
      <c r="IR16" s="157"/>
      <c r="IS16" s="157"/>
      <c r="IT16" s="157"/>
      <c r="IU16" s="157"/>
      <c r="IV16" s="157"/>
      <c r="IW16" s="157"/>
      <c r="IX16" s="157"/>
      <c r="IY16" s="157"/>
      <c r="IZ16" s="157"/>
      <c r="JA16" s="157"/>
      <c r="JB16" s="157"/>
      <c r="JC16" s="157"/>
      <c r="JD16" s="157"/>
      <c r="JE16" s="157"/>
      <c r="JF16" s="157"/>
      <c r="JG16" s="157"/>
      <c r="JH16" s="157"/>
      <c r="JI16" s="157"/>
      <c r="JJ16" s="157"/>
      <c r="JK16" s="157"/>
      <c r="JL16" s="157"/>
      <c r="JM16" s="157"/>
      <c r="JN16" s="157"/>
      <c r="JO16" s="157"/>
      <c r="JP16" s="157"/>
      <c r="JQ16" s="157"/>
      <c r="JR16" s="157"/>
      <c r="JS16" s="157"/>
      <c r="JT16" s="157"/>
      <c r="JU16" s="157"/>
      <c r="JV16" s="157"/>
      <c r="JW16" s="157"/>
      <c r="JX16" s="157"/>
      <c r="JY16" s="157"/>
      <c r="JZ16" s="157"/>
      <c r="KA16" s="157"/>
      <c r="KB16" s="157"/>
      <c r="KC16" s="157"/>
      <c r="KD16" s="157"/>
      <c r="KE16" s="157"/>
      <c r="KF16" s="157"/>
      <c r="KG16" s="157"/>
      <c r="KH16" s="157"/>
      <c r="KI16" s="157"/>
      <c r="KJ16" s="157"/>
      <c r="KK16" s="157"/>
    </row>
    <row r="17" spans="1:297" ht="17" thickBot="1" x14ac:dyDescent="0.25">
      <c r="A17" s="433"/>
      <c r="B17" s="159" t="s">
        <v>66</v>
      </c>
      <c r="C17" s="159" t="s">
        <v>152</v>
      </c>
      <c r="D17" s="159" t="s">
        <v>143</v>
      </c>
      <c r="E17" s="159"/>
      <c r="F17" s="358">
        <v>285.14999999999998</v>
      </c>
      <c r="G17" s="359">
        <v>285.14999999999998</v>
      </c>
      <c r="H17" s="358">
        <v>285.14999999999998</v>
      </c>
      <c r="I17" s="359">
        <v>285.14999999999998</v>
      </c>
      <c r="J17" s="358">
        <v>285.14999999999998</v>
      </c>
      <c r="K17" s="359">
        <v>285.14999999999998</v>
      </c>
      <c r="L17" s="358">
        <v>285.14999999999998</v>
      </c>
      <c r="M17" s="360">
        <v>285.14999999999998</v>
      </c>
      <c r="N17" s="164" t="s">
        <v>105</v>
      </c>
      <c r="O17" s="154" t="s">
        <v>106</v>
      </c>
      <c r="P17" s="318" t="s">
        <v>101</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7"/>
      <c r="BQ17" s="157"/>
      <c r="BR17" s="157"/>
      <c r="BS17" s="157"/>
      <c r="BT17" s="157"/>
      <c r="BU17" s="157"/>
      <c r="BV17" s="157"/>
      <c r="BW17" s="157"/>
      <c r="BX17" s="157"/>
      <c r="BY17" s="157"/>
      <c r="BZ17" s="157"/>
      <c r="CA17" s="157"/>
      <c r="CB17" s="157"/>
      <c r="CC17" s="157"/>
      <c r="CD17" s="157"/>
      <c r="CE17" s="157"/>
      <c r="CF17" s="157"/>
      <c r="CG17" s="157"/>
      <c r="CH17" s="157"/>
      <c r="CI17" s="157"/>
      <c r="CJ17" s="157"/>
      <c r="CK17" s="157"/>
      <c r="CL17" s="157"/>
      <c r="CM17" s="157"/>
      <c r="CN17" s="157"/>
      <c r="CO17" s="157"/>
      <c r="CP17" s="157"/>
      <c r="CQ17" s="157"/>
      <c r="CR17" s="157"/>
      <c r="CS17" s="157"/>
      <c r="CT17" s="157"/>
      <c r="CU17" s="157"/>
      <c r="CV17" s="157"/>
      <c r="CW17" s="157"/>
      <c r="CX17" s="157"/>
      <c r="CY17" s="157"/>
      <c r="CZ17" s="157"/>
      <c r="DA17" s="157"/>
      <c r="DB17" s="157"/>
      <c r="DC17" s="157"/>
      <c r="DD17" s="157"/>
      <c r="DE17" s="157"/>
      <c r="DF17" s="157"/>
      <c r="DG17" s="157"/>
      <c r="DH17" s="157"/>
      <c r="DI17" s="157"/>
      <c r="DJ17" s="157"/>
      <c r="DK17" s="157"/>
      <c r="DL17" s="157"/>
      <c r="DM17" s="157"/>
      <c r="DN17" s="157"/>
      <c r="DO17" s="157"/>
      <c r="DP17" s="157"/>
      <c r="DQ17" s="157"/>
      <c r="DR17" s="157"/>
      <c r="DS17" s="157"/>
      <c r="DT17" s="157"/>
      <c r="DU17" s="157"/>
      <c r="DV17" s="157"/>
      <c r="DW17" s="157"/>
      <c r="DX17" s="157"/>
      <c r="DY17" s="157"/>
      <c r="DZ17" s="157"/>
      <c r="EA17" s="157"/>
      <c r="EB17" s="157"/>
      <c r="EC17" s="157"/>
      <c r="ED17" s="157"/>
      <c r="EE17" s="157"/>
      <c r="EF17" s="157"/>
      <c r="EG17" s="157"/>
      <c r="EH17" s="157"/>
      <c r="EI17" s="157"/>
      <c r="EJ17" s="157"/>
      <c r="EK17" s="157"/>
      <c r="EL17" s="157"/>
      <c r="EM17" s="157"/>
      <c r="EN17" s="157"/>
      <c r="EO17" s="157"/>
      <c r="EP17" s="157"/>
      <c r="EQ17" s="157"/>
      <c r="ER17" s="157"/>
      <c r="ES17" s="157"/>
      <c r="ET17" s="157"/>
      <c r="EU17" s="157"/>
      <c r="EV17" s="157"/>
      <c r="EW17" s="157"/>
      <c r="EX17" s="157"/>
      <c r="EY17" s="157"/>
      <c r="EZ17" s="157"/>
      <c r="FA17" s="157"/>
      <c r="FB17" s="157"/>
      <c r="FC17" s="157"/>
      <c r="FD17" s="157"/>
      <c r="FE17" s="157"/>
      <c r="FF17" s="157"/>
      <c r="FG17" s="157"/>
      <c r="FH17" s="157"/>
      <c r="FI17" s="157"/>
      <c r="FJ17" s="157"/>
      <c r="FK17" s="157"/>
      <c r="FL17" s="157"/>
      <c r="FM17" s="157"/>
      <c r="FN17" s="157"/>
      <c r="FO17" s="157"/>
      <c r="FP17" s="157"/>
      <c r="FQ17" s="157"/>
      <c r="FR17" s="157"/>
      <c r="FS17" s="157"/>
      <c r="FT17" s="157"/>
      <c r="FU17" s="157"/>
      <c r="FV17" s="157"/>
      <c r="FW17" s="157"/>
      <c r="FX17" s="157"/>
      <c r="FY17" s="157"/>
      <c r="FZ17" s="157"/>
      <c r="GA17" s="157"/>
      <c r="GB17" s="157"/>
      <c r="GC17" s="157"/>
      <c r="GD17" s="157"/>
      <c r="GE17" s="157"/>
      <c r="GF17" s="157"/>
      <c r="GG17" s="157"/>
      <c r="GH17" s="157"/>
      <c r="GI17" s="157"/>
      <c r="GJ17" s="157"/>
      <c r="GK17" s="157"/>
      <c r="GL17" s="157"/>
      <c r="GM17" s="157"/>
      <c r="GN17" s="157"/>
      <c r="GO17" s="157"/>
      <c r="GP17" s="157"/>
      <c r="GQ17" s="157"/>
      <c r="GR17" s="157"/>
      <c r="GS17" s="157"/>
      <c r="GT17" s="157"/>
      <c r="GU17" s="157"/>
      <c r="GV17" s="157"/>
      <c r="GW17" s="157"/>
      <c r="GX17" s="157"/>
      <c r="GY17" s="157"/>
      <c r="GZ17" s="157"/>
      <c r="HA17" s="157"/>
      <c r="HB17" s="157"/>
      <c r="HC17" s="157"/>
      <c r="HD17" s="157"/>
      <c r="HE17" s="157"/>
      <c r="HF17" s="157"/>
      <c r="HG17" s="157"/>
      <c r="HH17" s="157"/>
      <c r="HI17" s="157"/>
      <c r="HJ17" s="157"/>
      <c r="HK17" s="157"/>
      <c r="HL17" s="157"/>
      <c r="HM17" s="157"/>
      <c r="HN17" s="157"/>
      <c r="HO17" s="157"/>
      <c r="HP17" s="157"/>
      <c r="HQ17" s="157"/>
      <c r="HR17" s="157"/>
      <c r="HS17" s="157"/>
      <c r="HT17" s="157"/>
      <c r="HU17" s="157"/>
      <c r="HV17" s="157"/>
      <c r="HW17" s="157"/>
      <c r="HX17" s="157"/>
      <c r="HY17" s="157"/>
      <c r="HZ17" s="157"/>
      <c r="IA17" s="157"/>
      <c r="IB17" s="157"/>
      <c r="IC17" s="157"/>
      <c r="ID17" s="157"/>
      <c r="IE17" s="157"/>
      <c r="IF17" s="157"/>
      <c r="IG17" s="157"/>
      <c r="IH17" s="157"/>
      <c r="II17" s="157"/>
      <c r="IJ17" s="157"/>
      <c r="IK17" s="157"/>
      <c r="IL17" s="157"/>
      <c r="IM17" s="157"/>
      <c r="IN17" s="157"/>
      <c r="IO17" s="157"/>
      <c r="IP17" s="157"/>
      <c r="IQ17" s="157"/>
      <c r="IR17" s="157"/>
      <c r="IS17" s="157"/>
      <c r="IT17" s="157"/>
      <c r="IU17" s="157"/>
      <c r="IV17" s="157"/>
      <c r="IW17" s="157"/>
      <c r="IX17" s="157"/>
      <c r="IY17" s="157"/>
      <c r="IZ17" s="157"/>
      <c r="JA17" s="157"/>
      <c r="JB17" s="157"/>
      <c r="JC17" s="157"/>
      <c r="JD17" s="157"/>
      <c r="JE17" s="157"/>
      <c r="JF17" s="157"/>
      <c r="JG17" s="157"/>
      <c r="JH17" s="157"/>
      <c r="JI17" s="157"/>
      <c r="JJ17" s="157"/>
      <c r="JK17" s="157"/>
      <c r="JL17" s="157"/>
      <c r="JM17" s="157"/>
      <c r="JN17" s="157"/>
      <c r="JO17" s="157"/>
      <c r="JP17" s="157"/>
      <c r="JQ17" s="157"/>
      <c r="JR17" s="157"/>
      <c r="JS17" s="157"/>
      <c r="JT17" s="157"/>
      <c r="JU17" s="157"/>
      <c r="JV17" s="157"/>
      <c r="JW17" s="157"/>
      <c r="JX17" s="157"/>
      <c r="JY17" s="157"/>
      <c r="JZ17" s="157"/>
      <c r="KA17" s="157"/>
      <c r="KB17" s="157"/>
      <c r="KC17" s="157"/>
      <c r="KD17" s="157"/>
      <c r="KE17" s="157"/>
      <c r="KF17" s="157"/>
      <c r="KG17" s="157"/>
      <c r="KH17" s="157"/>
      <c r="KI17" s="157"/>
      <c r="KJ17" s="157"/>
      <c r="KK17" s="157"/>
    </row>
    <row r="18" spans="1:297" ht="17" thickBot="1" x14ac:dyDescent="0.25">
      <c r="A18" s="433"/>
      <c r="B18" s="159" t="s">
        <v>67</v>
      </c>
      <c r="C18" s="159" t="s">
        <v>153</v>
      </c>
      <c r="D18" s="159" t="s">
        <v>143</v>
      </c>
      <c r="E18" s="159"/>
      <c r="F18" s="358">
        <v>3</v>
      </c>
      <c r="G18" s="359">
        <v>3</v>
      </c>
      <c r="H18" s="358">
        <v>3</v>
      </c>
      <c r="I18" s="359">
        <v>3</v>
      </c>
      <c r="J18" s="358">
        <v>3</v>
      </c>
      <c r="K18" s="359">
        <v>3</v>
      </c>
      <c r="L18" s="358">
        <v>3</v>
      </c>
      <c r="M18" s="360">
        <v>3</v>
      </c>
      <c r="N18" s="164" t="s">
        <v>107</v>
      </c>
      <c r="O18" s="154" t="s">
        <v>108</v>
      </c>
      <c r="P18" s="318" t="s">
        <v>101</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7"/>
      <c r="BQ18" s="157"/>
      <c r="BR18" s="157"/>
      <c r="BS18" s="157"/>
      <c r="BT18" s="157"/>
      <c r="BU18" s="157"/>
      <c r="BV18" s="157"/>
      <c r="BW18" s="157"/>
      <c r="BX18" s="157"/>
      <c r="BY18" s="157"/>
      <c r="BZ18" s="157"/>
      <c r="CA18" s="157"/>
      <c r="CB18" s="157"/>
      <c r="CC18" s="157"/>
      <c r="CD18" s="157"/>
      <c r="CE18" s="157"/>
      <c r="CF18" s="157"/>
      <c r="CG18" s="157"/>
      <c r="CH18" s="157"/>
      <c r="CI18" s="157"/>
      <c r="CJ18" s="157"/>
      <c r="CK18" s="157"/>
      <c r="CL18" s="157"/>
      <c r="CM18" s="157"/>
      <c r="CN18" s="157"/>
      <c r="CO18" s="157"/>
      <c r="CP18" s="157"/>
      <c r="CQ18" s="157"/>
      <c r="CR18" s="157"/>
      <c r="CS18" s="157"/>
      <c r="CT18" s="157"/>
      <c r="CU18" s="157"/>
      <c r="CV18" s="157"/>
      <c r="CW18" s="157"/>
      <c r="CX18" s="157"/>
      <c r="CY18" s="157"/>
      <c r="CZ18" s="157"/>
      <c r="DA18" s="157"/>
      <c r="DB18" s="157"/>
      <c r="DC18" s="157"/>
      <c r="DD18" s="157"/>
      <c r="DE18" s="157"/>
      <c r="DF18" s="157"/>
      <c r="DG18" s="157"/>
      <c r="DH18" s="157"/>
      <c r="DI18" s="157"/>
      <c r="DJ18" s="157"/>
      <c r="DK18" s="157"/>
      <c r="DL18" s="157"/>
      <c r="DM18" s="157"/>
      <c r="DN18" s="157"/>
      <c r="DO18" s="157"/>
      <c r="DP18" s="157"/>
      <c r="DQ18" s="157"/>
      <c r="DR18" s="157"/>
      <c r="DS18" s="157"/>
      <c r="DT18" s="157"/>
      <c r="DU18" s="157"/>
      <c r="DV18" s="157"/>
      <c r="DW18" s="157"/>
      <c r="DX18" s="157"/>
      <c r="DY18" s="157"/>
      <c r="DZ18" s="157"/>
      <c r="EA18" s="157"/>
      <c r="EB18" s="157"/>
      <c r="EC18" s="157"/>
      <c r="ED18" s="157"/>
      <c r="EE18" s="157"/>
      <c r="EF18" s="157"/>
      <c r="EG18" s="157"/>
      <c r="EH18" s="157"/>
      <c r="EI18" s="157"/>
      <c r="EJ18" s="157"/>
      <c r="EK18" s="157"/>
      <c r="EL18" s="157"/>
      <c r="EM18" s="157"/>
      <c r="EN18" s="157"/>
      <c r="EO18" s="157"/>
      <c r="EP18" s="157"/>
      <c r="EQ18" s="157"/>
      <c r="ER18" s="157"/>
      <c r="ES18" s="157"/>
      <c r="ET18" s="157"/>
      <c r="EU18" s="157"/>
      <c r="EV18" s="157"/>
      <c r="EW18" s="157"/>
      <c r="EX18" s="157"/>
      <c r="EY18" s="157"/>
      <c r="EZ18" s="157"/>
      <c r="FA18" s="157"/>
      <c r="FB18" s="157"/>
      <c r="FC18" s="157"/>
      <c r="FD18" s="157"/>
      <c r="FE18" s="157"/>
      <c r="FF18" s="157"/>
      <c r="FG18" s="157"/>
      <c r="FH18" s="157"/>
      <c r="FI18" s="157"/>
      <c r="FJ18" s="157"/>
      <c r="FK18" s="157"/>
      <c r="FL18" s="157"/>
      <c r="FM18" s="157"/>
      <c r="FN18" s="157"/>
      <c r="FO18" s="157"/>
      <c r="FP18" s="157"/>
      <c r="FQ18" s="157"/>
      <c r="FR18" s="157"/>
      <c r="FS18" s="157"/>
      <c r="FT18" s="157"/>
      <c r="FU18" s="157"/>
      <c r="FV18" s="157"/>
      <c r="FW18" s="157"/>
      <c r="FX18" s="157"/>
      <c r="FY18" s="157"/>
      <c r="FZ18" s="157"/>
      <c r="GA18" s="157"/>
      <c r="GB18" s="157"/>
      <c r="GC18" s="157"/>
      <c r="GD18" s="157"/>
      <c r="GE18" s="157"/>
      <c r="GF18" s="157"/>
      <c r="GG18" s="157"/>
      <c r="GH18" s="157"/>
      <c r="GI18" s="157"/>
      <c r="GJ18" s="157"/>
      <c r="GK18" s="157"/>
      <c r="GL18" s="157"/>
      <c r="GM18" s="157"/>
      <c r="GN18" s="157"/>
      <c r="GO18" s="157"/>
      <c r="GP18" s="157"/>
      <c r="GQ18" s="157"/>
      <c r="GR18" s="157"/>
      <c r="GS18" s="157"/>
      <c r="GT18" s="157"/>
      <c r="GU18" s="157"/>
      <c r="GV18" s="157"/>
      <c r="GW18" s="157"/>
      <c r="GX18" s="157"/>
      <c r="GY18" s="157"/>
      <c r="GZ18" s="157"/>
      <c r="HA18" s="157"/>
      <c r="HB18" s="157"/>
      <c r="HC18" s="157"/>
      <c r="HD18" s="157"/>
      <c r="HE18" s="157"/>
      <c r="HF18" s="157"/>
      <c r="HG18" s="157"/>
      <c r="HH18" s="157"/>
      <c r="HI18" s="157"/>
      <c r="HJ18" s="157"/>
      <c r="HK18" s="157"/>
      <c r="HL18" s="157"/>
      <c r="HM18" s="157"/>
      <c r="HN18" s="157"/>
      <c r="HO18" s="157"/>
      <c r="HP18" s="157"/>
      <c r="HQ18" s="157"/>
      <c r="HR18" s="157"/>
      <c r="HS18" s="157"/>
      <c r="HT18" s="157"/>
      <c r="HU18" s="157"/>
      <c r="HV18" s="157"/>
      <c r="HW18" s="157"/>
      <c r="HX18" s="157"/>
      <c r="HY18" s="157"/>
      <c r="HZ18" s="157"/>
      <c r="IA18" s="157"/>
      <c r="IB18" s="157"/>
      <c r="IC18" s="157"/>
      <c r="ID18" s="157"/>
      <c r="IE18" s="157"/>
      <c r="IF18" s="157"/>
      <c r="IG18" s="157"/>
      <c r="IH18" s="157"/>
      <c r="II18" s="157"/>
      <c r="IJ18" s="157"/>
      <c r="IK18" s="157"/>
      <c r="IL18" s="157"/>
      <c r="IM18" s="157"/>
      <c r="IN18" s="157"/>
      <c r="IO18" s="157"/>
      <c r="IP18" s="157"/>
      <c r="IQ18" s="157"/>
      <c r="IR18" s="157"/>
      <c r="IS18" s="157"/>
      <c r="IT18" s="157"/>
      <c r="IU18" s="157"/>
      <c r="IV18" s="157"/>
      <c r="IW18" s="157"/>
      <c r="IX18" s="157"/>
      <c r="IY18" s="157"/>
      <c r="IZ18" s="157"/>
      <c r="JA18" s="157"/>
      <c r="JB18" s="157"/>
      <c r="JC18" s="157"/>
      <c r="JD18" s="157"/>
      <c r="JE18" s="157"/>
      <c r="JF18" s="157"/>
      <c r="JG18" s="157"/>
      <c r="JH18" s="157"/>
      <c r="JI18" s="157"/>
      <c r="JJ18" s="157"/>
      <c r="JK18" s="157"/>
      <c r="JL18" s="157"/>
      <c r="JM18" s="157"/>
      <c r="JN18" s="157"/>
      <c r="JO18" s="157"/>
      <c r="JP18" s="157"/>
      <c r="JQ18" s="157"/>
      <c r="JR18" s="157"/>
      <c r="JS18" s="157"/>
      <c r="JT18" s="157"/>
      <c r="JU18" s="157"/>
      <c r="JV18" s="157"/>
      <c r="JW18" s="157"/>
      <c r="JX18" s="157"/>
      <c r="JY18" s="157"/>
      <c r="JZ18" s="157"/>
      <c r="KA18" s="157"/>
      <c r="KB18" s="157"/>
      <c r="KC18" s="157"/>
      <c r="KD18" s="157"/>
      <c r="KE18" s="157"/>
      <c r="KF18" s="157"/>
      <c r="KG18" s="157"/>
      <c r="KH18" s="157"/>
      <c r="KI18" s="157"/>
      <c r="KJ18" s="157"/>
      <c r="KK18" s="157"/>
    </row>
    <row r="19" spans="1:297" ht="17" thickBot="1" x14ac:dyDescent="0.25">
      <c r="A19" s="433"/>
      <c r="B19" s="159" t="s">
        <v>68</v>
      </c>
      <c r="C19" s="160"/>
      <c r="D19" s="160" t="s">
        <v>143</v>
      </c>
      <c r="E19" s="160"/>
      <c r="F19" s="358">
        <v>2.2427397965049099E-8</v>
      </c>
      <c r="G19" s="359">
        <v>5.1120311610144309E-8</v>
      </c>
      <c r="H19" s="358">
        <v>1.752395778153158E-8</v>
      </c>
      <c r="I19" s="359">
        <v>2.0870339047358022E-8</v>
      </c>
      <c r="J19" s="358">
        <v>6.9029435409970945E-9</v>
      </c>
      <c r="K19" s="359">
        <v>4.8075939403191273E-8</v>
      </c>
      <c r="L19" s="358">
        <v>1.5527965468435237E-8</v>
      </c>
      <c r="M19" s="360">
        <v>4.108581719551405E-8</v>
      </c>
      <c r="N19" s="164" t="s">
        <v>109</v>
      </c>
      <c r="O19" s="154" t="s">
        <v>108</v>
      </c>
      <c r="P19" s="318" t="s">
        <v>101</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c r="CQ19" s="157"/>
      <c r="CR19" s="157"/>
      <c r="CS19" s="157"/>
      <c r="CT19" s="157"/>
      <c r="CU19" s="157"/>
      <c r="CV19" s="157"/>
      <c r="CW19" s="157"/>
      <c r="CX19" s="157"/>
      <c r="CY19" s="157"/>
      <c r="CZ19" s="157"/>
      <c r="DA19" s="157"/>
      <c r="DB19" s="157"/>
      <c r="DC19" s="157"/>
      <c r="DD19" s="157"/>
      <c r="DE19" s="157"/>
      <c r="DF19" s="157"/>
      <c r="DG19" s="157"/>
      <c r="DH19" s="157"/>
      <c r="DI19" s="157"/>
      <c r="DJ19" s="157"/>
      <c r="DK19" s="157"/>
      <c r="DL19" s="157"/>
      <c r="DM19" s="157"/>
      <c r="DN19" s="157"/>
      <c r="DO19" s="157"/>
      <c r="DP19" s="157"/>
      <c r="DQ19" s="157"/>
      <c r="DR19" s="157"/>
      <c r="DS19" s="157"/>
      <c r="DT19" s="157"/>
      <c r="DU19" s="157"/>
      <c r="DV19" s="157"/>
      <c r="DW19" s="157"/>
      <c r="DX19" s="157"/>
      <c r="DY19" s="157"/>
      <c r="DZ19" s="157"/>
      <c r="EA19" s="157"/>
      <c r="EB19" s="157"/>
      <c r="EC19" s="157"/>
      <c r="ED19" s="157"/>
      <c r="EE19" s="157"/>
      <c r="EF19" s="157"/>
      <c r="EG19" s="157"/>
      <c r="EH19" s="157"/>
      <c r="EI19" s="157"/>
      <c r="EJ19" s="157"/>
      <c r="EK19" s="157"/>
      <c r="EL19" s="157"/>
      <c r="EM19" s="157"/>
      <c r="EN19" s="157"/>
      <c r="EO19" s="157"/>
      <c r="EP19" s="157"/>
      <c r="EQ19" s="157"/>
      <c r="ER19" s="157"/>
      <c r="ES19" s="157"/>
      <c r="ET19" s="157"/>
      <c r="EU19" s="157"/>
      <c r="EV19" s="157"/>
      <c r="EW19" s="157"/>
      <c r="EX19" s="157"/>
      <c r="EY19" s="157"/>
      <c r="EZ19" s="157"/>
      <c r="FA19" s="157"/>
      <c r="FB19" s="157"/>
      <c r="FC19" s="157"/>
      <c r="FD19" s="157"/>
      <c r="FE19" s="157"/>
      <c r="FF19" s="157"/>
      <c r="FG19" s="157"/>
      <c r="FH19" s="157"/>
      <c r="FI19" s="157"/>
      <c r="FJ19" s="157"/>
      <c r="FK19" s="157"/>
      <c r="FL19" s="157"/>
      <c r="FM19" s="157"/>
      <c r="FN19" s="157"/>
      <c r="FO19" s="157"/>
      <c r="FP19" s="157"/>
      <c r="FQ19" s="157"/>
      <c r="FR19" s="157"/>
      <c r="FS19" s="157"/>
      <c r="FT19" s="157"/>
      <c r="FU19" s="157"/>
      <c r="FV19" s="157"/>
      <c r="FW19" s="157"/>
      <c r="FX19" s="157"/>
      <c r="FY19" s="157"/>
      <c r="FZ19" s="157"/>
      <c r="GA19" s="157"/>
      <c r="GB19" s="157"/>
      <c r="GC19" s="157"/>
      <c r="GD19" s="157"/>
      <c r="GE19" s="157"/>
      <c r="GF19" s="157"/>
      <c r="GG19" s="157"/>
      <c r="GH19" s="157"/>
      <c r="GI19" s="157"/>
      <c r="GJ19" s="157"/>
      <c r="GK19" s="157"/>
      <c r="GL19" s="157"/>
      <c r="GM19" s="157"/>
      <c r="GN19" s="157"/>
      <c r="GO19" s="157"/>
      <c r="GP19" s="157"/>
      <c r="GQ19" s="157"/>
      <c r="GR19" s="157"/>
      <c r="GS19" s="157"/>
      <c r="GT19" s="157"/>
      <c r="GU19" s="157"/>
      <c r="GV19" s="157"/>
      <c r="GW19" s="157"/>
      <c r="GX19" s="157"/>
      <c r="GY19" s="157"/>
      <c r="GZ19" s="157"/>
      <c r="HA19" s="157"/>
      <c r="HB19" s="157"/>
      <c r="HC19" s="157"/>
      <c r="HD19" s="157"/>
      <c r="HE19" s="157"/>
      <c r="HF19" s="157"/>
      <c r="HG19" s="157"/>
      <c r="HH19" s="157"/>
      <c r="HI19" s="157"/>
      <c r="HJ19" s="157"/>
      <c r="HK19" s="157"/>
      <c r="HL19" s="157"/>
      <c r="HM19" s="157"/>
      <c r="HN19" s="157"/>
      <c r="HO19" s="157"/>
      <c r="HP19" s="157"/>
      <c r="HQ19" s="157"/>
      <c r="HR19" s="157"/>
      <c r="HS19" s="157"/>
      <c r="HT19" s="157"/>
      <c r="HU19" s="157"/>
      <c r="HV19" s="157"/>
      <c r="HW19" s="157"/>
      <c r="HX19" s="157"/>
      <c r="HY19" s="157"/>
      <c r="HZ19" s="157"/>
      <c r="IA19" s="157"/>
      <c r="IB19" s="157"/>
      <c r="IC19" s="157"/>
      <c r="ID19" s="157"/>
      <c r="IE19" s="157"/>
      <c r="IF19" s="157"/>
      <c r="IG19" s="157"/>
      <c r="IH19" s="157"/>
      <c r="II19" s="157"/>
      <c r="IJ19" s="157"/>
      <c r="IK19" s="157"/>
      <c r="IL19" s="157"/>
      <c r="IM19" s="157"/>
      <c r="IN19" s="157"/>
      <c r="IO19" s="157"/>
      <c r="IP19" s="157"/>
      <c r="IQ19" s="157"/>
      <c r="IR19" s="157"/>
      <c r="IS19" s="157"/>
      <c r="IT19" s="157"/>
      <c r="IU19" s="157"/>
      <c r="IV19" s="157"/>
      <c r="IW19" s="157"/>
      <c r="IX19" s="157"/>
      <c r="IY19" s="157"/>
      <c r="IZ19" s="157"/>
      <c r="JA19" s="157"/>
      <c r="JB19" s="157"/>
      <c r="JC19" s="157"/>
      <c r="JD19" s="157"/>
      <c r="JE19" s="157"/>
      <c r="JF19" s="157"/>
      <c r="JG19" s="157"/>
      <c r="JH19" s="157"/>
      <c r="JI19" s="157"/>
      <c r="JJ19" s="157"/>
      <c r="JK19" s="157"/>
      <c r="JL19" s="157"/>
      <c r="JM19" s="157"/>
      <c r="JN19" s="157"/>
      <c r="JO19" s="157"/>
      <c r="JP19" s="157"/>
      <c r="JQ19" s="157"/>
      <c r="JR19" s="157"/>
      <c r="JS19" s="157"/>
      <c r="JT19" s="157"/>
      <c r="JU19" s="157"/>
      <c r="JV19" s="157"/>
      <c r="JW19" s="157"/>
      <c r="JX19" s="157"/>
      <c r="JY19" s="157"/>
      <c r="JZ19" s="157"/>
      <c r="KA19" s="157"/>
      <c r="KB19" s="157"/>
      <c r="KC19" s="157"/>
      <c r="KD19" s="157"/>
      <c r="KE19" s="157"/>
      <c r="KF19" s="157"/>
      <c r="KG19" s="157"/>
      <c r="KH19" s="157"/>
      <c r="KI19" s="157"/>
      <c r="KJ19" s="157"/>
      <c r="KK19" s="157"/>
    </row>
    <row r="20" spans="1:297" ht="17" thickBot="1" x14ac:dyDescent="0.25">
      <c r="A20" s="433"/>
      <c r="B20" s="159"/>
      <c r="C20" s="159" t="s">
        <v>154</v>
      </c>
      <c r="D20" s="159" t="s">
        <v>143</v>
      </c>
      <c r="E20" s="159"/>
      <c r="F20" s="358">
        <f>F19*1000*365*24*3600</f>
        <v>707.27042222578848</v>
      </c>
      <c r="G20" s="358">
        <f t="shared" ref="G20:M20" si="2">G19*1000*365*24*3600</f>
        <v>1612.1301469375107</v>
      </c>
      <c r="H20" s="358">
        <f t="shared" si="2"/>
        <v>552.63553259837988</v>
      </c>
      <c r="I20" s="358">
        <f t="shared" si="2"/>
        <v>658.16701219748256</v>
      </c>
      <c r="J20" s="358">
        <f t="shared" si="2"/>
        <v>217.69122750888437</v>
      </c>
      <c r="K20" s="358">
        <f t="shared" si="2"/>
        <v>1516.12282501904</v>
      </c>
      <c r="L20" s="358">
        <f t="shared" si="2"/>
        <v>489.68991901257357</v>
      </c>
      <c r="M20" s="358">
        <f t="shared" si="2"/>
        <v>1295.6823310777311</v>
      </c>
      <c r="N20" s="164" t="s">
        <v>109</v>
      </c>
      <c r="O20" s="154" t="s">
        <v>155</v>
      </c>
      <c r="P20" s="318" t="s">
        <v>101</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57"/>
      <c r="DT20" s="157"/>
      <c r="DU20" s="157"/>
      <c r="DV20" s="157"/>
      <c r="DW20" s="157"/>
      <c r="DX20" s="157"/>
      <c r="DY20" s="157"/>
      <c r="DZ20" s="157"/>
      <c r="EA20" s="157"/>
      <c r="EB20" s="157"/>
      <c r="EC20" s="157"/>
      <c r="ED20" s="157"/>
      <c r="EE20" s="157"/>
      <c r="EF20" s="157"/>
      <c r="EG20" s="157"/>
      <c r="EH20" s="157"/>
      <c r="EI20" s="157"/>
      <c r="EJ20" s="157"/>
      <c r="EK20" s="157"/>
      <c r="EL20" s="157"/>
      <c r="EM20" s="157"/>
      <c r="EN20" s="157"/>
      <c r="EO20" s="157"/>
      <c r="EP20" s="157"/>
      <c r="EQ20" s="157"/>
      <c r="ER20" s="157"/>
      <c r="ES20" s="157"/>
      <c r="ET20" s="157"/>
      <c r="EU20" s="157"/>
      <c r="EV20" s="157"/>
      <c r="EW20" s="157"/>
      <c r="EX20" s="157"/>
      <c r="EY20" s="157"/>
      <c r="EZ20" s="157"/>
      <c r="FA20" s="157"/>
      <c r="FB20" s="157"/>
      <c r="FC20" s="157"/>
      <c r="FD20" s="157"/>
      <c r="FE20" s="157"/>
      <c r="FF20" s="157"/>
      <c r="FG20" s="157"/>
      <c r="FH20" s="157"/>
      <c r="FI20" s="157"/>
      <c r="FJ20" s="157"/>
      <c r="FK20" s="157"/>
      <c r="FL20" s="157"/>
      <c r="FM20" s="157"/>
      <c r="FN20" s="157"/>
      <c r="FO20" s="157"/>
      <c r="FP20" s="157"/>
      <c r="FQ20" s="157"/>
      <c r="FR20" s="157"/>
      <c r="FS20" s="157"/>
      <c r="FT20" s="157"/>
      <c r="FU20" s="157"/>
      <c r="FV20" s="157"/>
      <c r="FW20" s="157"/>
      <c r="FX20" s="157"/>
      <c r="FY20" s="157"/>
      <c r="FZ20" s="157"/>
      <c r="GA20" s="157"/>
      <c r="GB20" s="157"/>
      <c r="GC20" s="157"/>
      <c r="GD20" s="157"/>
      <c r="GE20" s="157"/>
      <c r="GF20" s="157"/>
      <c r="GG20" s="157"/>
      <c r="GH20" s="157"/>
      <c r="GI20" s="157"/>
      <c r="GJ20" s="157"/>
      <c r="GK20" s="157"/>
      <c r="GL20" s="157"/>
      <c r="GM20" s="157"/>
      <c r="GN20" s="157"/>
      <c r="GO20" s="157"/>
      <c r="GP20" s="157"/>
      <c r="GQ20" s="157"/>
      <c r="GR20" s="157"/>
      <c r="GS20" s="157"/>
      <c r="GT20" s="157"/>
      <c r="GU20" s="157"/>
      <c r="GV20" s="157"/>
      <c r="GW20" s="157"/>
      <c r="GX20" s="157"/>
      <c r="GY20" s="157"/>
      <c r="GZ20" s="157"/>
      <c r="HA20" s="157"/>
      <c r="HB20" s="157"/>
      <c r="HC20" s="157"/>
      <c r="HD20" s="157"/>
      <c r="HE20" s="157"/>
      <c r="HF20" s="157"/>
      <c r="HG20" s="157"/>
      <c r="HH20" s="157"/>
      <c r="HI20" s="157"/>
      <c r="HJ20" s="157"/>
      <c r="HK20" s="157"/>
      <c r="HL20" s="157"/>
      <c r="HM20" s="157"/>
      <c r="HN20" s="157"/>
      <c r="HO20" s="157"/>
      <c r="HP20" s="157"/>
      <c r="HQ20" s="157"/>
      <c r="HR20" s="157"/>
      <c r="HS20" s="157"/>
      <c r="HT20" s="157"/>
      <c r="HU20" s="157"/>
      <c r="HV20" s="157"/>
      <c r="HW20" s="157"/>
      <c r="HX20" s="157"/>
      <c r="HY20" s="157"/>
      <c r="HZ20" s="157"/>
      <c r="IA20" s="157"/>
      <c r="IB20" s="157"/>
      <c r="IC20" s="157"/>
      <c r="ID20" s="157"/>
      <c r="IE20" s="157"/>
      <c r="IF20" s="157"/>
      <c r="IG20" s="157"/>
      <c r="IH20" s="157"/>
      <c r="II20" s="157"/>
      <c r="IJ20" s="157"/>
      <c r="IK20" s="157"/>
      <c r="IL20" s="157"/>
      <c r="IM20" s="157"/>
      <c r="IN20" s="157"/>
      <c r="IO20" s="157"/>
      <c r="IP20" s="157"/>
      <c r="IQ20" s="157"/>
      <c r="IR20" s="157"/>
      <c r="IS20" s="157"/>
      <c r="IT20" s="157"/>
      <c r="IU20" s="157"/>
      <c r="IV20" s="157"/>
      <c r="IW20" s="157"/>
      <c r="IX20" s="157"/>
      <c r="IY20" s="157"/>
      <c r="IZ20" s="157"/>
      <c r="JA20" s="157"/>
      <c r="JB20" s="157"/>
      <c r="JC20" s="157"/>
      <c r="JD20" s="157"/>
      <c r="JE20" s="157"/>
      <c r="JF20" s="157"/>
      <c r="JG20" s="157"/>
      <c r="JH20" s="157"/>
      <c r="JI20" s="157"/>
      <c r="JJ20" s="157"/>
      <c r="JK20" s="157"/>
      <c r="JL20" s="157"/>
      <c r="JM20" s="157"/>
      <c r="JN20" s="157"/>
      <c r="JO20" s="157"/>
      <c r="JP20" s="157"/>
      <c r="JQ20" s="157"/>
      <c r="JR20" s="157"/>
      <c r="JS20" s="157"/>
      <c r="JT20" s="157"/>
      <c r="JU20" s="157"/>
      <c r="JV20" s="157"/>
      <c r="JW20" s="157"/>
      <c r="JX20" s="157"/>
      <c r="JY20" s="157"/>
      <c r="JZ20" s="157"/>
      <c r="KA20" s="157"/>
      <c r="KB20" s="157"/>
      <c r="KC20" s="157"/>
      <c r="KD20" s="157"/>
      <c r="KE20" s="157"/>
      <c r="KF20" s="157"/>
      <c r="KG20" s="157"/>
      <c r="KH20" s="157"/>
      <c r="KI20" s="157"/>
      <c r="KJ20" s="157"/>
      <c r="KK20" s="157"/>
    </row>
    <row r="21" spans="1:297" ht="33" thickBot="1" x14ac:dyDescent="0.25">
      <c r="A21" s="433"/>
      <c r="B21" s="159" t="s">
        <v>133</v>
      </c>
      <c r="C21" s="159" t="s">
        <v>157</v>
      </c>
      <c r="D21" s="159" t="s">
        <v>143</v>
      </c>
      <c r="E21" s="159" t="s">
        <v>148</v>
      </c>
      <c r="F21" s="358">
        <v>2.3696042108892401</v>
      </c>
      <c r="G21" s="359">
        <v>4.3917246021722702</v>
      </c>
      <c r="H21" s="358">
        <v>1.9467368925047399</v>
      </c>
      <c r="I21" s="359">
        <v>2.47905687385181</v>
      </c>
      <c r="J21" s="358">
        <v>2.22114142977843</v>
      </c>
      <c r="K21" s="359">
        <v>3.3070096167614702</v>
      </c>
      <c r="L21" s="358">
        <v>2.92803772943742</v>
      </c>
      <c r="M21" s="360">
        <v>1.0055754452635499</v>
      </c>
      <c r="N21" s="164" t="s">
        <v>113</v>
      </c>
      <c r="O21" s="154" t="s">
        <v>110</v>
      </c>
      <c r="P21" s="319" t="s">
        <v>102</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c r="CL21" s="157"/>
      <c r="CM21" s="157"/>
      <c r="CN21" s="157"/>
      <c r="CO21" s="157"/>
      <c r="CP21" s="157"/>
      <c r="CQ21" s="157"/>
      <c r="CR21" s="157"/>
      <c r="CS21" s="157"/>
      <c r="CT21" s="157"/>
      <c r="CU21" s="157"/>
      <c r="CV21" s="157"/>
      <c r="CW21" s="157"/>
      <c r="CX21" s="157"/>
      <c r="CY21" s="157"/>
      <c r="CZ21" s="157"/>
      <c r="DA21" s="157"/>
      <c r="DB21" s="157"/>
      <c r="DC21" s="157"/>
      <c r="DD21" s="157"/>
      <c r="DE21" s="157"/>
      <c r="DF21" s="157"/>
      <c r="DG21" s="157"/>
      <c r="DH21" s="157"/>
      <c r="DI21" s="157"/>
      <c r="DJ21" s="157"/>
      <c r="DK21" s="157"/>
      <c r="DL21" s="157"/>
      <c r="DM21" s="157"/>
      <c r="DN21" s="157"/>
      <c r="DO21" s="157"/>
      <c r="DP21" s="157"/>
      <c r="DQ21" s="157"/>
      <c r="DR21" s="157"/>
      <c r="DS21" s="157"/>
      <c r="DT21" s="157"/>
      <c r="DU21" s="157"/>
      <c r="DV21" s="157"/>
      <c r="DW21" s="157"/>
      <c r="DX21" s="157"/>
      <c r="DY21" s="157"/>
      <c r="DZ21" s="157"/>
      <c r="EA21" s="157"/>
      <c r="EB21" s="157"/>
      <c r="EC21" s="157"/>
      <c r="ED21" s="157"/>
      <c r="EE21" s="157"/>
      <c r="EF21" s="157"/>
      <c r="EG21" s="157"/>
      <c r="EH21" s="157"/>
      <c r="EI21" s="157"/>
      <c r="EJ21" s="157"/>
      <c r="EK21" s="157"/>
      <c r="EL21" s="157"/>
      <c r="EM21" s="157"/>
      <c r="EN21" s="157"/>
      <c r="EO21" s="157"/>
      <c r="EP21" s="157"/>
      <c r="EQ21" s="157"/>
      <c r="ER21" s="157"/>
      <c r="ES21" s="157"/>
      <c r="ET21" s="157"/>
      <c r="EU21" s="157"/>
      <c r="EV21" s="157"/>
      <c r="EW21" s="157"/>
      <c r="EX21" s="157"/>
      <c r="EY21" s="157"/>
      <c r="EZ21" s="157"/>
      <c r="FA21" s="157"/>
      <c r="FB21" s="157"/>
      <c r="FC21" s="157"/>
      <c r="FD21" s="157"/>
      <c r="FE21" s="157"/>
      <c r="FF21" s="157"/>
      <c r="FG21" s="157"/>
      <c r="FH21" s="157"/>
      <c r="FI21" s="157"/>
      <c r="FJ21" s="157"/>
      <c r="FK21" s="157"/>
      <c r="FL21" s="157"/>
      <c r="FM21" s="157"/>
      <c r="FN21" s="157"/>
      <c r="FO21" s="157"/>
      <c r="FP21" s="157"/>
      <c r="FQ21" s="157"/>
      <c r="FR21" s="157"/>
      <c r="FS21" s="157"/>
      <c r="FT21" s="157"/>
      <c r="FU21" s="157"/>
      <c r="FV21" s="157"/>
      <c r="FW21" s="157"/>
      <c r="FX21" s="157"/>
      <c r="FY21" s="157"/>
      <c r="FZ21" s="157"/>
      <c r="GA21" s="157"/>
      <c r="GB21" s="157"/>
      <c r="GC21" s="157"/>
      <c r="GD21" s="157"/>
      <c r="GE21" s="157"/>
      <c r="GF21" s="157"/>
      <c r="GG21" s="157"/>
      <c r="GH21" s="157"/>
      <c r="GI21" s="157"/>
      <c r="GJ21" s="157"/>
      <c r="GK21" s="157"/>
      <c r="GL21" s="157"/>
      <c r="GM21" s="157"/>
      <c r="GN21" s="157"/>
      <c r="GO21" s="157"/>
      <c r="GP21" s="157"/>
      <c r="GQ21" s="157"/>
      <c r="GR21" s="157"/>
      <c r="GS21" s="157"/>
      <c r="GT21" s="157"/>
      <c r="GU21" s="157"/>
      <c r="GV21" s="157"/>
      <c r="GW21" s="157"/>
      <c r="GX21" s="157"/>
      <c r="GY21" s="157"/>
      <c r="GZ21" s="157"/>
      <c r="HA21" s="157"/>
      <c r="HB21" s="157"/>
      <c r="HC21" s="157"/>
      <c r="HD21" s="157"/>
      <c r="HE21" s="157"/>
      <c r="HF21" s="157"/>
      <c r="HG21" s="157"/>
      <c r="HH21" s="157"/>
      <c r="HI21" s="157"/>
      <c r="HJ21" s="157"/>
      <c r="HK21" s="157"/>
      <c r="HL21" s="157"/>
      <c r="HM21" s="157"/>
      <c r="HN21" s="157"/>
      <c r="HO21" s="157"/>
      <c r="HP21" s="157"/>
      <c r="HQ21" s="157"/>
      <c r="HR21" s="157"/>
      <c r="HS21" s="157"/>
      <c r="HT21" s="157"/>
      <c r="HU21" s="157"/>
      <c r="HV21" s="157"/>
      <c r="HW21" s="157"/>
      <c r="HX21" s="157"/>
      <c r="HY21" s="157"/>
      <c r="HZ21" s="157"/>
      <c r="IA21" s="157"/>
      <c r="IB21" s="157"/>
      <c r="IC21" s="157"/>
      <c r="ID21" s="157"/>
      <c r="IE21" s="157"/>
      <c r="IF21" s="157"/>
      <c r="IG21" s="157"/>
      <c r="IH21" s="157"/>
      <c r="II21" s="157"/>
      <c r="IJ21" s="157"/>
      <c r="IK21" s="157"/>
      <c r="IL21" s="157"/>
      <c r="IM21" s="157"/>
      <c r="IN21" s="157"/>
      <c r="IO21" s="157"/>
      <c r="IP21" s="157"/>
      <c r="IQ21" s="157"/>
      <c r="IR21" s="157"/>
      <c r="IS21" s="157"/>
      <c r="IT21" s="157"/>
      <c r="IU21" s="157"/>
      <c r="IV21" s="157"/>
      <c r="IW21" s="157"/>
      <c r="IX21" s="157"/>
      <c r="IY21" s="157"/>
      <c r="IZ21" s="157"/>
      <c r="JA21" s="157"/>
      <c r="JB21" s="157"/>
      <c r="JC21" s="157"/>
      <c r="JD21" s="157"/>
      <c r="JE21" s="157"/>
      <c r="JF21" s="157"/>
      <c r="JG21" s="157"/>
      <c r="JH21" s="157"/>
      <c r="JI21" s="157"/>
      <c r="JJ21" s="157"/>
      <c r="JK21" s="157"/>
      <c r="JL21" s="157"/>
      <c r="JM21" s="157"/>
      <c r="JN21" s="157"/>
      <c r="JO21" s="157"/>
      <c r="JP21" s="157"/>
      <c r="JQ21" s="157"/>
      <c r="JR21" s="157"/>
      <c r="JS21" s="157"/>
      <c r="JT21" s="157"/>
      <c r="JU21" s="157"/>
      <c r="JV21" s="157"/>
      <c r="JW21" s="157"/>
      <c r="JX21" s="157"/>
      <c r="JY21" s="157"/>
      <c r="JZ21" s="157"/>
      <c r="KA21" s="157"/>
      <c r="KB21" s="157"/>
      <c r="KC21" s="157"/>
      <c r="KD21" s="157"/>
      <c r="KE21" s="157"/>
      <c r="KF21" s="157"/>
      <c r="KG21" s="157"/>
      <c r="KH21" s="157"/>
      <c r="KI21" s="157"/>
      <c r="KJ21" s="157"/>
      <c r="KK21" s="157"/>
    </row>
    <row r="22" spans="1:297" ht="33" thickBot="1" x14ac:dyDescent="0.25">
      <c r="A22" s="433"/>
      <c r="B22" s="159" t="s">
        <v>69</v>
      </c>
      <c r="C22" s="159" t="s">
        <v>157</v>
      </c>
      <c r="D22" s="159" t="s">
        <v>143</v>
      </c>
      <c r="E22" s="159" t="s">
        <v>149</v>
      </c>
      <c r="F22" s="358">
        <v>29.533000000000001</v>
      </c>
      <c r="G22" s="359">
        <v>25.706</v>
      </c>
      <c r="H22" s="358">
        <v>26.89</v>
      </c>
      <c r="I22" s="359">
        <v>115.86499999999999</v>
      </c>
      <c r="J22" s="358">
        <v>33.134999999999998</v>
      </c>
      <c r="K22" s="359">
        <v>17.388000000000002</v>
      </c>
      <c r="L22" s="358">
        <v>131.869</v>
      </c>
      <c r="M22" s="360">
        <v>8.8089999999999993</v>
      </c>
      <c r="N22" s="164" t="s">
        <v>112</v>
      </c>
      <c r="O22" s="154" t="s">
        <v>110</v>
      </c>
      <c r="P22" s="319" t="s">
        <v>102</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c r="CQ22" s="157"/>
      <c r="CR22" s="157"/>
      <c r="CS22" s="157"/>
      <c r="CT22" s="157"/>
      <c r="CU22" s="157"/>
      <c r="CV22" s="157"/>
      <c r="CW22" s="157"/>
      <c r="CX22" s="157"/>
      <c r="CY22" s="157"/>
      <c r="CZ22" s="157"/>
      <c r="DA22" s="157"/>
      <c r="DB22" s="157"/>
      <c r="DC22" s="157"/>
      <c r="DD22" s="157"/>
      <c r="DE22" s="157"/>
      <c r="DF22" s="157"/>
      <c r="DG22" s="157"/>
      <c r="DH22" s="157"/>
      <c r="DI22" s="157"/>
      <c r="DJ22" s="157"/>
      <c r="DK22" s="157"/>
      <c r="DL22" s="157"/>
      <c r="DM22" s="157"/>
      <c r="DN22" s="157"/>
      <c r="DO22" s="157"/>
      <c r="DP22" s="157"/>
      <c r="DQ22" s="157"/>
      <c r="DR22" s="157"/>
      <c r="DS22" s="157"/>
      <c r="DT22" s="157"/>
      <c r="DU22" s="157"/>
      <c r="DV22" s="157"/>
      <c r="DW22" s="157"/>
      <c r="DX22" s="157"/>
      <c r="DY22" s="157"/>
      <c r="DZ22" s="157"/>
      <c r="EA22" s="157"/>
      <c r="EB22" s="157"/>
      <c r="EC22" s="157"/>
      <c r="ED22" s="157"/>
      <c r="EE22" s="157"/>
      <c r="EF22" s="157"/>
      <c r="EG22" s="157"/>
      <c r="EH22" s="157"/>
      <c r="EI22" s="157"/>
      <c r="EJ22" s="157"/>
      <c r="EK22" s="157"/>
      <c r="EL22" s="157"/>
      <c r="EM22" s="157"/>
      <c r="EN22" s="157"/>
      <c r="EO22" s="157"/>
      <c r="EP22" s="157"/>
      <c r="EQ22" s="157"/>
      <c r="ER22" s="157"/>
      <c r="ES22" s="157"/>
      <c r="ET22" s="157"/>
      <c r="EU22" s="157"/>
      <c r="EV22" s="157"/>
      <c r="EW22" s="157"/>
      <c r="EX22" s="157"/>
      <c r="EY22" s="157"/>
      <c r="EZ22" s="157"/>
      <c r="FA22" s="157"/>
      <c r="FB22" s="157"/>
      <c r="FC22" s="157"/>
      <c r="FD22" s="157"/>
      <c r="FE22" s="157"/>
      <c r="FF22" s="157"/>
      <c r="FG22" s="157"/>
      <c r="FH22" s="157"/>
      <c r="FI22" s="157"/>
      <c r="FJ22" s="157"/>
      <c r="FK22" s="157"/>
      <c r="FL22" s="157"/>
      <c r="FM22" s="157"/>
      <c r="FN22" s="157"/>
      <c r="FO22" s="157"/>
      <c r="FP22" s="157"/>
      <c r="FQ22" s="157"/>
      <c r="FR22" s="157"/>
      <c r="FS22" s="157"/>
      <c r="FT22" s="157"/>
      <c r="FU22" s="157"/>
      <c r="FV22" s="157"/>
      <c r="FW22" s="157"/>
      <c r="FX22" s="157"/>
      <c r="FY22" s="157"/>
      <c r="FZ22" s="157"/>
      <c r="GA22" s="157"/>
      <c r="GB22" s="157"/>
      <c r="GC22" s="157"/>
      <c r="GD22" s="157"/>
      <c r="GE22" s="157"/>
      <c r="GF22" s="157"/>
      <c r="GG22" s="157"/>
      <c r="GH22" s="157"/>
      <c r="GI22" s="157"/>
      <c r="GJ22" s="157"/>
      <c r="GK22" s="157"/>
      <c r="GL22" s="157"/>
      <c r="GM22" s="157"/>
      <c r="GN22" s="157"/>
      <c r="GO22" s="157"/>
      <c r="GP22" s="157"/>
      <c r="GQ22" s="157"/>
      <c r="GR22" s="157"/>
      <c r="GS22" s="157"/>
      <c r="GT22" s="157"/>
      <c r="GU22" s="157"/>
      <c r="GV22" s="157"/>
      <c r="GW22" s="157"/>
      <c r="GX22" s="157"/>
      <c r="GY22" s="157"/>
      <c r="GZ22" s="157"/>
      <c r="HA22" s="157"/>
      <c r="HB22" s="157"/>
      <c r="HC22" s="157"/>
      <c r="HD22" s="157"/>
      <c r="HE22" s="157"/>
      <c r="HF22" s="157"/>
      <c r="HG22" s="157"/>
      <c r="HH22" s="157"/>
      <c r="HI22" s="157"/>
      <c r="HJ22" s="157"/>
      <c r="HK22" s="157"/>
      <c r="HL22" s="157"/>
      <c r="HM22" s="157"/>
      <c r="HN22" s="157"/>
      <c r="HO22" s="157"/>
      <c r="HP22" s="157"/>
      <c r="HQ22" s="157"/>
      <c r="HR22" s="157"/>
      <c r="HS22" s="157"/>
      <c r="HT22" s="157"/>
      <c r="HU22" s="157"/>
      <c r="HV22" s="157"/>
      <c r="HW22" s="157"/>
      <c r="HX22" s="157"/>
      <c r="HY22" s="157"/>
      <c r="HZ22" s="157"/>
      <c r="IA22" s="157"/>
      <c r="IB22" s="157"/>
      <c r="IC22" s="157"/>
      <c r="ID22" s="157"/>
      <c r="IE22" s="157"/>
      <c r="IF22" s="157"/>
      <c r="IG22" s="157"/>
      <c r="IH22" s="157"/>
      <c r="II22" s="157"/>
      <c r="IJ22" s="157"/>
      <c r="IK22" s="157"/>
      <c r="IL22" s="157"/>
      <c r="IM22" s="157"/>
      <c r="IN22" s="157"/>
      <c r="IO22" s="157"/>
      <c r="IP22" s="157"/>
      <c r="IQ22" s="157"/>
      <c r="IR22" s="157"/>
      <c r="IS22" s="157"/>
      <c r="IT22" s="157"/>
      <c r="IU22" s="157"/>
      <c r="IV22" s="157"/>
      <c r="IW22" s="157"/>
      <c r="IX22" s="157"/>
      <c r="IY22" s="157"/>
      <c r="IZ22" s="157"/>
      <c r="JA22" s="157"/>
      <c r="JB22" s="157"/>
      <c r="JC22" s="157"/>
      <c r="JD22" s="157"/>
      <c r="JE22" s="157"/>
      <c r="JF22" s="157"/>
      <c r="JG22" s="157"/>
      <c r="JH22" s="157"/>
      <c r="JI22" s="157"/>
      <c r="JJ22" s="157"/>
      <c r="JK22" s="157"/>
      <c r="JL22" s="157"/>
      <c r="JM22" s="157"/>
      <c r="JN22" s="157"/>
      <c r="JO22" s="157"/>
      <c r="JP22" s="157"/>
      <c r="JQ22" s="157"/>
      <c r="JR22" s="157"/>
      <c r="JS22" s="157"/>
      <c r="JT22" s="157"/>
      <c r="JU22" s="157"/>
      <c r="JV22" s="157"/>
      <c r="JW22" s="157"/>
      <c r="JX22" s="157"/>
      <c r="JY22" s="157"/>
      <c r="JZ22" s="157"/>
      <c r="KA22" s="157"/>
      <c r="KB22" s="157"/>
      <c r="KC22" s="157"/>
      <c r="KD22" s="157"/>
      <c r="KE22" s="157"/>
      <c r="KF22" s="157"/>
      <c r="KG22" s="157"/>
      <c r="KH22" s="157"/>
      <c r="KI22" s="157"/>
      <c r="KJ22" s="157"/>
      <c r="KK22" s="157"/>
    </row>
    <row r="23" spans="1:297" ht="17" thickBot="1" x14ac:dyDescent="0.25">
      <c r="A23" s="433"/>
      <c r="B23" s="159" t="s">
        <v>70</v>
      </c>
      <c r="C23" s="159" t="s">
        <v>157</v>
      </c>
      <c r="D23" s="159" t="s">
        <v>143</v>
      </c>
      <c r="E23" s="159" t="s">
        <v>158</v>
      </c>
      <c r="F23" s="358">
        <v>10</v>
      </c>
      <c r="G23" s="358">
        <v>10</v>
      </c>
      <c r="H23" s="358">
        <v>10</v>
      </c>
      <c r="I23" s="358">
        <v>10</v>
      </c>
      <c r="J23" s="358">
        <v>10</v>
      </c>
      <c r="K23" s="358">
        <v>10</v>
      </c>
      <c r="L23" s="358">
        <v>10</v>
      </c>
      <c r="M23" s="358">
        <v>10</v>
      </c>
      <c r="N23" s="164" t="s">
        <v>111</v>
      </c>
      <c r="O23" s="154" t="s">
        <v>110</v>
      </c>
      <c r="P23" s="318" t="s">
        <v>101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c r="CQ23" s="157"/>
      <c r="CR23" s="157"/>
      <c r="CS23" s="157"/>
      <c r="CT23" s="157"/>
      <c r="CU23" s="157"/>
      <c r="CV23" s="157"/>
      <c r="CW23" s="157"/>
      <c r="CX23" s="157"/>
      <c r="CY23" s="157"/>
      <c r="CZ23" s="157"/>
      <c r="DA23" s="157"/>
      <c r="DB23" s="157"/>
      <c r="DC23" s="157"/>
      <c r="DD23" s="157"/>
      <c r="DE23" s="157"/>
      <c r="DF23" s="157"/>
      <c r="DG23" s="157"/>
      <c r="DH23" s="157"/>
      <c r="DI23" s="157"/>
      <c r="DJ23" s="157"/>
      <c r="DK23" s="157"/>
      <c r="DL23" s="157"/>
      <c r="DM23" s="157"/>
      <c r="DN23" s="157"/>
      <c r="DO23" s="157"/>
      <c r="DP23" s="157"/>
      <c r="DQ23" s="157"/>
      <c r="DR23" s="157"/>
      <c r="DS23" s="157"/>
      <c r="DT23" s="157"/>
      <c r="DU23" s="157"/>
      <c r="DV23" s="157"/>
      <c r="DW23" s="157"/>
      <c r="DX23" s="157"/>
      <c r="DY23" s="157"/>
      <c r="DZ23" s="157"/>
      <c r="EA23" s="157"/>
      <c r="EB23" s="157"/>
      <c r="EC23" s="157"/>
      <c r="ED23" s="157"/>
      <c r="EE23" s="157"/>
      <c r="EF23" s="157"/>
      <c r="EG23" s="157"/>
      <c r="EH23" s="157"/>
      <c r="EI23" s="157"/>
      <c r="EJ23" s="157"/>
      <c r="EK23" s="157"/>
      <c r="EL23" s="157"/>
      <c r="EM23" s="157"/>
      <c r="EN23" s="157"/>
      <c r="EO23" s="157"/>
      <c r="EP23" s="157"/>
      <c r="EQ23" s="157"/>
      <c r="ER23" s="157"/>
      <c r="ES23" s="157"/>
      <c r="ET23" s="157"/>
      <c r="EU23" s="157"/>
      <c r="EV23" s="157"/>
      <c r="EW23" s="157"/>
      <c r="EX23" s="157"/>
      <c r="EY23" s="157"/>
      <c r="EZ23" s="157"/>
      <c r="FA23" s="157"/>
      <c r="FB23" s="157"/>
      <c r="FC23" s="157"/>
      <c r="FD23" s="157"/>
      <c r="FE23" s="157"/>
      <c r="FF23" s="157"/>
      <c r="FG23" s="157"/>
      <c r="FH23" s="157"/>
      <c r="FI23" s="157"/>
      <c r="FJ23" s="157"/>
      <c r="FK23" s="157"/>
      <c r="FL23" s="157"/>
      <c r="FM23" s="157"/>
      <c r="FN23" s="157"/>
      <c r="FO23" s="157"/>
      <c r="FP23" s="157"/>
      <c r="FQ23" s="157"/>
      <c r="FR23" s="157"/>
      <c r="FS23" s="157"/>
      <c r="FT23" s="157"/>
      <c r="FU23" s="157"/>
      <c r="FV23" s="157"/>
      <c r="FW23" s="157"/>
      <c r="FX23" s="157"/>
      <c r="FY23" s="157"/>
      <c r="FZ23" s="157"/>
      <c r="GA23" s="157"/>
      <c r="GB23" s="157"/>
      <c r="GC23" s="157"/>
      <c r="GD23" s="157"/>
      <c r="GE23" s="157"/>
      <c r="GF23" s="157"/>
      <c r="GG23" s="157"/>
      <c r="GH23" s="157"/>
      <c r="GI23" s="157"/>
      <c r="GJ23" s="157"/>
      <c r="GK23" s="157"/>
      <c r="GL23" s="157"/>
      <c r="GM23" s="157"/>
      <c r="GN23" s="157"/>
      <c r="GO23" s="157"/>
      <c r="GP23" s="157"/>
      <c r="GQ23" s="157"/>
      <c r="GR23" s="157"/>
      <c r="GS23" s="157"/>
      <c r="GT23" s="157"/>
      <c r="GU23" s="157"/>
      <c r="GV23" s="157"/>
      <c r="GW23" s="157"/>
      <c r="GX23" s="157"/>
      <c r="GY23" s="157"/>
      <c r="GZ23" s="157"/>
      <c r="HA23" s="157"/>
      <c r="HB23" s="157"/>
      <c r="HC23" s="157"/>
      <c r="HD23" s="157"/>
      <c r="HE23" s="157"/>
      <c r="HF23" s="157"/>
      <c r="HG23" s="157"/>
      <c r="HH23" s="157"/>
      <c r="HI23" s="157"/>
      <c r="HJ23" s="157"/>
      <c r="HK23" s="157"/>
      <c r="HL23" s="157"/>
      <c r="HM23" s="157"/>
      <c r="HN23" s="157"/>
      <c r="HO23" s="157"/>
      <c r="HP23" s="157"/>
      <c r="HQ23" s="157"/>
      <c r="HR23" s="157"/>
      <c r="HS23" s="157"/>
      <c r="HT23" s="157"/>
      <c r="HU23" s="157"/>
      <c r="HV23" s="157"/>
      <c r="HW23" s="157"/>
      <c r="HX23" s="157"/>
      <c r="HY23" s="157"/>
      <c r="HZ23" s="157"/>
      <c r="IA23" s="157"/>
      <c r="IB23" s="157"/>
      <c r="IC23" s="157"/>
      <c r="ID23" s="157"/>
      <c r="IE23" s="157"/>
      <c r="IF23" s="157"/>
      <c r="IG23" s="157"/>
      <c r="IH23" s="157"/>
      <c r="II23" s="157"/>
      <c r="IJ23" s="157"/>
      <c r="IK23" s="157"/>
      <c r="IL23" s="157"/>
      <c r="IM23" s="157"/>
      <c r="IN23" s="157"/>
      <c r="IO23" s="157"/>
      <c r="IP23" s="157"/>
      <c r="IQ23" s="157"/>
      <c r="IR23" s="157"/>
      <c r="IS23" s="157"/>
      <c r="IT23" s="157"/>
      <c r="IU23" s="157"/>
      <c r="IV23" s="157"/>
      <c r="IW23" s="157"/>
      <c r="IX23" s="157"/>
      <c r="IY23" s="157"/>
      <c r="IZ23" s="157"/>
      <c r="JA23" s="157"/>
      <c r="JB23" s="157"/>
      <c r="JC23" s="157"/>
      <c r="JD23" s="157"/>
      <c r="JE23" s="157"/>
      <c r="JF23" s="157"/>
      <c r="JG23" s="157"/>
      <c r="JH23" s="157"/>
      <c r="JI23" s="157"/>
      <c r="JJ23" s="157"/>
      <c r="JK23" s="157"/>
      <c r="JL23" s="157"/>
      <c r="JM23" s="157"/>
      <c r="JN23" s="157"/>
      <c r="JO23" s="157"/>
      <c r="JP23" s="157"/>
      <c r="JQ23" s="157"/>
      <c r="JR23" s="157"/>
      <c r="JS23" s="157"/>
      <c r="JT23" s="157"/>
      <c r="JU23" s="157"/>
      <c r="JV23" s="157"/>
      <c r="JW23" s="157"/>
      <c r="JX23" s="157"/>
      <c r="JY23" s="157"/>
      <c r="JZ23" s="157"/>
      <c r="KA23" s="157"/>
      <c r="KB23" s="157"/>
      <c r="KC23" s="157"/>
      <c r="KD23" s="157"/>
      <c r="KE23" s="157"/>
      <c r="KF23" s="157"/>
      <c r="KG23" s="157"/>
      <c r="KH23" s="157"/>
      <c r="KI23" s="157"/>
      <c r="KJ23" s="157"/>
      <c r="KK23" s="157"/>
    </row>
    <row r="24" spans="1:297" ht="33" thickBot="1" x14ac:dyDescent="0.25">
      <c r="A24" s="433"/>
      <c r="B24" s="159"/>
      <c r="C24" s="159" t="s">
        <v>157</v>
      </c>
      <c r="D24" s="159" t="s">
        <v>143</v>
      </c>
      <c r="E24" s="159" t="s">
        <v>176</v>
      </c>
      <c r="F24" s="361">
        <v>90</v>
      </c>
      <c r="G24" s="361">
        <v>90</v>
      </c>
      <c r="H24" s="361">
        <v>90</v>
      </c>
      <c r="I24" s="361">
        <v>90</v>
      </c>
      <c r="J24" s="361">
        <v>90</v>
      </c>
      <c r="K24" s="361">
        <v>90</v>
      </c>
      <c r="L24" s="361">
        <v>90</v>
      </c>
      <c r="M24" s="361">
        <v>90</v>
      </c>
      <c r="N24" s="164" t="s">
        <v>209</v>
      </c>
      <c r="O24" s="154"/>
      <c r="P24" s="320" t="s">
        <v>208</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c r="CQ24" s="157"/>
      <c r="CR24" s="157"/>
      <c r="CS24" s="157"/>
      <c r="CT24" s="157"/>
      <c r="CU24" s="157"/>
      <c r="CV24" s="157"/>
      <c r="CW24" s="157"/>
      <c r="CX24" s="157"/>
      <c r="CY24" s="157"/>
      <c r="CZ24" s="157"/>
      <c r="DA24" s="157"/>
      <c r="DB24" s="157"/>
      <c r="DC24" s="157"/>
      <c r="DD24" s="157"/>
      <c r="DE24" s="157"/>
      <c r="DF24" s="157"/>
      <c r="DG24" s="157"/>
      <c r="DH24" s="157"/>
      <c r="DI24" s="157"/>
      <c r="DJ24" s="157"/>
      <c r="DK24" s="157"/>
      <c r="DL24" s="157"/>
      <c r="DM24" s="157"/>
      <c r="DN24" s="157"/>
      <c r="DO24" s="157"/>
      <c r="DP24" s="157"/>
      <c r="DQ24" s="157"/>
      <c r="DR24" s="157"/>
      <c r="DS24" s="157"/>
      <c r="DT24" s="157"/>
      <c r="DU24" s="157"/>
      <c r="DV24" s="157"/>
      <c r="DW24" s="157"/>
      <c r="DX24" s="157"/>
      <c r="DY24" s="157"/>
      <c r="DZ24" s="157"/>
      <c r="EA24" s="157"/>
      <c r="EB24" s="157"/>
      <c r="EC24" s="157"/>
      <c r="ED24" s="157"/>
      <c r="EE24" s="157"/>
      <c r="EF24" s="157"/>
      <c r="EG24" s="157"/>
      <c r="EH24" s="157"/>
      <c r="EI24" s="157"/>
      <c r="EJ24" s="157"/>
      <c r="EK24" s="157"/>
      <c r="EL24" s="157"/>
      <c r="EM24" s="157"/>
      <c r="EN24" s="157"/>
      <c r="EO24" s="157"/>
      <c r="EP24" s="157"/>
      <c r="EQ24" s="157"/>
      <c r="ER24" s="157"/>
      <c r="ES24" s="157"/>
      <c r="ET24" s="157"/>
      <c r="EU24" s="157"/>
      <c r="EV24" s="157"/>
      <c r="EW24" s="157"/>
      <c r="EX24" s="157"/>
      <c r="EY24" s="157"/>
      <c r="EZ24" s="157"/>
      <c r="FA24" s="157"/>
      <c r="FB24" s="157"/>
      <c r="FC24" s="157"/>
      <c r="FD24" s="157"/>
      <c r="FE24" s="157"/>
      <c r="FF24" s="157"/>
      <c r="FG24" s="157"/>
      <c r="FH24" s="157"/>
      <c r="FI24" s="157"/>
      <c r="FJ24" s="157"/>
      <c r="FK24" s="157"/>
      <c r="FL24" s="157"/>
      <c r="FM24" s="157"/>
      <c r="FN24" s="157"/>
      <c r="FO24" s="157"/>
      <c r="FP24" s="157"/>
      <c r="FQ24" s="157"/>
      <c r="FR24" s="157"/>
      <c r="FS24" s="157"/>
      <c r="FT24" s="157"/>
      <c r="FU24" s="157"/>
      <c r="FV24" s="157"/>
      <c r="FW24" s="157"/>
      <c r="FX24" s="157"/>
      <c r="FY24" s="157"/>
      <c r="FZ24" s="157"/>
      <c r="GA24" s="157"/>
      <c r="GB24" s="157"/>
      <c r="GC24" s="157"/>
      <c r="GD24" s="157"/>
      <c r="GE24" s="157"/>
      <c r="GF24" s="157"/>
      <c r="GG24" s="157"/>
      <c r="GH24" s="157"/>
      <c r="GI24" s="157"/>
      <c r="GJ24" s="157"/>
      <c r="GK24" s="157"/>
      <c r="GL24" s="157"/>
      <c r="GM24" s="157"/>
      <c r="GN24" s="157"/>
      <c r="GO24" s="157"/>
      <c r="GP24" s="157"/>
      <c r="GQ24" s="157"/>
      <c r="GR24" s="157"/>
      <c r="GS24" s="157"/>
      <c r="GT24" s="157"/>
      <c r="GU24" s="157"/>
      <c r="GV24" s="157"/>
      <c r="GW24" s="157"/>
      <c r="GX24" s="157"/>
      <c r="GY24" s="157"/>
      <c r="GZ24" s="157"/>
      <c r="HA24" s="157"/>
      <c r="HB24" s="157"/>
      <c r="HC24" s="157"/>
      <c r="HD24" s="157"/>
      <c r="HE24" s="157"/>
      <c r="HF24" s="157"/>
      <c r="HG24" s="157"/>
      <c r="HH24" s="157"/>
      <c r="HI24" s="157"/>
      <c r="HJ24" s="157"/>
      <c r="HK24" s="157"/>
      <c r="HL24" s="157"/>
      <c r="HM24" s="157"/>
      <c r="HN24" s="157"/>
      <c r="HO24" s="157"/>
      <c r="HP24" s="157"/>
      <c r="HQ24" s="157"/>
      <c r="HR24" s="157"/>
      <c r="HS24" s="157"/>
      <c r="HT24" s="157"/>
      <c r="HU24" s="157"/>
      <c r="HV24" s="157"/>
      <c r="HW24" s="157"/>
      <c r="HX24" s="157"/>
      <c r="HY24" s="157"/>
      <c r="HZ24" s="157"/>
      <c r="IA24" s="157"/>
      <c r="IB24" s="157"/>
      <c r="IC24" s="157"/>
      <c r="ID24" s="157"/>
      <c r="IE24" s="157"/>
      <c r="IF24" s="157"/>
      <c r="IG24" s="157"/>
      <c r="IH24" s="157"/>
      <c r="II24" s="157"/>
      <c r="IJ24" s="157"/>
      <c r="IK24" s="157"/>
      <c r="IL24" s="157"/>
      <c r="IM24" s="157"/>
      <c r="IN24" s="157"/>
      <c r="IO24" s="157"/>
      <c r="IP24" s="157"/>
      <c r="IQ24" s="157"/>
      <c r="IR24" s="157"/>
      <c r="IS24" s="157"/>
      <c r="IT24" s="157"/>
      <c r="IU24" s="157"/>
      <c r="IV24" s="157"/>
      <c r="IW24" s="157"/>
      <c r="IX24" s="157"/>
      <c r="IY24" s="157"/>
      <c r="IZ24" s="157"/>
      <c r="JA24" s="157"/>
      <c r="JB24" s="157"/>
      <c r="JC24" s="157"/>
      <c r="JD24" s="157"/>
      <c r="JE24" s="157"/>
      <c r="JF24" s="157"/>
      <c r="JG24" s="157"/>
      <c r="JH24" s="157"/>
      <c r="JI24" s="157"/>
      <c r="JJ24" s="157"/>
      <c r="JK24" s="157"/>
      <c r="JL24" s="157"/>
      <c r="JM24" s="157"/>
      <c r="JN24" s="157"/>
      <c r="JO24" s="157"/>
      <c r="JP24" s="157"/>
      <c r="JQ24" s="157"/>
      <c r="JR24" s="157"/>
      <c r="JS24" s="157"/>
      <c r="JT24" s="157"/>
      <c r="JU24" s="157"/>
      <c r="JV24" s="157"/>
      <c r="JW24" s="157"/>
      <c r="JX24" s="157"/>
      <c r="JY24" s="157"/>
      <c r="JZ24" s="157"/>
      <c r="KA24" s="157"/>
      <c r="KB24" s="157"/>
      <c r="KC24" s="157"/>
      <c r="KD24" s="157"/>
      <c r="KE24" s="157"/>
      <c r="KF24" s="157"/>
      <c r="KG24" s="157"/>
      <c r="KH24" s="157"/>
      <c r="KI24" s="157"/>
      <c r="KJ24" s="157"/>
      <c r="KK24" s="157"/>
    </row>
    <row r="25" spans="1:297" ht="49" thickBot="1" x14ac:dyDescent="0.25">
      <c r="A25" s="433"/>
      <c r="B25" s="159" t="s">
        <v>134</v>
      </c>
      <c r="C25" s="160"/>
      <c r="D25" s="160" t="s">
        <v>143</v>
      </c>
      <c r="E25" s="160"/>
      <c r="F25" s="351">
        <v>1.4496812264614698E-2</v>
      </c>
      <c r="G25" s="352">
        <v>0.12852080874953054</v>
      </c>
      <c r="H25" s="351">
        <v>2.8291285900831659E-2</v>
      </c>
      <c r="I25" s="352">
        <v>1.7166347871089994E-3</v>
      </c>
      <c r="J25" s="351">
        <v>3.522157729377217E-2</v>
      </c>
      <c r="K25" s="352">
        <v>8.2847467788464024E-2</v>
      </c>
      <c r="L25" s="351">
        <v>2.9771737796170678E-2</v>
      </c>
      <c r="M25" s="353">
        <v>2.534326178823661E-2</v>
      </c>
      <c r="N25" s="164" t="s">
        <v>114</v>
      </c>
      <c r="O25" s="154" t="s">
        <v>14</v>
      </c>
      <c r="P25" s="319" t="s">
        <v>115</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157"/>
      <c r="EO25" s="157"/>
      <c r="EP25" s="157"/>
      <c r="EQ25" s="157"/>
      <c r="ER25" s="157"/>
      <c r="ES25" s="157"/>
      <c r="ET25" s="157"/>
      <c r="EU25" s="157"/>
      <c r="EV25" s="157"/>
      <c r="EW25" s="157"/>
      <c r="EX25" s="157"/>
      <c r="EY25" s="157"/>
      <c r="EZ25" s="157"/>
      <c r="FA25" s="157"/>
      <c r="FB25" s="157"/>
      <c r="FC25" s="157"/>
      <c r="FD25" s="157"/>
      <c r="FE25" s="157"/>
      <c r="FF25" s="157"/>
      <c r="FG25" s="157"/>
      <c r="FH25" s="157"/>
      <c r="FI25" s="157"/>
      <c r="FJ25" s="157"/>
      <c r="FK25" s="157"/>
      <c r="FL25" s="157"/>
      <c r="FM25" s="157"/>
      <c r="FN25" s="157"/>
      <c r="FO25" s="157"/>
      <c r="FP25" s="157"/>
      <c r="FQ25" s="157"/>
      <c r="FR25" s="157"/>
      <c r="FS25" s="157"/>
      <c r="FT25" s="157"/>
      <c r="FU25" s="157"/>
      <c r="FV25" s="157"/>
      <c r="FW25" s="157"/>
      <c r="FX25" s="157"/>
      <c r="FY25" s="157"/>
      <c r="FZ25" s="157"/>
      <c r="GA25" s="157"/>
      <c r="GB25" s="157"/>
      <c r="GC25" s="157"/>
      <c r="GD25" s="157"/>
      <c r="GE25" s="157"/>
      <c r="GF25" s="157"/>
      <c r="GG25" s="157"/>
      <c r="GH25" s="157"/>
      <c r="GI25" s="157"/>
      <c r="GJ25" s="157"/>
      <c r="GK25" s="157"/>
      <c r="GL25" s="157"/>
      <c r="GM25" s="157"/>
      <c r="GN25" s="157"/>
      <c r="GO25" s="157"/>
      <c r="GP25" s="157"/>
      <c r="GQ25" s="157"/>
      <c r="GR25" s="157"/>
      <c r="GS25" s="157"/>
      <c r="GT25" s="157"/>
      <c r="GU25" s="157"/>
      <c r="GV25" s="157"/>
      <c r="GW25" s="157"/>
      <c r="GX25" s="157"/>
      <c r="GY25" s="157"/>
      <c r="GZ25" s="157"/>
      <c r="HA25" s="157"/>
      <c r="HB25" s="157"/>
      <c r="HC25" s="157"/>
      <c r="HD25" s="157"/>
      <c r="HE25" s="157"/>
      <c r="HF25" s="157"/>
      <c r="HG25" s="157"/>
      <c r="HH25" s="157"/>
      <c r="HI25" s="157"/>
      <c r="HJ25" s="157"/>
      <c r="HK25" s="157"/>
      <c r="HL25" s="157"/>
      <c r="HM25" s="157"/>
      <c r="HN25" s="157"/>
      <c r="HO25" s="157"/>
      <c r="HP25" s="157"/>
      <c r="HQ25" s="157"/>
      <c r="HR25" s="157"/>
      <c r="HS25" s="157"/>
      <c r="HT25" s="157"/>
      <c r="HU25" s="157"/>
      <c r="HV25" s="157"/>
      <c r="HW25" s="157"/>
      <c r="HX25" s="157"/>
      <c r="HY25" s="157"/>
      <c r="HZ25" s="157"/>
      <c r="IA25" s="157"/>
      <c r="IB25" s="157"/>
      <c r="IC25" s="157"/>
      <c r="ID25" s="157"/>
      <c r="IE25" s="157"/>
      <c r="IF25" s="157"/>
      <c r="IG25" s="157"/>
      <c r="IH25" s="157"/>
      <c r="II25" s="157"/>
      <c r="IJ25" s="157"/>
      <c r="IK25" s="157"/>
      <c r="IL25" s="157"/>
      <c r="IM25" s="157"/>
      <c r="IN25" s="157"/>
      <c r="IO25" s="157"/>
      <c r="IP25" s="157"/>
      <c r="IQ25" s="157"/>
      <c r="IR25" s="157"/>
      <c r="IS25" s="157"/>
      <c r="IT25" s="157"/>
      <c r="IU25" s="157"/>
      <c r="IV25" s="157"/>
      <c r="IW25" s="157"/>
      <c r="IX25" s="157"/>
      <c r="IY25" s="157"/>
      <c r="IZ25" s="157"/>
      <c r="JA25" s="157"/>
      <c r="JB25" s="157"/>
      <c r="JC25" s="157"/>
      <c r="JD25" s="157"/>
      <c r="JE25" s="157"/>
      <c r="JF25" s="157"/>
      <c r="JG25" s="157"/>
      <c r="JH25" s="157"/>
      <c r="JI25" s="157"/>
      <c r="JJ25" s="157"/>
      <c r="JK25" s="157"/>
      <c r="JL25" s="157"/>
      <c r="JM25" s="157"/>
      <c r="JN25" s="157"/>
      <c r="JO25" s="157"/>
      <c r="JP25" s="157"/>
      <c r="JQ25" s="157"/>
      <c r="JR25" s="157"/>
      <c r="JS25" s="157"/>
      <c r="JT25" s="157"/>
      <c r="JU25" s="157"/>
      <c r="JV25" s="157"/>
      <c r="JW25" s="157"/>
      <c r="JX25" s="157"/>
      <c r="JY25" s="157"/>
      <c r="JZ25" s="157"/>
      <c r="KA25" s="157"/>
      <c r="KB25" s="157"/>
      <c r="KC25" s="157"/>
      <c r="KD25" s="157"/>
      <c r="KE25" s="157"/>
      <c r="KF25" s="157"/>
      <c r="KG25" s="157"/>
      <c r="KH25" s="157"/>
      <c r="KI25" s="157"/>
      <c r="KJ25" s="157"/>
      <c r="KK25" s="157"/>
    </row>
    <row r="26" spans="1:297" ht="49" thickBot="1" x14ac:dyDescent="0.25">
      <c r="A26" s="433"/>
      <c r="B26" s="159" t="s">
        <v>71</v>
      </c>
      <c r="C26" s="160"/>
      <c r="D26" s="160" t="s">
        <v>143</v>
      </c>
      <c r="E26" s="160"/>
      <c r="F26" s="351">
        <v>0.35147070435432404</v>
      </c>
      <c r="G26" s="352">
        <v>0.25279570842766858</v>
      </c>
      <c r="H26" s="351">
        <v>0.14390491021695584</v>
      </c>
      <c r="I26" s="352">
        <v>0.18244911496210642</v>
      </c>
      <c r="J26" s="351">
        <v>0.42860855705021172</v>
      </c>
      <c r="K26" s="352">
        <v>0.18047084710299308</v>
      </c>
      <c r="L26" s="351">
        <v>0.32944492030836076</v>
      </c>
      <c r="M26" s="353">
        <v>0.16470065355227445</v>
      </c>
      <c r="N26" s="164" t="s">
        <v>117</v>
      </c>
      <c r="O26" s="154" t="s">
        <v>14</v>
      </c>
      <c r="P26" s="319" t="s">
        <v>116</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7"/>
      <c r="CF26" s="157"/>
      <c r="CG26" s="157"/>
      <c r="CH26" s="157"/>
      <c r="CI26" s="157"/>
      <c r="CJ26" s="157"/>
      <c r="CK26" s="157"/>
      <c r="CL26" s="157"/>
      <c r="CM26" s="157"/>
      <c r="CN26" s="157"/>
      <c r="CO26" s="157"/>
      <c r="CP26" s="157"/>
      <c r="CQ26" s="157"/>
      <c r="CR26" s="157"/>
      <c r="CS26" s="157"/>
      <c r="CT26" s="157"/>
      <c r="CU26" s="157"/>
      <c r="CV26" s="157"/>
      <c r="CW26" s="157"/>
      <c r="CX26" s="157"/>
      <c r="CY26" s="157"/>
      <c r="CZ26" s="157"/>
      <c r="DA26" s="157"/>
      <c r="DB26" s="157"/>
      <c r="DC26" s="157"/>
      <c r="DD26" s="157"/>
      <c r="DE26" s="157"/>
      <c r="DF26" s="157"/>
      <c r="DG26" s="157"/>
      <c r="DH26" s="157"/>
      <c r="DI26" s="157"/>
      <c r="DJ26" s="157"/>
      <c r="DK26" s="157"/>
      <c r="DL26" s="157"/>
      <c r="DM26" s="157"/>
      <c r="DN26" s="157"/>
      <c r="DO26" s="157"/>
      <c r="DP26" s="157"/>
      <c r="DQ26" s="157"/>
      <c r="DR26" s="157"/>
      <c r="DS26" s="157"/>
      <c r="DT26" s="157"/>
      <c r="DU26" s="157"/>
      <c r="DV26" s="157"/>
      <c r="DW26" s="157"/>
      <c r="DX26" s="157"/>
      <c r="DY26" s="157"/>
      <c r="DZ26" s="157"/>
      <c r="EA26" s="157"/>
      <c r="EB26" s="157"/>
      <c r="EC26" s="157"/>
      <c r="ED26" s="157"/>
      <c r="EE26" s="157"/>
      <c r="EF26" s="157"/>
      <c r="EG26" s="157"/>
      <c r="EH26" s="157"/>
      <c r="EI26" s="157"/>
      <c r="EJ26" s="157"/>
      <c r="EK26" s="157"/>
      <c r="EL26" s="157"/>
      <c r="EM26" s="157"/>
      <c r="EN26" s="157"/>
      <c r="EO26" s="157"/>
      <c r="EP26" s="157"/>
      <c r="EQ26" s="157"/>
      <c r="ER26" s="157"/>
      <c r="ES26" s="157"/>
      <c r="ET26" s="157"/>
      <c r="EU26" s="157"/>
      <c r="EV26" s="157"/>
      <c r="EW26" s="157"/>
      <c r="EX26" s="157"/>
      <c r="EY26" s="157"/>
      <c r="EZ26" s="157"/>
      <c r="FA26" s="157"/>
      <c r="FB26" s="157"/>
      <c r="FC26" s="157"/>
      <c r="FD26" s="157"/>
      <c r="FE26" s="157"/>
      <c r="FF26" s="157"/>
      <c r="FG26" s="157"/>
      <c r="FH26" s="157"/>
      <c r="FI26" s="157"/>
      <c r="FJ26" s="157"/>
      <c r="FK26" s="157"/>
      <c r="FL26" s="157"/>
      <c r="FM26" s="157"/>
      <c r="FN26" s="157"/>
      <c r="FO26" s="157"/>
      <c r="FP26" s="157"/>
      <c r="FQ26" s="157"/>
      <c r="FR26" s="157"/>
      <c r="FS26" s="157"/>
      <c r="FT26" s="157"/>
      <c r="FU26" s="157"/>
      <c r="FV26" s="157"/>
      <c r="FW26" s="157"/>
      <c r="FX26" s="157"/>
      <c r="FY26" s="157"/>
      <c r="FZ26" s="157"/>
      <c r="GA26" s="157"/>
      <c r="GB26" s="157"/>
      <c r="GC26" s="157"/>
      <c r="GD26" s="157"/>
      <c r="GE26" s="157"/>
      <c r="GF26" s="157"/>
      <c r="GG26" s="157"/>
      <c r="GH26" s="157"/>
      <c r="GI26" s="157"/>
      <c r="GJ26" s="157"/>
      <c r="GK26" s="157"/>
      <c r="GL26" s="157"/>
      <c r="GM26" s="157"/>
      <c r="GN26" s="157"/>
      <c r="GO26" s="157"/>
      <c r="GP26" s="157"/>
      <c r="GQ26" s="157"/>
      <c r="GR26" s="157"/>
      <c r="GS26" s="157"/>
      <c r="GT26" s="157"/>
      <c r="GU26" s="157"/>
      <c r="GV26" s="157"/>
      <c r="GW26" s="157"/>
      <c r="GX26" s="157"/>
      <c r="GY26" s="157"/>
      <c r="GZ26" s="157"/>
      <c r="HA26" s="157"/>
      <c r="HB26" s="157"/>
      <c r="HC26" s="157"/>
      <c r="HD26" s="157"/>
      <c r="HE26" s="157"/>
      <c r="HF26" s="157"/>
      <c r="HG26" s="157"/>
      <c r="HH26" s="157"/>
      <c r="HI26" s="157"/>
      <c r="HJ26" s="157"/>
      <c r="HK26" s="157"/>
      <c r="HL26" s="157"/>
      <c r="HM26" s="157"/>
      <c r="HN26" s="157"/>
      <c r="HO26" s="157"/>
      <c r="HP26" s="157"/>
      <c r="HQ26" s="157"/>
      <c r="HR26" s="157"/>
      <c r="HS26" s="157"/>
      <c r="HT26" s="157"/>
      <c r="HU26" s="157"/>
      <c r="HV26" s="157"/>
      <c r="HW26" s="157"/>
      <c r="HX26" s="157"/>
      <c r="HY26" s="157"/>
      <c r="HZ26" s="157"/>
      <c r="IA26" s="157"/>
      <c r="IB26" s="157"/>
      <c r="IC26" s="157"/>
      <c r="ID26" s="157"/>
      <c r="IE26" s="157"/>
      <c r="IF26" s="157"/>
      <c r="IG26" s="157"/>
      <c r="IH26" s="157"/>
      <c r="II26" s="157"/>
      <c r="IJ26" s="157"/>
      <c r="IK26" s="157"/>
      <c r="IL26" s="157"/>
      <c r="IM26" s="157"/>
      <c r="IN26" s="157"/>
      <c r="IO26" s="157"/>
      <c r="IP26" s="157"/>
      <c r="IQ26" s="157"/>
      <c r="IR26" s="157"/>
      <c r="IS26" s="157"/>
      <c r="IT26" s="157"/>
      <c r="IU26" s="157"/>
      <c r="IV26" s="157"/>
      <c r="IW26" s="157"/>
      <c r="IX26" s="157"/>
      <c r="IY26" s="157"/>
      <c r="IZ26" s="157"/>
      <c r="JA26" s="157"/>
      <c r="JB26" s="157"/>
      <c r="JC26" s="157"/>
      <c r="JD26" s="157"/>
      <c r="JE26" s="157"/>
      <c r="JF26" s="157"/>
      <c r="JG26" s="157"/>
      <c r="JH26" s="157"/>
      <c r="JI26" s="157"/>
      <c r="JJ26" s="157"/>
      <c r="JK26" s="157"/>
      <c r="JL26" s="157"/>
      <c r="JM26" s="157"/>
      <c r="JN26" s="157"/>
      <c r="JO26" s="157"/>
      <c r="JP26" s="157"/>
      <c r="JQ26" s="157"/>
      <c r="JR26" s="157"/>
      <c r="JS26" s="157"/>
      <c r="JT26" s="157"/>
      <c r="JU26" s="157"/>
      <c r="JV26" s="157"/>
      <c r="JW26" s="157"/>
      <c r="JX26" s="157"/>
      <c r="JY26" s="157"/>
      <c r="JZ26" s="157"/>
      <c r="KA26" s="157"/>
      <c r="KB26" s="157"/>
      <c r="KC26" s="157"/>
      <c r="KD26" s="157"/>
      <c r="KE26" s="157"/>
      <c r="KF26" s="157"/>
      <c r="KG26" s="157"/>
      <c r="KH26" s="157"/>
      <c r="KI26" s="157"/>
      <c r="KJ26" s="157"/>
      <c r="KK26" s="157"/>
    </row>
    <row r="27" spans="1:297" ht="17" thickBot="1" x14ac:dyDescent="0.25">
      <c r="A27" s="433"/>
      <c r="B27" s="159"/>
      <c r="C27" s="177" t="s">
        <v>179</v>
      </c>
      <c r="D27" s="177" t="s">
        <v>143</v>
      </c>
      <c r="E27" s="177"/>
      <c r="F27" s="354">
        <v>0.36596751661893873</v>
      </c>
      <c r="G27" s="354">
        <v>0.38131651717719917</v>
      </c>
      <c r="H27" s="354">
        <v>0.1721961961177875</v>
      </c>
      <c r="I27" s="354">
        <v>0.1841657497492154</v>
      </c>
      <c r="J27" s="354">
        <v>0.4638301343439839</v>
      </c>
      <c r="K27" s="354">
        <v>0.26331831489145707</v>
      </c>
      <c r="L27" s="354">
        <v>0.35921665810453146</v>
      </c>
      <c r="M27" s="354">
        <v>0.19004391534051104</v>
      </c>
      <c r="N27" s="164" t="s">
        <v>180</v>
      </c>
      <c r="O27" s="154" t="s">
        <v>14</v>
      </c>
      <c r="P27" s="319" t="s">
        <v>101</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7"/>
      <c r="BQ27" s="157"/>
      <c r="BR27" s="157"/>
      <c r="BS27" s="157"/>
      <c r="BT27" s="157"/>
      <c r="BU27" s="157"/>
      <c r="BV27" s="157"/>
      <c r="BW27" s="157"/>
      <c r="BX27" s="157"/>
      <c r="BY27" s="157"/>
      <c r="BZ27" s="157"/>
      <c r="CA27" s="157"/>
      <c r="CB27" s="157"/>
      <c r="CC27" s="157"/>
      <c r="CD27" s="157"/>
      <c r="CE27" s="157"/>
      <c r="CF27" s="157"/>
      <c r="CG27" s="157"/>
      <c r="CH27" s="157"/>
      <c r="CI27" s="157"/>
      <c r="CJ27" s="157"/>
      <c r="CK27" s="157"/>
      <c r="CL27" s="157"/>
      <c r="CM27" s="157"/>
      <c r="CN27" s="157"/>
      <c r="CO27" s="157"/>
      <c r="CP27" s="157"/>
      <c r="CQ27" s="157"/>
      <c r="CR27" s="157"/>
      <c r="CS27" s="157"/>
      <c r="CT27" s="157"/>
      <c r="CU27" s="157"/>
      <c r="CV27" s="157"/>
      <c r="CW27" s="157"/>
      <c r="CX27" s="157"/>
      <c r="CY27" s="157"/>
      <c r="CZ27" s="157"/>
      <c r="DA27" s="157"/>
      <c r="DB27" s="157"/>
      <c r="DC27" s="157"/>
      <c r="DD27" s="157"/>
      <c r="DE27" s="157"/>
      <c r="DF27" s="157"/>
      <c r="DG27" s="157"/>
      <c r="DH27" s="157"/>
      <c r="DI27" s="157"/>
      <c r="DJ27" s="157"/>
      <c r="DK27" s="157"/>
      <c r="DL27" s="157"/>
      <c r="DM27" s="157"/>
      <c r="DN27" s="157"/>
      <c r="DO27" s="157"/>
      <c r="DP27" s="157"/>
      <c r="DQ27" s="157"/>
      <c r="DR27" s="157"/>
      <c r="DS27" s="157"/>
      <c r="DT27" s="157"/>
      <c r="DU27" s="157"/>
      <c r="DV27" s="157"/>
      <c r="DW27" s="157"/>
      <c r="DX27" s="157"/>
      <c r="DY27" s="157"/>
      <c r="DZ27" s="157"/>
      <c r="EA27" s="157"/>
      <c r="EB27" s="157"/>
      <c r="EC27" s="157"/>
      <c r="ED27" s="157"/>
      <c r="EE27" s="157"/>
      <c r="EF27" s="157"/>
      <c r="EG27" s="157"/>
      <c r="EH27" s="157"/>
      <c r="EI27" s="157"/>
      <c r="EJ27" s="157"/>
      <c r="EK27" s="157"/>
      <c r="EL27" s="157"/>
      <c r="EM27" s="157"/>
      <c r="EN27" s="157"/>
      <c r="EO27" s="157"/>
      <c r="EP27" s="157"/>
      <c r="EQ27" s="157"/>
      <c r="ER27" s="157"/>
      <c r="ES27" s="157"/>
      <c r="ET27" s="157"/>
      <c r="EU27" s="157"/>
      <c r="EV27" s="157"/>
      <c r="EW27" s="157"/>
      <c r="EX27" s="157"/>
      <c r="EY27" s="157"/>
      <c r="EZ27" s="157"/>
      <c r="FA27" s="157"/>
      <c r="FB27" s="157"/>
      <c r="FC27" s="157"/>
      <c r="FD27" s="157"/>
      <c r="FE27" s="157"/>
      <c r="FF27" s="157"/>
      <c r="FG27" s="157"/>
      <c r="FH27" s="157"/>
      <c r="FI27" s="157"/>
      <c r="FJ27" s="157"/>
      <c r="FK27" s="157"/>
      <c r="FL27" s="157"/>
      <c r="FM27" s="157"/>
      <c r="FN27" s="157"/>
      <c r="FO27" s="157"/>
      <c r="FP27" s="157"/>
      <c r="FQ27" s="157"/>
      <c r="FR27" s="157"/>
      <c r="FS27" s="157"/>
      <c r="FT27" s="157"/>
      <c r="FU27" s="157"/>
      <c r="FV27" s="157"/>
      <c r="FW27" s="157"/>
      <c r="FX27" s="157"/>
      <c r="FY27" s="157"/>
      <c r="FZ27" s="157"/>
      <c r="GA27" s="157"/>
      <c r="GB27" s="157"/>
      <c r="GC27" s="157"/>
      <c r="GD27" s="157"/>
      <c r="GE27" s="157"/>
      <c r="GF27" s="157"/>
      <c r="GG27" s="157"/>
      <c r="GH27" s="157"/>
      <c r="GI27" s="157"/>
      <c r="GJ27" s="157"/>
      <c r="GK27" s="157"/>
      <c r="GL27" s="157"/>
      <c r="GM27" s="157"/>
      <c r="GN27" s="157"/>
      <c r="GO27" s="157"/>
      <c r="GP27" s="157"/>
      <c r="GQ27" s="157"/>
      <c r="GR27" s="157"/>
      <c r="GS27" s="157"/>
      <c r="GT27" s="157"/>
      <c r="GU27" s="157"/>
      <c r="GV27" s="157"/>
      <c r="GW27" s="157"/>
      <c r="GX27" s="157"/>
      <c r="GY27" s="157"/>
      <c r="GZ27" s="157"/>
      <c r="HA27" s="157"/>
      <c r="HB27" s="157"/>
      <c r="HC27" s="157"/>
      <c r="HD27" s="157"/>
      <c r="HE27" s="157"/>
      <c r="HF27" s="157"/>
      <c r="HG27" s="157"/>
      <c r="HH27" s="157"/>
      <c r="HI27" s="157"/>
      <c r="HJ27" s="157"/>
      <c r="HK27" s="157"/>
      <c r="HL27" s="157"/>
      <c r="HM27" s="157"/>
      <c r="HN27" s="157"/>
      <c r="HO27" s="157"/>
      <c r="HP27" s="157"/>
      <c r="HQ27" s="157"/>
      <c r="HR27" s="157"/>
      <c r="HS27" s="157"/>
      <c r="HT27" s="157"/>
      <c r="HU27" s="157"/>
      <c r="HV27" s="157"/>
      <c r="HW27" s="157"/>
      <c r="HX27" s="157"/>
      <c r="HY27" s="157"/>
      <c r="HZ27" s="157"/>
      <c r="IA27" s="157"/>
      <c r="IB27" s="157"/>
      <c r="IC27" s="157"/>
      <c r="ID27" s="157"/>
      <c r="IE27" s="157"/>
      <c r="IF27" s="157"/>
      <c r="IG27" s="157"/>
      <c r="IH27" s="157"/>
      <c r="II27" s="157"/>
      <c r="IJ27" s="157"/>
      <c r="IK27" s="157"/>
      <c r="IL27" s="157"/>
      <c r="IM27" s="157"/>
      <c r="IN27" s="157"/>
      <c r="IO27" s="157"/>
      <c r="IP27" s="157"/>
      <c r="IQ27" s="157"/>
      <c r="IR27" s="157"/>
      <c r="IS27" s="157"/>
      <c r="IT27" s="157"/>
      <c r="IU27" s="157"/>
      <c r="IV27" s="157"/>
      <c r="IW27" s="157"/>
      <c r="IX27" s="157"/>
      <c r="IY27" s="157"/>
      <c r="IZ27" s="157"/>
      <c r="JA27" s="157"/>
      <c r="JB27" s="157"/>
      <c r="JC27" s="157"/>
      <c r="JD27" s="157"/>
      <c r="JE27" s="157"/>
      <c r="JF27" s="157"/>
      <c r="JG27" s="157"/>
      <c r="JH27" s="157"/>
      <c r="JI27" s="157"/>
      <c r="JJ27" s="157"/>
      <c r="JK27" s="157"/>
      <c r="JL27" s="157"/>
      <c r="JM27" s="157"/>
      <c r="JN27" s="157"/>
      <c r="JO27" s="157"/>
      <c r="JP27" s="157"/>
      <c r="JQ27" s="157"/>
      <c r="JR27" s="157"/>
      <c r="JS27" s="157"/>
      <c r="JT27" s="157"/>
      <c r="JU27" s="157"/>
      <c r="JV27" s="157"/>
      <c r="JW27" s="157"/>
      <c r="JX27" s="157"/>
      <c r="JY27" s="157"/>
      <c r="JZ27" s="157"/>
      <c r="KA27" s="157"/>
      <c r="KB27" s="157"/>
      <c r="KC27" s="157"/>
      <c r="KD27" s="157"/>
      <c r="KE27" s="157"/>
      <c r="KF27" s="157"/>
      <c r="KG27" s="157"/>
      <c r="KH27" s="157"/>
      <c r="KI27" s="157"/>
      <c r="KJ27" s="157"/>
      <c r="KK27" s="157"/>
    </row>
    <row r="28" spans="1:297" ht="17" thickBot="1" x14ac:dyDescent="0.25">
      <c r="A28" s="433"/>
      <c r="B28" s="159" t="s">
        <v>72</v>
      </c>
      <c r="C28" s="159" t="s">
        <v>159</v>
      </c>
      <c r="D28" s="159" t="s">
        <v>143</v>
      </c>
      <c r="E28" s="159"/>
      <c r="F28" s="358">
        <v>0.26947836230891975</v>
      </c>
      <c r="G28" s="359">
        <v>0.26947836230891975</v>
      </c>
      <c r="H28" s="358">
        <v>0.26947836230891975</v>
      </c>
      <c r="I28" s="359">
        <v>0.26947836230891975</v>
      </c>
      <c r="J28" s="358">
        <v>0.26947836230891975</v>
      </c>
      <c r="K28" s="359">
        <v>0.26947836230891975</v>
      </c>
      <c r="L28" s="358">
        <v>0.26947836230891975</v>
      </c>
      <c r="M28" s="360">
        <v>0.26947836230891975</v>
      </c>
      <c r="N28" s="164" t="s">
        <v>118</v>
      </c>
      <c r="O28" s="154" t="s">
        <v>14</v>
      </c>
      <c r="P28" s="318" t="s">
        <v>101</v>
      </c>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157"/>
      <c r="CH28" s="157"/>
      <c r="CI28" s="157"/>
      <c r="CJ28" s="157"/>
      <c r="CK28" s="157"/>
      <c r="CL28" s="157"/>
      <c r="CM28" s="157"/>
      <c r="CN28" s="157"/>
      <c r="CO28" s="157"/>
      <c r="CP28" s="157"/>
      <c r="CQ28" s="157"/>
      <c r="CR28" s="157"/>
      <c r="CS28" s="157"/>
      <c r="CT28" s="157"/>
      <c r="CU28" s="157"/>
      <c r="CV28" s="157"/>
      <c r="CW28" s="157"/>
      <c r="CX28" s="157"/>
      <c r="CY28" s="157"/>
      <c r="CZ28" s="157"/>
      <c r="DA28" s="157"/>
      <c r="DB28" s="157"/>
      <c r="DC28" s="157"/>
      <c r="DD28" s="157"/>
      <c r="DE28" s="157"/>
      <c r="DF28" s="157"/>
      <c r="DG28" s="157"/>
      <c r="DH28" s="157"/>
      <c r="DI28" s="157"/>
      <c r="DJ28" s="157"/>
      <c r="DK28" s="157"/>
      <c r="DL28" s="157"/>
      <c r="DM28" s="157"/>
      <c r="DN28" s="157"/>
      <c r="DO28" s="157"/>
      <c r="DP28" s="157"/>
      <c r="DQ28" s="157"/>
      <c r="DR28" s="157"/>
      <c r="DS28" s="157"/>
      <c r="DT28" s="157"/>
      <c r="DU28" s="157"/>
      <c r="DV28" s="157"/>
      <c r="DW28" s="157"/>
      <c r="DX28" s="157"/>
      <c r="DY28" s="157"/>
      <c r="DZ28" s="157"/>
      <c r="EA28" s="157"/>
      <c r="EB28" s="157"/>
      <c r="EC28" s="157"/>
      <c r="ED28" s="157"/>
      <c r="EE28" s="157"/>
      <c r="EF28" s="157"/>
      <c r="EG28" s="157"/>
      <c r="EH28" s="157"/>
      <c r="EI28" s="157"/>
      <c r="EJ28" s="157"/>
      <c r="EK28" s="157"/>
      <c r="EL28" s="157"/>
      <c r="EM28" s="157"/>
      <c r="EN28" s="157"/>
      <c r="EO28" s="157"/>
      <c r="EP28" s="157"/>
      <c r="EQ28" s="157"/>
      <c r="ER28" s="157"/>
      <c r="ES28" s="157"/>
      <c r="ET28" s="157"/>
      <c r="EU28" s="157"/>
      <c r="EV28" s="157"/>
      <c r="EW28" s="157"/>
      <c r="EX28" s="157"/>
      <c r="EY28" s="157"/>
      <c r="EZ28" s="157"/>
      <c r="FA28" s="157"/>
      <c r="FB28" s="157"/>
      <c r="FC28" s="157"/>
      <c r="FD28" s="157"/>
      <c r="FE28" s="157"/>
      <c r="FF28" s="157"/>
      <c r="FG28" s="157"/>
      <c r="FH28" s="157"/>
      <c r="FI28" s="157"/>
      <c r="FJ28" s="157"/>
      <c r="FK28" s="157"/>
      <c r="FL28" s="157"/>
      <c r="FM28" s="157"/>
      <c r="FN28" s="157"/>
      <c r="FO28" s="157"/>
      <c r="FP28" s="157"/>
      <c r="FQ28" s="157"/>
      <c r="FR28" s="157"/>
      <c r="FS28" s="157"/>
      <c r="FT28" s="157"/>
      <c r="FU28" s="157"/>
      <c r="FV28" s="157"/>
      <c r="FW28" s="157"/>
      <c r="FX28" s="157"/>
      <c r="FY28" s="157"/>
      <c r="FZ28" s="157"/>
      <c r="GA28" s="157"/>
      <c r="GB28" s="157"/>
      <c r="GC28" s="157"/>
      <c r="GD28" s="157"/>
      <c r="GE28" s="157"/>
      <c r="GF28" s="157"/>
      <c r="GG28" s="157"/>
      <c r="GH28" s="157"/>
      <c r="GI28" s="157"/>
      <c r="GJ28" s="157"/>
      <c r="GK28" s="157"/>
      <c r="GL28" s="157"/>
      <c r="GM28" s="157"/>
      <c r="GN28" s="157"/>
      <c r="GO28" s="157"/>
      <c r="GP28" s="157"/>
      <c r="GQ28" s="157"/>
      <c r="GR28" s="157"/>
      <c r="GS28" s="157"/>
      <c r="GT28" s="157"/>
      <c r="GU28" s="157"/>
      <c r="GV28" s="157"/>
      <c r="GW28" s="157"/>
      <c r="GX28" s="157"/>
      <c r="GY28" s="157"/>
      <c r="GZ28" s="157"/>
      <c r="HA28" s="157"/>
      <c r="HB28" s="157"/>
      <c r="HC28" s="157"/>
      <c r="HD28" s="157"/>
      <c r="HE28" s="157"/>
      <c r="HF28" s="157"/>
      <c r="HG28" s="157"/>
      <c r="HH28" s="157"/>
      <c r="HI28" s="157"/>
      <c r="HJ28" s="157"/>
      <c r="HK28" s="157"/>
      <c r="HL28" s="157"/>
      <c r="HM28" s="157"/>
      <c r="HN28" s="157"/>
      <c r="HO28" s="157"/>
      <c r="HP28" s="157"/>
      <c r="HQ28" s="157"/>
      <c r="HR28" s="157"/>
      <c r="HS28" s="157"/>
      <c r="HT28" s="157"/>
      <c r="HU28" s="157"/>
      <c r="HV28" s="157"/>
      <c r="HW28" s="157"/>
      <c r="HX28" s="157"/>
      <c r="HY28" s="157"/>
      <c r="HZ28" s="157"/>
      <c r="IA28" s="157"/>
      <c r="IB28" s="157"/>
      <c r="IC28" s="157"/>
      <c r="ID28" s="157"/>
      <c r="IE28" s="157"/>
      <c r="IF28" s="157"/>
      <c r="IG28" s="157"/>
      <c r="IH28" s="157"/>
      <c r="II28" s="157"/>
      <c r="IJ28" s="157"/>
      <c r="IK28" s="157"/>
      <c r="IL28" s="157"/>
      <c r="IM28" s="157"/>
      <c r="IN28" s="157"/>
      <c r="IO28" s="157"/>
      <c r="IP28" s="157"/>
      <c r="IQ28" s="157"/>
      <c r="IR28" s="157"/>
      <c r="IS28" s="157"/>
      <c r="IT28" s="157"/>
      <c r="IU28" s="157"/>
      <c r="IV28" s="157"/>
      <c r="IW28" s="157"/>
      <c r="IX28" s="157"/>
      <c r="IY28" s="157"/>
      <c r="IZ28" s="157"/>
      <c r="JA28" s="157"/>
      <c r="JB28" s="157"/>
      <c r="JC28" s="157"/>
      <c r="JD28" s="157"/>
      <c r="JE28" s="157"/>
      <c r="JF28" s="157"/>
      <c r="JG28" s="157"/>
      <c r="JH28" s="157"/>
      <c r="JI28" s="157"/>
      <c r="JJ28" s="157"/>
      <c r="JK28" s="157"/>
      <c r="JL28" s="157"/>
      <c r="JM28" s="157"/>
      <c r="JN28" s="157"/>
      <c r="JO28" s="157"/>
      <c r="JP28" s="157"/>
      <c r="JQ28" s="157"/>
      <c r="JR28" s="157"/>
      <c r="JS28" s="157"/>
      <c r="JT28" s="157"/>
      <c r="JU28" s="157"/>
      <c r="JV28" s="157"/>
      <c r="JW28" s="157"/>
      <c r="JX28" s="157"/>
      <c r="JY28" s="157"/>
      <c r="JZ28" s="157"/>
      <c r="KA28" s="157"/>
      <c r="KB28" s="157"/>
      <c r="KC28" s="157"/>
      <c r="KD28" s="157"/>
      <c r="KE28" s="157"/>
      <c r="KF28" s="157"/>
      <c r="KG28" s="157"/>
      <c r="KH28" s="157"/>
      <c r="KI28" s="157"/>
      <c r="KJ28" s="157"/>
      <c r="KK28" s="157"/>
    </row>
    <row r="29" spans="1:297" ht="17" thickBot="1" x14ac:dyDescent="0.25">
      <c r="A29" s="433"/>
      <c r="B29" s="159" t="s">
        <v>73</v>
      </c>
      <c r="C29" s="154"/>
      <c r="D29" s="159" t="s">
        <v>143</v>
      </c>
      <c r="E29" s="159"/>
      <c r="F29" s="358">
        <v>9.5129375951293795E-13</v>
      </c>
      <c r="G29" s="359">
        <v>9.5129375951293795E-13</v>
      </c>
      <c r="H29" s="358">
        <v>9.5129375951293795E-13</v>
      </c>
      <c r="I29" s="359">
        <v>9.5129375951293795E-13</v>
      </c>
      <c r="J29" s="358">
        <v>9.5129375951293795E-13</v>
      </c>
      <c r="K29" s="359">
        <v>9.5129375951293795E-13</v>
      </c>
      <c r="L29" s="358">
        <v>9.5129375951293795E-13</v>
      </c>
      <c r="M29" s="360">
        <v>9.5129375951293795E-13</v>
      </c>
      <c r="N29" s="164" t="s">
        <v>121</v>
      </c>
      <c r="O29" s="154" t="s">
        <v>108</v>
      </c>
      <c r="P29" s="318" t="s">
        <v>101</v>
      </c>
      <c r="Q29" s="155" t="s">
        <v>160</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7"/>
      <c r="CF29" s="157"/>
      <c r="CG29" s="157"/>
      <c r="CH29" s="157"/>
      <c r="CI29" s="157"/>
      <c r="CJ29" s="157"/>
      <c r="CK29" s="157"/>
      <c r="CL29" s="157"/>
      <c r="CM29" s="157"/>
      <c r="CN29" s="157"/>
      <c r="CO29" s="157"/>
      <c r="CP29" s="157"/>
      <c r="CQ29" s="157"/>
      <c r="CR29" s="157"/>
      <c r="CS29" s="157"/>
      <c r="CT29" s="157"/>
      <c r="CU29" s="157"/>
      <c r="CV29" s="157"/>
      <c r="CW29" s="157"/>
      <c r="CX29" s="157"/>
      <c r="CY29" s="157"/>
      <c r="CZ29" s="157"/>
      <c r="DA29" s="157"/>
      <c r="DB29" s="157"/>
      <c r="DC29" s="157"/>
      <c r="DD29" s="157"/>
      <c r="DE29" s="157"/>
      <c r="DF29" s="157"/>
      <c r="DG29" s="157"/>
      <c r="DH29" s="157"/>
      <c r="DI29" s="157"/>
      <c r="DJ29" s="157"/>
      <c r="DK29" s="157"/>
      <c r="DL29" s="157"/>
      <c r="DM29" s="157"/>
      <c r="DN29" s="157"/>
      <c r="DO29" s="157"/>
      <c r="DP29" s="157"/>
      <c r="DQ29" s="157"/>
      <c r="DR29" s="157"/>
      <c r="DS29" s="157"/>
      <c r="DT29" s="157"/>
      <c r="DU29" s="157"/>
      <c r="DV29" s="157"/>
      <c r="DW29" s="157"/>
      <c r="DX29" s="157"/>
      <c r="DY29" s="157"/>
      <c r="DZ29" s="157"/>
      <c r="EA29" s="157"/>
      <c r="EB29" s="157"/>
      <c r="EC29" s="157"/>
      <c r="ED29" s="157"/>
      <c r="EE29" s="157"/>
      <c r="EF29" s="157"/>
      <c r="EG29" s="157"/>
      <c r="EH29" s="157"/>
      <c r="EI29" s="157"/>
      <c r="EJ29" s="157"/>
      <c r="EK29" s="157"/>
      <c r="EL29" s="157"/>
      <c r="EM29" s="157"/>
      <c r="EN29" s="157"/>
      <c r="EO29" s="157"/>
      <c r="EP29" s="157"/>
      <c r="EQ29" s="157"/>
      <c r="ER29" s="157"/>
      <c r="ES29" s="157"/>
      <c r="ET29" s="157"/>
      <c r="EU29" s="157"/>
      <c r="EV29" s="157"/>
      <c r="EW29" s="157"/>
      <c r="EX29" s="157"/>
      <c r="EY29" s="157"/>
      <c r="EZ29" s="157"/>
      <c r="FA29" s="157"/>
      <c r="FB29" s="157"/>
      <c r="FC29" s="157"/>
      <c r="FD29" s="157"/>
      <c r="FE29" s="157"/>
      <c r="FF29" s="157"/>
      <c r="FG29" s="157"/>
      <c r="FH29" s="157"/>
      <c r="FI29" s="157"/>
      <c r="FJ29" s="157"/>
      <c r="FK29" s="157"/>
      <c r="FL29" s="157"/>
      <c r="FM29" s="157"/>
      <c r="FN29" s="157"/>
      <c r="FO29" s="157"/>
      <c r="FP29" s="157"/>
      <c r="FQ29" s="157"/>
      <c r="FR29" s="157"/>
      <c r="FS29" s="157"/>
      <c r="FT29" s="157"/>
      <c r="FU29" s="157"/>
      <c r="FV29" s="157"/>
      <c r="FW29" s="157"/>
      <c r="FX29" s="157"/>
      <c r="FY29" s="157"/>
      <c r="FZ29" s="157"/>
      <c r="GA29" s="157"/>
      <c r="GB29" s="157"/>
      <c r="GC29" s="157"/>
      <c r="GD29" s="157"/>
      <c r="GE29" s="157"/>
      <c r="GF29" s="157"/>
      <c r="GG29" s="157"/>
      <c r="GH29" s="157"/>
      <c r="GI29" s="157"/>
      <c r="GJ29" s="157"/>
      <c r="GK29" s="157"/>
      <c r="GL29" s="157"/>
      <c r="GM29" s="157"/>
      <c r="GN29" s="157"/>
      <c r="GO29" s="157"/>
      <c r="GP29" s="157"/>
      <c r="GQ29" s="157"/>
      <c r="GR29" s="157"/>
      <c r="GS29" s="157"/>
      <c r="GT29" s="157"/>
      <c r="GU29" s="157"/>
      <c r="GV29" s="157"/>
      <c r="GW29" s="157"/>
      <c r="GX29" s="157"/>
      <c r="GY29" s="157"/>
      <c r="GZ29" s="157"/>
      <c r="HA29" s="157"/>
      <c r="HB29" s="157"/>
      <c r="HC29" s="157"/>
      <c r="HD29" s="157"/>
      <c r="HE29" s="157"/>
      <c r="HF29" s="157"/>
      <c r="HG29" s="157"/>
      <c r="HH29" s="157"/>
      <c r="HI29" s="157"/>
      <c r="HJ29" s="157"/>
      <c r="HK29" s="157"/>
      <c r="HL29" s="157"/>
      <c r="HM29" s="157"/>
      <c r="HN29" s="157"/>
      <c r="HO29" s="157"/>
      <c r="HP29" s="157"/>
      <c r="HQ29" s="157"/>
      <c r="HR29" s="157"/>
      <c r="HS29" s="157"/>
      <c r="HT29" s="157"/>
      <c r="HU29" s="157"/>
      <c r="HV29" s="157"/>
      <c r="HW29" s="157"/>
      <c r="HX29" s="157"/>
      <c r="HY29" s="157"/>
      <c r="HZ29" s="157"/>
      <c r="IA29" s="157"/>
      <c r="IB29" s="157"/>
      <c r="IC29" s="157"/>
      <c r="ID29" s="157"/>
      <c r="IE29" s="157"/>
      <c r="IF29" s="157"/>
      <c r="IG29" s="157"/>
      <c r="IH29" s="157"/>
      <c r="II29" s="157"/>
      <c r="IJ29" s="157"/>
      <c r="IK29" s="157"/>
      <c r="IL29" s="157"/>
      <c r="IM29" s="157"/>
      <c r="IN29" s="157"/>
      <c r="IO29" s="157"/>
      <c r="IP29" s="157"/>
      <c r="IQ29" s="157"/>
      <c r="IR29" s="157"/>
      <c r="IS29" s="157"/>
      <c r="IT29" s="157"/>
      <c r="IU29" s="157"/>
      <c r="IV29" s="157"/>
      <c r="IW29" s="157"/>
      <c r="IX29" s="157"/>
      <c r="IY29" s="157"/>
      <c r="IZ29" s="157"/>
      <c r="JA29" s="157"/>
      <c r="JB29" s="157"/>
      <c r="JC29" s="157"/>
      <c r="JD29" s="157"/>
      <c r="JE29" s="157"/>
      <c r="JF29" s="157"/>
      <c r="JG29" s="157"/>
      <c r="JH29" s="157"/>
      <c r="JI29" s="157"/>
      <c r="JJ29" s="157"/>
      <c r="JK29" s="157"/>
      <c r="JL29" s="157"/>
      <c r="JM29" s="157"/>
      <c r="JN29" s="157"/>
      <c r="JO29" s="157"/>
      <c r="JP29" s="157"/>
      <c r="JQ29" s="157"/>
      <c r="JR29" s="157"/>
      <c r="JS29" s="157"/>
      <c r="JT29" s="157"/>
      <c r="JU29" s="157"/>
      <c r="JV29" s="157"/>
      <c r="JW29" s="157"/>
      <c r="JX29" s="157"/>
      <c r="JY29" s="157"/>
      <c r="JZ29" s="157"/>
      <c r="KA29" s="157"/>
      <c r="KB29" s="157"/>
      <c r="KC29" s="157"/>
      <c r="KD29" s="157"/>
      <c r="KE29" s="157"/>
      <c r="KF29" s="157"/>
      <c r="KG29" s="157"/>
      <c r="KH29" s="157"/>
      <c r="KI29" s="157"/>
      <c r="KJ29" s="157"/>
      <c r="KK29" s="157"/>
    </row>
    <row r="30" spans="1:297" ht="16" x14ac:dyDescent="0.2">
      <c r="A30" s="433"/>
      <c r="B30" s="331" t="s">
        <v>74</v>
      </c>
      <c r="C30" s="159"/>
      <c r="D30" s="159" t="s">
        <v>143</v>
      </c>
      <c r="E30" s="159"/>
      <c r="F30" s="358">
        <v>196751132562.48169</v>
      </c>
      <c r="G30" s="359">
        <v>232770200000</v>
      </c>
      <c r="H30" s="358">
        <v>115430499144.41551</v>
      </c>
      <c r="I30" s="359">
        <v>272246800000</v>
      </c>
      <c r="J30" s="358">
        <v>224777357080.85178</v>
      </c>
      <c r="K30" s="359">
        <v>1668488490911.5991</v>
      </c>
      <c r="L30" s="358">
        <v>968920300.65213537</v>
      </c>
      <c r="M30" s="359">
        <v>10565999999.999998</v>
      </c>
      <c r="N30" s="164" t="s">
        <v>122</v>
      </c>
      <c r="O30" s="154" t="s">
        <v>123</v>
      </c>
      <c r="P30" s="333" t="s">
        <v>101</v>
      </c>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7"/>
      <c r="BQ30" s="157"/>
      <c r="BR30" s="157"/>
      <c r="BS30" s="157"/>
      <c r="BT30" s="157"/>
      <c r="BU30" s="157"/>
      <c r="BV30" s="157"/>
      <c r="BW30" s="157"/>
      <c r="BX30" s="157"/>
      <c r="BY30" s="157"/>
      <c r="BZ30" s="157"/>
      <c r="CA30" s="157"/>
      <c r="CB30" s="157"/>
      <c r="CC30" s="157"/>
      <c r="CD30" s="157"/>
      <c r="CE30" s="157"/>
      <c r="CF30" s="157"/>
      <c r="CG30" s="157"/>
      <c r="CH30" s="157"/>
      <c r="CI30" s="157"/>
      <c r="CJ30" s="157"/>
      <c r="CK30" s="157"/>
      <c r="CL30" s="157"/>
      <c r="CM30" s="157"/>
      <c r="CN30" s="157"/>
      <c r="CO30" s="157"/>
      <c r="CP30" s="157"/>
      <c r="CQ30" s="157"/>
      <c r="CR30" s="157"/>
      <c r="CS30" s="157"/>
      <c r="CT30" s="157"/>
      <c r="CU30" s="157"/>
      <c r="CV30" s="157"/>
      <c r="CW30" s="157"/>
      <c r="CX30" s="157"/>
      <c r="CY30" s="157"/>
      <c r="CZ30" s="157"/>
      <c r="DA30" s="157"/>
      <c r="DB30" s="157"/>
      <c r="DC30" s="157"/>
      <c r="DD30" s="157"/>
      <c r="DE30" s="157"/>
      <c r="DF30" s="157"/>
      <c r="DG30" s="157"/>
      <c r="DH30" s="157"/>
      <c r="DI30" s="157"/>
      <c r="DJ30" s="157"/>
      <c r="DK30" s="157"/>
      <c r="DL30" s="157"/>
      <c r="DM30" s="157"/>
      <c r="DN30" s="157"/>
      <c r="DO30" s="157"/>
      <c r="DP30" s="157"/>
      <c r="DQ30" s="157"/>
      <c r="DR30" s="157"/>
      <c r="DS30" s="157"/>
      <c r="DT30" s="157"/>
      <c r="DU30" s="157"/>
      <c r="DV30" s="157"/>
      <c r="DW30" s="157"/>
      <c r="DX30" s="157"/>
      <c r="DY30" s="157"/>
      <c r="DZ30" s="157"/>
      <c r="EA30" s="157"/>
      <c r="EB30" s="157"/>
      <c r="EC30" s="157"/>
      <c r="ED30" s="157"/>
      <c r="EE30" s="157"/>
      <c r="EF30" s="157"/>
      <c r="EG30" s="157"/>
      <c r="EH30" s="157"/>
      <c r="EI30" s="157"/>
      <c r="EJ30" s="157"/>
      <c r="EK30" s="157"/>
      <c r="EL30" s="157"/>
      <c r="EM30" s="157"/>
      <c r="EN30" s="157"/>
      <c r="EO30" s="157"/>
      <c r="EP30" s="157"/>
      <c r="EQ30" s="157"/>
      <c r="ER30" s="157"/>
      <c r="ES30" s="157"/>
      <c r="ET30" s="157"/>
      <c r="EU30" s="157"/>
      <c r="EV30" s="157"/>
      <c r="EW30" s="157"/>
      <c r="EX30" s="157"/>
      <c r="EY30" s="157"/>
      <c r="EZ30" s="157"/>
      <c r="FA30" s="157"/>
      <c r="FB30" s="157"/>
      <c r="FC30" s="157"/>
      <c r="FD30" s="157"/>
      <c r="FE30" s="157"/>
      <c r="FF30" s="157"/>
      <c r="FG30" s="157"/>
      <c r="FH30" s="157"/>
      <c r="FI30" s="157"/>
      <c r="FJ30" s="157"/>
      <c r="FK30" s="157"/>
      <c r="FL30" s="157"/>
      <c r="FM30" s="157"/>
      <c r="FN30" s="157"/>
      <c r="FO30" s="157"/>
      <c r="FP30" s="157"/>
      <c r="FQ30" s="157"/>
      <c r="FR30" s="157"/>
      <c r="FS30" s="157"/>
      <c r="FT30" s="157"/>
      <c r="FU30" s="157"/>
      <c r="FV30" s="157"/>
      <c r="FW30" s="157"/>
      <c r="FX30" s="157"/>
      <c r="FY30" s="157"/>
      <c r="FZ30" s="157"/>
      <c r="GA30" s="157"/>
      <c r="GB30" s="157"/>
      <c r="GC30" s="157"/>
      <c r="GD30" s="157"/>
      <c r="GE30" s="157"/>
      <c r="GF30" s="157"/>
      <c r="GG30" s="157"/>
      <c r="GH30" s="157"/>
      <c r="GI30" s="157"/>
      <c r="GJ30" s="157"/>
      <c r="GK30" s="157"/>
      <c r="GL30" s="157"/>
      <c r="GM30" s="157"/>
      <c r="GN30" s="157"/>
      <c r="GO30" s="157"/>
      <c r="GP30" s="157"/>
      <c r="GQ30" s="157"/>
      <c r="GR30" s="157"/>
      <c r="GS30" s="157"/>
      <c r="GT30" s="157"/>
      <c r="GU30" s="157"/>
      <c r="GV30" s="157"/>
      <c r="GW30" s="157"/>
      <c r="GX30" s="157"/>
      <c r="GY30" s="157"/>
      <c r="GZ30" s="157"/>
      <c r="HA30" s="157"/>
      <c r="HB30" s="157"/>
      <c r="HC30" s="157"/>
      <c r="HD30" s="157"/>
      <c r="HE30" s="157"/>
      <c r="HF30" s="157"/>
      <c r="HG30" s="157"/>
      <c r="HH30" s="157"/>
      <c r="HI30" s="157"/>
      <c r="HJ30" s="157"/>
      <c r="HK30" s="157"/>
      <c r="HL30" s="157"/>
      <c r="HM30" s="157"/>
      <c r="HN30" s="157"/>
      <c r="HO30" s="157"/>
      <c r="HP30" s="157"/>
      <c r="HQ30" s="157"/>
      <c r="HR30" s="157"/>
      <c r="HS30" s="157"/>
      <c r="HT30" s="157"/>
      <c r="HU30" s="157"/>
      <c r="HV30" s="157"/>
      <c r="HW30" s="157"/>
      <c r="HX30" s="157"/>
      <c r="HY30" s="157"/>
      <c r="HZ30" s="157"/>
      <c r="IA30" s="157"/>
      <c r="IB30" s="157"/>
      <c r="IC30" s="157"/>
      <c r="ID30" s="157"/>
      <c r="IE30" s="157"/>
      <c r="IF30" s="157"/>
      <c r="IG30" s="157"/>
      <c r="IH30" s="157"/>
      <c r="II30" s="157"/>
      <c r="IJ30" s="157"/>
      <c r="IK30" s="157"/>
      <c r="IL30" s="157"/>
      <c r="IM30" s="157"/>
      <c r="IN30" s="157"/>
      <c r="IO30" s="157"/>
      <c r="IP30" s="157"/>
      <c r="IQ30" s="157"/>
      <c r="IR30" s="157"/>
      <c r="IS30" s="157"/>
      <c r="IT30" s="157"/>
      <c r="IU30" s="157"/>
      <c r="IV30" s="157"/>
      <c r="IW30" s="157"/>
      <c r="IX30" s="157"/>
      <c r="IY30" s="157"/>
      <c r="IZ30" s="157"/>
      <c r="JA30" s="157"/>
      <c r="JB30" s="157"/>
      <c r="JC30" s="157"/>
      <c r="JD30" s="157"/>
      <c r="JE30" s="157"/>
      <c r="JF30" s="157"/>
      <c r="JG30" s="157"/>
      <c r="JH30" s="157"/>
      <c r="JI30" s="157"/>
      <c r="JJ30" s="157"/>
      <c r="JK30" s="157"/>
      <c r="JL30" s="157"/>
      <c r="JM30" s="157"/>
      <c r="JN30" s="157"/>
      <c r="JO30" s="157"/>
      <c r="JP30" s="157"/>
      <c r="JQ30" s="157"/>
      <c r="JR30" s="157"/>
      <c r="JS30" s="157"/>
      <c r="JT30" s="157"/>
      <c r="JU30" s="157"/>
      <c r="JV30" s="157"/>
      <c r="JW30" s="157"/>
      <c r="JX30" s="157"/>
      <c r="JY30" s="157"/>
      <c r="JZ30" s="157"/>
      <c r="KA30" s="157"/>
      <c r="KB30" s="157"/>
      <c r="KC30" s="157"/>
      <c r="KD30" s="157"/>
      <c r="KE30" s="157"/>
      <c r="KF30" s="157"/>
      <c r="KG30" s="157"/>
      <c r="KH30" s="157"/>
      <c r="KI30" s="157"/>
      <c r="KJ30" s="157"/>
      <c r="KK30" s="157"/>
    </row>
    <row r="31" spans="1:297" ht="16" thickBot="1" x14ac:dyDescent="0.25">
      <c r="A31" s="433"/>
      <c r="B31" s="332" t="s">
        <v>201</v>
      </c>
      <c r="C31" s="332" t="s">
        <v>201</v>
      </c>
      <c r="D31" s="316"/>
      <c r="E31" s="316"/>
      <c r="F31" s="362">
        <v>7.4999999999999997E-2</v>
      </c>
      <c r="G31" s="362">
        <v>0.2989</v>
      </c>
      <c r="H31" s="362">
        <v>0.1022</v>
      </c>
      <c r="I31" s="362">
        <v>0.2268</v>
      </c>
      <c r="J31" s="362">
        <v>0.1225</v>
      </c>
      <c r="K31" s="362">
        <v>0.28799999999999998</v>
      </c>
      <c r="L31" s="362">
        <v>5.7000000000000002E-2</v>
      </c>
      <c r="M31" s="362">
        <v>8.9200000000000002E-2</v>
      </c>
      <c r="N31" s="315"/>
      <c r="O31" s="316"/>
      <c r="P31" s="317" t="s">
        <v>207</v>
      </c>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7"/>
      <c r="BQ31" s="157"/>
      <c r="BR31" s="157"/>
      <c r="BS31" s="157"/>
      <c r="BT31" s="157"/>
      <c r="BU31" s="157"/>
      <c r="BV31" s="157"/>
      <c r="BW31" s="157"/>
      <c r="BX31" s="157"/>
      <c r="BY31" s="157"/>
      <c r="BZ31" s="157"/>
      <c r="CA31" s="157"/>
      <c r="CB31" s="157"/>
      <c r="CC31" s="157"/>
      <c r="CD31" s="157"/>
      <c r="CE31" s="157"/>
      <c r="CF31" s="157"/>
      <c r="CG31" s="157"/>
      <c r="CH31" s="157"/>
      <c r="CI31" s="157"/>
      <c r="CJ31" s="157"/>
      <c r="CK31" s="157"/>
      <c r="CL31" s="157"/>
      <c r="CM31" s="157"/>
      <c r="CN31" s="157"/>
      <c r="CO31" s="157"/>
      <c r="CP31" s="157"/>
      <c r="CQ31" s="157"/>
      <c r="CR31" s="157"/>
      <c r="CS31" s="157"/>
      <c r="CT31" s="157"/>
      <c r="CU31" s="157"/>
      <c r="CV31" s="157"/>
      <c r="CW31" s="157"/>
      <c r="CX31" s="157"/>
      <c r="CY31" s="157"/>
      <c r="CZ31" s="157"/>
      <c r="DA31" s="157"/>
      <c r="DB31" s="157"/>
      <c r="DC31" s="157"/>
      <c r="DD31" s="157"/>
      <c r="DE31" s="157"/>
      <c r="DF31" s="157"/>
      <c r="DG31" s="157"/>
      <c r="DH31" s="157"/>
      <c r="DI31" s="157"/>
      <c r="DJ31" s="157"/>
      <c r="DK31" s="157"/>
      <c r="DL31" s="157"/>
      <c r="DM31" s="157"/>
      <c r="DN31" s="157"/>
      <c r="DO31" s="157"/>
      <c r="DP31" s="157"/>
      <c r="DQ31" s="157"/>
      <c r="DR31" s="157"/>
      <c r="DS31" s="157"/>
      <c r="DT31" s="157"/>
      <c r="DU31" s="157"/>
      <c r="DV31" s="157"/>
      <c r="DW31" s="157"/>
      <c r="DX31" s="157"/>
      <c r="DY31" s="157"/>
      <c r="DZ31" s="157"/>
      <c r="EA31" s="157"/>
      <c r="EB31" s="157"/>
      <c r="EC31" s="157"/>
      <c r="ED31" s="157"/>
      <c r="EE31" s="157"/>
      <c r="EF31" s="157"/>
      <c r="EG31" s="157"/>
      <c r="EH31" s="157"/>
      <c r="EI31" s="157"/>
      <c r="EJ31" s="157"/>
      <c r="EK31" s="157"/>
      <c r="EL31" s="157"/>
      <c r="EM31" s="157"/>
      <c r="EN31" s="157"/>
      <c r="EO31" s="157"/>
      <c r="EP31" s="157"/>
      <c r="EQ31" s="157"/>
      <c r="ER31" s="157"/>
      <c r="ES31" s="157"/>
      <c r="ET31" s="157"/>
      <c r="EU31" s="157"/>
      <c r="EV31" s="157"/>
      <c r="EW31" s="157"/>
      <c r="EX31" s="157"/>
      <c r="EY31" s="157"/>
      <c r="EZ31" s="157"/>
      <c r="FA31" s="157"/>
      <c r="FB31" s="157"/>
      <c r="FC31" s="157"/>
      <c r="FD31" s="157"/>
      <c r="FE31" s="157"/>
      <c r="FF31" s="157"/>
      <c r="FG31" s="157"/>
      <c r="FH31" s="157"/>
      <c r="FI31" s="157"/>
      <c r="FJ31" s="157"/>
      <c r="FK31" s="157"/>
      <c r="FL31" s="157"/>
      <c r="FM31" s="157"/>
      <c r="FN31" s="157"/>
      <c r="FO31" s="157"/>
      <c r="FP31" s="157"/>
      <c r="FQ31" s="157"/>
      <c r="FR31" s="157"/>
      <c r="FS31" s="157"/>
      <c r="FT31" s="157"/>
      <c r="FU31" s="157"/>
      <c r="FV31" s="157"/>
      <c r="FW31" s="157"/>
      <c r="FX31" s="157"/>
      <c r="FY31" s="157"/>
      <c r="FZ31" s="157"/>
      <c r="GA31" s="157"/>
      <c r="GB31" s="157"/>
      <c r="GC31" s="157"/>
      <c r="GD31" s="157"/>
      <c r="GE31" s="157"/>
      <c r="GF31" s="157"/>
      <c r="GG31" s="157"/>
      <c r="GH31" s="157"/>
      <c r="GI31" s="157"/>
      <c r="GJ31" s="157"/>
      <c r="GK31" s="157"/>
      <c r="GL31" s="157"/>
      <c r="GM31" s="157"/>
      <c r="GN31" s="157"/>
      <c r="GO31" s="157"/>
      <c r="GP31" s="157"/>
      <c r="GQ31" s="157"/>
      <c r="GR31" s="157"/>
      <c r="GS31" s="157"/>
      <c r="GT31" s="157"/>
      <c r="GU31" s="157"/>
      <c r="GV31" s="157"/>
      <c r="GW31" s="157"/>
      <c r="GX31" s="157"/>
      <c r="GY31" s="157"/>
      <c r="GZ31" s="157"/>
      <c r="HA31" s="157"/>
      <c r="HB31" s="157"/>
      <c r="HC31" s="157"/>
      <c r="HD31" s="157"/>
      <c r="HE31" s="157"/>
      <c r="HF31" s="157"/>
      <c r="HG31" s="157"/>
      <c r="HH31" s="157"/>
      <c r="HI31" s="157"/>
      <c r="HJ31" s="157"/>
      <c r="HK31" s="157"/>
      <c r="HL31" s="157"/>
      <c r="HM31" s="157"/>
      <c r="HN31" s="157"/>
      <c r="HO31" s="157"/>
      <c r="HP31" s="157"/>
      <c r="HQ31" s="157"/>
      <c r="HR31" s="157"/>
      <c r="HS31" s="157"/>
      <c r="HT31" s="157"/>
      <c r="HU31" s="157"/>
      <c r="HV31" s="157"/>
      <c r="HW31" s="157"/>
      <c r="HX31" s="157"/>
      <c r="HY31" s="157"/>
      <c r="HZ31" s="157"/>
      <c r="IA31" s="157"/>
      <c r="IB31" s="157"/>
      <c r="IC31" s="157"/>
      <c r="ID31" s="157"/>
      <c r="IE31" s="157"/>
      <c r="IF31" s="157"/>
      <c r="IG31" s="157"/>
      <c r="IH31" s="157"/>
      <c r="II31" s="157"/>
      <c r="IJ31" s="157"/>
      <c r="IK31" s="157"/>
      <c r="IL31" s="157"/>
      <c r="IM31" s="157"/>
      <c r="IN31" s="157"/>
      <c r="IO31" s="157"/>
      <c r="IP31" s="157"/>
      <c r="IQ31" s="157"/>
      <c r="IR31" s="157"/>
      <c r="IS31" s="157"/>
      <c r="IT31" s="157"/>
      <c r="IU31" s="157"/>
      <c r="IV31" s="157"/>
      <c r="IW31" s="157"/>
      <c r="IX31" s="157"/>
      <c r="IY31" s="157"/>
      <c r="IZ31" s="157"/>
      <c r="JA31" s="157"/>
      <c r="JB31" s="157"/>
      <c r="JC31" s="157"/>
      <c r="JD31" s="157"/>
      <c r="JE31" s="157"/>
      <c r="JF31" s="157"/>
      <c r="JG31" s="157"/>
      <c r="JH31" s="157"/>
      <c r="JI31" s="157"/>
      <c r="JJ31" s="157"/>
      <c r="JK31" s="157"/>
      <c r="JL31" s="157"/>
      <c r="JM31" s="157"/>
      <c r="JN31" s="157"/>
      <c r="JO31" s="157"/>
      <c r="JP31" s="157"/>
      <c r="JQ31" s="157"/>
      <c r="JR31" s="157"/>
      <c r="JS31" s="157"/>
      <c r="JT31" s="157"/>
      <c r="JU31" s="157"/>
      <c r="JV31" s="157"/>
      <c r="JW31" s="157"/>
      <c r="JX31" s="157"/>
      <c r="JY31" s="157"/>
      <c r="JZ31" s="157"/>
      <c r="KA31" s="157"/>
      <c r="KB31" s="157"/>
      <c r="KC31" s="157"/>
      <c r="KD31" s="157"/>
      <c r="KE31" s="157"/>
      <c r="KF31" s="157"/>
      <c r="KG31" s="157"/>
      <c r="KH31" s="157"/>
      <c r="KI31" s="157"/>
      <c r="KJ31" s="157"/>
      <c r="KK31" s="157"/>
    </row>
    <row r="32" spans="1:297" ht="16" thickBot="1" x14ac:dyDescent="0.25">
      <c r="A32" s="433"/>
      <c r="B32" s="321" t="s">
        <v>203</v>
      </c>
      <c r="C32" s="321" t="s">
        <v>203</v>
      </c>
      <c r="D32" s="154"/>
      <c r="E32" s="154"/>
      <c r="F32" s="358">
        <v>8.7273952600247104E-2</v>
      </c>
      <c r="G32" s="358">
        <v>0.16039537234640008</v>
      </c>
      <c r="H32" s="358">
        <v>9.041895990115692E-3</v>
      </c>
      <c r="I32" s="358">
        <v>9.6315848590362796E-2</v>
      </c>
      <c r="J32" s="358">
        <v>7.5367853532517126E-2</v>
      </c>
      <c r="K32" s="358">
        <v>0.27636751656744918</v>
      </c>
      <c r="L32" s="358">
        <v>3.1955520611029992E-2</v>
      </c>
      <c r="M32" s="358">
        <v>0.13029315960912052</v>
      </c>
      <c r="N32" s="164"/>
      <c r="O32" s="154"/>
      <c r="P32" s="318" t="s">
        <v>207</v>
      </c>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7"/>
      <c r="BQ32" s="157"/>
      <c r="BR32" s="157"/>
      <c r="BS32" s="157"/>
      <c r="BT32" s="157"/>
      <c r="BU32" s="157"/>
      <c r="BV32" s="157"/>
      <c r="BW32" s="157"/>
      <c r="BX32" s="157"/>
      <c r="BY32" s="157"/>
      <c r="BZ32" s="157"/>
      <c r="CA32" s="157"/>
      <c r="CB32" s="157"/>
      <c r="CC32" s="157"/>
      <c r="CD32" s="157"/>
      <c r="CE32" s="157"/>
      <c r="CF32" s="157"/>
      <c r="CG32" s="157"/>
      <c r="CH32" s="157"/>
      <c r="CI32" s="157"/>
      <c r="CJ32" s="157"/>
      <c r="CK32" s="157"/>
      <c r="CL32" s="157"/>
      <c r="CM32" s="157"/>
      <c r="CN32" s="157"/>
      <c r="CO32" s="157"/>
      <c r="CP32" s="157"/>
      <c r="CQ32" s="157"/>
      <c r="CR32" s="157"/>
      <c r="CS32" s="157"/>
      <c r="CT32" s="157"/>
      <c r="CU32" s="157"/>
      <c r="CV32" s="157"/>
      <c r="CW32" s="157"/>
      <c r="CX32" s="157"/>
      <c r="CY32" s="157"/>
      <c r="CZ32" s="157"/>
      <c r="DA32" s="157"/>
      <c r="DB32" s="157"/>
      <c r="DC32" s="157"/>
      <c r="DD32" s="157"/>
      <c r="DE32" s="157"/>
      <c r="DF32" s="157"/>
      <c r="DG32" s="157"/>
      <c r="DH32" s="157"/>
      <c r="DI32" s="157"/>
      <c r="DJ32" s="157"/>
      <c r="DK32" s="157"/>
      <c r="DL32" s="157"/>
      <c r="DM32" s="157"/>
      <c r="DN32" s="157"/>
      <c r="DO32" s="157"/>
      <c r="DP32" s="157"/>
      <c r="DQ32" s="157"/>
      <c r="DR32" s="157"/>
      <c r="DS32" s="157"/>
      <c r="DT32" s="157"/>
      <c r="DU32" s="157"/>
      <c r="DV32" s="157"/>
      <c r="DW32" s="157"/>
      <c r="DX32" s="157"/>
      <c r="DY32" s="157"/>
      <c r="DZ32" s="157"/>
      <c r="EA32" s="157"/>
      <c r="EB32" s="157"/>
      <c r="EC32" s="157"/>
      <c r="ED32" s="157"/>
      <c r="EE32" s="157"/>
      <c r="EF32" s="157"/>
      <c r="EG32" s="157"/>
      <c r="EH32" s="157"/>
      <c r="EI32" s="157"/>
      <c r="EJ32" s="157"/>
      <c r="EK32" s="157"/>
      <c r="EL32" s="157"/>
      <c r="EM32" s="157"/>
      <c r="EN32" s="157"/>
      <c r="EO32" s="157"/>
      <c r="EP32" s="157"/>
      <c r="EQ32" s="157"/>
      <c r="ER32" s="157"/>
      <c r="ES32" s="157"/>
      <c r="ET32" s="157"/>
      <c r="EU32" s="157"/>
      <c r="EV32" s="157"/>
      <c r="EW32" s="157"/>
      <c r="EX32" s="157"/>
      <c r="EY32" s="157"/>
      <c r="EZ32" s="157"/>
      <c r="FA32" s="157"/>
      <c r="FB32" s="157"/>
      <c r="FC32" s="157"/>
      <c r="FD32" s="157"/>
      <c r="FE32" s="157"/>
      <c r="FF32" s="157"/>
      <c r="FG32" s="157"/>
      <c r="FH32" s="157"/>
      <c r="FI32" s="157"/>
      <c r="FJ32" s="157"/>
      <c r="FK32" s="157"/>
      <c r="FL32" s="157"/>
      <c r="FM32" s="157"/>
      <c r="FN32" s="157"/>
      <c r="FO32" s="157"/>
      <c r="FP32" s="157"/>
      <c r="FQ32" s="157"/>
      <c r="FR32" s="157"/>
      <c r="FS32" s="157"/>
      <c r="FT32" s="157"/>
      <c r="FU32" s="157"/>
      <c r="FV32" s="157"/>
      <c r="FW32" s="157"/>
      <c r="FX32" s="157"/>
      <c r="FY32" s="157"/>
      <c r="FZ32" s="157"/>
      <c r="GA32" s="157"/>
      <c r="GB32" s="157"/>
      <c r="GC32" s="157"/>
      <c r="GD32" s="157"/>
      <c r="GE32" s="157"/>
      <c r="GF32" s="157"/>
      <c r="GG32" s="157"/>
      <c r="GH32" s="157"/>
      <c r="GI32" s="157"/>
      <c r="GJ32" s="157"/>
      <c r="GK32" s="157"/>
      <c r="GL32" s="157"/>
      <c r="GM32" s="157"/>
      <c r="GN32" s="157"/>
      <c r="GO32" s="157"/>
      <c r="GP32" s="157"/>
      <c r="GQ32" s="157"/>
      <c r="GR32" s="157"/>
      <c r="GS32" s="157"/>
      <c r="GT32" s="157"/>
      <c r="GU32" s="157"/>
      <c r="GV32" s="157"/>
      <c r="GW32" s="157"/>
      <c r="GX32" s="157"/>
      <c r="GY32" s="157"/>
      <c r="GZ32" s="157"/>
      <c r="HA32" s="157"/>
      <c r="HB32" s="157"/>
      <c r="HC32" s="157"/>
      <c r="HD32" s="157"/>
      <c r="HE32" s="157"/>
      <c r="HF32" s="157"/>
      <c r="HG32" s="157"/>
      <c r="HH32" s="157"/>
      <c r="HI32" s="157"/>
      <c r="HJ32" s="157"/>
      <c r="HK32" s="157"/>
      <c r="HL32" s="157"/>
      <c r="HM32" s="157"/>
      <c r="HN32" s="157"/>
      <c r="HO32" s="157"/>
      <c r="HP32" s="157"/>
      <c r="HQ32" s="157"/>
      <c r="HR32" s="157"/>
      <c r="HS32" s="157"/>
      <c r="HT32" s="157"/>
      <c r="HU32" s="157"/>
      <c r="HV32" s="157"/>
      <c r="HW32" s="157"/>
      <c r="HX32" s="157"/>
      <c r="HY32" s="157"/>
      <c r="HZ32" s="157"/>
      <c r="IA32" s="157"/>
      <c r="IB32" s="157"/>
      <c r="IC32" s="157"/>
      <c r="ID32" s="157"/>
      <c r="IE32" s="157"/>
      <c r="IF32" s="157"/>
      <c r="IG32" s="157"/>
      <c r="IH32" s="157"/>
      <c r="II32" s="157"/>
      <c r="IJ32" s="157"/>
      <c r="IK32" s="157"/>
      <c r="IL32" s="157"/>
      <c r="IM32" s="157"/>
      <c r="IN32" s="157"/>
      <c r="IO32" s="157"/>
      <c r="IP32" s="157"/>
      <c r="IQ32" s="157"/>
      <c r="IR32" s="157"/>
      <c r="IS32" s="157"/>
      <c r="IT32" s="157"/>
      <c r="IU32" s="157"/>
      <c r="IV32" s="157"/>
      <c r="IW32" s="157"/>
      <c r="IX32" s="157"/>
      <c r="IY32" s="157"/>
      <c r="IZ32" s="157"/>
      <c r="JA32" s="157"/>
      <c r="JB32" s="157"/>
      <c r="JC32" s="157"/>
      <c r="JD32" s="157"/>
      <c r="JE32" s="157"/>
      <c r="JF32" s="157"/>
      <c r="JG32" s="157"/>
      <c r="JH32" s="157"/>
      <c r="JI32" s="157"/>
      <c r="JJ32" s="157"/>
      <c r="JK32" s="157"/>
      <c r="JL32" s="157"/>
      <c r="JM32" s="157"/>
      <c r="JN32" s="157"/>
      <c r="JO32" s="157"/>
      <c r="JP32" s="157"/>
      <c r="JQ32" s="157"/>
      <c r="JR32" s="157"/>
      <c r="JS32" s="157"/>
      <c r="JT32" s="157"/>
      <c r="JU32" s="157"/>
      <c r="JV32" s="157"/>
      <c r="JW32" s="157"/>
      <c r="JX32" s="157"/>
      <c r="JY32" s="157"/>
      <c r="JZ32" s="157"/>
      <c r="KA32" s="157"/>
      <c r="KB32" s="157"/>
      <c r="KC32" s="157"/>
      <c r="KD32" s="157"/>
      <c r="KE32" s="157"/>
      <c r="KF32" s="157"/>
      <c r="KG32" s="157"/>
      <c r="KH32" s="157"/>
      <c r="KI32" s="157"/>
      <c r="KJ32" s="157"/>
      <c r="KK32" s="157"/>
    </row>
    <row r="33" spans="1:297" x14ac:dyDescent="0.2">
      <c r="A33" s="433"/>
      <c r="B33" s="324" t="s">
        <v>205</v>
      </c>
      <c r="C33" s="324" t="s">
        <v>205</v>
      </c>
      <c r="D33" s="328"/>
      <c r="E33" s="328"/>
      <c r="F33" s="363">
        <v>3.2399999999999998E-2</v>
      </c>
      <c r="G33" s="363">
        <v>0.34329999999999999</v>
      </c>
      <c r="H33" s="363">
        <v>8.3099999999999993E-2</v>
      </c>
      <c r="I33" s="363">
        <v>0.2283</v>
      </c>
      <c r="J33" s="363">
        <v>7.5999999999999998E-2</v>
      </c>
      <c r="K33" s="363">
        <v>0.2298</v>
      </c>
      <c r="L33" s="363">
        <v>2.1399999999999999E-2</v>
      </c>
      <c r="M33" s="363">
        <v>0.13100000000000001</v>
      </c>
      <c r="N33" s="327"/>
      <c r="O33" s="328"/>
      <c r="P33" s="334" t="s">
        <v>207</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c r="CQ33" s="157"/>
      <c r="CR33" s="157"/>
      <c r="CS33" s="157"/>
      <c r="CT33" s="157"/>
      <c r="CU33" s="157"/>
      <c r="CV33" s="157"/>
      <c r="CW33" s="157"/>
      <c r="CX33" s="157"/>
      <c r="CY33" s="157"/>
      <c r="CZ33" s="157"/>
      <c r="DA33" s="157"/>
      <c r="DB33" s="157"/>
      <c r="DC33" s="157"/>
      <c r="DD33" s="157"/>
      <c r="DE33" s="157"/>
      <c r="DF33" s="157"/>
      <c r="DG33" s="157"/>
      <c r="DH33" s="157"/>
      <c r="DI33" s="157"/>
      <c r="DJ33" s="157"/>
      <c r="DK33" s="157"/>
      <c r="DL33" s="157"/>
      <c r="DM33" s="157"/>
      <c r="DN33" s="157"/>
      <c r="DO33" s="157"/>
      <c r="DP33" s="157"/>
      <c r="DQ33" s="157"/>
      <c r="DR33" s="157"/>
      <c r="DS33" s="157"/>
      <c r="DT33" s="157"/>
      <c r="DU33" s="157"/>
      <c r="DV33" s="157"/>
      <c r="DW33" s="157"/>
      <c r="DX33" s="157"/>
      <c r="DY33" s="157"/>
      <c r="DZ33" s="157"/>
      <c r="EA33" s="157"/>
      <c r="EB33" s="157"/>
      <c r="EC33" s="157"/>
      <c r="ED33" s="157"/>
      <c r="EE33" s="157"/>
      <c r="EF33" s="157"/>
      <c r="EG33" s="157"/>
      <c r="EH33" s="157"/>
      <c r="EI33" s="157"/>
      <c r="EJ33" s="157"/>
      <c r="EK33" s="157"/>
      <c r="EL33" s="157"/>
      <c r="EM33" s="157"/>
      <c r="EN33" s="157"/>
      <c r="EO33" s="157"/>
      <c r="EP33" s="157"/>
      <c r="EQ33" s="157"/>
      <c r="ER33" s="157"/>
      <c r="ES33" s="157"/>
      <c r="ET33" s="157"/>
      <c r="EU33" s="157"/>
      <c r="EV33" s="157"/>
      <c r="EW33" s="157"/>
      <c r="EX33" s="157"/>
      <c r="EY33" s="157"/>
      <c r="EZ33" s="157"/>
      <c r="FA33" s="157"/>
      <c r="FB33" s="157"/>
      <c r="FC33" s="157"/>
      <c r="FD33" s="157"/>
      <c r="FE33" s="157"/>
      <c r="FF33" s="157"/>
      <c r="FG33" s="157"/>
      <c r="FH33" s="157"/>
      <c r="FI33" s="157"/>
      <c r="FJ33" s="157"/>
      <c r="FK33" s="157"/>
      <c r="FL33" s="157"/>
      <c r="FM33" s="157"/>
      <c r="FN33" s="157"/>
      <c r="FO33" s="157"/>
      <c r="FP33" s="157"/>
      <c r="FQ33" s="157"/>
      <c r="FR33" s="157"/>
      <c r="FS33" s="157"/>
      <c r="FT33" s="157"/>
      <c r="FU33" s="157"/>
      <c r="FV33" s="157"/>
      <c r="FW33" s="157"/>
      <c r="FX33" s="157"/>
      <c r="FY33" s="157"/>
      <c r="FZ33" s="157"/>
      <c r="GA33" s="157"/>
      <c r="GB33" s="157"/>
      <c r="GC33" s="157"/>
      <c r="GD33" s="157"/>
      <c r="GE33" s="157"/>
      <c r="GF33" s="157"/>
      <c r="GG33" s="157"/>
      <c r="GH33" s="157"/>
      <c r="GI33" s="157"/>
      <c r="GJ33" s="157"/>
      <c r="GK33" s="157"/>
      <c r="GL33" s="157"/>
      <c r="GM33" s="157"/>
      <c r="GN33" s="157"/>
      <c r="GO33" s="157"/>
      <c r="GP33" s="157"/>
      <c r="GQ33" s="157"/>
      <c r="GR33" s="157"/>
      <c r="GS33" s="157"/>
      <c r="GT33" s="157"/>
      <c r="GU33" s="157"/>
      <c r="GV33" s="157"/>
      <c r="GW33" s="157"/>
      <c r="GX33" s="157"/>
      <c r="GY33" s="157"/>
      <c r="GZ33" s="157"/>
      <c r="HA33" s="157"/>
      <c r="HB33" s="157"/>
      <c r="HC33" s="157"/>
      <c r="HD33" s="157"/>
      <c r="HE33" s="157"/>
      <c r="HF33" s="157"/>
      <c r="HG33" s="157"/>
      <c r="HH33" s="157"/>
      <c r="HI33" s="157"/>
      <c r="HJ33" s="157"/>
      <c r="HK33" s="157"/>
      <c r="HL33" s="157"/>
      <c r="HM33" s="157"/>
      <c r="HN33" s="157"/>
      <c r="HO33" s="157"/>
      <c r="HP33" s="157"/>
      <c r="HQ33" s="157"/>
      <c r="HR33" s="157"/>
      <c r="HS33" s="157"/>
      <c r="HT33" s="157"/>
      <c r="HU33" s="157"/>
      <c r="HV33" s="157"/>
      <c r="HW33" s="157"/>
      <c r="HX33" s="157"/>
      <c r="HY33" s="157"/>
      <c r="HZ33" s="157"/>
      <c r="IA33" s="157"/>
      <c r="IB33" s="157"/>
      <c r="IC33" s="157"/>
      <c r="ID33" s="157"/>
      <c r="IE33" s="157"/>
      <c r="IF33" s="157"/>
      <c r="IG33" s="157"/>
      <c r="IH33" s="157"/>
      <c r="II33" s="157"/>
      <c r="IJ33" s="157"/>
      <c r="IK33" s="157"/>
      <c r="IL33" s="157"/>
      <c r="IM33" s="157"/>
      <c r="IN33" s="157"/>
      <c r="IO33" s="157"/>
      <c r="IP33" s="157"/>
      <c r="IQ33" s="157"/>
      <c r="IR33" s="157"/>
      <c r="IS33" s="157"/>
      <c r="IT33" s="157"/>
      <c r="IU33" s="157"/>
      <c r="IV33" s="157"/>
      <c r="IW33" s="157"/>
      <c r="IX33" s="157"/>
      <c r="IY33" s="157"/>
      <c r="IZ33" s="157"/>
      <c r="JA33" s="157"/>
      <c r="JB33" s="157"/>
      <c r="JC33" s="157"/>
      <c r="JD33" s="157"/>
      <c r="JE33" s="157"/>
      <c r="JF33" s="157"/>
      <c r="JG33" s="157"/>
      <c r="JH33" s="157"/>
      <c r="JI33" s="157"/>
      <c r="JJ33" s="157"/>
      <c r="JK33" s="157"/>
      <c r="JL33" s="157"/>
      <c r="JM33" s="157"/>
      <c r="JN33" s="157"/>
      <c r="JO33" s="157"/>
      <c r="JP33" s="157"/>
      <c r="JQ33" s="157"/>
      <c r="JR33" s="157"/>
      <c r="JS33" s="157"/>
      <c r="JT33" s="157"/>
      <c r="JU33" s="157"/>
      <c r="JV33" s="157"/>
      <c r="JW33" s="157"/>
      <c r="JX33" s="157"/>
      <c r="JY33" s="157"/>
      <c r="JZ33" s="157"/>
      <c r="KA33" s="157"/>
      <c r="KB33" s="157"/>
      <c r="KC33" s="157"/>
      <c r="KD33" s="157"/>
      <c r="KE33" s="157"/>
      <c r="KF33" s="157"/>
      <c r="KG33" s="157"/>
      <c r="KH33" s="157"/>
      <c r="KI33" s="157"/>
      <c r="KJ33" s="157"/>
      <c r="KK33" s="157"/>
    </row>
    <row r="34" spans="1:297" x14ac:dyDescent="0.2">
      <c r="A34" s="433"/>
      <c r="B34" s="321"/>
      <c r="C34" s="216" t="s">
        <v>210</v>
      </c>
      <c r="D34" s="216" t="s">
        <v>143</v>
      </c>
      <c r="E34" s="216" t="s">
        <v>151</v>
      </c>
      <c r="F34" s="364" cm="1">
        <f t="array" ref="F34">_xlfn.XLOOKUP($E34, UVintensity!$L$3:$L$14, _xlfn.XLOOKUP(F$5, UVintensity!$M$2:$U$2, UVintensity!$M$3:$U$14))</f>
        <v>0</v>
      </c>
      <c r="G34" s="364" cm="1">
        <f t="array" ref="G34">_xlfn.XLOOKUP($E34, UVintensity!$L$3:$L$14, _xlfn.XLOOKUP(G$5, UVintensity!$M$2:$U$2, UVintensity!$M$3:$U$14))</f>
        <v>0</v>
      </c>
      <c r="H34" s="364" cm="1">
        <f t="array" ref="H34">_xlfn.XLOOKUP($E34, UVintensity!$L$3:$L$14, _xlfn.XLOOKUP(H$5, UVintensity!$M$2:$U$2, UVintensity!$M$3:$U$14))</f>
        <v>0</v>
      </c>
      <c r="I34" s="364" cm="1">
        <f t="array" ref="I34">_xlfn.XLOOKUP($E34, UVintensity!$L$3:$L$14, _xlfn.XLOOKUP(I$5, UVintensity!$M$2:$U$2, UVintensity!$M$3:$U$14))</f>
        <v>0</v>
      </c>
      <c r="J34" s="364" cm="1">
        <f t="array" ref="J34">_xlfn.XLOOKUP($E34, UVintensity!$L$3:$L$14, _xlfn.XLOOKUP(J$5, UVintensity!$M$2:$U$2, UVintensity!$M$3:$U$14))</f>
        <v>0</v>
      </c>
      <c r="K34" s="364" cm="1">
        <f t="array" ref="K34">_xlfn.XLOOKUP($E34, UVintensity!$L$3:$L$14, _xlfn.XLOOKUP(K$5, UVintensity!$M$2:$U$2, UVintensity!$M$3:$U$14))</f>
        <v>0</v>
      </c>
      <c r="L34" s="364" cm="1">
        <f t="array" ref="L34">_xlfn.XLOOKUP($E34, UVintensity!$L$3:$L$14, _xlfn.XLOOKUP(L$5, UVintensity!$M$2:$U$2, UVintensity!$M$3:$U$14))</f>
        <v>0</v>
      </c>
      <c r="M34" s="364" cm="1">
        <f t="array" ref="M34">_xlfn.XLOOKUP($E34, UVintensity!$L$3:$L$14, _xlfn.XLOOKUP(M$5, UVintensity!$M$2:$U$2, UVintensity!$M$3:$U$14))</f>
        <v>0</v>
      </c>
      <c r="N34" s="164"/>
      <c r="O34" s="154" t="s">
        <v>258</v>
      </c>
      <c r="P34" s="322" t="s">
        <v>257</v>
      </c>
      <c r="T34" s="155">
        <v>8.7273952600247104E-2</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7"/>
      <c r="BQ34" s="157"/>
      <c r="BR34" s="157"/>
      <c r="BS34" s="157"/>
      <c r="BT34" s="157"/>
      <c r="BU34" s="157"/>
      <c r="BV34" s="157"/>
      <c r="BW34" s="157"/>
      <c r="BX34" s="157"/>
      <c r="BY34" s="157"/>
      <c r="BZ34" s="157"/>
      <c r="CA34" s="157"/>
      <c r="CB34" s="157"/>
      <c r="CC34" s="157"/>
      <c r="CD34" s="157"/>
      <c r="CE34" s="157"/>
      <c r="CF34" s="157"/>
      <c r="CG34" s="157"/>
      <c r="CH34" s="157"/>
      <c r="CI34" s="157"/>
      <c r="CJ34" s="157"/>
      <c r="CK34" s="157"/>
      <c r="CL34" s="157"/>
      <c r="CM34" s="157"/>
      <c r="CN34" s="157"/>
      <c r="CO34" s="157"/>
      <c r="CP34" s="157"/>
      <c r="CQ34" s="157"/>
      <c r="CR34" s="157"/>
      <c r="CS34" s="157"/>
      <c r="CT34" s="157"/>
      <c r="CU34" s="157"/>
      <c r="CV34" s="157"/>
      <c r="CW34" s="157"/>
      <c r="CX34" s="157"/>
      <c r="CY34" s="157"/>
      <c r="CZ34" s="157"/>
      <c r="DA34" s="157"/>
      <c r="DB34" s="157"/>
      <c r="DC34" s="157"/>
      <c r="DD34" s="157"/>
      <c r="DE34" s="157"/>
      <c r="DF34" s="157"/>
      <c r="DG34" s="157"/>
      <c r="DH34" s="157"/>
      <c r="DI34" s="157"/>
      <c r="DJ34" s="157"/>
      <c r="DK34" s="157"/>
      <c r="DL34" s="157"/>
      <c r="DM34" s="157"/>
      <c r="DN34" s="157"/>
      <c r="DO34" s="157"/>
      <c r="DP34" s="157"/>
      <c r="DQ34" s="157"/>
      <c r="DR34" s="157"/>
      <c r="DS34" s="157"/>
      <c r="DT34" s="157"/>
      <c r="DU34" s="157"/>
      <c r="DV34" s="157"/>
      <c r="DW34" s="157"/>
      <c r="DX34" s="157"/>
      <c r="DY34" s="157"/>
      <c r="DZ34" s="157"/>
      <c r="EA34" s="157"/>
      <c r="EB34" s="157"/>
      <c r="EC34" s="157"/>
      <c r="ED34" s="157"/>
      <c r="EE34" s="157"/>
      <c r="EF34" s="157"/>
      <c r="EG34" s="157"/>
      <c r="EH34" s="157"/>
      <c r="EI34" s="157"/>
      <c r="EJ34" s="157"/>
      <c r="EK34" s="157"/>
      <c r="EL34" s="157"/>
      <c r="EM34" s="157"/>
      <c r="EN34" s="157"/>
      <c r="EO34" s="157"/>
      <c r="EP34" s="157"/>
      <c r="EQ34" s="157"/>
      <c r="ER34" s="157"/>
      <c r="ES34" s="157"/>
      <c r="ET34" s="157"/>
      <c r="EU34" s="157"/>
      <c r="EV34" s="157"/>
      <c r="EW34" s="157"/>
      <c r="EX34" s="157"/>
      <c r="EY34" s="157"/>
      <c r="EZ34" s="157"/>
      <c r="FA34" s="157"/>
      <c r="FB34" s="157"/>
      <c r="FC34" s="157"/>
      <c r="FD34" s="157"/>
      <c r="FE34" s="157"/>
      <c r="FF34" s="157"/>
      <c r="FG34" s="157"/>
      <c r="FH34" s="157"/>
      <c r="FI34" s="157"/>
      <c r="FJ34" s="157"/>
      <c r="FK34" s="157"/>
      <c r="FL34" s="157"/>
      <c r="FM34" s="157"/>
      <c r="FN34" s="157"/>
      <c r="FO34" s="157"/>
      <c r="FP34" s="157"/>
      <c r="FQ34" s="157"/>
      <c r="FR34" s="157"/>
      <c r="FS34" s="157"/>
      <c r="FT34" s="157"/>
      <c r="FU34" s="157"/>
      <c r="FV34" s="157"/>
      <c r="FW34" s="157"/>
      <c r="FX34" s="157"/>
      <c r="FY34" s="157"/>
      <c r="FZ34" s="157"/>
      <c r="GA34" s="157"/>
      <c r="GB34" s="157"/>
      <c r="GC34" s="157"/>
      <c r="GD34" s="157"/>
      <c r="GE34" s="157"/>
      <c r="GF34" s="157"/>
      <c r="GG34" s="157"/>
      <c r="GH34" s="157"/>
      <c r="GI34" s="157"/>
      <c r="GJ34" s="157"/>
      <c r="GK34" s="157"/>
      <c r="GL34" s="157"/>
      <c r="GM34" s="157"/>
      <c r="GN34" s="157"/>
      <c r="GO34" s="157"/>
      <c r="GP34" s="157"/>
      <c r="GQ34" s="157"/>
      <c r="GR34" s="157"/>
      <c r="GS34" s="157"/>
      <c r="GT34" s="157"/>
      <c r="GU34" s="157"/>
      <c r="GV34" s="157"/>
      <c r="GW34" s="157"/>
      <c r="GX34" s="157"/>
      <c r="GY34" s="157"/>
      <c r="GZ34" s="157"/>
      <c r="HA34" s="157"/>
      <c r="HB34" s="157"/>
      <c r="HC34" s="157"/>
      <c r="HD34" s="157"/>
      <c r="HE34" s="157"/>
      <c r="HF34" s="157"/>
      <c r="HG34" s="157"/>
      <c r="HH34" s="157"/>
      <c r="HI34" s="157"/>
      <c r="HJ34" s="157"/>
      <c r="HK34" s="157"/>
      <c r="HL34" s="157"/>
      <c r="HM34" s="157"/>
      <c r="HN34" s="157"/>
      <c r="HO34" s="157"/>
      <c r="HP34" s="157"/>
      <c r="HQ34" s="157"/>
      <c r="HR34" s="157"/>
      <c r="HS34" s="157"/>
      <c r="HT34" s="157"/>
      <c r="HU34" s="157"/>
      <c r="HV34" s="157"/>
      <c r="HW34" s="157"/>
      <c r="HX34" s="157"/>
      <c r="HY34" s="157"/>
      <c r="HZ34" s="157"/>
      <c r="IA34" s="157"/>
      <c r="IB34" s="157"/>
      <c r="IC34" s="157"/>
      <c r="ID34" s="157"/>
      <c r="IE34" s="157"/>
      <c r="IF34" s="157"/>
      <c r="IG34" s="157"/>
      <c r="IH34" s="157"/>
      <c r="II34" s="157"/>
      <c r="IJ34" s="157"/>
      <c r="IK34" s="157"/>
      <c r="IL34" s="157"/>
      <c r="IM34" s="157"/>
      <c r="IN34" s="157"/>
      <c r="IO34" s="157"/>
      <c r="IP34" s="157"/>
      <c r="IQ34" s="157"/>
      <c r="IR34" s="157"/>
      <c r="IS34" s="157"/>
      <c r="IT34" s="157"/>
      <c r="IU34" s="157"/>
      <c r="IV34" s="157"/>
      <c r="IW34" s="157"/>
      <c r="IX34" s="157"/>
      <c r="IY34" s="157"/>
      <c r="IZ34" s="157"/>
      <c r="JA34" s="157"/>
      <c r="JB34" s="157"/>
      <c r="JC34" s="157"/>
      <c r="JD34" s="157"/>
      <c r="JE34" s="157"/>
      <c r="JF34" s="157"/>
      <c r="JG34" s="157"/>
      <c r="JH34" s="157"/>
      <c r="JI34" s="157"/>
      <c r="JJ34" s="157"/>
      <c r="JK34" s="157"/>
      <c r="JL34" s="157"/>
      <c r="JM34" s="157"/>
      <c r="JN34" s="157"/>
      <c r="JO34" s="157"/>
      <c r="JP34" s="157"/>
      <c r="JQ34" s="157"/>
      <c r="JR34" s="157"/>
      <c r="JS34" s="157"/>
      <c r="JT34" s="157"/>
      <c r="JU34" s="157"/>
      <c r="JV34" s="157"/>
      <c r="JW34" s="157"/>
      <c r="JX34" s="157"/>
      <c r="JY34" s="157"/>
      <c r="JZ34" s="157"/>
      <c r="KA34" s="157"/>
      <c r="KB34" s="157"/>
      <c r="KC34" s="157"/>
      <c r="KD34" s="157"/>
      <c r="KE34" s="157"/>
      <c r="KF34" s="157"/>
      <c r="KG34" s="157"/>
      <c r="KH34" s="157"/>
      <c r="KI34" s="157"/>
      <c r="KJ34" s="157"/>
      <c r="KK34" s="157"/>
    </row>
    <row r="35" spans="1:297" x14ac:dyDescent="0.2">
      <c r="A35" s="433"/>
      <c r="B35" s="321"/>
      <c r="C35" s="216" t="s">
        <v>210</v>
      </c>
      <c r="D35" s="216" t="s">
        <v>143</v>
      </c>
      <c r="E35" s="216" t="s">
        <v>130</v>
      </c>
      <c r="F35" s="364" cm="1">
        <f t="array" ref="F35">_xlfn.XLOOKUP($E35, UVintensity!$L$3:$L$14, _xlfn.XLOOKUP(F$5, UVintensity!$M$2:$U$2, UVintensity!$M$3:$U$14))</f>
        <v>8.02</v>
      </c>
      <c r="G35" s="364" cm="1">
        <f t="array" ref="G35">_xlfn.XLOOKUP($E35, UVintensity!$L$3:$L$14, _xlfn.XLOOKUP(G$5, UVintensity!$M$2:$U$2, UVintensity!$M$3:$U$14))</f>
        <v>11.78</v>
      </c>
      <c r="H35" s="364" cm="1">
        <f t="array" ref="H35">_xlfn.XLOOKUP($E35, UVintensity!$L$3:$L$14, _xlfn.XLOOKUP(H$5, UVintensity!$M$2:$U$2, UVintensity!$M$3:$U$14))</f>
        <v>5.23</v>
      </c>
      <c r="I35" s="364" cm="1">
        <f t="array" ref="I35">_xlfn.XLOOKUP($E35, UVintensity!$L$3:$L$14, _xlfn.XLOOKUP(I$5, UVintensity!$M$2:$U$2, UVintensity!$M$3:$U$14))</f>
        <v>13.819999999999999</v>
      </c>
      <c r="J35" s="364" cm="1">
        <f t="array" ref="J35">_xlfn.XLOOKUP($E35, UVintensity!$L$3:$L$14, _xlfn.XLOOKUP(J$5, UVintensity!$M$2:$U$2, UVintensity!$M$3:$U$14))</f>
        <v>5.629999999999999</v>
      </c>
      <c r="K35" s="364" cm="1">
        <f t="array" ref="K35">_xlfn.XLOOKUP($E35, UVintensity!$L$3:$L$14, _xlfn.XLOOKUP(K$5, UVintensity!$M$2:$U$2, UVintensity!$M$3:$U$14))</f>
        <v>13.65</v>
      </c>
      <c r="L35" s="364" cm="1">
        <f t="array" ref="L35">_xlfn.XLOOKUP($E35, UVintensity!$L$3:$L$14, _xlfn.XLOOKUP(L$5, UVintensity!$M$2:$U$2, UVintensity!$M$3:$U$14))</f>
        <v>3.6399999999999997</v>
      </c>
      <c r="M35" s="364" cm="1">
        <f t="array" ref="M35">_xlfn.XLOOKUP($E35, UVintensity!$L$3:$L$14, _xlfn.XLOOKUP(M$5, UVintensity!$M$2:$U$2, UVintensity!$M$3:$U$14))</f>
        <v>11.850000000000001</v>
      </c>
      <c r="N35" s="164"/>
      <c r="O35" s="154" t="s">
        <v>258</v>
      </c>
      <c r="P35" s="322" t="s">
        <v>257</v>
      </c>
      <c r="T35" s="155">
        <v>0.16039537234640008</v>
      </c>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157"/>
      <c r="ED35" s="157"/>
      <c r="EE35" s="157"/>
      <c r="EF35" s="157"/>
      <c r="EG35" s="157"/>
      <c r="EH35" s="157"/>
      <c r="EI35" s="157"/>
      <c r="EJ35" s="157"/>
      <c r="EK35" s="157"/>
      <c r="EL35" s="157"/>
      <c r="EM35" s="157"/>
      <c r="EN35" s="157"/>
      <c r="EO35" s="157"/>
      <c r="EP35" s="157"/>
      <c r="EQ35" s="157"/>
      <c r="ER35" s="157"/>
      <c r="ES35" s="157"/>
      <c r="ET35" s="157"/>
      <c r="EU35" s="157"/>
      <c r="EV35" s="157"/>
      <c r="EW35" s="157"/>
      <c r="EX35" s="157"/>
      <c r="EY35" s="157"/>
      <c r="EZ35" s="157"/>
      <c r="FA35" s="157"/>
      <c r="FB35" s="157"/>
      <c r="FC35" s="157"/>
      <c r="FD35" s="157"/>
      <c r="FE35" s="157"/>
      <c r="FF35" s="157"/>
      <c r="FG35" s="157"/>
      <c r="FH35" s="157"/>
      <c r="FI35" s="157"/>
      <c r="FJ35" s="157"/>
      <c r="FK35" s="157"/>
      <c r="FL35" s="157"/>
      <c r="FM35" s="157"/>
      <c r="FN35" s="157"/>
      <c r="FO35" s="157"/>
      <c r="FP35" s="157"/>
      <c r="FQ35" s="157"/>
      <c r="FR35" s="157"/>
      <c r="FS35" s="157"/>
      <c r="FT35" s="157"/>
      <c r="FU35" s="157"/>
      <c r="FV35" s="157"/>
      <c r="FW35" s="157"/>
      <c r="FX35" s="157"/>
      <c r="FY35" s="157"/>
      <c r="FZ35" s="157"/>
      <c r="GA35" s="157"/>
      <c r="GB35" s="157"/>
      <c r="GC35" s="157"/>
      <c r="GD35" s="157"/>
      <c r="GE35" s="157"/>
      <c r="GF35" s="157"/>
      <c r="GG35" s="157"/>
      <c r="GH35" s="157"/>
      <c r="GI35" s="157"/>
      <c r="GJ35" s="157"/>
      <c r="GK35" s="157"/>
      <c r="GL35" s="157"/>
      <c r="GM35" s="157"/>
      <c r="GN35" s="157"/>
      <c r="GO35" s="157"/>
      <c r="GP35" s="157"/>
      <c r="GQ35" s="157"/>
      <c r="GR35" s="157"/>
      <c r="GS35" s="157"/>
      <c r="GT35" s="157"/>
      <c r="GU35" s="157"/>
      <c r="GV35" s="157"/>
      <c r="GW35" s="157"/>
      <c r="GX35" s="157"/>
      <c r="GY35" s="157"/>
      <c r="GZ35" s="157"/>
      <c r="HA35" s="157"/>
      <c r="HB35" s="157"/>
      <c r="HC35" s="157"/>
      <c r="HD35" s="157"/>
      <c r="HE35" s="157"/>
      <c r="HF35" s="157"/>
      <c r="HG35" s="157"/>
      <c r="HH35" s="157"/>
      <c r="HI35" s="157"/>
      <c r="HJ35" s="157"/>
      <c r="HK35" s="157"/>
      <c r="HL35" s="157"/>
      <c r="HM35" s="157"/>
      <c r="HN35" s="157"/>
      <c r="HO35" s="157"/>
      <c r="HP35" s="157"/>
      <c r="HQ35" s="157"/>
      <c r="HR35" s="157"/>
      <c r="HS35" s="157"/>
      <c r="HT35" s="157"/>
      <c r="HU35" s="157"/>
      <c r="HV35" s="157"/>
      <c r="HW35" s="157"/>
      <c r="HX35" s="157"/>
      <c r="HY35" s="157"/>
      <c r="HZ35" s="157"/>
      <c r="IA35" s="157"/>
      <c r="IB35" s="157"/>
      <c r="IC35" s="157"/>
      <c r="ID35" s="157"/>
      <c r="IE35" s="157"/>
      <c r="IF35" s="157"/>
      <c r="IG35" s="157"/>
      <c r="IH35" s="157"/>
      <c r="II35" s="157"/>
      <c r="IJ35" s="157"/>
      <c r="IK35" s="157"/>
      <c r="IL35" s="157"/>
      <c r="IM35" s="157"/>
      <c r="IN35" s="157"/>
      <c r="IO35" s="157"/>
      <c r="IP35" s="157"/>
      <c r="IQ35" s="157"/>
      <c r="IR35" s="157"/>
      <c r="IS35" s="157"/>
      <c r="IT35" s="157"/>
      <c r="IU35" s="157"/>
      <c r="IV35" s="157"/>
      <c r="IW35" s="157"/>
      <c r="IX35" s="157"/>
      <c r="IY35" s="157"/>
      <c r="IZ35" s="157"/>
      <c r="JA35" s="157"/>
      <c r="JB35" s="157"/>
      <c r="JC35" s="157"/>
      <c r="JD35" s="157"/>
      <c r="JE35" s="157"/>
      <c r="JF35" s="157"/>
      <c r="JG35" s="157"/>
      <c r="JH35" s="157"/>
      <c r="JI35" s="157"/>
      <c r="JJ35" s="157"/>
      <c r="JK35" s="157"/>
      <c r="JL35" s="157"/>
      <c r="JM35" s="157"/>
      <c r="JN35" s="157"/>
      <c r="JO35" s="157"/>
      <c r="JP35" s="157"/>
      <c r="JQ35" s="157"/>
      <c r="JR35" s="157"/>
      <c r="JS35" s="157"/>
      <c r="JT35" s="157"/>
      <c r="JU35" s="157"/>
      <c r="JV35" s="157"/>
      <c r="JW35" s="157"/>
      <c r="JX35" s="157"/>
      <c r="JY35" s="157"/>
      <c r="JZ35" s="157"/>
      <c r="KA35" s="157"/>
      <c r="KB35" s="157"/>
      <c r="KC35" s="157"/>
      <c r="KD35" s="157"/>
      <c r="KE35" s="157"/>
      <c r="KF35" s="157"/>
      <c r="KG35" s="157"/>
      <c r="KH35" s="157"/>
      <c r="KI35" s="157"/>
      <c r="KJ35" s="157"/>
      <c r="KK35" s="157"/>
    </row>
    <row r="36" spans="1:297" x14ac:dyDescent="0.2">
      <c r="A36" s="433"/>
      <c r="B36" s="321"/>
      <c r="C36" s="216" t="s">
        <v>210</v>
      </c>
      <c r="D36" s="216" t="s">
        <v>143</v>
      </c>
      <c r="E36" s="216" t="s">
        <v>213</v>
      </c>
      <c r="F36" s="364" cm="1">
        <f t="array" ref="F36">_xlfn.XLOOKUP($E36, UVintensity!$L$3:$L$14, _xlfn.XLOOKUP(F$5, UVintensity!$M$2:$U$2, UVintensity!$M$3:$U$14))</f>
        <v>8.02</v>
      </c>
      <c r="G36" s="364" cm="1">
        <f t="array" ref="G36">_xlfn.XLOOKUP($E36, UVintensity!$L$3:$L$14, _xlfn.XLOOKUP(G$5, UVintensity!$M$2:$U$2, UVintensity!$M$3:$U$14))</f>
        <v>11.78</v>
      </c>
      <c r="H36" s="364" cm="1">
        <f t="array" ref="H36">_xlfn.XLOOKUP($E36, UVintensity!$L$3:$L$14, _xlfn.XLOOKUP(H$5, UVintensity!$M$2:$U$2, UVintensity!$M$3:$U$14))</f>
        <v>5.23</v>
      </c>
      <c r="I36" s="364" cm="1">
        <f t="array" ref="I36">_xlfn.XLOOKUP($E36, UVintensity!$L$3:$L$14, _xlfn.XLOOKUP(I$5, UVintensity!$M$2:$U$2, UVintensity!$M$3:$U$14))</f>
        <v>13.819999999999999</v>
      </c>
      <c r="J36" s="364" cm="1">
        <f t="array" ref="J36">_xlfn.XLOOKUP($E36, UVintensity!$L$3:$L$14, _xlfn.XLOOKUP(J$5, UVintensity!$M$2:$U$2, UVintensity!$M$3:$U$14))</f>
        <v>5.629999999999999</v>
      </c>
      <c r="K36" s="364" cm="1">
        <f t="array" ref="K36">_xlfn.XLOOKUP($E36, UVintensity!$L$3:$L$14, _xlfn.XLOOKUP(K$5, UVintensity!$M$2:$U$2, UVintensity!$M$3:$U$14))</f>
        <v>13.65</v>
      </c>
      <c r="L36" s="364" cm="1">
        <f t="array" ref="L36">_xlfn.XLOOKUP($E36, UVintensity!$L$3:$L$14, _xlfn.XLOOKUP(L$5, UVintensity!$M$2:$U$2, UVintensity!$M$3:$U$14))</f>
        <v>3.6399999999999997</v>
      </c>
      <c r="M36" s="364" cm="1">
        <f t="array" ref="M36">_xlfn.XLOOKUP($E36, UVintensity!$L$3:$L$14, _xlfn.XLOOKUP(M$5, UVintensity!$M$2:$U$2, UVintensity!$M$3:$U$14))</f>
        <v>11.850000000000001</v>
      </c>
      <c r="N36" s="164"/>
      <c r="O36" s="154" t="s">
        <v>258</v>
      </c>
      <c r="P36" s="322" t="s">
        <v>257</v>
      </c>
      <c r="T36" s="155">
        <v>9.041895990115692E-3</v>
      </c>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c r="DF36" s="157"/>
      <c r="DG36" s="157"/>
      <c r="DH36" s="157"/>
      <c r="DI36" s="157"/>
      <c r="DJ36" s="157"/>
      <c r="DK36" s="157"/>
      <c r="DL36" s="157"/>
      <c r="DM36" s="157"/>
      <c r="DN36" s="157"/>
      <c r="DO36" s="157"/>
      <c r="DP36" s="157"/>
      <c r="DQ36" s="157"/>
      <c r="DR36" s="157"/>
      <c r="DS36" s="157"/>
      <c r="DT36" s="157"/>
      <c r="DU36" s="157"/>
      <c r="DV36" s="157"/>
      <c r="DW36" s="157"/>
      <c r="DX36" s="157"/>
      <c r="DY36" s="157"/>
      <c r="DZ36" s="157"/>
      <c r="EA36" s="157"/>
      <c r="EB36" s="157"/>
      <c r="EC36" s="157"/>
      <c r="ED36" s="157"/>
      <c r="EE36" s="157"/>
      <c r="EF36" s="157"/>
      <c r="EG36" s="157"/>
      <c r="EH36" s="157"/>
      <c r="EI36" s="157"/>
      <c r="EJ36" s="157"/>
      <c r="EK36" s="157"/>
      <c r="EL36" s="157"/>
      <c r="EM36" s="157"/>
      <c r="EN36" s="157"/>
      <c r="EO36" s="157"/>
      <c r="EP36" s="157"/>
      <c r="EQ36" s="157"/>
      <c r="ER36" s="157"/>
      <c r="ES36" s="157"/>
      <c r="ET36" s="157"/>
      <c r="EU36" s="157"/>
      <c r="EV36" s="157"/>
      <c r="EW36" s="157"/>
      <c r="EX36" s="157"/>
      <c r="EY36" s="157"/>
      <c r="EZ36" s="157"/>
      <c r="FA36" s="157"/>
      <c r="FB36" s="157"/>
      <c r="FC36" s="157"/>
      <c r="FD36" s="157"/>
      <c r="FE36" s="157"/>
      <c r="FF36" s="157"/>
      <c r="FG36" s="157"/>
      <c r="FH36" s="157"/>
      <c r="FI36" s="157"/>
      <c r="FJ36" s="157"/>
      <c r="FK36" s="157"/>
      <c r="FL36" s="157"/>
      <c r="FM36" s="157"/>
      <c r="FN36" s="157"/>
      <c r="FO36" s="157"/>
      <c r="FP36" s="157"/>
      <c r="FQ36" s="157"/>
      <c r="FR36" s="157"/>
      <c r="FS36" s="157"/>
      <c r="FT36" s="157"/>
      <c r="FU36" s="157"/>
      <c r="FV36" s="157"/>
      <c r="FW36" s="157"/>
      <c r="FX36" s="157"/>
      <c r="FY36" s="157"/>
      <c r="FZ36" s="157"/>
      <c r="GA36" s="157"/>
      <c r="GB36" s="157"/>
      <c r="GC36" s="157"/>
      <c r="GD36" s="157"/>
      <c r="GE36" s="157"/>
      <c r="GF36" s="157"/>
      <c r="GG36" s="157"/>
      <c r="GH36" s="157"/>
      <c r="GI36" s="157"/>
      <c r="GJ36" s="157"/>
      <c r="GK36" s="157"/>
      <c r="GL36" s="157"/>
      <c r="GM36" s="157"/>
      <c r="GN36" s="157"/>
      <c r="GO36" s="157"/>
      <c r="GP36" s="157"/>
      <c r="GQ36" s="157"/>
      <c r="GR36" s="157"/>
      <c r="GS36" s="157"/>
      <c r="GT36" s="157"/>
      <c r="GU36" s="157"/>
      <c r="GV36" s="157"/>
      <c r="GW36" s="157"/>
      <c r="GX36" s="157"/>
      <c r="GY36" s="157"/>
      <c r="GZ36" s="157"/>
      <c r="HA36" s="157"/>
      <c r="HB36" s="157"/>
      <c r="HC36" s="157"/>
      <c r="HD36" s="157"/>
      <c r="HE36" s="157"/>
      <c r="HF36" s="157"/>
      <c r="HG36" s="157"/>
      <c r="HH36" s="157"/>
      <c r="HI36" s="157"/>
      <c r="HJ36" s="157"/>
      <c r="HK36" s="157"/>
      <c r="HL36" s="157"/>
      <c r="HM36" s="157"/>
      <c r="HN36" s="157"/>
      <c r="HO36" s="157"/>
      <c r="HP36" s="157"/>
      <c r="HQ36" s="157"/>
      <c r="HR36" s="157"/>
      <c r="HS36" s="157"/>
      <c r="HT36" s="157"/>
      <c r="HU36" s="157"/>
      <c r="HV36" s="157"/>
      <c r="HW36" s="157"/>
      <c r="HX36" s="157"/>
      <c r="HY36" s="157"/>
      <c r="HZ36" s="157"/>
      <c r="IA36" s="157"/>
      <c r="IB36" s="157"/>
      <c r="IC36" s="157"/>
      <c r="ID36" s="157"/>
      <c r="IE36" s="157"/>
      <c r="IF36" s="157"/>
      <c r="IG36" s="157"/>
      <c r="IH36" s="157"/>
      <c r="II36" s="157"/>
      <c r="IJ36" s="157"/>
      <c r="IK36" s="157"/>
      <c r="IL36" s="157"/>
      <c r="IM36" s="157"/>
      <c r="IN36" s="157"/>
      <c r="IO36" s="157"/>
      <c r="IP36" s="157"/>
      <c r="IQ36" s="157"/>
      <c r="IR36" s="157"/>
      <c r="IS36" s="157"/>
      <c r="IT36" s="157"/>
      <c r="IU36" s="157"/>
      <c r="IV36" s="157"/>
      <c r="IW36" s="157"/>
      <c r="IX36" s="157"/>
      <c r="IY36" s="157"/>
      <c r="IZ36" s="157"/>
      <c r="JA36" s="157"/>
      <c r="JB36" s="157"/>
      <c r="JC36" s="157"/>
      <c r="JD36" s="157"/>
      <c r="JE36" s="157"/>
      <c r="JF36" s="157"/>
      <c r="JG36" s="157"/>
      <c r="JH36" s="157"/>
      <c r="JI36" s="157"/>
      <c r="JJ36" s="157"/>
      <c r="JK36" s="157"/>
      <c r="JL36" s="157"/>
      <c r="JM36" s="157"/>
      <c r="JN36" s="157"/>
      <c r="JO36" s="157"/>
      <c r="JP36" s="157"/>
      <c r="JQ36" s="157"/>
      <c r="JR36" s="157"/>
      <c r="JS36" s="157"/>
      <c r="JT36" s="157"/>
      <c r="JU36" s="157"/>
      <c r="JV36" s="157"/>
      <c r="JW36" s="157"/>
      <c r="JX36" s="157"/>
      <c r="JY36" s="157"/>
      <c r="JZ36" s="157"/>
      <c r="KA36" s="157"/>
      <c r="KB36" s="157"/>
      <c r="KC36" s="157"/>
      <c r="KD36" s="157"/>
      <c r="KE36" s="157"/>
      <c r="KF36" s="157"/>
      <c r="KG36" s="157"/>
      <c r="KH36" s="157"/>
      <c r="KI36" s="157"/>
      <c r="KJ36" s="157"/>
      <c r="KK36" s="157"/>
    </row>
    <row r="37" spans="1:297" x14ac:dyDescent="0.2">
      <c r="A37" s="433"/>
      <c r="B37" s="321"/>
      <c r="C37" s="216" t="s">
        <v>210</v>
      </c>
      <c r="D37" s="216" t="s">
        <v>143</v>
      </c>
      <c r="E37" s="216" t="s">
        <v>174</v>
      </c>
      <c r="F37" s="364" cm="1">
        <f t="array" ref="F37">_xlfn.XLOOKUP($E37, UVintensity!$L$3:$L$14, _xlfn.XLOOKUP(F$5, UVintensity!$M$2:$U$2, UVintensity!$M$3:$U$14))</f>
        <v>0</v>
      </c>
      <c r="G37" s="364" cm="1">
        <f t="array" ref="G37">_xlfn.XLOOKUP($E37, UVintensity!$L$3:$L$14, _xlfn.XLOOKUP(G$5, UVintensity!$M$2:$U$2, UVintensity!$M$3:$U$14))</f>
        <v>0</v>
      </c>
      <c r="H37" s="364" cm="1">
        <f t="array" ref="H37">_xlfn.XLOOKUP($E37, UVintensity!$L$3:$L$14, _xlfn.XLOOKUP(H$5, UVintensity!$M$2:$U$2, UVintensity!$M$3:$U$14))</f>
        <v>0</v>
      </c>
      <c r="I37" s="364" cm="1">
        <f t="array" ref="I37">_xlfn.XLOOKUP($E37, UVintensity!$L$3:$L$14, _xlfn.XLOOKUP(I$5, UVintensity!$M$2:$U$2, UVintensity!$M$3:$U$14))</f>
        <v>0</v>
      </c>
      <c r="J37" s="364" cm="1">
        <f t="array" ref="J37">_xlfn.XLOOKUP($E37, UVintensity!$L$3:$L$14, _xlfn.XLOOKUP(J$5, UVintensity!$M$2:$U$2, UVintensity!$M$3:$U$14))</f>
        <v>0</v>
      </c>
      <c r="K37" s="364" cm="1">
        <f t="array" ref="K37">_xlfn.XLOOKUP($E37, UVintensity!$L$3:$L$14, _xlfn.XLOOKUP(K$5, UVintensity!$M$2:$U$2, UVintensity!$M$3:$U$14))</f>
        <v>0</v>
      </c>
      <c r="L37" s="364" cm="1">
        <f t="array" ref="L37">_xlfn.XLOOKUP($E37, UVintensity!$L$3:$L$14, _xlfn.XLOOKUP(L$5, UVintensity!$M$2:$U$2, UVintensity!$M$3:$U$14))</f>
        <v>0</v>
      </c>
      <c r="M37" s="364" cm="1">
        <f t="array" ref="M37">_xlfn.XLOOKUP($E37, UVintensity!$L$3:$L$14, _xlfn.XLOOKUP(M$5, UVintensity!$M$2:$U$2, UVintensity!$M$3:$U$14))</f>
        <v>0</v>
      </c>
      <c r="N37" s="164"/>
      <c r="O37" s="154" t="s">
        <v>258</v>
      </c>
      <c r="P37" s="322" t="s">
        <v>257</v>
      </c>
      <c r="T37" s="155">
        <v>9.6315848590362796E-2</v>
      </c>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7"/>
      <c r="CX37" s="157"/>
      <c r="CY37" s="157"/>
      <c r="CZ37" s="157"/>
      <c r="DA37" s="157"/>
      <c r="DB37" s="157"/>
      <c r="DC37" s="157"/>
      <c r="DD37" s="157"/>
      <c r="DE37" s="157"/>
      <c r="DF37" s="157"/>
      <c r="DG37" s="157"/>
      <c r="DH37" s="157"/>
      <c r="DI37" s="157"/>
      <c r="DJ37" s="157"/>
      <c r="DK37" s="157"/>
      <c r="DL37" s="157"/>
      <c r="DM37" s="157"/>
      <c r="DN37" s="157"/>
      <c r="DO37" s="157"/>
      <c r="DP37" s="157"/>
      <c r="DQ37" s="157"/>
      <c r="DR37" s="157"/>
      <c r="DS37" s="157"/>
      <c r="DT37" s="157"/>
      <c r="DU37" s="157"/>
      <c r="DV37" s="157"/>
      <c r="DW37" s="157"/>
      <c r="DX37" s="157"/>
      <c r="DY37" s="157"/>
      <c r="DZ37" s="157"/>
      <c r="EA37" s="157"/>
      <c r="EB37" s="157"/>
      <c r="EC37" s="157"/>
      <c r="ED37" s="157"/>
      <c r="EE37" s="157"/>
      <c r="EF37" s="157"/>
      <c r="EG37" s="157"/>
      <c r="EH37" s="157"/>
      <c r="EI37" s="157"/>
      <c r="EJ37" s="157"/>
      <c r="EK37" s="157"/>
      <c r="EL37" s="157"/>
      <c r="EM37" s="157"/>
      <c r="EN37" s="157"/>
      <c r="EO37" s="157"/>
      <c r="EP37" s="157"/>
      <c r="EQ37" s="157"/>
      <c r="ER37" s="157"/>
      <c r="ES37" s="157"/>
      <c r="ET37" s="157"/>
      <c r="EU37" s="157"/>
      <c r="EV37" s="157"/>
      <c r="EW37" s="157"/>
      <c r="EX37" s="157"/>
      <c r="EY37" s="157"/>
      <c r="EZ37" s="157"/>
      <c r="FA37" s="157"/>
      <c r="FB37" s="157"/>
      <c r="FC37" s="157"/>
      <c r="FD37" s="157"/>
      <c r="FE37" s="157"/>
      <c r="FF37" s="157"/>
      <c r="FG37" s="157"/>
      <c r="FH37" s="157"/>
      <c r="FI37" s="157"/>
      <c r="FJ37" s="157"/>
      <c r="FK37" s="157"/>
      <c r="FL37" s="157"/>
      <c r="FM37" s="157"/>
      <c r="FN37" s="157"/>
      <c r="FO37" s="157"/>
      <c r="FP37" s="157"/>
      <c r="FQ37" s="157"/>
      <c r="FR37" s="157"/>
      <c r="FS37" s="157"/>
      <c r="FT37" s="157"/>
      <c r="FU37" s="157"/>
      <c r="FV37" s="157"/>
      <c r="FW37" s="157"/>
      <c r="FX37" s="157"/>
      <c r="FY37" s="157"/>
      <c r="FZ37" s="157"/>
      <c r="GA37" s="157"/>
      <c r="GB37" s="157"/>
      <c r="GC37" s="157"/>
      <c r="GD37" s="157"/>
      <c r="GE37" s="157"/>
      <c r="GF37" s="157"/>
      <c r="GG37" s="157"/>
      <c r="GH37" s="157"/>
      <c r="GI37" s="157"/>
      <c r="GJ37" s="157"/>
      <c r="GK37" s="157"/>
      <c r="GL37" s="157"/>
      <c r="GM37" s="157"/>
      <c r="GN37" s="157"/>
      <c r="GO37" s="157"/>
      <c r="GP37" s="157"/>
      <c r="GQ37" s="157"/>
      <c r="GR37" s="157"/>
      <c r="GS37" s="157"/>
      <c r="GT37" s="157"/>
      <c r="GU37" s="157"/>
      <c r="GV37" s="157"/>
      <c r="GW37" s="157"/>
      <c r="GX37" s="157"/>
      <c r="GY37" s="157"/>
      <c r="GZ37" s="157"/>
      <c r="HA37" s="157"/>
      <c r="HB37" s="157"/>
      <c r="HC37" s="157"/>
      <c r="HD37" s="157"/>
      <c r="HE37" s="157"/>
      <c r="HF37" s="157"/>
      <c r="HG37" s="157"/>
      <c r="HH37" s="157"/>
      <c r="HI37" s="157"/>
      <c r="HJ37" s="157"/>
      <c r="HK37" s="157"/>
      <c r="HL37" s="157"/>
      <c r="HM37" s="157"/>
      <c r="HN37" s="157"/>
      <c r="HO37" s="157"/>
      <c r="HP37" s="157"/>
      <c r="HQ37" s="157"/>
      <c r="HR37" s="157"/>
      <c r="HS37" s="157"/>
      <c r="HT37" s="157"/>
      <c r="HU37" s="157"/>
      <c r="HV37" s="157"/>
      <c r="HW37" s="157"/>
      <c r="HX37" s="157"/>
      <c r="HY37" s="157"/>
      <c r="HZ37" s="157"/>
      <c r="IA37" s="157"/>
      <c r="IB37" s="157"/>
      <c r="IC37" s="157"/>
      <c r="ID37" s="157"/>
      <c r="IE37" s="157"/>
      <c r="IF37" s="157"/>
      <c r="IG37" s="157"/>
      <c r="IH37" s="157"/>
      <c r="II37" s="157"/>
      <c r="IJ37" s="157"/>
      <c r="IK37" s="157"/>
      <c r="IL37" s="157"/>
      <c r="IM37" s="157"/>
      <c r="IN37" s="157"/>
      <c r="IO37" s="157"/>
      <c r="IP37" s="157"/>
      <c r="IQ37" s="157"/>
      <c r="IR37" s="157"/>
      <c r="IS37" s="157"/>
      <c r="IT37" s="157"/>
      <c r="IU37" s="157"/>
      <c r="IV37" s="157"/>
      <c r="IW37" s="157"/>
      <c r="IX37" s="157"/>
      <c r="IY37" s="157"/>
      <c r="IZ37" s="157"/>
      <c r="JA37" s="157"/>
      <c r="JB37" s="157"/>
      <c r="JC37" s="157"/>
      <c r="JD37" s="157"/>
      <c r="JE37" s="157"/>
      <c r="JF37" s="157"/>
      <c r="JG37" s="157"/>
      <c r="JH37" s="157"/>
      <c r="JI37" s="157"/>
      <c r="JJ37" s="157"/>
      <c r="JK37" s="157"/>
      <c r="JL37" s="157"/>
      <c r="JM37" s="157"/>
      <c r="JN37" s="157"/>
      <c r="JO37" s="157"/>
      <c r="JP37" s="157"/>
      <c r="JQ37" s="157"/>
      <c r="JR37" s="157"/>
      <c r="JS37" s="157"/>
      <c r="JT37" s="157"/>
      <c r="JU37" s="157"/>
      <c r="JV37" s="157"/>
      <c r="JW37" s="157"/>
      <c r="JX37" s="157"/>
      <c r="JY37" s="157"/>
      <c r="JZ37" s="157"/>
      <c r="KA37" s="157"/>
      <c r="KB37" s="157"/>
      <c r="KC37" s="157"/>
      <c r="KD37" s="157"/>
      <c r="KE37" s="157"/>
      <c r="KF37" s="157"/>
      <c r="KG37" s="157"/>
      <c r="KH37" s="157"/>
      <c r="KI37" s="157"/>
      <c r="KJ37" s="157"/>
      <c r="KK37" s="157"/>
    </row>
    <row r="38" spans="1:297" x14ac:dyDescent="0.2">
      <c r="A38" s="433"/>
      <c r="B38" s="321"/>
      <c r="C38" s="216" t="s">
        <v>210</v>
      </c>
      <c r="D38" s="216" t="s">
        <v>143</v>
      </c>
      <c r="E38" s="216" t="s">
        <v>149</v>
      </c>
      <c r="F38" s="364" cm="1">
        <f t="array" ref="F38">_xlfn.XLOOKUP($E38, UVintensity!$L$3:$L$14, _xlfn.XLOOKUP(F$5, UVintensity!$M$2:$U$2, UVintensity!$M$3:$U$14))</f>
        <v>6.7966101694915251E-2</v>
      </c>
      <c r="G38" s="364" cm="1">
        <f t="array" ref="G38">_xlfn.XLOOKUP($E38, UVintensity!$L$3:$L$14, _xlfn.XLOOKUP(G$5, UVintensity!$M$2:$U$2, UVintensity!$M$3:$U$14))</f>
        <v>0.11459143968871595</v>
      </c>
      <c r="H38" s="364" cm="1">
        <f t="array" ref="H38">_xlfn.XLOOKUP($E38, UVintensity!$L$3:$L$14, _xlfn.XLOOKUP(H$5, UVintensity!$M$2:$U$2, UVintensity!$M$3:$U$14))</f>
        <v>4.860594795539034E-2</v>
      </c>
      <c r="I38" s="364" cm="1">
        <f t="array" ref="I38">_xlfn.XLOOKUP($E38, UVintensity!$L$3:$L$14, _xlfn.XLOOKUP(I$5, UVintensity!$M$2:$U$2, UVintensity!$M$3:$U$14))</f>
        <v>2.9810181190681618E-2</v>
      </c>
      <c r="J38" s="364" cm="1">
        <f t="array" ref="J38">_xlfn.XLOOKUP($E38, UVintensity!$L$3:$L$14, _xlfn.XLOOKUP(J$5, UVintensity!$M$2:$U$2, UVintensity!$M$3:$U$14))</f>
        <v>4.2522658610271893E-2</v>
      </c>
      <c r="K38" s="364" cm="1">
        <f t="array" ref="K38">_xlfn.XLOOKUP($E38, UVintensity!$L$3:$L$14, _xlfn.XLOOKUP(K$5, UVintensity!$M$2:$U$2, UVintensity!$M$3:$U$14))</f>
        <v>0.19612068965517243</v>
      </c>
      <c r="L38" s="364" cm="1">
        <f t="array" ref="L38">_xlfn.XLOOKUP($E38, UVintensity!$L$3:$L$14, _xlfn.XLOOKUP(L$5, UVintensity!$M$2:$U$2, UVintensity!$M$3:$U$14))</f>
        <v>6.8991660348749042E-3</v>
      </c>
      <c r="M38" s="364" cm="1">
        <f t="array" ref="M38">_xlfn.XLOOKUP($E38, UVintensity!$L$3:$L$14, _xlfn.XLOOKUP(M$5, UVintensity!$M$2:$U$2, UVintensity!$M$3:$U$14))</f>
        <v>0.33664772727272707</v>
      </c>
      <c r="N38" s="164"/>
      <c r="O38" s="154" t="s">
        <v>258</v>
      </c>
      <c r="P38" s="322" t="s">
        <v>257</v>
      </c>
      <c r="T38" s="155">
        <v>7.5367853532517126E-2</v>
      </c>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7"/>
      <c r="BQ38" s="157"/>
      <c r="BR38" s="157"/>
      <c r="BS38" s="157"/>
      <c r="BT38" s="157"/>
      <c r="BU38" s="157"/>
      <c r="BV38" s="157"/>
      <c r="BW38" s="157"/>
      <c r="BX38" s="157"/>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57"/>
      <c r="DT38" s="157"/>
      <c r="DU38" s="157"/>
      <c r="DV38" s="157"/>
      <c r="DW38" s="157"/>
      <c r="DX38" s="157"/>
      <c r="DY38" s="157"/>
      <c r="DZ38" s="157"/>
      <c r="EA38" s="157"/>
      <c r="EB38" s="157"/>
      <c r="EC38" s="157"/>
      <c r="ED38" s="157"/>
      <c r="EE38" s="157"/>
      <c r="EF38" s="157"/>
      <c r="EG38" s="157"/>
      <c r="EH38" s="157"/>
      <c r="EI38" s="157"/>
      <c r="EJ38" s="157"/>
      <c r="EK38" s="157"/>
      <c r="EL38" s="157"/>
      <c r="EM38" s="157"/>
      <c r="EN38" s="157"/>
      <c r="EO38" s="157"/>
      <c r="EP38" s="157"/>
      <c r="EQ38" s="157"/>
      <c r="ER38" s="157"/>
      <c r="ES38" s="157"/>
      <c r="ET38" s="157"/>
      <c r="EU38" s="157"/>
      <c r="EV38" s="157"/>
      <c r="EW38" s="157"/>
      <c r="EX38" s="157"/>
      <c r="EY38" s="157"/>
      <c r="EZ38" s="157"/>
      <c r="FA38" s="157"/>
      <c r="FB38" s="157"/>
      <c r="FC38" s="157"/>
      <c r="FD38" s="157"/>
      <c r="FE38" s="157"/>
      <c r="FF38" s="157"/>
      <c r="FG38" s="157"/>
      <c r="FH38" s="157"/>
      <c r="FI38" s="157"/>
      <c r="FJ38" s="157"/>
      <c r="FK38" s="157"/>
      <c r="FL38" s="157"/>
      <c r="FM38" s="157"/>
      <c r="FN38" s="157"/>
      <c r="FO38" s="157"/>
      <c r="FP38" s="157"/>
      <c r="FQ38" s="157"/>
      <c r="FR38" s="157"/>
      <c r="FS38" s="157"/>
      <c r="FT38" s="157"/>
      <c r="FU38" s="157"/>
      <c r="FV38" s="157"/>
      <c r="FW38" s="157"/>
      <c r="FX38" s="157"/>
      <c r="FY38" s="157"/>
      <c r="FZ38" s="157"/>
      <c r="GA38" s="157"/>
      <c r="GB38" s="157"/>
      <c r="GC38" s="157"/>
      <c r="GD38" s="157"/>
      <c r="GE38" s="157"/>
      <c r="GF38" s="157"/>
      <c r="GG38" s="157"/>
      <c r="GH38" s="157"/>
      <c r="GI38" s="157"/>
      <c r="GJ38" s="157"/>
      <c r="GK38" s="157"/>
      <c r="GL38" s="157"/>
      <c r="GM38" s="157"/>
      <c r="GN38" s="157"/>
      <c r="GO38" s="157"/>
      <c r="GP38" s="157"/>
      <c r="GQ38" s="157"/>
      <c r="GR38" s="157"/>
      <c r="GS38" s="157"/>
      <c r="GT38" s="157"/>
      <c r="GU38" s="157"/>
      <c r="GV38" s="157"/>
      <c r="GW38" s="157"/>
      <c r="GX38" s="157"/>
      <c r="GY38" s="157"/>
      <c r="GZ38" s="157"/>
      <c r="HA38" s="157"/>
      <c r="HB38" s="157"/>
      <c r="HC38" s="157"/>
      <c r="HD38" s="157"/>
      <c r="HE38" s="157"/>
      <c r="HF38" s="157"/>
      <c r="HG38" s="157"/>
      <c r="HH38" s="157"/>
      <c r="HI38" s="157"/>
      <c r="HJ38" s="157"/>
      <c r="HK38" s="157"/>
      <c r="HL38" s="157"/>
      <c r="HM38" s="157"/>
      <c r="HN38" s="157"/>
      <c r="HO38" s="157"/>
      <c r="HP38" s="157"/>
      <c r="HQ38" s="157"/>
      <c r="HR38" s="157"/>
      <c r="HS38" s="157"/>
      <c r="HT38" s="157"/>
      <c r="HU38" s="157"/>
      <c r="HV38" s="157"/>
      <c r="HW38" s="157"/>
      <c r="HX38" s="157"/>
      <c r="HY38" s="157"/>
      <c r="HZ38" s="157"/>
      <c r="IA38" s="157"/>
      <c r="IB38" s="157"/>
      <c r="IC38" s="157"/>
      <c r="ID38" s="157"/>
      <c r="IE38" s="157"/>
      <c r="IF38" s="157"/>
      <c r="IG38" s="157"/>
      <c r="IH38" s="157"/>
      <c r="II38" s="157"/>
      <c r="IJ38" s="157"/>
      <c r="IK38" s="157"/>
      <c r="IL38" s="157"/>
      <c r="IM38" s="157"/>
      <c r="IN38" s="157"/>
      <c r="IO38" s="157"/>
      <c r="IP38" s="157"/>
      <c r="IQ38" s="157"/>
      <c r="IR38" s="157"/>
      <c r="IS38" s="157"/>
      <c r="IT38" s="157"/>
      <c r="IU38" s="157"/>
      <c r="IV38" s="157"/>
      <c r="IW38" s="157"/>
      <c r="IX38" s="157"/>
      <c r="IY38" s="157"/>
      <c r="IZ38" s="157"/>
      <c r="JA38" s="157"/>
      <c r="JB38" s="157"/>
      <c r="JC38" s="157"/>
      <c r="JD38" s="157"/>
      <c r="JE38" s="157"/>
      <c r="JF38" s="157"/>
      <c r="JG38" s="157"/>
      <c r="JH38" s="157"/>
      <c r="JI38" s="157"/>
      <c r="JJ38" s="157"/>
      <c r="JK38" s="157"/>
      <c r="JL38" s="157"/>
      <c r="JM38" s="157"/>
      <c r="JN38" s="157"/>
      <c r="JO38" s="157"/>
      <c r="JP38" s="157"/>
      <c r="JQ38" s="157"/>
      <c r="JR38" s="157"/>
      <c r="JS38" s="157"/>
      <c r="JT38" s="157"/>
      <c r="JU38" s="157"/>
      <c r="JV38" s="157"/>
      <c r="JW38" s="157"/>
      <c r="JX38" s="157"/>
      <c r="JY38" s="157"/>
      <c r="JZ38" s="157"/>
      <c r="KA38" s="157"/>
      <c r="KB38" s="157"/>
      <c r="KC38" s="157"/>
      <c r="KD38" s="157"/>
      <c r="KE38" s="157"/>
      <c r="KF38" s="157"/>
      <c r="KG38" s="157"/>
      <c r="KH38" s="157"/>
      <c r="KI38" s="157"/>
      <c r="KJ38" s="157"/>
      <c r="KK38" s="157"/>
    </row>
    <row r="39" spans="1:297" x14ac:dyDescent="0.2">
      <c r="A39" s="433"/>
      <c r="B39" s="321"/>
      <c r="C39" s="216" t="s">
        <v>210</v>
      </c>
      <c r="D39" s="216" t="s">
        <v>143</v>
      </c>
      <c r="E39" s="216" t="s">
        <v>175</v>
      </c>
      <c r="F39" s="364" cm="1">
        <f t="array" ref="F39">_xlfn.XLOOKUP($E39, UVintensity!$L$3:$L$14, _xlfn.XLOOKUP(F$5, UVintensity!$M$2:$U$2, UVintensity!$M$3:$U$14))</f>
        <v>0</v>
      </c>
      <c r="G39" s="364" cm="1">
        <f t="array" ref="G39">_xlfn.XLOOKUP($E39, UVintensity!$L$3:$L$14, _xlfn.XLOOKUP(G$5, UVintensity!$M$2:$U$2, UVintensity!$M$3:$U$14))</f>
        <v>0</v>
      </c>
      <c r="H39" s="364" cm="1">
        <f t="array" ref="H39">_xlfn.XLOOKUP($E39, UVintensity!$L$3:$L$14, _xlfn.XLOOKUP(H$5, UVintensity!$M$2:$U$2, UVintensity!$M$3:$U$14))</f>
        <v>0</v>
      </c>
      <c r="I39" s="364" cm="1">
        <f t="array" ref="I39">_xlfn.XLOOKUP($E39, UVintensity!$L$3:$L$14, _xlfn.XLOOKUP(I$5, UVintensity!$M$2:$U$2, UVintensity!$M$3:$U$14))</f>
        <v>0</v>
      </c>
      <c r="J39" s="364" cm="1">
        <f t="array" ref="J39">_xlfn.XLOOKUP($E39, UVintensity!$L$3:$L$14, _xlfn.XLOOKUP(J$5, UVintensity!$M$2:$U$2, UVintensity!$M$3:$U$14))</f>
        <v>0</v>
      </c>
      <c r="K39" s="364" cm="1">
        <f t="array" ref="K39">_xlfn.XLOOKUP($E39, UVintensity!$L$3:$L$14, _xlfn.XLOOKUP(K$5, UVintensity!$M$2:$U$2, UVintensity!$M$3:$U$14))</f>
        <v>0</v>
      </c>
      <c r="L39" s="364" cm="1">
        <f t="array" ref="L39">_xlfn.XLOOKUP($E39, UVintensity!$L$3:$L$14, _xlfn.XLOOKUP(L$5, UVintensity!$M$2:$U$2, UVintensity!$M$3:$U$14))</f>
        <v>0</v>
      </c>
      <c r="M39" s="364" cm="1">
        <f t="array" ref="M39">_xlfn.XLOOKUP($E39, UVintensity!$L$3:$L$14, _xlfn.XLOOKUP(M$5, UVintensity!$M$2:$U$2, UVintensity!$M$3:$U$14))</f>
        <v>0</v>
      </c>
      <c r="N39" s="164"/>
      <c r="O39" s="154" t="s">
        <v>258</v>
      </c>
      <c r="P39" s="322" t="s">
        <v>257</v>
      </c>
      <c r="T39" s="155">
        <v>0.27636751656744918</v>
      </c>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c r="DD39" s="157"/>
      <c r="DE39" s="157"/>
      <c r="DF39" s="157"/>
      <c r="DG39" s="157"/>
      <c r="DH39" s="157"/>
      <c r="DI39" s="157"/>
      <c r="DJ39" s="157"/>
      <c r="DK39" s="157"/>
      <c r="DL39" s="157"/>
      <c r="DM39" s="157"/>
      <c r="DN39" s="157"/>
      <c r="DO39" s="157"/>
      <c r="DP39" s="157"/>
      <c r="DQ39" s="157"/>
      <c r="DR39" s="157"/>
      <c r="DS39" s="157"/>
      <c r="DT39" s="157"/>
      <c r="DU39" s="157"/>
      <c r="DV39" s="157"/>
      <c r="DW39" s="157"/>
      <c r="DX39" s="157"/>
      <c r="DY39" s="157"/>
      <c r="DZ39" s="157"/>
      <c r="EA39" s="157"/>
      <c r="EB39" s="157"/>
      <c r="EC39" s="157"/>
      <c r="ED39" s="157"/>
      <c r="EE39" s="157"/>
      <c r="EF39" s="157"/>
      <c r="EG39" s="157"/>
      <c r="EH39" s="157"/>
      <c r="EI39" s="157"/>
      <c r="EJ39" s="157"/>
      <c r="EK39" s="157"/>
      <c r="EL39" s="157"/>
      <c r="EM39" s="157"/>
      <c r="EN39" s="157"/>
      <c r="EO39" s="157"/>
      <c r="EP39" s="157"/>
      <c r="EQ39" s="157"/>
      <c r="ER39" s="157"/>
      <c r="ES39" s="157"/>
      <c r="ET39" s="157"/>
      <c r="EU39" s="157"/>
      <c r="EV39" s="157"/>
      <c r="EW39" s="157"/>
      <c r="EX39" s="157"/>
      <c r="EY39" s="157"/>
      <c r="EZ39" s="157"/>
      <c r="FA39" s="157"/>
      <c r="FB39" s="157"/>
      <c r="FC39" s="157"/>
      <c r="FD39" s="157"/>
      <c r="FE39" s="157"/>
      <c r="FF39" s="157"/>
      <c r="FG39" s="157"/>
      <c r="FH39" s="157"/>
      <c r="FI39" s="157"/>
      <c r="FJ39" s="157"/>
      <c r="FK39" s="157"/>
      <c r="FL39" s="157"/>
      <c r="FM39" s="157"/>
      <c r="FN39" s="157"/>
      <c r="FO39" s="157"/>
      <c r="FP39" s="157"/>
      <c r="FQ39" s="157"/>
      <c r="FR39" s="157"/>
      <c r="FS39" s="157"/>
      <c r="FT39" s="157"/>
      <c r="FU39" s="157"/>
      <c r="FV39" s="157"/>
      <c r="FW39" s="157"/>
      <c r="FX39" s="157"/>
      <c r="FY39" s="157"/>
      <c r="FZ39" s="157"/>
      <c r="GA39" s="157"/>
      <c r="GB39" s="157"/>
      <c r="GC39" s="157"/>
      <c r="GD39" s="157"/>
      <c r="GE39" s="157"/>
      <c r="GF39" s="157"/>
      <c r="GG39" s="157"/>
      <c r="GH39" s="157"/>
      <c r="GI39" s="157"/>
      <c r="GJ39" s="157"/>
      <c r="GK39" s="157"/>
      <c r="GL39" s="157"/>
      <c r="GM39" s="157"/>
      <c r="GN39" s="157"/>
      <c r="GO39" s="157"/>
      <c r="GP39" s="157"/>
      <c r="GQ39" s="157"/>
      <c r="GR39" s="157"/>
      <c r="GS39" s="157"/>
      <c r="GT39" s="157"/>
      <c r="GU39" s="157"/>
      <c r="GV39" s="157"/>
      <c r="GW39" s="157"/>
      <c r="GX39" s="157"/>
      <c r="GY39" s="157"/>
      <c r="GZ39" s="157"/>
      <c r="HA39" s="157"/>
      <c r="HB39" s="157"/>
      <c r="HC39" s="157"/>
      <c r="HD39" s="157"/>
      <c r="HE39" s="157"/>
      <c r="HF39" s="157"/>
      <c r="HG39" s="157"/>
      <c r="HH39" s="157"/>
      <c r="HI39" s="157"/>
      <c r="HJ39" s="157"/>
      <c r="HK39" s="157"/>
      <c r="HL39" s="157"/>
      <c r="HM39" s="157"/>
      <c r="HN39" s="157"/>
      <c r="HO39" s="157"/>
      <c r="HP39" s="157"/>
      <c r="HQ39" s="157"/>
      <c r="HR39" s="157"/>
      <c r="HS39" s="157"/>
      <c r="HT39" s="157"/>
      <c r="HU39" s="157"/>
      <c r="HV39" s="157"/>
      <c r="HW39" s="157"/>
      <c r="HX39" s="157"/>
      <c r="HY39" s="157"/>
      <c r="HZ39" s="157"/>
      <c r="IA39" s="157"/>
      <c r="IB39" s="157"/>
      <c r="IC39" s="157"/>
      <c r="ID39" s="157"/>
      <c r="IE39" s="157"/>
      <c r="IF39" s="157"/>
      <c r="IG39" s="157"/>
      <c r="IH39" s="157"/>
      <c r="II39" s="157"/>
      <c r="IJ39" s="157"/>
      <c r="IK39" s="157"/>
      <c r="IL39" s="157"/>
      <c r="IM39" s="157"/>
      <c r="IN39" s="157"/>
      <c r="IO39" s="157"/>
      <c r="IP39" s="157"/>
      <c r="IQ39" s="157"/>
      <c r="IR39" s="157"/>
      <c r="IS39" s="157"/>
      <c r="IT39" s="157"/>
      <c r="IU39" s="157"/>
      <c r="IV39" s="157"/>
      <c r="IW39" s="157"/>
      <c r="IX39" s="157"/>
      <c r="IY39" s="157"/>
      <c r="IZ39" s="157"/>
      <c r="JA39" s="157"/>
      <c r="JB39" s="157"/>
      <c r="JC39" s="157"/>
      <c r="JD39" s="157"/>
      <c r="JE39" s="157"/>
      <c r="JF39" s="157"/>
      <c r="JG39" s="157"/>
      <c r="JH39" s="157"/>
      <c r="JI39" s="157"/>
      <c r="JJ39" s="157"/>
      <c r="JK39" s="157"/>
      <c r="JL39" s="157"/>
      <c r="JM39" s="157"/>
      <c r="JN39" s="157"/>
      <c r="JO39" s="157"/>
      <c r="JP39" s="157"/>
      <c r="JQ39" s="157"/>
      <c r="JR39" s="157"/>
      <c r="JS39" s="157"/>
      <c r="JT39" s="157"/>
      <c r="JU39" s="157"/>
      <c r="JV39" s="157"/>
      <c r="JW39" s="157"/>
      <c r="JX39" s="157"/>
      <c r="JY39" s="157"/>
      <c r="JZ39" s="157"/>
      <c r="KA39" s="157"/>
      <c r="KB39" s="157"/>
      <c r="KC39" s="157"/>
      <c r="KD39" s="157"/>
      <c r="KE39" s="157"/>
      <c r="KF39" s="157"/>
      <c r="KG39" s="157"/>
      <c r="KH39" s="157"/>
      <c r="KI39" s="157"/>
      <c r="KJ39" s="157"/>
      <c r="KK39" s="157"/>
    </row>
    <row r="40" spans="1:297" x14ac:dyDescent="0.2">
      <c r="A40" s="433"/>
      <c r="B40" s="321"/>
      <c r="C40" s="216" t="s">
        <v>210</v>
      </c>
      <c r="D40" s="216" t="s">
        <v>143</v>
      </c>
      <c r="E40" s="216" t="s">
        <v>173</v>
      </c>
      <c r="F40" s="364" cm="1">
        <f t="array" ref="F40">_xlfn.XLOOKUP($E40, UVintensity!$L$3:$L$14, _xlfn.XLOOKUP(F$5, UVintensity!$M$2:$U$2, UVintensity!$M$3:$U$14))</f>
        <v>0</v>
      </c>
      <c r="G40" s="364" cm="1">
        <f t="array" ref="G40">_xlfn.XLOOKUP($E40, UVintensity!$L$3:$L$14, _xlfn.XLOOKUP(G$5, UVintensity!$M$2:$U$2, UVintensity!$M$3:$U$14))</f>
        <v>0</v>
      </c>
      <c r="H40" s="364" cm="1">
        <f t="array" ref="H40">_xlfn.XLOOKUP($E40, UVintensity!$L$3:$L$14, _xlfn.XLOOKUP(H$5, UVintensity!$M$2:$U$2, UVintensity!$M$3:$U$14))</f>
        <v>0</v>
      </c>
      <c r="I40" s="364" cm="1">
        <f t="array" ref="I40">_xlfn.XLOOKUP($E40, UVintensity!$L$3:$L$14, _xlfn.XLOOKUP(I$5, UVintensity!$M$2:$U$2, UVintensity!$M$3:$U$14))</f>
        <v>0</v>
      </c>
      <c r="J40" s="364" cm="1">
        <f t="array" ref="J40">_xlfn.XLOOKUP($E40, UVintensity!$L$3:$L$14, _xlfn.XLOOKUP(J$5, UVintensity!$M$2:$U$2, UVintensity!$M$3:$U$14))</f>
        <v>0</v>
      </c>
      <c r="K40" s="364" cm="1">
        <f t="array" ref="K40">_xlfn.XLOOKUP($E40, UVintensity!$L$3:$L$14, _xlfn.XLOOKUP(K$5, UVintensity!$M$2:$U$2, UVintensity!$M$3:$U$14))</f>
        <v>0</v>
      </c>
      <c r="L40" s="364" cm="1">
        <f t="array" ref="L40">_xlfn.XLOOKUP($E40, UVintensity!$L$3:$L$14, _xlfn.XLOOKUP(L$5, UVintensity!$M$2:$U$2, UVintensity!$M$3:$U$14))</f>
        <v>0</v>
      </c>
      <c r="M40" s="364" cm="1">
        <f t="array" ref="M40">_xlfn.XLOOKUP($E40, UVintensity!$L$3:$L$14, _xlfn.XLOOKUP(M$5, UVintensity!$M$2:$U$2, UVintensity!$M$3:$U$14))</f>
        <v>0</v>
      </c>
      <c r="N40" s="164"/>
      <c r="O40" s="154" t="s">
        <v>258</v>
      </c>
      <c r="P40" s="322" t="s">
        <v>257</v>
      </c>
      <c r="T40" s="155">
        <v>3.1955520611029992E-2</v>
      </c>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57"/>
      <c r="DT40" s="157"/>
      <c r="DU40" s="157"/>
      <c r="DV40" s="157"/>
      <c r="DW40" s="157"/>
      <c r="DX40" s="157"/>
      <c r="DY40" s="157"/>
      <c r="DZ40" s="157"/>
      <c r="EA40" s="157"/>
      <c r="EB40" s="157"/>
      <c r="EC40" s="157"/>
      <c r="ED40" s="157"/>
      <c r="EE40" s="157"/>
      <c r="EF40" s="157"/>
      <c r="EG40" s="157"/>
      <c r="EH40" s="157"/>
      <c r="EI40" s="157"/>
      <c r="EJ40" s="157"/>
      <c r="EK40" s="157"/>
      <c r="EL40" s="157"/>
      <c r="EM40" s="157"/>
      <c r="EN40" s="157"/>
      <c r="EO40" s="157"/>
      <c r="EP40" s="157"/>
      <c r="EQ40" s="157"/>
      <c r="ER40" s="157"/>
      <c r="ES40" s="157"/>
      <c r="ET40" s="157"/>
      <c r="EU40" s="157"/>
      <c r="EV40" s="157"/>
      <c r="EW40" s="157"/>
      <c r="EX40" s="157"/>
      <c r="EY40" s="157"/>
      <c r="EZ40" s="157"/>
      <c r="FA40" s="157"/>
      <c r="FB40" s="157"/>
      <c r="FC40" s="157"/>
      <c r="FD40" s="157"/>
      <c r="FE40" s="157"/>
      <c r="FF40" s="157"/>
      <c r="FG40" s="157"/>
      <c r="FH40" s="157"/>
      <c r="FI40" s="157"/>
      <c r="FJ40" s="157"/>
      <c r="FK40" s="157"/>
      <c r="FL40" s="157"/>
      <c r="FM40" s="157"/>
      <c r="FN40" s="157"/>
      <c r="FO40" s="157"/>
      <c r="FP40" s="157"/>
      <c r="FQ40" s="157"/>
      <c r="FR40" s="157"/>
      <c r="FS40" s="157"/>
      <c r="FT40" s="157"/>
      <c r="FU40" s="157"/>
      <c r="FV40" s="157"/>
      <c r="FW40" s="157"/>
      <c r="FX40" s="157"/>
      <c r="FY40" s="157"/>
      <c r="FZ40" s="157"/>
      <c r="GA40" s="157"/>
      <c r="GB40" s="157"/>
      <c r="GC40" s="157"/>
      <c r="GD40" s="157"/>
      <c r="GE40" s="157"/>
      <c r="GF40" s="157"/>
      <c r="GG40" s="157"/>
      <c r="GH40" s="157"/>
      <c r="GI40" s="157"/>
      <c r="GJ40" s="157"/>
      <c r="GK40" s="157"/>
      <c r="GL40" s="157"/>
      <c r="GM40" s="157"/>
      <c r="GN40" s="157"/>
      <c r="GO40" s="157"/>
      <c r="GP40" s="157"/>
      <c r="GQ40" s="157"/>
      <c r="GR40" s="157"/>
      <c r="GS40" s="157"/>
      <c r="GT40" s="157"/>
      <c r="GU40" s="157"/>
      <c r="GV40" s="157"/>
      <c r="GW40" s="157"/>
      <c r="GX40" s="157"/>
      <c r="GY40" s="157"/>
      <c r="GZ40" s="157"/>
      <c r="HA40" s="157"/>
      <c r="HB40" s="157"/>
      <c r="HC40" s="157"/>
      <c r="HD40" s="157"/>
      <c r="HE40" s="157"/>
      <c r="HF40" s="157"/>
      <c r="HG40" s="157"/>
      <c r="HH40" s="157"/>
      <c r="HI40" s="157"/>
      <c r="HJ40" s="157"/>
      <c r="HK40" s="157"/>
      <c r="HL40" s="157"/>
      <c r="HM40" s="157"/>
      <c r="HN40" s="157"/>
      <c r="HO40" s="157"/>
      <c r="HP40" s="157"/>
      <c r="HQ40" s="157"/>
      <c r="HR40" s="157"/>
      <c r="HS40" s="157"/>
      <c r="HT40" s="157"/>
      <c r="HU40" s="157"/>
      <c r="HV40" s="157"/>
      <c r="HW40" s="157"/>
      <c r="HX40" s="157"/>
      <c r="HY40" s="157"/>
      <c r="HZ40" s="157"/>
      <c r="IA40" s="157"/>
      <c r="IB40" s="157"/>
      <c r="IC40" s="157"/>
      <c r="ID40" s="157"/>
      <c r="IE40" s="157"/>
      <c r="IF40" s="157"/>
      <c r="IG40" s="157"/>
      <c r="IH40" s="157"/>
      <c r="II40" s="157"/>
      <c r="IJ40" s="157"/>
      <c r="IK40" s="157"/>
      <c r="IL40" s="157"/>
      <c r="IM40" s="157"/>
      <c r="IN40" s="157"/>
      <c r="IO40" s="157"/>
      <c r="IP40" s="157"/>
      <c r="IQ40" s="157"/>
      <c r="IR40" s="157"/>
      <c r="IS40" s="157"/>
      <c r="IT40" s="157"/>
      <c r="IU40" s="157"/>
      <c r="IV40" s="157"/>
      <c r="IW40" s="157"/>
      <c r="IX40" s="157"/>
      <c r="IY40" s="157"/>
      <c r="IZ40" s="157"/>
      <c r="JA40" s="157"/>
      <c r="JB40" s="157"/>
      <c r="JC40" s="157"/>
      <c r="JD40" s="157"/>
      <c r="JE40" s="157"/>
      <c r="JF40" s="157"/>
      <c r="JG40" s="157"/>
      <c r="JH40" s="157"/>
      <c r="JI40" s="157"/>
      <c r="JJ40" s="157"/>
      <c r="JK40" s="157"/>
      <c r="JL40" s="157"/>
      <c r="JM40" s="157"/>
      <c r="JN40" s="157"/>
      <c r="JO40" s="157"/>
      <c r="JP40" s="157"/>
      <c r="JQ40" s="157"/>
      <c r="JR40" s="157"/>
      <c r="JS40" s="157"/>
      <c r="JT40" s="157"/>
      <c r="JU40" s="157"/>
      <c r="JV40" s="157"/>
      <c r="JW40" s="157"/>
      <c r="JX40" s="157"/>
      <c r="JY40" s="157"/>
      <c r="JZ40" s="157"/>
      <c r="KA40" s="157"/>
      <c r="KB40" s="157"/>
      <c r="KC40" s="157"/>
      <c r="KD40" s="157"/>
      <c r="KE40" s="157"/>
      <c r="KF40" s="157"/>
      <c r="KG40" s="157"/>
      <c r="KH40" s="157"/>
      <c r="KI40" s="157"/>
      <c r="KJ40" s="157"/>
      <c r="KK40" s="157"/>
    </row>
    <row r="41" spans="1:297" x14ac:dyDescent="0.2">
      <c r="A41" s="433"/>
      <c r="B41" s="321"/>
      <c r="C41" s="216" t="s">
        <v>210</v>
      </c>
      <c r="D41" s="216" t="s">
        <v>143</v>
      </c>
      <c r="E41" s="216" t="s">
        <v>150</v>
      </c>
      <c r="F41" s="364" cm="1">
        <f t="array" ref="F41">_xlfn.XLOOKUP($E41, UVintensity!$L$3:$L$14, _xlfn.XLOOKUP(F$5, UVintensity!$M$2:$U$2, UVintensity!$M$3:$U$14))</f>
        <v>0</v>
      </c>
      <c r="G41" s="364" cm="1">
        <f t="array" ref="G41">_xlfn.XLOOKUP($E41, UVintensity!$L$3:$L$14, _xlfn.XLOOKUP(G$5, UVintensity!$M$2:$U$2, UVintensity!$M$3:$U$14))</f>
        <v>0</v>
      </c>
      <c r="H41" s="364" cm="1">
        <f t="array" ref="H41">_xlfn.XLOOKUP($E41, UVintensity!$L$3:$L$14, _xlfn.XLOOKUP(H$5, UVintensity!$M$2:$U$2, UVintensity!$M$3:$U$14))</f>
        <v>0</v>
      </c>
      <c r="I41" s="364" cm="1">
        <f t="array" ref="I41">_xlfn.XLOOKUP($E41, UVintensity!$L$3:$L$14, _xlfn.XLOOKUP(I$5, UVintensity!$M$2:$U$2, UVintensity!$M$3:$U$14))</f>
        <v>0</v>
      </c>
      <c r="J41" s="364" cm="1">
        <f t="array" ref="J41">_xlfn.XLOOKUP($E41, UVintensity!$L$3:$L$14, _xlfn.XLOOKUP(J$5, UVintensity!$M$2:$U$2, UVintensity!$M$3:$U$14))</f>
        <v>0</v>
      </c>
      <c r="K41" s="364" cm="1">
        <f t="array" ref="K41">_xlfn.XLOOKUP($E41, UVintensity!$L$3:$L$14, _xlfn.XLOOKUP(K$5, UVintensity!$M$2:$U$2, UVintensity!$M$3:$U$14))</f>
        <v>0</v>
      </c>
      <c r="L41" s="364" cm="1">
        <f t="array" ref="L41">_xlfn.XLOOKUP($E41, UVintensity!$L$3:$L$14, _xlfn.XLOOKUP(L$5, UVintensity!$M$2:$U$2, UVintensity!$M$3:$U$14))</f>
        <v>0</v>
      </c>
      <c r="M41" s="364" cm="1">
        <f t="array" ref="M41">_xlfn.XLOOKUP($E41, UVintensity!$L$3:$L$14, _xlfn.XLOOKUP(M$5, UVintensity!$M$2:$U$2, UVintensity!$M$3:$U$14))</f>
        <v>0</v>
      </c>
      <c r="N41" s="164"/>
      <c r="O41" s="154" t="s">
        <v>258</v>
      </c>
      <c r="P41" s="322" t="s">
        <v>257</v>
      </c>
      <c r="T41" s="155">
        <v>0.13029315960912052</v>
      </c>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7"/>
      <c r="CX41" s="157"/>
      <c r="CY41" s="157"/>
      <c r="CZ41" s="157"/>
      <c r="DA41" s="157"/>
      <c r="DB41" s="157"/>
      <c r="DC41" s="157"/>
      <c r="DD41" s="157"/>
      <c r="DE41" s="157"/>
      <c r="DF41" s="157"/>
      <c r="DG41" s="157"/>
      <c r="DH41" s="157"/>
      <c r="DI41" s="157"/>
      <c r="DJ41" s="157"/>
      <c r="DK41" s="157"/>
      <c r="DL41" s="157"/>
      <c r="DM41" s="157"/>
      <c r="DN41" s="157"/>
      <c r="DO41" s="157"/>
      <c r="DP41" s="157"/>
      <c r="DQ41" s="157"/>
      <c r="DR41" s="157"/>
      <c r="DS41" s="157"/>
      <c r="DT41" s="157"/>
      <c r="DU41" s="157"/>
      <c r="DV41" s="157"/>
      <c r="DW41" s="157"/>
      <c r="DX41" s="157"/>
      <c r="DY41" s="157"/>
      <c r="DZ41" s="157"/>
      <c r="EA41" s="157"/>
      <c r="EB41" s="157"/>
      <c r="EC41" s="157"/>
      <c r="ED41" s="157"/>
      <c r="EE41" s="157"/>
      <c r="EF41" s="157"/>
      <c r="EG41" s="157"/>
      <c r="EH41" s="157"/>
      <c r="EI41" s="157"/>
      <c r="EJ41" s="157"/>
      <c r="EK41" s="157"/>
      <c r="EL41" s="157"/>
      <c r="EM41" s="157"/>
      <c r="EN41" s="157"/>
      <c r="EO41" s="157"/>
      <c r="EP41" s="157"/>
      <c r="EQ41" s="157"/>
      <c r="ER41" s="157"/>
      <c r="ES41" s="157"/>
      <c r="ET41" s="157"/>
      <c r="EU41" s="157"/>
      <c r="EV41" s="157"/>
      <c r="EW41" s="157"/>
      <c r="EX41" s="157"/>
      <c r="EY41" s="157"/>
      <c r="EZ41" s="157"/>
      <c r="FA41" s="157"/>
      <c r="FB41" s="157"/>
      <c r="FC41" s="157"/>
      <c r="FD41" s="157"/>
      <c r="FE41" s="157"/>
      <c r="FF41" s="157"/>
      <c r="FG41" s="157"/>
      <c r="FH41" s="157"/>
      <c r="FI41" s="157"/>
      <c r="FJ41" s="157"/>
      <c r="FK41" s="157"/>
      <c r="FL41" s="157"/>
      <c r="FM41" s="157"/>
      <c r="FN41" s="157"/>
      <c r="FO41" s="157"/>
      <c r="FP41" s="157"/>
      <c r="FQ41" s="157"/>
      <c r="FR41" s="157"/>
      <c r="FS41" s="157"/>
      <c r="FT41" s="157"/>
      <c r="FU41" s="157"/>
      <c r="FV41" s="157"/>
      <c r="FW41" s="157"/>
      <c r="FX41" s="157"/>
      <c r="FY41" s="157"/>
      <c r="FZ41" s="157"/>
      <c r="GA41" s="157"/>
      <c r="GB41" s="157"/>
      <c r="GC41" s="157"/>
      <c r="GD41" s="157"/>
      <c r="GE41" s="157"/>
      <c r="GF41" s="157"/>
      <c r="GG41" s="157"/>
      <c r="GH41" s="157"/>
      <c r="GI41" s="157"/>
      <c r="GJ41" s="157"/>
      <c r="GK41" s="157"/>
      <c r="GL41" s="157"/>
      <c r="GM41" s="157"/>
      <c r="GN41" s="157"/>
      <c r="GO41" s="157"/>
      <c r="GP41" s="157"/>
      <c r="GQ41" s="157"/>
      <c r="GR41" s="157"/>
      <c r="GS41" s="157"/>
      <c r="GT41" s="157"/>
      <c r="GU41" s="157"/>
      <c r="GV41" s="157"/>
      <c r="GW41" s="157"/>
      <c r="GX41" s="157"/>
      <c r="GY41" s="157"/>
      <c r="GZ41" s="157"/>
      <c r="HA41" s="157"/>
      <c r="HB41" s="157"/>
      <c r="HC41" s="157"/>
      <c r="HD41" s="157"/>
      <c r="HE41" s="157"/>
      <c r="HF41" s="157"/>
      <c r="HG41" s="157"/>
      <c r="HH41" s="157"/>
      <c r="HI41" s="157"/>
      <c r="HJ41" s="157"/>
      <c r="HK41" s="157"/>
      <c r="HL41" s="157"/>
      <c r="HM41" s="157"/>
      <c r="HN41" s="157"/>
      <c r="HO41" s="157"/>
      <c r="HP41" s="157"/>
      <c r="HQ41" s="157"/>
      <c r="HR41" s="157"/>
      <c r="HS41" s="157"/>
      <c r="HT41" s="157"/>
      <c r="HU41" s="157"/>
      <c r="HV41" s="157"/>
      <c r="HW41" s="157"/>
      <c r="HX41" s="157"/>
      <c r="HY41" s="157"/>
      <c r="HZ41" s="157"/>
      <c r="IA41" s="157"/>
      <c r="IB41" s="157"/>
      <c r="IC41" s="157"/>
      <c r="ID41" s="157"/>
      <c r="IE41" s="157"/>
      <c r="IF41" s="157"/>
      <c r="IG41" s="157"/>
      <c r="IH41" s="157"/>
      <c r="II41" s="157"/>
      <c r="IJ41" s="157"/>
      <c r="IK41" s="157"/>
      <c r="IL41" s="157"/>
      <c r="IM41" s="157"/>
      <c r="IN41" s="157"/>
      <c r="IO41" s="157"/>
      <c r="IP41" s="157"/>
      <c r="IQ41" s="157"/>
      <c r="IR41" s="157"/>
      <c r="IS41" s="157"/>
      <c r="IT41" s="157"/>
      <c r="IU41" s="157"/>
      <c r="IV41" s="157"/>
      <c r="IW41" s="157"/>
      <c r="IX41" s="157"/>
      <c r="IY41" s="157"/>
      <c r="IZ41" s="157"/>
      <c r="JA41" s="157"/>
      <c r="JB41" s="157"/>
      <c r="JC41" s="157"/>
      <c r="JD41" s="157"/>
      <c r="JE41" s="157"/>
      <c r="JF41" s="157"/>
      <c r="JG41" s="157"/>
      <c r="JH41" s="157"/>
      <c r="JI41" s="157"/>
      <c r="JJ41" s="157"/>
      <c r="JK41" s="157"/>
      <c r="JL41" s="157"/>
      <c r="JM41" s="157"/>
      <c r="JN41" s="157"/>
      <c r="JO41" s="157"/>
      <c r="JP41" s="157"/>
      <c r="JQ41" s="157"/>
      <c r="JR41" s="157"/>
      <c r="JS41" s="157"/>
      <c r="JT41" s="157"/>
      <c r="JU41" s="157"/>
      <c r="JV41" s="157"/>
      <c r="JW41" s="157"/>
      <c r="JX41" s="157"/>
      <c r="JY41" s="157"/>
      <c r="JZ41" s="157"/>
      <c r="KA41" s="157"/>
      <c r="KB41" s="157"/>
      <c r="KC41" s="157"/>
      <c r="KD41" s="157"/>
      <c r="KE41" s="157"/>
      <c r="KF41" s="157"/>
      <c r="KG41" s="157"/>
      <c r="KH41" s="157"/>
      <c r="KI41" s="157"/>
      <c r="KJ41" s="157"/>
      <c r="KK41" s="157"/>
    </row>
    <row r="42" spans="1:297" x14ac:dyDescent="0.2">
      <c r="A42" s="433"/>
      <c r="B42" s="321"/>
      <c r="C42" s="216" t="s">
        <v>210</v>
      </c>
      <c r="D42" s="216" t="s">
        <v>143</v>
      </c>
      <c r="E42" s="216" t="s">
        <v>162</v>
      </c>
      <c r="F42" s="364" cm="1">
        <f t="array" ref="F42">_xlfn.XLOOKUP($E42, UVintensity!$L$3:$L$14, _xlfn.XLOOKUP(F$5, UVintensity!$M$2:$U$2, UVintensity!$M$3:$U$14))</f>
        <v>0</v>
      </c>
      <c r="G42" s="364" cm="1">
        <f t="array" ref="G42">_xlfn.XLOOKUP($E42, UVintensity!$L$3:$L$14, _xlfn.XLOOKUP(G$5, UVintensity!$M$2:$U$2, UVintensity!$M$3:$U$14))</f>
        <v>0</v>
      </c>
      <c r="H42" s="364" cm="1">
        <f t="array" ref="H42">_xlfn.XLOOKUP($E42, UVintensity!$L$3:$L$14, _xlfn.XLOOKUP(H$5, UVintensity!$M$2:$U$2, UVintensity!$M$3:$U$14))</f>
        <v>0</v>
      </c>
      <c r="I42" s="364" cm="1">
        <f t="array" ref="I42">_xlfn.XLOOKUP($E42, UVintensity!$L$3:$L$14, _xlfn.XLOOKUP(I$5, UVintensity!$M$2:$U$2, UVintensity!$M$3:$U$14))</f>
        <v>0</v>
      </c>
      <c r="J42" s="364" cm="1">
        <f t="array" ref="J42">_xlfn.XLOOKUP($E42, UVintensity!$L$3:$L$14, _xlfn.XLOOKUP(J$5, UVintensity!$M$2:$U$2, UVintensity!$M$3:$U$14))</f>
        <v>0</v>
      </c>
      <c r="K42" s="364" cm="1">
        <f t="array" ref="K42">_xlfn.XLOOKUP($E42, UVintensity!$L$3:$L$14, _xlfn.XLOOKUP(K$5, UVintensity!$M$2:$U$2, UVintensity!$M$3:$U$14))</f>
        <v>0</v>
      </c>
      <c r="L42" s="364" cm="1">
        <f t="array" ref="L42">_xlfn.XLOOKUP($E42, UVintensity!$L$3:$L$14, _xlfn.XLOOKUP(L$5, UVintensity!$M$2:$U$2, UVintensity!$M$3:$U$14))</f>
        <v>0</v>
      </c>
      <c r="M42" s="364" cm="1">
        <f t="array" ref="M42">_xlfn.XLOOKUP($E42, UVintensity!$L$3:$L$14, _xlfn.XLOOKUP(M$5, UVintensity!$M$2:$U$2, UVintensity!$M$3:$U$14))</f>
        <v>0</v>
      </c>
      <c r="N42" s="164"/>
      <c r="O42" s="154" t="s">
        <v>258</v>
      </c>
      <c r="P42" s="322" t="s">
        <v>257</v>
      </c>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7"/>
      <c r="CX42" s="157"/>
      <c r="CY42" s="157"/>
      <c r="CZ42" s="157"/>
      <c r="DA42" s="157"/>
      <c r="DB42" s="157"/>
      <c r="DC42" s="157"/>
      <c r="DD42" s="157"/>
      <c r="DE42" s="157"/>
      <c r="DF42" s="157"/>
      <c r="DG42" s="157"/>
      <c r="DH42" s="157"/>
      <c r="DI42" s="157"/>
      <c r="DJ42" s="157"/>
      <c r="DK42" s="157"/>
      <c r="DL42" s="157"/>
      <c r="DM42" s="157"/>
      <c r="DN42" s="157"/>
      <c r="DO42" s="157"/>
      <c r="DP42" s="157"/>
      <c r="DQ42" s="157"/>
      <c r="DR42" s="157"/>
      <c r="DS42" s="157"/>
      <c r="DT42" s="157"/>
      <c r="DU42" s="157"/>
      <c r="DV42" s="157"/>
      <c r="DW42" s="157"/>
      <c r="DX42" s="157"/>
      <c r="DY42" s="157"/>
      <c r="DZ42" s="157"/>
      <c r="EA42" s="157"/>
      <c r="EB42" s="157"/>
      <c r="EC42" s="157"/>
      <c r="ED42" s="157"/>
      <c r="EE42" s="157"/>
      <c r="EF42" s="157"/>
      <c r="EG42" s="157"/>
      <c r="EH42" s="157"/>
      <c r="EI42" s="157"/>
      <c r="EJ42" s="157"/>
      <c r="EK42" s="157"/>
      <c r="EL42" s="157"/>
      <c r="EM42" s="157"/>
      <c r="EN42" s="157"/>
      <c r="EO42" s="157"/>
      <c r="EP42" s="157"/>
      <c r="EQ42" s="157"/>
      <c r="ER42" s="157"/>
      <c r="ES42" s="157"/>
      <c r="ET42" s="157"/>
      <c r="EU42" s="157"/>
      <c r="EV42" s="157"/>
      <c r="EW42" s="157"/>
      <c r="EX42" s="157"/>
      <c r="EY42" s="157"/>
      <c r="EZ42" s="157"/>
      <c r="FA42" s="157"/>
      <c r="FB42" s="157"/>
      <c r="FC42" s="157"/>
      <c r="FD42" s="157"/>
      <c r="FE42" s="157"/>
      <c r="FF42" s="157"/>
      <c r="FG42" s="157"/>
      <c r="FH42" s="157"/>
      <c r="FI42" s="157"/>
      <c r="FJ42" s="157"/>
      <c r="FK42" s="157"/>
      <c r="FL42" s="157"/>
      <c r="FM42" s="157"/>
      <c r="FN42" s="157"/>
      <c r="FO42" s="157"/>
      <c r="FP42" s="157"/>
      <c r="FQ42" s="157"/>
      <c r="FR42" s="157"/>
      <c r="FS42" s="157"/>
      <c r="FT42" s="157"/>
      <c r="FU42" s="157"/>
      <c r="FV42" s="157"/>
      <c r="FW42" s="157"/>
      <c r="FX42" s="157"/>
      <c r="FY42" s="157"/>
      <c r="FZ42" s="157"/>
      <c r="GA42" s="157"/>
      <c r="GB42" s="157"/>
      <c r="GC42" s="157"/>
      <c r="GD42" s="157"/>
      <c r="GE42" s="157"/>
      <c r="GF42" s="157"/>
      <c r="GG42" s="157"/>
      <c r="GH42" s="157"/>
      <c r="GI42" s="157"/>
      <c r="GJ42" s="157"/>
      <c r="GK42" s="157"/>
      <c r="GL42" s="157"/>
      <c r="GM42" s="157"/>
      <c r="GN42" s="157"/>
      <c r="GO42" s="157"/>
      <c r="GP42" s="157"/>
      <c r="GQ42" s="157"/>
      <c r="GR42" s="157"/>
      <c r="GS42" s="157"/>
      <c r="GT42" s="157"/>
      <c r="GU42" s="157"/>
      <c r="GV42" s="157"/>
      <c r="GW42" s="157"/>
      <c r="GX42" s="157"/>
      <c r="GY42" s="157"/>
      <c r="GZ42" s="157"/>
      <c r="HA42" s="157"/>
      <c r="HB42" s="157"/>
      <c r="HC42" s="157"/>
      <c r="HD42" s="157"/>
      <c r="HE42" s="157"/>
      <c r="HF42" s="157"/>
      <c r="HG42" s="157"/>
      <c r="HH42" s="157"/>
      <c r="HI42" s="157"/>
      <c r="HJ42" s="157"/>
      <c r="HK42" s="157"/>
      <c r="HL42" s="157"/>
      <c r="HM42" s="157"/>
      <c r="HN42" s="157"/>
      <c r="HO42" s="157"/>
      <c r="HP42" s="157"/>
      <c r="HQ42" s="157"/>
      <c r="HR42" s="157"/>
      <c r="HS42" s="157"/>
      <c r="HT42" s="157"/>
      <c r="HU42" s="157"/>
      <c r="HV42" s="157"/>
      <c r="HW42" s="157"/>
      <c r="HX42" s="157"/>
      <c r="HY42" s="157"/>
      <c r="HZ42" s="157"/>
      <c r="IA42" s="157"/>
      <c r="IB42" s="157"/>
      <c r="IC42" s="157"/>
      <c r="ID42" s="157"/>
      <c r="IE42" s="157"/>
      <c r="IF42" s="157"/>
      <c r="IG42" s="157"/>
      <c r="IH42" s="157"/>
      <c r="II42" s="157"/>
      <c r="IJ42" s="157"/>
      <c r="IK42" s="157"/>
      <c r="IL42" s="157"/>
      <c r="IM42" s="157"/>
      <c r="IN42" s="157"/>
      <c r="IO42" s="157"/>
      <c r="IP42" s="157"/>
      <c r="IQ42" s="157"/>
      <c r="IR42" s="157"/>
      <c r="IS42" s="157"/>
      <c r="IT42" s="157"/>
      <c r="IU42" s="157"/>
      <c r="IV42" s="157"/>
      <c r="IW42" s="157"/>
      <c r="IX42" s="157"/>
      <c r="IY42" s="157"/>
      <c r="IZ42" s="157"/>
      <c r="JA42" s="157"/>
      <c r="JB42" s="157"/>
      <c r="JC42" s="157"/>
      <c r="JD42" s="157"/>
      <c r="JE42" s="157"/>
      <c r="JF42" s="157"/>
      <c r="JG42" s="157"/>
      <c r="JH42" s="157"/>
      <c r="JI42" s="157"/>
      <c r="JJ42" s="157"/>
      <c r="JK42" s="157"/>
      <c r="JL42" s="157"/>
      <c r="JM42" s="157"/>
      <c r="JN42" s="157"/>
      <c r="JO42" s="157"/>
      <c r="JP42" s="157"/>
      <c r="JQ42" s="157"/>
      <c r="JR42" s="157"/>
      <c r="JS42" s="157"/>
      <c r="JT42" s="157"/>
      <c r="JU42" s="157"/>
      <c r="JV42" s="157"/>
      <c r="JW42" s="157"/>
      <c r="JX42" s="157"/>
      <c r="JY42" s="157"/>
      <c r="JZ42" s="157"/>
      <c r="KA42" s="157"/>
      <c r="KB42" s="157"/>
      <c r="KC42" s="157"/>
      <c r="KD42" s="157"/>
      <c r="KE42" s="157"/>
      <c r="KF42" s="157"/>
      <c r="KG42" s="157"/>
      <c r="KH42" s="157"/>
      <c r="KI42" s="157"/>
      <c r="KJ42" s="157"/>
      <c r="KK42" s="157"/>
    </row>
    <row r="43" spans="1:297" x14ac:dyDescent="0.2">
      <c r="A43" s="433"/>
      <c r="B43" s="321"/>
      <c r="C43" s="216" t="s">
        <v>210</v>
      </c>
      <c r="D43" s="216" t="s">
        <v>143</v>
      </c>
      <c r="E43" s="216" t="s">
        <v>148</v>
      </c>
      <c r="F43" s="364" cm="1">
        <f t="array" ref="F43">_xlfn.XLOOKUP($E43, UVintensity!$L$3:$L$14, _xlfn.XLOOKUP(F$5, UVintensity!$M$2:$U$2, UVintensity!$M$3:$U$14))</f>
        <v>0.33416666665405143</v>
      </c>
      <c r="G43" s="364" cm="1">
        <f t="array" ref="G43">_xlfn.XLOOKUP($E43, UVintensity!$L$3:$L$14, _xlfn.XLOOKUP(G$5, UVintensity!$M$2:$U$2, UVintensity!$M$3:$U$14))</f>
        <v>0.2677272727272727</v>
      </c>
      <c r="H43" s="364" cm="1">
        <f t="array" ref="H43">_xlfn.XLOOKUP($E43, UVintensity!$L$3:$L$14, _xlfn.XLOOKUP(H$5, UVintensity!$M$2:$U$2, UVintensity!$M$3:$U$14))</f>
        <v>0.27526315635249343</v>
      </c>
      <c r="I43" s="364" cm="1">
        <f t="array" ref="I43">_xlfn.XLOOKUP($E43, UVintensity!$L$3:$L$14, _xlfn.XLOOKUP(I$5, UVintensity!$M$2:$U$2, UVintensity!$M$3:$U$14))</f>
        <v>0.55279999999232277</v>
      </c>
      <c r="J43" s="364" cm="1">
        <f t="array" ref="J43">_xlfn.XLOOKUP($E43, UVintensity!$L$3:$L$14, _xlfn.XLOOKUP(J$5, UVintensity!$M$2:$U$2, UVintensity!$M$3:$U$14))</f>
        <v>0.25590909083770585</v>
      </c>
      <c r="K43" s="364" cm="1">
        <f t="array" ref="K43">_xlfn.XLOOKUP($E43, UVintensity!$L$3:$L$14, _xlfn.XLOOKUP(K$5, UVintensity!$M$2:$U$2, UVintensity!$M$3:$U$14))</f>
        <v>0.41363636363636169</v>
      </c>
      <c r="L43" s="364" cm="1">
        <f t="array" ref="L43">_xlfn.XLOOKUP($E43, UVintensity!$L$3:$L$14, _xlfn.XLOOKUP(L$5, UVintensity!$M$2:$U$2, UVintensity!$M$3:$U$14))</f>
        <v>0.12551724137927842</v>
      </c>
      <c r="M43" s="364" cm="1">
        <f t="array" ref="M43">_xlfn.XLOOKUP($E43, UVintensity!$L$3:$L$14, _xlfn.XLOOKUP(M$5, UVintensity!$M$2:$U$2, UVintensity!$M$3:$U$14))</f>
        <v>1.1849462010832317</v>
      </c>
      <c r="N43" s="164"/>
      <c r="O43" s="154" t="s">
        <v>258</v>
      </c>
      <c r="P43" s="322" t="s">
        <v>257</v>
      </c>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57"/>
      <c r="DT43" s="157"/>
      <c r="DU43" s="157"/>
      <c r="DV43" s="157"/>
      <c r="DW43" s="157"/>
      <c r="DX43" s="157"/>
      <c r="DY43" s="157"/>
      <c r="DZ43" s="157"/>
      <c r="EA43" s="157"/>
      <c r="EB43" s="157"/>
      <c r="EC43" s="157"/>
      <c r="ED43" s="157"/>
      <c r="EE43" s="157"/>
      <c r="EF43" s="157"/>
      <c r="EG43" s="157"/>
      <c r="EH43" s="157"/>
      <c r="EI43" s="157"/>
      <c r="EJ43" s="157"/>
      <c r="EK43" s="157"/>
      <c r="EL43" s="157"/>
      <c r="EM43" s="157"/>
      <c r="EN43" s="157"/>
      <c r="EO43" s="157"/>
      <c r="EP43" s="157"/>
      <c r="EQ43" s="157"/>
      <c r="ER43" s="157"/>
      <c r="ES43" s="157"/>
      <c r="ET43" s="157"/>
      <c r="EU43" s="157"/>
      <c r="EV43" s="157"/>
      <c r="EW43" s="157"/>
      <c r="EX43" s="157"/>
      <c r="EY43" s="157"/>
      <c r="EZ43" s="157"/>
      <c r="FA43" s="157"/>
      <c r="FB43" s="157"/>
      <c r="FC43" s="157"/>
      <c r="FD43" s="157"/>
      <c r="FE43" s="157"/>
      <c r="FF43" s="157"/>
      <c r="FG43" s="157"/>
      <c r="FH43" s="157"/>
      <c r="FI43" s="157"/>
      <c r="FJ43" s="157"/>
      <c r="FK43" s="157"/>
      <c r="FL43" s="157"/>
      <c r="FM43" s="157"/>
      <c r="FN43" s="157"/>
      <c r="FO43" s="157"/>
      <c r="FP43" s="157"/>
      <c r="FQ43" s="157"/>
      <c r="FR43" s="157"/>
      <c r="FS43" s="157"/>
      <c r="FT43" s="157"/>
      <c r="FU43" s="157"/>
      <c r="FV43" s="157"/>
      <c r="FW43" s="157"/>
      <c r="FX43" s="157"/>
      <c r="FY43" s="157"/>
      <c r="FZ43" s="157"/>
      <c r="GA43" s="157"/>
      <c r="GB43" s="157"/>
      <c r="GC43" s="157"/>
      <c r="GD43" s="157"/>
      <c r="GE43" s="157"/>
      <c r="GF43" s="157"/>
      <c r="GG43" s="157"/>
      <c r="GH43" s="157"/>
      <c r="GI43" s="157"/>
      <c r="GJ43" s="157"/>
      <c r="GK43" s="157"/>
      <c r="GL43" s="157"/>
      <c r="GM43" s="157"/>
      <c r="GN43" s="157"/>
      <c r="GO43" s="157"/>
      <c r="GP43" s="157"/>
      <c r="GQ43" s="157"/>
      <c r="GR43" s="157"/>
      <c r="GS43" s="157"/>
      <c r="GT43" s="157"/>
      <c r="GU43" s="157"/>
      <c r="GV43" s="157"/>
      <c r="GW43" s="157"/>
      <c r="GX43" s="157"/>
      <c r="GY43" s="157"/>
      <c r="GZ43" s="157"/>
      <c r="HA43" s="157"/>
      <c r="HB43" s="157"/>
      <c r="HC43" s="157"/>
      <c r="HD43" s="157"/>
      <c r="HE43" s="157"/>
      <c r="HF43" s="157"/>
      <c r="HG43" s="157"/>
      <c r="HH43" s="157"/>
      <c r="HI43" s="157"/>
      <c r="HJ43" s="157"/>
      <c r="HK43" s="157"/>
      <c r="HL43" s="157"/>
      <c r="HM43" s="157"/>
      <c r="HN43" s="157"/>
      <c r="HO43" s="157"/>
      <c r="HP43" s="157"/>
      <c r="HQ43" s="157"/>
      <c r="HR43" s="157"/>
      <c r="HS43" s="157"/>
      <c r="HT43" s="157"/>
      <c r="HU43" s="157"/>
      <c r="HV43" s="157"/>
      <c r="HW43" s="157"/>
      <c r="HX43" s="157"/>
      <c r="HY43" s="157"/>
      <c r="HZ43" s="157"/>
      <c r="IA43" s="157"/>
      <c r="IB43" s="157"/>
      <c r="IC43" s="157"/>
      <c r="ID43" s="157"/>
      <c r="IE43" s="157"/>
      <c r="IF43" s="157"/>
      <c r="IG43" s="157"/>
      <c r="IH43" s="157"/>
      <c r="II43" s="157"/>
      <c r="IJ43" s="157"/>
      <c r="IK43" s="157"/>
      <c r="IL43" s="157"/>
      <c r="IM43" s="157"/>
      <c r="IN43" s="157"/>
      <c r="IO43" s="157"/>
      <c r="IP43" s="157"/>
      <c r="IQ43" s="157"/>
      <c r="IR43" s="157"/>
      <c r="IS43" s="157"/>
      <c r="IT43" s="157"/>
      <c r="IU43" s="157"/>
      <c r="IV43" s="157"/>
      <c r="IW43" s="157"/>
      <c r="IX43" s="157"/>
      <c r="IY43" s="157"/>
      <c r="IZ43" s="157"/>
      <c r="JA43" s="157"/>
      <c r="JB43" s="157"/>
      <c r="JC43" s="157"/>
      <c r="JD43" s="157"/>
      <c r="JE43" s="157"/>
      <c r="JF43" s="157"/>
      <c r="JG43" s="157"/>
      <c r="JH43" s="157"/>
      <c r="JI43" s="157"/>
      <c r="JJ43" s="157"/>
      <c r="JK43" s="157"/>
      <c r="JL43" s="157"/>
      <c r="JM43" s="157"/>
      <c r="JN43" s="157"/>
      <c r="JO43" s="157"/>
      <c r="JP43" s="157"/>
      <c r="JQ43" s="157"/>
      <c r="JR43" s="157"/>
      <c r="JS43" s="157"/>
      <c r="JT43" s="157"/>
      <c r="JU43" s="157"/>
      <c r="JV43" s="157"/>
      <c r="JW43" s="157"/>
      <c r="JX43" s="157"/>
      <c r="JY43" s="157"/>
      <c r="JZ43" s="157"/>
      <c r="KA43" s="157"/>
      <c r="KB43" s="157"/>
      <c r="KC43" s="157"/>
      <c r="KD43" s="157"/>
      <c r="KE43" s="157"/>
      <c r="KF43" s="157"/>
      <c r="KG43" s="157"/>
      <c r="KH43" s="157"/>
      <c r="KI43" s="157"/>
      <c r="KJ43" s="157"/>
      <c r="KK43" s="157"/>
    </row>
    <row r="44" spans="1:297" x14ac:dyDescent="0.2">
      <c r="A44" s="433"/>
      <c r="B44" s="321"/>
      <c r="C44" s="216" t="s">
        <v>210</v>
      </c>
      <c r="D44" s="216" t="s">
        <v>143</v>
      </c>
      <c r="E44" s="323" t="s">
        <v>176</v>
      </c>
      <c r="F44" s="364" cm="1">
        <f t="array" ref="F44">_xlfn.XLOOKUP($E44, UVintensity!$L$3:$L$14, _xlfn.XLOOKUP(F$5, UVintensity!$M$2:$U$2, UVintensity!$M$3:$U$14))</f>
        <v>0</v>
      </c>
      <c r="G44" s="364" cm="1">
        <f t="array" ref="G44">_xlfn.XLOOKUP($E44, UVintensity!$L$3:$L$14, _xlfn.XLOOKUP(G$5, UVintensity!$M$2:$U$2, UVintensity!$M$3:$U$14))</f>
        <v>0</v>
      </c>
      <c r="H44" s="364" cm="1">
        <f t="array" ref="H44">_xlfn.XLOOKUP($E44, UVintensity!$L$3:$L$14, _xlfn.XLOOKUP(H$5, UVintensity!$M$2:$U$2, UVintensity!$M$3:$U$14))</f>
        <v>0</v>
      </c>
      <c r="I44" s="364" cm="1">
        <f t="array" ref="I44">_xlfn.XLOOKUP($E44, UVintensity!$L$3:$L$14, _xlfn.XLOOKUP(I$5, UVintensity!$M$2:$U$2, UVintensity!$M$3:$U$14))</f>
        <v>0</v>
      </c>
      <c r="J44" s="364" cm="1">
        <f t="array" ref="J44">_xlfn.XLOOKUP($E44, UVintensity!$L$3:$L$14, _xlfn.XLOOKUP(J$5, UVintensity!$M$2:$U$2, UVintensity!$M$3:$U$14))</f>
        <v>0</v>
      </c>
      <c r="K44" s="364" cm="1">
        <f t="array" ref="K44">_xlfn.XLOOKUP($E44, UVintensity!$L$3:$L$14, _xlfn.XLOOKUP(K$5, UVintensity!$M$2:$U$2, UVintensity!$M$3:$U$14))</f>
        <v>0</v>
      </c>
      <c r="L44" s="364" cm="1">
        <f t="array" ref="L44">_xlfn.XLOOKUP($E44, UVintensity!$L$3:$L$14, _xlfn.XLOOKUP(L$5, UVintensity!$M$2:$U$2, UVintensity!$M$3:$U$14))</f>
        <v>0</v>
      </c>
      <c r="M44" s="364" cm="1">
        <f t="array" ref="M44">_xlfn.XLOOKUP($E44, UVintensity!$L$3:$L$14, _xlfn.XLOOKUP(M$5, UVintensity!$M$2:$U$2, UVintensity!$M$3:$U$14))</f>
        <v>0</v>
      </c>
      <c r="N44" s="164"/>
      <c r="O44" s="154" t="s">
        <v>258</v>
      </c>
      <c r="P44" s="322" t="s">
        <v>257</v>
      </c>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7"/>
      <c r="BQ44" s="157"/>
      <c r="BR44" s="157"/>
      <c r="BS44" s="157"/>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c r="DK44" s="157"/>
      <c r="DL44" s="157"/>
      <c r="DM44" s="157"/>
      <c r="DN44" s="157"/>
      <c r="DO44" s="157"/>
      <c r="DP44" s="157"/>
      <c r="DQ44" s="157"/>
      <c r="DR44" s="157"/>
      <c r="DS44" s="157"/>
      <c r="DT44" s="157"/>
      <c r="DU44" s="157"/>
      <c r="DV44" s="157"/>
      <c r="DW44" s="157"/>
      <c r="DX44" s="157"/>
      <c r="DY44" s="157"/>
      <c r="DZ44" s="157"/>
      <c r="EA44" s="157"/>
      <c r="EB44" s="157"/>
      <c r="EC44" s="157"/>
      <c r="ED44" s="157"/>
      <c r="EE44" s="157"/>
      <c r="EF44" s="157"/>
      <c r="EG44" s="157"/>
      <c r="EH44" s="157"/>
      <c r="EI44" s="157"/>
      <c r="EJ44" s="157"/>
      <c r="EK44" s="157"/>
      <c r="EL44" s="157"/>
      <c r="EM44" s="157"/>
      <c r="EN44" s="157"/>
      <c r="EO44" s="157"/>
      <c r="EP44" s="157"/>
      <c r="EQ44" s="157"/>
      <c r="ER44" s="157"/>
      <c r="ES44" s="157"/>
      <c r="ET44" s="157"/>
      <c r="EU44" s="157"/>
      <c r="EV44" s="157"/>
      <c r="EW44" s="157"/>
      <c r="EX44" s="157"/>
      <c r="EY44" s="157"/>
      <c r="EZ44" s="157"/>
      <c r="FA44" s="157"/>
      <c r="FB44" s="157"/>
      <c r="FC44" s="157"/>
      <c r="FD44" s="157"/>
      <c r="FE44" s="157"/>
      <c r="FF44" s="157"/>
      <c r="FG44" s="157"/>
      <c r="FH44" s="157"/>
      <c r="FI44" s="157"/>
      <c r="FJ44" s="157"/>
      <c r="FK44" s="157"/>
      <c r="FL44" s="157"/>
      <c r="FM44" s="157"/>
      <c r="FN44" s="157"/>
      <c r="FO44" s="157"/>
      <c r="FP44" s="157"/>
      <c r="FQ44" s="157"/>
      <c r="FR44" s="157"/>
      <c r="FS44" s="157"/>
      <c r="FT44" s="157"/>
      <c r="FU44" s="157"/>
      <c r="FV44" s="157"/>
      <c r="FW44" s="157"/>
      <c r="FX44" s="157"/>
      <c r="FY44" s="157"/>
      <c r="FZ44" s="157"/>
      <c r="GA44" s="157"/>
      <c r="GB44" s="157"/>
      <c r="GC44" s="157"/>
      <c r="GD44" s="157"/>
      <c r="GE44" s="157"/>
      <c r="GF44" s="157"/>
      <c r="GG44" s="157"/>
      <c r="GH44" s="157"/>
      <c r="GI44" s="157"/>
      <c r="GJ44" s="157"/>
      <c r="GK44" s="157"/>
      <c r="GL44" s="157"/>
      <c r="GM44" s="157"/>
      <c r="GN44" s="157"/>
      <c r="GO44" s="157"/>
      <c r="GP44" s="157"/>
      <c r="GQ44" s="157"/>
      <c r="GR44" s="157"/>
      <c r="GS44" s="157"/>
      <c r="GT44" s="157"/>
      <c r="GU44" s="157"/>
      <c r="GV44" s="157"/>
      <c r="GW44" s="157"/>
      <c r="GX44" s="157"/>
      <c r="GY44" s="157"/>
      <c r="GZ44" s="157"/>
      <c r="HA44" s="157"/>
      <c r="HB44" s="157"/>
      <c r="HC44" s="157"/>
      <c r="HD44" s="157"/>
      <c r="HE44" s="157"/>
      <c r="HF44" s="157"/>
      <c r="HG44" s="157"/>
      <c r="HH44" s="157"/>
      <c r="HI44" s="157"/>
      <c r="HJ44" s="157"/>
      <c r="HK44" s="157"/>
      <c r="HL44" s="157"/>
      <c r="HM44" s="157"/>
      <c r="HN44" s="157"/>
      <c r="HO44" s="157"/>
      <c r="HP44" s="157"/>
      <c r="HQ44" s="157"/>
      <c r="HR44" s="157"/>
      <c r="HS44" s="157"/>
      <c r="HT44" s="157"/>
      <c r="HU44" s="157"/>
      <c r="HV44" s="157"/>
      <c r="HW44" s="157"/>
      <c r="HX44" s="157"/>
      <c r="HY44" s="157"/>
      <c r="HZ44" s="157"/>
      <c r="IA44" s="157"/>
      <c r="IB44" s="157"/>
      <c r="IC44" s="157"/>
      <c r="ID44" s="157"/>
      <c r="IE44" s="157"/>
      <c r="IF44" s="157"/>
      <c r="IG44" s="157"/>
      <c r="IH44" s="157"/>
      <c r="II44" s="157"/>
      <c r="IJ44" s="157"/>
      <c r="IK44" s="157"/>
      <c r="IL44" s="157"/>
      <c r="IM44" s="157"/>
      <c r="IN44" s="157"/>
      <c r="IO44" s="157"/>
      <c r="IP44" s="157"/>
      <c r="IQ44" s="157"/>
      <c r="IR44" s="157"/>
      <c r="IS44" s="157"/>
      <c r="IT44" s="157"/>
      <c r="IU44" s="157"/>
      <c r="IV44" s="157"/>
      <c r="IW44" s="157"/>
      <c r="IX44" s="157"/>
      <c r="IY44" s="157"/>
      <c r="IZ44" s="157"/>
      <c r="JA44" s="157"/>
      <c r="JB44" s="157"/>
      <c r="JC44" s="157"/>
      <c r="JD44" s="157"/>
      <c r="JE44" s="157"/>
      <c r="JF44" s="157"/>
      <c r="JG44" s="157"/>
      <c r="JH44" s="157"/>
      <c r="JI44" s="157"/>
      <c r="JJ44" s="157"/>
      <c r="JK44" s="157"/>
      <c r="JL44" s="157"/>
      <c r="JM44" s="157"/>
      <c r="JN44" s="157"/>
      <c r="JO44" s="157"/>
      <c r="JP44" s="157"/>
      <c r="JQ44" s="157"/>
      <c r="JR44" s="157"/>
      <c r="JS44" s="157"/>
      <c r="JT44" s="157"/>
      <c r="JU44" s="157"/>
      <c r="JV44" s="157"/>
      <c r="JW44" s="157"/>
      <c r="JX44" s="157"/>
      <c r="JY44" s="157"/>
      <c r="JZ44" s="157"/>
      <c r="KA44" s="157"/>
      <c r="KB44" s="157"/>
      <c r="KC44" s="157"/>
      <c r="KD44" s="157"/>
      <c r="KE44" s="157"/>
      <c r="KF44" s="157"/>
      <c r="KG44" s="157"/>
      <c r="KH44" s="157"/>
      <c r="KI44" s="157"/>
      <c r="KJ44" s="157"/>
      <c r="KK44" s="157"/>
    </row>
    <row r="45" spans="1:297" x14ac:dyDescent="0.2">
      <c r="A45" s="433"/>
      <c r="B45" s="324"/>
      <c r="C45" s="325" t="s">
        <v>210</v>
      </c>
      <c r="D45" s="325" t="s">
        <v>143</v>
      </c>
      <c r="E45" s="326" t="s">
        <v>158</v>
      </c>
      <c r="F45" s="365" cm="1">
        <f t="array" ref="F45">_xlfn.XLOOKUP($E45, UVintensity!$L$3:$L$14, _xlfn.XLOOKUP(F$5, UVintensity!$M$2:$U$2, UVintensity!$M$3:$U$14))</f>
        <v>3.467305514221183</v>
      </c>
      <c r="G45" s="365" cm="1">
        <f t="array" ref="G45">_xlfn.XLOOKUP($E45, UVintensity!$L$3:$L$14, _xlfn.XLOOKUP(G$5, UVintensity!$M$2:$U$2, UVintensity!$M$3:$U$14))</f>
        <v>5.0928751817363507</v>
      </c>
      <c r="H45" s="365" cm="1">
        <f t="array" ref="H45">_xlfn.XLOOKUP($E45, UVintensity!$L$3:$L$14, _xlfn.XLOOKUP(H$5, UVintensity!$M$2:$U$2, UVintensity!$M$3:$U$14))</f>
        <v>2.261098234336258</v>
      </c>
      <c r="I45" s="365" cm="1">
        <f t="array" ref="I45">_xlfn.XLOOKUP($E45, UVintensity!$L$3:$L$14, _xlfn.XLOOKUP(I$5, UVintensity!$M$2:$U$2, UVintensity!$M$3:$U$14))</f>
        <v>5.974833192835006</v>
      </c>
      <c r="J45" s="365" cm="1">
        <f t="array" ref="J45">_xlfn.XLOOKUP($E45, UVintensity!$L$3:$L$14, _xlfn.XLOOKUP(J$5, UVintensity!$M$2:$U$2, UVintensity!$M$3:$U$14))</f>
        <v>2.4340311776889347</v>
      </c>
      <c r="K45" s="365" cm="1">
        <f t="array" ref="K45">_xlfn.XLOOKUP($E45, UVintensity!$L$3:$L$14, _xlfn.XLOOKUP(K$5, UVintensity!$M$2:$U$2, UVintensity!$M$3:$U$14))</f>
        <v>5.9013366919101182</v>
      </c>
      <c r="L45" s="365" cm="1">
        <f t="array" ref="L45">_xlfn.XLOOKUP($E45, UVintensity!$L$3:$L$14, _xlfn.XLOOKUP(L$5, UVintensity!$M$2:$U$2, UVintensity!$M$3:$U$14))</f>
        <v>1.5736897845093647</v>
      </c>
      <c r="M45" s="365" cm="1">
        <f t="array" ref="M45">_xlfn.XLOOKUP($E45, UVintensity!$L$3:$L$14, _xlfn.XLOOKUP(M$5, UVintensity!$M$2:$U$2, UVintensity!$M$3:$U$14))</f>
        <v>5.1231384468230701</v>
      </c>
      <c r="N45" s="327"/>
      <c r="O45" s="328" t="s">
        <v>258</v>
      </c>
      <c r="P45" s="329" t="s">
        <v>257</v>
      </c>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c r="DH45" s="157"/>
      <c r="DI45" s="157"/>
      <c r="DJ45" s="157"/>
      <c r="DK45" s="157"/>
      <c r="DL45" s="157"/>
      <c r="DM45" s="157"/>
      <c r="DN45" s="157"/>
      <c r="DO45" s="157"/>
      <c r="DP45" s="157"/>
      <c r="DQ45" s="157"/>
      <c r="DR45" s="157"/>
      <c r="DS45" s="157"/>
      <c r="DT45" s="157"/>
      <c r="DU45" s="157"/>
      <c r="DV45" s="157"/>
      <c r="DW45" s="157"/>
      <c r="DX45" s="157"/>
      <c r="DY45" s="157"/>
      <c r="DZ45" s="157"/>
      <c r="EA45" s="157"/>
      <c r="EB45" s="157"/>
      <c r="EC45" s="157"/>
      <c r="ED45" s="157"/>
      <c r="EE45" s="157"/>
      <c r="EF45" s="157"/>
      <c r="EG45" s="157"/>
      <c r="EH45" s="157"/>
      <c r="EI45" s="157"/>
      <c r="EJ45" s="157"/>
      <c r="EK45" s="157"/>
      <c r="EL45" s="157"/>
      <c r="EM45" s="157"/>
      <c r="EN45" s="157"/>
      <c r="EO45" s="157"/>
      <c r="EP45" s="157"/>
      <c r="EQ45" s="157"/>
      <c r="ER45" s="157"/>
      <c r="ES45" s="157"/>
      <c r="ET45" s="157"/>
      <c r="EU45" s="157"/>
      <c r="EV45" s="157"/>
      <c r="EW45" s="157"/>
      <c r="EX45" s="157"/>
      <c r="EY45" s="157"/>
      <c r="EZ45" s="157"/>
      <c r="FA45" s="157"/>
      <c r="FB45" s="157"/>
      <c r="FC45" s="157"/>
      <c r="FD45" s="157"/>
      <c r="FE45" s="157"/>
      <c r="FF45" s="157"/>
      <c r="FG45" s="157"/>
      <c r="FH45" s="157"/>
      <c r="FI45" s="157"/>
      <c r="FJ45" s="157"/>
      <c r="FK45" s="157"/>
      <c r="FL45" s="157"/>
      <c r="FM45" s="157"/>
      <c r="FN45" s="157"/>
      <c r="FO45" s="157"/>
      <c r="FP45" s="157"/>
      <c r="FQ45" s="157"/>
      <c r="FR45" s="157"/>
      <c r="FS45" s="157"/>
      <c r="FT45" s="157"/>
      <c r="FU45" s="157"/>
      <c r="FV45" s="157"/>
      <c r="FW45" s="157"/>
      <c r="FX45" s="157"/>
      <c r="FY45" s="157"/>
      <c r="FZ45" s="157"/>
      <c r="GA45" s="157"/>
      <c r="GB45" s="157"/>
      <c r="GC45" s="157"/>
      <c r="GD45" s="157"/>
      <c r="GE45" s="157"/>
      <c r="GF45" s="157"/>
      <c r="GG45" s="157"/>
      <c r="GH45" s="157"/>
      <c r="GI45" s="157"/>
      <c r="GJ45" s="157"/>
      <c r="GK45" s="157"/>
      <c r="GL45" s="157"/>
      <c r="GM45" s="157"/>
      <c r="GN45" s="157"/>
      <c r="GO45" s="157"/>
      <c r="GP45" s="157"/>
      <c r="GQ45" s="157"/>
      <c r="GR45" s="157"/>
      <c r="GS45" s="157"/>
      <c r="GT45" s="157"/>
      <c r="GU45" s="157"/>
      <c r="GV45" s="157"/>
      <c r="GW45" s="157"/>
      <c r="GX45" s="157"/>
      <c r="GY45" s="157"/>
      <c r="GZ45" s="157"/>
      <c r="HA45" s="157"/>
      <c r="HB45" s="157"/>
      <c r="HC45" s="157"/>
      <c r="HD45" s="157"/>
      <c r="HE45" s="157"/>
      <c r="HF45" s="157"/>
      <c r="HG45" s="157"/>
      <c r="HH45" s="157"/>
      <c r="HI45" s="157"/>
      <c r="HJ45" s="157"/>
      <c r="HK45" s="157"/>
      <c r="HL45" s="157"/>
      <c r="HM45" s="157"/>
      <c r="HN45" s="157"/>
      <c r="HO45" s="157"/>
      <c r="HP45" s="157"/>
      <c r="HQ45" s="157"/>
      <c r="HR45" s="157"/>
      <c r="HS45" s="157"/>
      <c r="HT45" s="157"/>
      <c r="HU45" s="157"/>
      <c r="HV45" s="157"/>
      <c r="HW45" s="157"/>
      <c r="HX45" s="157"/>
      <c r="HY45" s="157"/>
      <c r="HZ45" s="157"/>
      <c r="IA45" s="157"/>
      <c r="IB45" s="157"/>
      <c r="IC45" s="157"/>
      <c r="ID45" s="157"/>
      <c r="IE45" s="157"/>
      <c r="IF45" s="157"/>
      <c r="IG45" s="157"/>
      <c r="IH45" s="157"/>
      <c r="II45" s="157"/>
      <c r="IJ45" s="157"/>
      <c r="IK45" s="157"/>
      <c r="IL45" s="157"/>
      <c r="IM45" s="157"/>
      <c r="IN45" s="157"/>
      <c r="IO45" s="157"/>
      <c r="IP45" s="157"/>
      <c r="IQ45" s="157"/>
      <c r="IR45" s="157"/>
      <c r="IS45" s="157"/>
      <c r="IT45" s="157"/>
      <c r="IU45" s="157"/>
      <c r="IV45" s="157"/>
      <c r="IW45" s="157"/>
      <c r="IX45" s="157"/>
      <c r="IY45" s="157"/>
      <c r="IZ45" s="157"/>
      <c r="JA45" s="157"/>
      <c r="JB45" s="157"/>
      <c r="JC45" s="157"/>
      <c r="JD45" s="157"/>
      <c r="JE45" s="157"/>
      <c r="JF45" s="157"/>
      <c r="JG45" s="157"/>
      <c r="JH45" s="157"/>
      <c r="JI45" s="157"/>
      <c r="JJ45" s="157"/>
      <c r="JK45" s="157"/>
      <c r="JL45" s="157"/>
      <c r="JM45" s="157"/>
      <c r="JN45" s="157"/>
      <c r="JO45" s="157"/>
      <c r="JP45" s="157"/>
      <c r="JQ45" s="157"/>
      <c r="JR45" s="157"/>
      <c r="JS45" s="157"/>
      <c r="JT45" s="157"/>
      <c r="JU45" s="157"/>
      <c r="JV45" s="157"/>
      <c r="JW45" s="157"/>
      <c r="JX45" s="157"/>
      <c r="JY45" s="157"/>
      <c r="JZ45" s="157"/>
      <c r="KA45" s="157"/>
      <c r="KB45" s="157"/>
      <c r="KC45" s="157"/>
      <c r="KD45" s="157"/>
      <c r="KE45" s="157"/>
      <c r="KF45" s="157"/>
      <c r="KG45" s="157"/>
      <c r="KH45" s="157"/>
      <c r="KI45" s="157"/>
      <c r="KJ45" s="157"/>
      <c r="KK45" s="157"/>
    </row>
    <row r="46" spans="1:297" x14ac:dyDescent="0.2">
      <c r="A46" s="433"/>
      <c r="B46" s="2"/>
      <c r="C46" s="126" t="s">
        <v>211</v>
      </c>
      <c r="D46" s="126" t="s">
        <v>143</v>
      </c>
      <c r="E46" s="126" t="s">
        <v>151</v>
      </c>
      <c r="F46" s="366">
        <v>121000000</v>
      </c>
      <c r="G46" s="367">
        <v>121000000</v>
      </c>
      <c r="H46" s="367">
        <v>121000000</v>
      </c>
      <c r="I46" s="367">
        <v>121000000</v>
      </c>
      <c r="J46" s="367">
        <v>121000000</v>
      </c>
      <c r="K46" s="367">
        <v>121000000</v>
      </c>
      <c r="L46" s="367">
        <v>121000000</v>
      </c>
      <c r="M46" s="367">
        <v>121000000</v>
      </c>
      <c r="N46" s="315"/>
      <c r="O46" s="316" t="s">
        <v>260</v>
      </c>
      <c r="P46" s="330" t="s">
        <v>257</v>
      </c>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57"/>
      <c r="DT46" s="157"/>
      <c r="DU46" s="157"/>
      <c r="DV46" s="157"/>
      <c r="DW46" s="157"/>
      <c r="DX46" s="157"/>
      <c r="DY46" s="157"/>
      <c r="DZ46" s="157"/>
      <c r="EA46" s="157"/>
      <c r="EB46" s="157"/>
      <c r="EC46" s="157"/>
      <c r="ED46" s="157"/>
      <c r="EE46" s="157"/>
      <c r="EF46" s="157"/>
      <c r="EG46" s="157"/>
      <c r="EH46" s="157"/>
      <c r="EI46" s="157"/>
      <c r="EJ46" s="157"/>
      <c r="EK46" s="157"/>
      <c r="EL46" s="157"/>
      <c r="EM46" s="157"/>
      <c r="EN46" s="157"/>
      <c r="EO46" s="157"/>
      <c r="EP46" s="157"/>
      <c r="EQ46" s="157"/>
      <c r="ER46" s="157"/>
      <c r="ES46" s="157"/>
      <c r="ET46" s="157"/>
      <c r="EU46" s="157"/>
      <c r="EV46" s="157"/>
      <c r="EW46" s="157"/>
      <c r="EX46" s="157"/>
      <c r="EY46" s="157"/>
      <c r="EZ46" s="157"/>
      <c r="FA46" s="157"/>
      <c r="FB46" s="157"/>
      <c r="FC46" s="157"/>
      <c r="FD46" s="157"/>
      <c r="FE46" s="157"/>
      <c r="FF46" s="157"/>
      <c r="FG46" s="157"/>
      <c r="FH46" s="157"/>
      <c r="FI46" s="157"/>
      <c r="FJ46" s="157"/>
      <c r="FK46" s="157"/>
      <c r="FL46" s="157"/>
      <c r="FM46" s="157"/>
      <c r="FN46" s="157"/>
      <c r="FO46" s="157"/>
      <c r="FP46" s="157"/>
      <c r="FQ46" s="157"/>
      <c r="FR46" s="157"/>
      <c r="FS46" s="157"/>
      <c r="FT46" s="157"/>
      <c r="FU46" s="157"/>
      <c r="FV46" s="157"/>
      <c r="FW46" s="157"/>
      <c r="FX46" s="157"/>
      <c r="FY46" s="157"/>
      <c r="FZ46" s="157"/>
      <c r="GA46" s="157"/>
      <c r="GB46" s="157"/>
      <c r="GC46" s="157"/>
      <c r="GD46" s="157"/>
      <c r="GE46" s="157"/>
      <c r="GF46" s="157"/>
      <c r="GG46" s="157"/>
      <c r="GH46" s="157"/>
      <c r="GI46" s="157"/>
      <c r="GJ46" s="157"/>
      <c r="GK46" s="157"/>
      <c r="GL46" s="157"/>
      <c r="GM46" s="157"/>
      <c r="GN46" s="157"/>
      <c r="GO46" s="157"/>
      <c r="GP46" s="157"/>
      <c r="GQ46" s="157"/>
      <c r="GR46" s="157"/>
      <c r="GS46" s="157"/>
      <c r="GT46" s="157"/>
      <c r="GU46" s="157"/>
      <c r="GV46" s="157"/>
      <c r="GW46" s="157"/>
      <c r="GX46" s="157"/>
      <c r="GY46" s="157"/>
      <c r="GZ46" s="157"/>
      <c r="HA46" s="157"/>
      <c r="HB46" s="157"/>
      <c r="HC46" s="157"/>
      <c r="HD46" s="157"/>
      <c r="HE46" s="157"/>
      <c r="HF46" s="157"/>
      <c r="HG46" s="157"/>
      <c r="HH46" s="157"/>
      <c r="HI46" s="157"/>
      <c r="HJ46" s="157"/>
      <c r="HK46" s="157"/>
      <c r="HL46" s="157"/>
      <c r="HM46" s="157"/>
      <c r="HN46" s="157"/>
      <c r="HO46" s="157"/>
      <c r="HP46" s="157"/>
      <c r="HQ46" s="157"/>
      <c r="HR46" s="157"/>
      <c r="HS46" s="157"/>
      <c r="HT46" s="157"/>
      <c r="HU46" s="157"/>
      <c r="HV46" s="157"/>
      <c r="HW46" s="157"/>
      <c r="HX46" s="157"/>
      <c r="HY46" s="157"/>
      <c r="HZ46" s="157"/>
      <c r="IA46" s="157"/>
      <c r="IB46" s="157"/>
      <c r="IC46" s="157"/>
      <c r="ID46" s="157"/>
      <c r="IE46" s="157"/>
      <c r="IF46" s="157"/>
      <c r="IG46" s="157"/>
      <c r="IH46" s="157"/>
      <c r="II46" s="157"/>
      <c r="IJ46" s="157"/>
      <c r="IK46" s="157"/>
      <c r="IL46" s="157"/>
      <c r="IM46" s="157"/>
      <c r="IN46" s="157"/>
      <c r="IO46" s="157"/>
      <c r="IP46" s="157"/>
      <c r="IQ46" s="157"/>
      <c r="IR46" s="157"/>
      <c r="IS46" s="157"/>
      <c r="IT46" s="157"/>
      <c r="IU46" s="157"/>
      <c r="IV46" s="157"/>
      <c r="IW46" s="157"/>
      <c r="IX46" s="157"/>
      <c r="IY46" s="157"/>
      <c r="IZ46" s="157"/>
      <c r="JA46" s="157"/>
      <c r="JB46" s="157"/>
      <c r="JC46" s="157"/>
      <c r="JD46" s="157"/>
      <c r="JE46" s="157"/>
      <c r="JF46" s="157"/>
      <c r="JG46" s="157"/>
      <c r="JH46" s="157"/>
      <c r="JI46" s="157"/>
      <c r="JJ46" s="157"/>
      <c r="JK46" s="157"/>
      <c r="JL46" s="157"/>
      <c r="JM46" s="157"/>
      <c r="JN46" s="157"/>
      <c r="JO46" s="157"/>
      <c r="JP46" s="157"/>
      <c r="JQ46" s="157"/>
      <c r="JR46" s="157"/>
      <c r="JS46" s="157"/>
      <c r="JT46" s="157"/>
      <c r="JU46" s="157"/>
      <c r="JV46" s="157"/>
      <c r="JW46" s="157"/>
      <c r="JX46" s="157"/>
      <c r="JY46" s="157"/>
      <c r="JZ46" s="157"/>
      <c r="KA46" s="157"/>
      <c r="KB46" s="157"/>
      <c r="KC46" s="157"/>
      <c r="KD46" s="157"/>
      <c r="KE46" s="157"/>
      <c r="KF46" s="157"/>
      <c r="KG46" s="157"/>
      <c r="KH46" s="157"/>
      <c r="KI46" s="157"/>
      <c r="KJ46" s="157"/>
      <c r="KK46" s="157"/>
    </row>
    <row r="47" spans="1:297" x14ac:dyDescent="0.2">
      <c r="A47" s="433"/>
      <c r="B47" s="2"/>
      <c r="C47" s="126" t="s">
        <v>211</v>
      </c>
      <c r="D47" s="126" t="s">
        <v>143</v>
      </c>
      <c r="E47" s="126" t="s">
        <v>130</v>
      </c>
      <c r="F47" s="368">
        <v>0.5</v>
      </c>
      <c r="G47" s="364">
        <v>0.5</v>
      </c>
      <c r="H47" s="364">
        <v>0.5</v>
      </c>
      <c r="I47" s="364">
        <v>0.5</v>
      </c>
      <c r="J47" s="364">
        <v>0.5</v>
      </c>
      <c r="K47" s="364">
        <v>0.5</v>
      </c>
      <c r="L47" s="364">
        <v>0.5</v>
      </c>
      <c r="M47" s="364">
        <v>0.5</v>
      </c>
      <c r="N47" s="164"/>
      <c r="O47" s="154" t="s">
        <v>260</v>
      </c>
      <c r="P47" s="322" t="s">
        <v>257</v>
      </c>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7"/>
      <c r="CX47" s="157"/>
      <c r="CY47" s="157"/>
      <c r="CZ47" s="157"/>
      <c r="DA47" s="157"/>
      <c r="DB47" s="157"/>
      <c r="DC47" s="157"/>
      <c r="DD47" s="157"/>
      <c r="DE47" s="157"/>
      <c r="DF47" s="157"/>
      <c r="DG47" s="157"/>
      <c r="DH47" s="157"/>
      <c r="DI47" s="157"/>
      <c r="DJ47" s="157"/>
      <c r="DK47" s="157"/>
      <c r="DL47" s="157"/>
      <c r="DM47" s="157"/>
      <c r="DN47" s="157"/>
      <c r="DO47" s="157"/>
      <c r="DP47" s="157"/>
      <c r="DQ47" s="157"/>
      <c r="DR47" s="157"/>
      <c r="DS47" s="157"/>
      <c r="DT47" s="157"/>
      <c r="DU47" s="157"/>
      <c r="DV47" s="157"/>
      <c r="DW47" s="157"/>
      <c r="DX47" s="157"/>
      <c r="DY47" s="157"/>
      <c r="DZ47" s="157"/>
      <c r="EA47" s="157"/>
      <c r="EB47" s="157"/>
      <c r="EC47" s="157"/>
      <c r="ED47" s="157"/>
      <c r="EE47" s="157"/>
      <c r="EF47" s="157"/>
      <c r="EG47" s="157"/>
      <c r="EH47" s="157"/>
      <c r="EI47" s="157"/>
      <c r="EJ47" s="157"/>
      <c r="EK47" s="157"/>
      <c r="EL47" s="157"/>
      <c r="EM47" s="157"/>
      <c r="EN47" s="157"/>
      <c r="EO47" s="157"/>
      <c r="EP47" s="157"/>
      <c r="EQ47" s="157"/>
      <c r="ER47" s="157"/>
      <c r="ES47" s="157"/>
      <c r="ET47" s="157"/>
      <c r="EU47" s="157"/>
      <c r="EV47" s="157"/>
      <c r="EW47" s="157"/>
      <c r="EX47" s="157"/>
      <c r="EY47" s="157"/>
      <c r="EZ47" s="157"/>
      <c r="FA47" s="157"/>
      <c r="FB47" s="157"/>
      <c r="FC47" s="157"/>
      <c r="FD47" s="157"/>
      <c r="FE47" s="157"/>
      <c r="FF47" s="157"/>
      <c r="FG47" s="157"/>
      <c r="FH47" s="157"/>
      <c r="FI47" s="157"/>
      <c r="FJ47" s="157"/>
      <c r="FK47" s="157"/>
      <c r="FL47" s="157"/>
      <c r="FM47" s="157"/>
      <c r="FN47" s="157"/>
      <c r="FO47" s="157"/>
      <c r="FP47" s="157"/>
      <c r="FQ47" s="157"/>
      <c r="FR47" s="157"/>
      <c r="FS47" s="157"/>
      <c r="FT47" s="157"/>
      <c r="FU47" s="157"/>
      <c r="FV47" s="157"/>
      <c r="FW47" s="157"/>
      <c r="FX47" s="157"/>
      <c r="FY47" s="157"/>
      <c r="FZ47" s="157"/>
      <c r="GA47" s="157"/>
      <c r="GB47" s="157"/>
      <c r="GC47" s="157"/>
      <c r="GD47" s="157"/>
      <c r="GE47" s="157"/>
      <c r="GF47" s="157"/>
      <c r="GG47" s="157"/>
      <c r="GH47" s="157"/>
      <c r="GI47" s="157"/>
      <c r="GJ47" s="157"/>
      <c r="GK47" s="157"/>
      <c r="GL47" s="157"/>
      <c r="GM47" s="157"/>
      <c r="GN47" s="157"/>
      <c r="GO47" s="157"/>
      <c r="GP47" s="157"/>
      <c r="GQ47" s="157"/>
      <c r="GR47" s="157"/>
      <c r="GS47" s="157"/>
      <c r="GT47" s="157"/>
      <c r="GU47" s="157"/>
      <c r="GV47" s="157"/>
      <c r="GW47" s="157"/>
      <c r="GX47" s="157"/>
      <c r="GY47" s="157"/>
      <c r="GZ47" s="157"/>
      <c r="HA47" s="157"/>
      <c r="HB47" s="157"/>
      <c r="HC47" s="157"/>
      <c r="HD47" s="157"/>
      <c r="HE47" s="157"/>
      <c r="HF47" s="157"/>
      <c r="HG47" s="157"/>
      <c r="HH47" s="157"/>
      <c r="HI47" s="157"/>
      <c r="HJ47" s="157"/>
      <c r="HK47" s="157"/>
      <c r="HL47" s="157"/>
      <c r="HM47" s="157"/>
      <c r="HN47" s="157"/>
      <c r="HO47" s="157"/>
      <c r="HP47" s="157"/>
      <c r="HQ47" s="157"/>
      <c r="HR47" s="157"/>
      <c r="HS47" s="157"/>
      <c r="HT47" s="157"/>
      <c r="HU47" s="157"/>
      <c r="HV47" s="157"/>
      <c r="HW47" s="157"/>
      <c r="HX47" s="157"/>
      <c r="HY47" s="157"/>
      <c r="HZ47" s="157"/>
      <c r="IA47" s="157"/>
      <c r="IB47" s="157"/>
      <c r="IC47" s="157"/>
      <c r="ID47" s="157"/>
      <c r="IE47" s="157"/>
      <c r="IF47" s="157"/>
      <c r="IG47" s="157"/>
      <c r="IH47" s="157"/>
      <c r="II47" s="157"/>
      <c r="IJ47" s="157"/>
      <c r="IK47" s="157"/>
      <c r="IL47" s="157"/>
      <c r="IM47" s="157"/>
      <c r="IN47" s="157"/>
      <c r="IO47" s="157"/>
      <c r="IP47" s="157"/>
      <c r="IQ47" s="157"/>
      <c r="IR47" s="157"/>
      <c r="IS47" s="157"/>
      <c r="IT47" s="157"/>
      <c r="IU47" s="157"/>
      <c r="IV47" s="157"/>
      <c r="IW47" s="157"/>
      <c r="IX47" s="157"/>
      <c r="IY47" s="157"/>
      <c r="IZ47" s="157"/>
      <c r="JA47" s="157"/>
      <c r="JB47" s="157"/>
      <c r="JC47" s="157"/>
      <c r="JD47" s="157"/>
      <c r="JE47" s="157"/>
      <c r="JF47" s="157"/>
      <c r="JG47" s="157"/>
      <c r="JH47" s="157"/>
      <c r="JI47" s="157"/>
      <c r="JJ47" s="157"/>
      <c r="JK47" s="157"/>
      <c r="JL47" s="157"/>
      <c r="JM47" s="157"/>
      <c r="JN47" s="157"/>
      <c r="JO47" s="157"/>
      <c r="JP47" s="157"/>
      <c r="JQ47" s="157"/>
      <c r="JR47" s="157"/>
      <c r="JS47" s="157"/>
      <c r="JT47" s="157"/>
      <c r="JU47" s="157"/>
      <c r="JV47" s="157"/>
      <c r="JW47" s="157"/>
      <c r="JX47" s="157"/>
      <c r="JY47" s="157"/>
      <c r="JZ47" s="157"/>
      <c r="KA47" s="157"/>
      <c r="KB47" s="157"/>
      <c r="KC47" s="157"/>
      <c r="KD47" s="157"/>
      <c r="KE47" s="157"/>
      <c r="KF47" s="157"/>
      <c r="KG47" s="157"/>
      <c r="KH47" s="157"/>
      <c r="KI47" s="157"/>
      <c r="KJ47" s="157"/>
      <c r="KK47" s="157"/>
    </row>
    <row r="48" spans="1:297" x14ac:dyDescent="0.2">
      <c r="A48" s="433"/>
      <c r="B48" s="2"/>
      <c r="C48" s="126" t="s">
        <v>211</v>
      </c>
      <c r="D48" s="126" t="s">
        <v>143</v>
      </c>
      <c r="E48" s="126" t="s">
        <v>213</v>
      </c>
      <c r="F48" s="368">
        <v>0.5</v>
      </c>
      <c r="G48" s="364">
        <v>0.5</v>
      </c>
      <c r="H48" s="364">
        <v>0.5</v>
      </c>
      <c r="I48" s="364">
        <v>0.5</v>
      </c>
      <c r="J48" s="364">
        <v>0.5</v>
      </c>
      <c r="K48" s="364">
        <v>0.5</v>
      </c>
      <c r="L48" s="364">
        <v>0.5</v>
      </c>
      <c r="M48" s="364">
        <v>0.5</v>
      </c>
      <c r="N48" s="164"/>
      <c r="O48" s="154" t="s">
        <v>260</v>
      </c>
      <c r="P48" s="322" t="s">
        <v>257</v>
      </c>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7"/>
      <c r="BQ48" s="157"/>
      <c r="BR48" s="157"/>
      <c r="BS48" s="157"/>
      <c r="BT48" s="157"/>
      <c r="BU48" s="157"/>
      <c r="BV48" s="157"/>
      <c r="BW48" s="157"/>
      <c r="BX48" s="157"/>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7"/>
      <c r="CX48" s="157"/>
      <c r="CY48" s="157"/>
      <c r="CZ48" s="157"/>
      <c r="DA48" s="157"/>
      <c r="DB48" s="157"/>
      <c r="DC48" s="157"/>
      <c r="DD48" s="157"/>
      <c r="DE48" s="157"/>
      <c r="DF48" s="157"/>
      <c r="DG48" s="157"/>
      <c r="DH48" s="157"/>
      <c r="DI48" s="157"/>
      <c r="DJ48" s="157"/>
      <c r="DK48" s="157"/>
      <c r="DL48" s="157"/>
      <c r="DM48" s="157"/>
      <c r="DN48" s="157"/>
      <c r="DO48" s="157"/>
      <c r="DP48" s="157"/>
      <c r="DQ48" s="157"/>
      <c r="DR48" s="157"/>
      <c r="DS48" s="157"/>
      <c r="DT48" s="157"/>
      <c r="DU48" s="157"/>
      <c r="DV48" s="157"/>
      <c r="DW48" s="157"/>
      <c r="DX48" s="157"/>
      <c r="DY48" s="157"/>
      <c r="DZ48" s="157"/>
      <c r="EA48" s="157"/>
      <c r="EB48" s="157"/>
      <c r="EC48" s="157"/>
      <c r="ED48" s="157"/>
      <c r="EE48" s="157"/>
      <c r="EF48" s="157"/>
      <c r="EG48" s="157"/>
      <c r="EH48" s="157"/>
      <c r="EI48" s="157"/>
      <c r="EJ48" s="157"/>
      <c r="EK48" s="157"/>
      <c r="EL48" s="157"/>
      <c r="EM48" s="157"/>
      <c r="EN48" s="157"/>
      <c r="EO48" s="157"/>
      <c r="EP48" s="157"/>
      <c r="EQ48" s="157"/>
      <c r="ER48" s="157"/>
      <c r="ES48" s="157"/>
      <c r="ET48" s="157"/>
      <c r="EU48" s="157"/>
      <c r="EV48" s="157"/>
      <c r="EW48" s="157"/>
      <c r="EX48" s="157"/>
      <c r="EY48" s="157"/>
      <c r="EZ48" s="157"/>
      <c r="FA48" s="157"/>
      <c r="FB48" s="157"/>
      <c r="FC48" s="157"/>
      <c r="FD48" s="157"/>
      <c r="FE48" s="157"/>
      <c r="FF48" s="157"/>
      <c r="FG48" s="157"/>
      <c r="FH48" s="157"/>
      <c r="FI48" s="157"/>
      <c r="FJ48" s="157"/>
      <c r="FK48" s="157"/>
      <c r="FL48" s="157"/>
      <c r="FM48" s="157"/>
      <c r="FN48" s="157"/>
      <c r="FO48" s="157"/>
      <c r="FP48" s="157"/>
      <c r="FQ48" s="157"/>
      <c r="FR48" s="157"/>
      <c r="FS48" s="157"/>
      <c r="FT48" s="157"/>
      <c r="FU48" s="157"/>
      <c r="FV48" s="157"/>
      <c r="FW48" s="157"/>
      <c r="FX48" s="157"/>
      <c r="FY48" s="157"/>
      <c r="FZ48" s="157"/>
      <c r="GA48" s="157"/>
      <c r="GB48" s="157"/>
      <c r="GC48" s="157"/>
      <c r="GD48" s="157"/>
      <c r="GE48" s="157"/>
      <c r="GF48" s="157"/>
      <c r="GG48" s="157"/>
      <c r="GH48" s="157"/>
      <c r="GI48" s="157"/>
      <c r="GJ48" s="157"/>
      <c r="GK48" s="157"/>
      <c r="GL48" s="157"/>
      <c r="GM48" s="157"/>
      <c r="GN48" s="157"/>
      <c r="GO48" s="157"/>
      <c r="GP48" s="157"/>
      <c r="GQ48" s="157"/>
      <c r="GR48" s="157"/>
      <c r="GS48" s="157"/>
      <c r="GT48" s="157"/>
      <c r="GU48" s="157"/>
      <c r="GV48" s="157"/>
      <c r="GW48" s="157"/>
      <c r="GX48" s="157"/>
      <c r="GY48" s="157"/>
      <c r="GZ48" s="157"/>
      <c r="HA48" s="157"/>
      <c r="HB48" s="157"/>
      <c r="HC48" s="157"/>
      <c r="HD48" s="157"/>
      <c r="HE48" s="157"/>
      <c r="HF48" s="157"/>
      <c r="HG48" s="157"/>
      <c r="HH48" s="157"/>
      <c r="HI48" s="157"/>
      <c r="HJ48" s="157"/>
      <c r="HK48" s="157"/>
      <c r="HL48" s="157"/>
      <c r="HM48" s="157"/>
      <c r="HN48" s="157"/>
      <c r="HO48" s="157"/>
      <c r="HP48" s="157"/>
      <c r="HQ48" s="157"/>
      <c r="HR48" s="157"/>
      <c r="HS48" s="157"/>
      <c r="HT48" s="157"/>
      <c r="HU48" s="157"/>
      <c r="HV48" s="157"/>
      <c r="HW48" s="157"/>
      <c r="HX48" s="157"/>
      <c r="HY48" s="157"/>
      <c r="HZ48" s="157"/>
      <c r="IA48" s="157"/>
      <c r="IB48" s="157"/>
      <c r="IC48" s="157"/>
      <c r="ID48" s="157"/>
      <c r="IE48" s="157"/>
      <c r="IF48" s="157"/>
      <c r="IG48" s="157"/>
      <c r="IH48" s="157"/>
      <c r="II48" s="157"/>
      <c r="IJ48" s="157"/>
      <c r="IK48" s="157"/>
      <c r="IL48" s="157"/>
      <c r="IM48" s="157"/>
      <c r="IN48" s="157"/>
      <c r="IO48" s="157"/>
      <c r="IP48" s="157"/>
      <c r="IQ48" s="157"/>
      <c r="IR48" s="157"/>
      <c r="IS48" s="157"/>
      <c r="IT48" s="157"/>
      <c r="IU48" s="157"/>
      <c r="IV48" s="157"/>
      <c r="IW48" s="157"/>
      <c r="IX48" s="157"/>
      <c r="IY48" s="157"/>
      <c r="IZ48" s="157"/>
      <c r="JA48" s="157"/>
      <c r="JB48" s="157"/>
      <c r="JC48" s="157"/>
      <c r="JD48" s="157"/>
      <c r="JE48" s="157"/>
      <c r="JF48" s="157"/>
      <c r="JG48" s="157"/>
      <c r="JH48" s="157"/>
      <c r="JI48" s="157"/>
      <c r="JJ48" s="157"/>
      <c r="JK48" s="157"/>
      <c r="JL48" s="157"/>
      <c r="JM48" s="157"/>
      <c r="JN48" s="157"/>
      <c r="JO48" s="157"/>
      <c r="JP48" s="157"/>
      <c r="JQ48" s="157"/>
      <c r="JR48" s="157"/>
      <c r="JS48" s="157"/>
      <c r="JT48" s="157"/>
      <c r="JU48" s="157"/>
      <c r="JV48" s="157"/>
      <c r="JW48" s="157"/>
      <c r="JX48" s="157"/>
      <c r="JY48" s="157"/>
      <c r="JZ48" s="157"/>
      <c r="KA48" s="157"/>
      <c r="KB48" s="157"/>
      <c r="KC48" s="157"/>
      <c r="KD48" s="157"/>
      <c r="KE48" s="157"/>
      <c r="KF48" s="157"/>
      <c r="KG48" s="157"/>
      <c r="KH48" s="157"/>
      <c r="KI48" s="157"/>
      <c r="KJ48" s="157"/>
      <c r="KK48" s="157"/>
    </row>
    <row r="49" spans="1:297" x14ac:dyDescent="0.2">
      <c r="A49" s="433"/>
      <c r="B49" s="2"/>
      <c r="C49" s="126" t="s">
        <v>211</v>
      </c>
      <c r="D49" s="126" t="s">
        <v>143</v>
      </c>
      <c r="E49" s="126" t="s">
        <v>174</v>
      </c>
      <c r="F49" s="368">
        <v>482000</v>
      </c>
      <c r="G49" s="364">
        <v>482000</v>
      </c>
      <c r="H49" s="364">
        <v>482000</v>
      </c>
      <c r="I49" s="364">
        <v>482000</v>
      </c>
      <c r="J49" s="364">
        <v>482000</v>
      </c>
      <c r="K49" s="364">
        <v>482000</v>
      </c>
      <c r="L49" s="364">
        <v>482000</v>
      </c>
      <c r="M49" s="364">
        <v>482000</v>
      </c>
      <c r="N49" s="164"/>
      <c r="O49" s="154" t="s">
        <v>260</v>
      </c>
      <c r="P49" s="322" t="s">
        <v>257</v>
      </c>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c r="DL49" s="157"/>
      <c r="DM49" s="157"/>
      <c r="DN49" s="157"/>
      <c r="DO49" s="157"/>
      <c r="DP49" s="157"/>
      <c r="DQ49" s="157"/>
      <c r="DR49" s="157"/>
      <c r="DS49" s="157"/>
      <c r="DT49" s="157"/>
      <c r="DU49" s="157"/>
      <c r="DV49" s="157"/>
      <c r="DW49" s="157"/>
      <c r="DX49" s="157"/>
      <c r="DY49" s="157"/>
      <c r="DZ49" s="157"/>
      <c r="EA49" s="157"/>
      <c r="EB49" s="157"/>
      <c r="EC49" s="157"/>
      <c r="ED49" s="157"/>
      <c r="EE49" s="157"/>
      <c r="EF49" s="157"/>
      <c r="EG49" s="157"/>
      <c r="EH49" s="157"/>
      <c r="EI49" s="157"/>
      <c r="EJ49" s="157"/>
      <c r="EK49" s="157"/>
      <c r="EL49" s="157"/>
      <c r="EM49" s="157"/>
      <c r="EN49" s="157"/>
      <c r="EO49" s="157"/>
      <c r="EP49" s="157"/>
      <c r="EQ49" s="157"/>
      <c r="ER49" s="157"/>
      <c r="ES49" s="157"/>
      <c r="ET49" s="157"/>
      <c r="EU49" s="157"/>
      <c r="EV49" s="157"/>
      <c r="EW49" s="157"/>
      <c r="EX49" s="157"/>
      <c r="EY49" s="157"/>
      <c r="EZ49" s="157"/>
      <c r="FA49" s="157"/>
      <c r="FB49" s="157"/>
      <c r="FC49" s="157"/>
      <c r="FD49" s="157"/>
      <c r="FE49" s="157"/>
      <c r="FF49" s="157"/>
      <c r="FG49" s="157"/>
      <c r="FH49" s="157"/>
      <c r="FI49" s="157"/>
      <c r="FJ49" s="157"/>
      <c r="FK49" s="157"/>
      <c r="FL49" s="157"/>
      <c r="FM49" s="157"/>
      <c r="FN49" s="157"/>
      <c r="FO49" s="157"/>
      <c r="FP49" s="157"/>
      <c r="FQ49" s="157"/>
      <c r="FR49" s="157"/>
      <c r="FS49" s="157"/>
      <c r="FT49" s="157"/>
      <c r="FU49" s="157"/>
      <c r="FV49" s="157"/>
      <c r="FW49" s="157"/>
      <c r="FX49" s="157"/>
      <c r="FY49" s="157"/>
      <c r="FZ49" s="157"/>
      <c r="GA49" s="157"/>
      <c r="GB49" s="157"/>
      <c r="GC49" s="157"/>
      <c r="GD49" s="157"/>
      <c r="GE49" s="157"/>
      <c r="GF49" s="157"/>
      <c r="GG49" s="157"/>
      <c r="GH49" s="157"/>
      <c r="GI49" s="157"/>
      <c r="GJ49" s="157"/>
      <c r="GK49" s="157"/>
      <c r="GL49" s="157"/>
      <c r="GM49" s="157"/>
      <c r="GN49" s="157"/>
      <c r="GO49" s="157"/>
      <c r="GP49" s="157"/>
      <c r="GQ49" s="157"/>
      <c r="GR49" s="157"/>
      <c r="GS49" s="157"/>
      <c r="GT49" s="157"/>
      <c r="GU49" s="157"/>
      <c r="GV49" s="157"/>
      <c r="GW49" s="157"/>
      <c r="GX49" s="157"/>
      <c r="GY49" s="157"/>
      <c r="GZ49" s="157"/>
      <c r="HA49" s="157"/>
      <c r="HB49" s="157"/>
      <c r="HC49" s="157"/>
      <c r="HD49" s="157"/>
      <c r="HE49" s="157"/>
      <c r="HF49" s="157"/>
      <c r="HG49" s="157"/>
      <c r="HH49" s="157"/>
      <c r="HI49" s="157"/>
      <c r="HJ49" s="157"/>
      <c r="HK49" s="157"/>
      <c r="HL49" s="157"/>
      <c r="HM49" s="157"/>
      <c r="HN49" s="157"/>
      <c r="HO49" s="157"/>
      <c r="HP49" s="157"/>
      <c r="HQ49" s="157"/>
      <c r="HR49" s="157"/>
      <c r="HS49" s="157"/>
      <c r="HT49" s="157"/>
      <c r="HU49" s="157"/>
      <c r="HV49" s="157"/>
      <c r="HW49" s="157"/>
      <c r="HX49" s="157"/>
      <c r="HY49" s="157"/>
      <c r="HZ49" s="157"/>
      <c r="IA49" s="157"/>
      <c r="IB49" s="157"/>
      <c r="IC49" s="157"/>
      <c r="ID49" s="157"/>
      <c r="IE49" s="157"/>
      <c r="IF49" s="157"/>
      <c r="IG49" s="157"/>
      <c r="IH49" s="157"/>
      <c r="II49" s="157"/>
      <c r="IJ49" s="157"/>
      <c r="IK49" s="157"/>
      <c r="IL49" s="157"/>
      <c r="IM49" s="157"/>
      <c r="IN49" s="157"/>
      <c r="IO49" s="157"/>
      <c r="IP49" s="157"/>
      <c r="IQ49" s="157"/>
      <c r="IR49" s="157"/>
      <c r="IS49" s="157"/>
      <c r="IT49" s="157"/>
      <c r="IU49" s="157"/>
      <c r="IV49" s="157"/>
      <c r="IW49" s="157"/>
      <c r="IX49" s="157"/>
      <c r="IY49" s="157"/>
      <c r="IZ49" s="157"/>
      <c r="JA49" s="157"/>
      <c r="JB49" s="157"/>
      <c r="JC49" s="157"/>
      <c r="JD49" s="157"/>
      <c r="JE49" s="157"/>
      <c r="JF49" s="157"/>
      <c r="JG49" s="157"/>
      <c r="JH49" s="157"/>
      <c r="JI49" s="157"/>
      <c r="JJ49" s="157"/>
      <c r="JK49" s="157"/>
      <c r="JL49" s="157"/>
      <c r="JM49" s="157"/>
      <c r="JN49" s="157"/>
      <c r="JO49" s="157"/>
      <c r="JP49" s="157"/>
      <c r="JQ49" s="157"/>
      <c r="JR49" s="157"/>
      <c r="JS49" s="157"/>
      <c r="JT49" s="157"/>
      <c r="JU49" s="157"/>
      <c r="JV49" s="157"/>
      <c r="JW49" s="157"/>
      <c r="JX49" s="157"/>
      <c r="JY49" s="157"/>
      <c r="JZ49" s="157"/>
      <c r="KA49" s="157"/>
      <c r="KB49" s="157"/>
      <c r="KC49" s="157"/>
      <c r="KD49" s="157"/>
      <c r="KE49" s="157"/>
      <c r="KF49" s="157"/>
      <c r="KG49" s="157"/>
      <c r="KH49" s="157"/>
      <c r="KI49" s="157"/>
      <c r="KJ49" s="157"/>
      <c r="KK49" s="157"/>
    </row>
    <row r="50" spans="1:297" x14ac:dyDescent="0.2">
      <c r="A50" s="433"/>
      <c r="B50" s="2"/>
      <c r="C50" s="126" t="s">
        <v>211</v>
      </c>
      <c r="D50" s="126" t="s">
        <v>143</v>
      </c>
      <c r="E50" s="126" t="s">
        <v>149</v>
      </c>
      <c r="F50" s="368">
        <v>250000</v>
      </c>
      <c r="G50" s="364">
        <v>250000</v>
      </c>
      <c r="H50" s="364">
        <v>250000</v>
      </c>
      <c r="I50" s="364">
        <v>250000</v>
      </c>
      <c r="J50" s="364">
        <v>250000</v>
      </c>
      <c r="K50" s="364">
        <v>250000</v>
      </c>
      <c r="L50" s="364">
        <v>250000</v>
      </c>
      <c r="M50" s="364">
        <v>250000</v>
      </c>
      <c r="N50" s="164"/>
      <c r="O50" s="154" t="s">
        <v>260</v>
      </c>
      <c r="P50" s="322" t="s">
        <v>257</v>
      </c>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7"/>
      <c r="BQ50" s="157"/>
      <c r="BR50" s="157"/>
      <c r="BS50" s="157"/>
      <c r="BT50" s="157"/>
      <c r="BU50" s="157"/>
      <c r="BV50" s="157"/>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7"/>
      <c r="CX50" s="157"/>
      <c r="CY50" s="157"/>
      <c r="CZ50" s="157"/>
      <c r="DA50" s="157"/>
      <c r="DB50" s="157"/>
      <c r="DC50" s="157"/>
      <c r="DD50" s="157"/>
      <c r="DE50" s="157"/>
      <c r="DF50" s="157"/>
      <c r="DG50" s="157"/>
      <c r="DH50" s="157"/>
      <c r="DI50" s="157"/>
      <c r="DJ50" s="157"/>
      <c r="DK50" s="157"/>
      <c r="DL50" s="157"/>
      <c r="DM50" s="157"/>
      <c r="DN50" s="157"/>
      <c r="DO50" s="157"/>
      <c r="DP50" s="157"/>
      <c r="DQ50" s="157"/>
      <c r="DR50" s="157"/>
      <c r="DS50" s="157"/>
      <c r="DT50" s="157"/>
      <c r="DU50" s="157"/>
      <c r="DV50" s="157"/>
      <c r="DW50" s="157"/>
      <c r="DX50" s="157"/>
      <c r="DY50" s="157"/>
      <c r="DZ50" s="157"/>
      <c r="EA50" s="157"/>
      <c r="EB50" s="157"/>
      <c r="EC50" s="157"/>
      <c r="ED50" s="157"/>
      <c r="EE50" s="157"/>
      <c r="EF50" s="157"/>
      <c r="EG50" s="157"/>
      <c r="EH50" s="157"/>
      <c r="EI50" s="157"/>
      <c r="EJ50" s="157"/>
      <c r="EK50" s="157"/>
      <c r="EL50" s="157"/>
      <c r="EM50" s="157"/>
      <c r="EN50" s="157"/>
      <c r="EO50" s="157"/>
      <c r="EP50" s="157"/>
      <c r="EQ50" s="157"/>
      <c r="ER50" s="157"/>
      <c r="ES50" s="157"/>
      <c r="ET50" s="157"/>
      <c r="EU50" s="157"/>
      <c r="EV50" s="157"/>
      <c r="EW50" s="157"/>
      <c r="EX50" s="157"/>
      <c r="EY50" s="157"/>
      <c r="EZ50" s="157"/>
      <c r="FA50" s="157"/>
      <c r="FB50" s="157"/>
      <c r="FC50" s="157"/>
      <c r="FD50" s="157"/>
      <c r="FE50" s="157"/>
      <c r="FF50" s="157"/>
      <c r="FG50" s="157"/>
      <c r="FH50" s="157"/>
      <c r="FI50" s="157"/>
      <c r="FJ50" s="157"/>
      <c r="FK50" s="157"/>
      <c r="FL50" s="157"/>
      <c r="FM50" s="157"/>
      <c r="FN50" s="157"/>
      <c r="FO50" s="157"/>
      <c r="FP50" s="157"/>
      <c r="FQ50" s="157"/>
      <c r="FR50" s="157"/>
      <c r="FS50" s="157"/>
      <c r="FT50" s="157"/>
      <c r="FU50" s="157"/>
      <c r="FV50" s="157"/>
      <c r="FW50" s="157"/>
      <c r="FX50" s="157"/>
      <c r="FY50" s="157"/>
      <c r="FZ50" s="157"/>
      <c r="GA50" s="157"/>
      <c r="GB50" s="157"/>
      <c r="GC50" s="157"/>
      <c r="GD50" s="157"/>
      <c r="GE50" s="157"/>
      <c r="GF50" s="157"/>
      <c r="GG50" s="157"/>
      <c r="GH50" s="157"/>
      <c r="GI50" s="157"/>
      <c r="GJ50" s="157"/>
      <c r="GK50" s="157"/>
      <c r="GL50" s="157"/>
      <c r="GM50" s="157"/>
      <c r="GN50" s="157"/>
      <c r="GO50" s="157"/>
      <c r="GP50" s="157"/>
      <c r="GQ50" s="157"/>
      <c r="GR50" s="157"/>
      <c r="GS50" s="157"/>
      <c r="GT50" s="157"/>
      <c r="GU50" s="157"/>
      <c r="GV50" s="157"/>
      <c r="GW50" s="157"/>
      <c r="GX50" s="157"/>
      <c r="GY50" s="157"/>
      <c r="GZ50" s="157"/>
      <c r="HA50" s="157"/>
      <c r="HB50" s="157"/>
      <c r="HC50" s="157"/>
      <c r="HD50" s="157"/>
      <c r="HE50" s="157"/>
      <c r="HF50" s="157"/>
      <c r="HG50" s="157"/>
      <c r="HH50" s="157"/>
      <c r="HI50" s="157"/>
      <c r="HJ50" s="157"/>
      <c r="HK50" s="157"/>
      <c r="HL50" s="157"/>
      <c r="HM50" s="157"/>
      <c r="HN50" s="157"/>
      <c r="HO50" s="157"/>
      <c r="HP50" s="157"/>
      <c r="HQ50" s="157"/>
      <c r="HR50" s="157"/>
      <c r="HS50" s="157"/>
      <c r="HT50" s="157"/>
      <c r="HU50" s="157"/>
      <c r="HV50" s="157"/>
      <c r="HW50" s="157"/>
      <c r="HX50" s="157"/>
      <c r="HY50" s="157"/>
      <c r="HZ50" s="157"/>
      <c r="IA50" s="157"/>
      <c r="IB50" s="157"/>
      <c r="IC50" s="157"/>
      <c r="ID50" s="157"/>
      <c r="IE50" s="157"/>
      <c r="IF50" s="157"/>
      <c r="IG50" s="157"/>
      <c r="IH50" s="157"/>
      <c r="II50" s="157"/>
      <c r="IJ50" s="157"/>
      <c r="IK50" s="157"/>
      <c r="IL50" s="157"/>
      <c r="IM50" s="157"/>
      <c r="IN50" s="157"/>
      <c r="IO50" s="157"/>
      <c r="IP50" s="157"/>
      <c r="IQ50" s="157"/>
      <c r="IR50" s="157"/>
      <c r="IS50" s="157"/>
      <c r="IT50" s="157"/>
      <c r="IU50" s="157"/>
      <c r="IV50" s="157"/>
      <c r="IW50" s="157"/>
      <c r="IX50" s="157"/>
      <c r="IY50" s="157"/>
      <c r="IZ50" s="157"/>
      <c r="JA50" s="157"/>
      <c r="JB50" s="157"/>
      <c r="JC50" s="157"/>
      <c r="JD50" s="157"/>
      <c r="JE50" s="157"/>
      <c r="JF50" s="157"/>
      <c r="JG50" s="157"/>
      <c r="JH50" s="157"/>
      <c r="JI50" s="157"/>
      <c r="JJ50" s="157"/>
      <c r="JK50" s="157"/>
      <c r="JL50" s="157"/>
      <c r="JM50" s="157"/>
      <c r="JN50" s="157"/>
      <c r="JO50" s="157"/>
      <c r="JP50" s="157"/>
      <c r="JQ50" s="157"/>
      <c r="JR50" s="157"/>
      <c r="JS50" s="157"/>
      <c r="JT50" s="157"/>
      <c r="JU50" s="157"/>
      <c r="JV50" s="157"/>
      <c r="JW50" s="157"/>
      <c r="JX50" s="157"/>
      <c r="JY50" s="157"/>
      <c r="JZ50" s="157"/>
      <c r="KA50" s="157"/>
      <c r="KB50" s="157"/>
      <c r="KC50" s="157"/>
      <c r="KD50" s="157"/>
      <c r="KE50" s="157"/>
      <c r="KF50" s="157"/>
      <c r="KG50" s="157"/>
      <c r="KH50" s="157"/>
      <c r="KI50" s="157"/>
      <c r="KJ50" s="157"/>
      <c r="KK50" s="157"/>
    </row>
    <row r="51" spans="1:297" x14ac:dyDescent="0.2">
      <c r="A51" s="433"/>
      <c r="B51" s="2"/>
      <c r="C51" s="126" t="s">
        <v>211</v>
      </c>
      <c r="D51" s="126" t="s">
        <v>143</v>
      </c>
      <c r="E51" s="126" t="s">
        <v>175</v>
      </c>
      <c r="F51" s="368">
        <v>482000</v>
      </c>
      <c r="G51" s="364">
        <v>482000</v>
      </c>
      <c r="H51" s="364">
        <v>482000</v>
      </c>
      <c r="I51" s="364">
        <v>482000</v>
      </c>
      <c r="J51" s="364">
        <v>482000</v>
      </c>
      <c r="K51" s="364">
        <v>482000</v>
      </c>
      <c r="L51" s="364">
        <v>482000</v>
      </c>
      <c r="M51" s="364">
        <v>482000</v>
      </c>
      <c r="N51" s="164"/>
      <c r="O51" s="154" t="s">
        <v>260</v>
      </c>
      <c r="P51" s="322" t="s">
        <v>257</v>
      </c>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57"/>
      <c r="DT51" s="157"/>
      <c r="DU51" s="157"/>
      <c r="DV51" s="157"/>
      <c r="DW51" s="157"/>
      <c r="DX51" s="157"/>
      <c r="DY51" s="157"/>
      <c r="DZ51" s="157"/>
      <c r="EA51" s="157"/>
      <c r="EB51" s="157"/>
      <c r="EC51" s="157"/>
      <c r="ED51" s="157"/>
      <c r="EE51" s="157"/>
      <c r="EF51" s="157"/>
      <c r="EG51" s="157"/>
      <c r="EH51" s="157"/>
      <c r="EI51" s="157"/>
      <c r="EJ51" s="157"/>
      <c r="EK51" s="157"/>
      <c r="EL51" s="157"/>
      <c r="EM51" s="157"/>
      <c r="EN51" s="157"/>
      <c r="EO51" s="157"/>
      <c r="EP51" s="157"/>
      <c r="EQ51" s="157"/>
      <c r="ER51" s="157"/>
      <c r="ES51" s="157"/>
      <c r="ET51" s="157"/>
      <c r="EU51" s="157"/>
      <c r="EV51" s="157"/>
      <c r="EW51" s="157"/>
      <c r="EX51" s="157"/>
      <c r="EY51" s="157"/>
      <c r="EZ51" s="157"/>
      <c r="FA51" s="157"/>
      <c r="FB51" s="157"/>
      <c r="FC51" s="157"/>
      <c r="FD51" s="157"/>
      <c r="FE51" s="157"/>
      <c r="FF51" s="157"/>
      <c r="FG51" s="157"/>
      <c r="FH51" s="157"/>
      <c r="FI51" s="157"/>
      <c r="FJ51" s="157"/>
      <c r="FK51" s="157"/>
      <c r="FL51" s="157"/>
      <c r="FM51" s="157"/>
      <c r="FN51" s="157"/>
      <c r="FO51" s="157"/>
      <c r="FP51" s="157"/>
      <c r="FQ51" s="157"/>
      <c r="FR51" s="157"/>
      <c r="FS51" s="157"/>
      <c r="FT51" s="157"/>
      <c r="FU51" s="157"/>
      <c r="FV51" s="157"/>
      <c r="FW51" s="157"/>
      <c r="FX51" s="157"/>
      <c r="FY51" s="157"/>
      <c r="FZ51" s="157"/>
      <c r="GA51" s="157"/>
      <c r="GB51" s="157"/>
      <c r="GC51" s="157"/>
      <c r="GD51" s="157"/>
      <c r="GE51" s="157"/>
      <c r="GF51" s="157"/>
      <c r="GG51" s="157"/>
      <c r="GH51" s="157"/>
      <c r="GI51" s="157"/>
      <c r="GJ51" s="157"/>
      <c r="GK51" s="157"/>
      <c r="GL51" s="157"/>
      <c r="GM51" s="157"/>
      <c r="GN51" s="157"/>
      <c r="GO51" s="157"/>
      <c r="GP51" s="157"/>
      <c r="GQ51" s="157"/>
      <c r="GR51" s="157"/>
      <c r="GS51" s="157"/>
      <c r="GT51" s="157"/>
      <c r="GU51" s="157"/>
      <c r="GV51" s="157"/>
      <c r="GW51" s="157"/>
      <c r="GX51" s="157"/>
      <c r="GY51" s="157"/>
      <c r="GZ51" s="157"/>
      <c r="HA51" s="157"/>
      <c r="HB51" s="157"/>
      <c r="HC51" s="157"/>
      <c r="HD51" s="157"/>
      <c r="HE51" s="157"/>
      <c r="HF51" s="157"/>
      <c r="HG51" s="157"/>
      <c r="HH51" s="157"/>
      <c r="HI51" s="157"/>
      <c r="HJ51" s="157"/>
      <c r="HK51" s="157"/>
      <c r="HL51" s="157"/>
      <c r="HM51" s="157"/>
      <c r="HN51" s="157"/>
      <c r="HO51" s="157"/>
      <c r="HP51" s="157"/>
      <c r="HQ51" s="157"/>
      <c r="HR51" s="157"/>
      <c r="HS51" s="157"/>
      <c r="HT51" s="157"/>
      <c r="HU51" s="157"/>
      <c r="HV51" s="157"/>
      <c r="HW51" s="157"/>
      <c r="HX51" s="157"/>
      <c r="HY51" s="157"/>
      <c r="HZ51" s="157"/>
      <c r="IA51" s="157"/>
      <c r="IB51" s="157"/>
      <c r="IC51" s="157"/>
      <c r="ID51" s="157"/>
      <c r="IE51" s="157"/>
      <c r="IF51" s="157"/>
      <c r="IG51" s="157"/>
      <c r="IH51" s="157"/>
      <c r="II51" s="157"/>
      <c r="IJ51" s="157"/>
      <c r="IK51" s="157"/>
      <c r="IL51" s="157"/>
      <c r="IM51" s="157"/>
      <c r="IN51" s="157"/>
      <c r="IO51" s="157"/>
      <c r="IP51" s="157"/>
      <c r="IQ51" s="157"/>
      <c r="IR51" s="157"/>
      <c r="IS51" s="157"/>
      <c r="IT51" s="157"/>
      <c r="IU51" s="157"/>
      <c r="IV51" s="157"/>
      <c r="IW51" s="157"/>
      <c r="IX51" s="157"/>
      <c r="IY51" s="157"/>
      <c r="IZ51" s="157"/>
      <c r="JA51" s="157"/>
      <c r="JB51" s="157"/>
      <c r="JC51" s="157"/>
      <c r="JD51" s="157"/>
      <c r="JE51" s="157"/>
      <c r="JF51" s="157"/>
      <c r="JG51" s="157"/>
      <c r="JH51" s="157"/>
      <c r="JI51" s="157"/>
      <c r="JJ51" s="157"/>
      <c r="JK51" s="157"/>
      <c r="JL51" s="157"/>
      <c r="JM51" s="157"/>
      <c r="JN51" s="157"/>
      <c r="JO51" s="157"/>
      <c r="JP51" s="157"/>
      <c r="JQ51" s="157"/>
      <c r="JR51" s="157"/>
      <c r="JS51" s="157"/>
      <c r="JT51" s="157"/>
      <c r="JU51" s="157"/>
      <c r="JV51" s="157"/>
      <c r="JW51" s="157"/>
      <c r="JX51" s="157"/>
      <c r="JY51" s="157"/>
      <c r="JZ51" s="157"/>
      <c r="KA51" s="157"/>
      <c r="KB51" s="157"/>
      <c r="KC51" s="157"/>
      <c r="KD51" s="157"/>
      <c r="KE51" s="157"/>
      <c r="KF51" s="157"/>
      <c r="KG51" s="157"/>
      <c r="KH51" s="157"/>
      <c r="KI51" s="157"/>
      <c r="KJ51" s="157"/>
      <c r="KK51" s="157"/>
    </row>
    <row r="52" spans="1:297" x14ac:dyDescent="0.2">
      <c r="A52" s="433"/>
      <c r="B52" s="2"/>
      <c r="C52" s="126" t="s">
        <v>211</v>
      </c>
      <c r="D52" s="126" t="s">
        <v>143</v>
      </c>
      <c r="E52" s="126" t="s">
        <v>173</v>
      </c>
      <c r="F52" s="368">
        <v>482000</v>
      </c>
      <c r="G52" s="364">
        <v>482000</v>
      </c>
      <c r="H52" s="364">
        <v>482000</v>
      </c>
      <c r="I52" s="364">
        <v>482000</v>
      </c>
      <c r="J52" s="364">
        <v>482000</v>
      </c>
      <c r="K52" s="364">
        <v>482000</v>
      </c>
      <c r="L52" s="364">
        <v>482000</v>
      </c>
      <c r="M52" s="364">
        <v>482000</v>
      </c>
      <c r="N52" s="164"/>
      <c r="O52" s="154" t="s">
        <v>260</v>
      </c>
      <c r="P52" s="322" t="s">
        <v>257</v>
      </c>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c r="CC52" s="157"/>
      <c r="CD52" s="157"/>
      <c r="CE52" s="157"/>
      <c r="CF52" s="157"/>
      <c r="CG52" s="157"/>
      <c r="CH52" s="157"/>
      <c r="CI52" s="157"/>
      <c r="CJ52" s="157"/>
      <c r="CK52" s="157"/>
      <c r="CL52" s="157"/>
      <c r="CM52" s="157"/>
      <c r="CN52" s="157"/>
      <c r="CO52" s="157"/>
      <c r="CP52" s="157"/>
      <c r="CQ52" s="157"/>
      <c r="CR52" s="157"/>
      <c r="CS52" s="157"/>
      <c r="CT52" s="157"/>
      <c r="CU52" s="157"/>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c r="DS52" s="157"/>
      <c r="DT52" s="157"/>
      <c r="DU52" s="157"/>
      <c r="DV52" s="157"/>
      <c r="DW52" s="157"/>
      <c r="DX52" s="157"/>
      <c r="DY52" s="157"/>
      <c r="DZ52" s="157"/>
      <c r="EA52" s="157"/>
      <c r="EB52" s="157"/>
      <c r="EC52" s="157"/>
      <c r="ED52" s="157"/>
      <c r="EE52" s="157"/>
      <c r="EF52" s="157"/>
      <c r="EG52" s="157"/>
      <c r="EH52" s="157"/>
      <c r="EI52" s="157"/>
      <c r="EJ52" s="157"/>
      <c r="EK52" s="157"/>
      <c r="EL52" s="157"/>
      <c r="EM52" s="157"/>
      <c r="EN52" s="157"/>
      <c r="EO52" s="157"/>
      <c r="EP52" s="157"/>
      <c r="EQ52" s="157"/>
      <c r="ER52" s="157"/>
      <c r="ES52" s="157"/>
      <c r="ET52" s="157"/>
      <c r="EU52" s="157"/>
      <c r="EV52" s="157"/>
      <c r="EW52" s="157"/>
      <c r="EX52" s="157"/>
      <c r="EY52" s="157"/>
      <c r="EZ52" s="157"/>
      <c r="FA52" s="157"/>
      <c r="FB52" s="157"/>
      <c r="FC52" s="157"/>
      <c r="FD52" s="157"/>
      <c r="FE52" s="157"/>
      <c r="FF52" s="157"/>
      <c r="FG52" s="157"/>
      <c r="FH52" s="157"/>
      <c r="FI52" s="157"/>
      <c r="FJ52" s="157"/>
      <c r="FK52" s="157"/>
      <c r="FL52" s="157"/>
      <c r="FM52" s="157"/>
      <c r="FN52" s="157"/>
      <c r="FO52" s="157"/>
      <c r="FP52" s="157"/>
      <c r="FQ52" s="157"/>
      <c r="FR52" s="157"/>
      <c r="FS52" s="157"/>
      <c r="FT52" s="157"/>
      <c r="FU52" s="157"/>
      <c r="FV52" s="157"/>
      <c r="FW52" s="157"/>
      <c r="FX52" s="157"/>
      <c r="FY52" s="157"/>
      <c r="FZ52" s="157"/>
      <c r="GA52" s="157"/>
      <c r="GB52" s="157"/>
      <c r="GC52" s="157"/>
      <c r="GD52" s="157"/>
      <c r="GE52" s="157"/>
      <c r="GF52" s="157"/>
      <c r="GG52" s="157"/>
      <c r="GH52" s="157"/>
      <c r="GI52" s="157"/>
      <c r="GJ52" s="157"/>
      <c r="GK52" s="157"/>
      <c r="GL52" s="157"/>
      <c r="GM52" s="157"/>
      <c r="GN52" s="157"/>
      <c r="GO52" s="157"/>
      <c r="GP52" s="157"/>
      <c r="GQ52" s="157"/>
      <c r="GR52" s="157"/>
      <c r="GS52" s="157"/>
      <c r="GT52" s="157"/>
      <c r="GU52" s="157"/>
      <c r="GV52" s="157"/>
      <c r="GW52" s="157"/>
      <c r="GX52" s="157"/>
      <c r="GY52" s="157"/>
      <c r="GZ52" s="157"/>
      <c r="HA52" s="157"/>
      <c r="HB52" s="157"/>
      <c r="HC52" s="157"/>
      <c r="HD52" s="157"/>
      <c r="HE52" s="157"/>
      <c r="HF52" s="157"/>
      <c r="HG52" s="157"/>
      <c r="HH52" s="157"/>
      <c r="HI52" s="157"/>
      <c r="HJ52" s="157"/>
      <c r="HK52" s="157"/>
      <c r="HL52" s="157"/>
      <c r="HM52" s="157"/>
      <c r="HN52" s="157"/>
      <c r="HO52" s="157"/>
      <c r="HP52" s="157"/>
      <c r="HQ52" s="157"/>
      <c r="HR52" s="157"/>
      <c r="HS52" s="157"/>
      <c r="HT52" s="157"/>
      <c r="HU52" s="157"/>
      <c r="HV52" s="157"/>
      <c r="HW52" s="157"/>
      <c r="HX52" s="157"/>
      <c r="HY52" s="157"/>
      <c r="HZ52" s="157"/>
      <c r="IA52" s="157"/>
      <c r="IB52" s="157"/>
      <c r="IC52" s="157"/>
      <c r="ID52" s="157"/>
      <c r="IE52" s="157"/>
      <c r="IF52" s="157"/>
      <c r="IG52" s="157"/>
      <c r="IH52" s="157"/>
      <c r="II52" s="157"/>
      <c r="IJ52" s="157"/>
      <c r="IK52" s="157"/>
      <c r="IL52" s="157"/>
      <c r="IM52" s="157"/>
      <c r="IN52" s="157"/>
      <c r="IO52" s="157"/>
      <c r="IP52" s="157"/>
      <c r="IQ52" s="157"/>
      <c r="IR52" s="157"/>
      <c r="IS52" s="157"/>
      <c r="IT52" s="157"/>
      <c r="IU52" s="157"/>
      <c r="IV52" s="157"/>
      <c r="IW52" s="157"/>
      <c r="IX52" s="157"/>
      <c r="IY52" s="157"/>
      <c r="IZ52" s="157"/>
      <c r="JA52" s="157"/>
      <c r="JB52" s="157"/>
      <c r="JC52" s="157"/>
      <c r="JD52" s="157"/>
      <c r="JE52" s="157"/>
      <c r="JF52" s="157"/>
      <c r="JG52" s="157"/>
      <c r="JH52" s="157"/>
      <c r="JI52" s="157"/>
      <c r="JJ52" s="157"/>
      <c r="JK52" s="157"/>
      <c r="JL52" s="157"/>
      <c r="JM52" s="157"/>
      <c r="JN52" s="157"/>
      <c r="JO52" s="157"/>
      <c r="JP52" s="157"/>
      <c r="JQ52" s="157"/>
      <c r="JR52" s="157"/>
      <c r="JS52" s="157"/>
      <c r="JT52" s="157"/>
      <c r="JU52" s="157"/>
      <c r="JV52" s="157"/>
      <c r="JW52" s="157"/>
      <c r="JX52" s="157"/>
      <c r="JY52" s="157"/>
      <c r="JZ52" s="157"/>
      <c r="KA52" s="157"/>
      <c r="KB52" s="157"/>
      <c r="KC52" s="157"/>
      <c r="KD52" s="157"/>
      <c r="KE52" s="157"/>
      <c r="KF52" s="157"/>
      <c r="KG52" s="157"/>
      <c r="KH52" s="157"/>
      <c r="KI52" s="157"/>
      <c r="KJ52" s="157"/>
      <c r="KK52" s="157"/>
    </row>
    <row r="53" spans="1:297" x14ac:dyDescent="0.2">
      <c r="A53" s="433"/>
      <c r="B53" s="2"/>
      <c r="C53" s="126" t="s">
        <v>211</v>
      </c>
      <c r="D53" s="126" t="s">
        <v>143</v>
      </c>
      <c r="E53" s="126" t="s">
        <v>150</v>
      </c>
      <c r="F53" s="368">
        <v>121000000</v>
      </c>
      <c r="G53" s="364">
        <v>121000000</v>
      </c>
      <c r="H53" s="364">
        <v>121000000</v>
      </c>
      <c r="I53" s="364">
        <v>121000000</v>
      </c>
      <c r="J53" s="364">
        <v>121000000</v>
      </c>
      <c r="K53" s="364">
        <v>121000000</v>
      </c>
      <c r="L53" s="364">
        <v>121000000</v>
      </c>
      <c r="M53" s="364">
        <v>121000000</v>
      </c>
      <c r="N53" s="164"/>
      <c r="O53" s="154" t="s">
        <v>260</v>
      </c>
      <c r="P53" s="322" t="s">
        <v>257</v>
      </c>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7"/>
      <c r="BQ53" s="157"/>
      <c r="BR53" s="157"/>
      <c r="BS53" s="157"/>
      <c r="BT53" s="157"/>
      <c r="BU53" s="157"/>
      <c r="BV53" s="157"/>
      <c r="BW53" s="157"/>
      <c r="BX53" s="157"/>
      <c r="BY53" s="157"/>
      <c r="BZ53" s="157"/>
      <c r="CA53" s="157"/>
      <c r="CB53" s="157"/>
      <c r="CC53" s="157"/>
      <c r="CD53" s="157"/>
      <c r="CE53" s="157"/>
      <c r="CF53" s="157"/>
      <c r="CG53" s="157"/>
      <c r="CH53" s="157"/>
      <c r="CI53" s="157"/>
      <c r="CJ53" s="157"/>
      <c r="CK53" s="157"/>
      <c r="CL53" s="157"/>
      <c r="CM53" s="157"/>
      <c r="CN53" s="157"/>
      <c r="CO53" s="157"/>
      <c r="CP53" s="157"/>
      <c r="CQ53" s="157"/>
      <c r="CR53" s="157"/>
      <c r="CS53" s="157"/>
      <c r="CT53" s="157"/>
      <c r="CU53" s="157"/>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57"/>
      <c r="DT53" s="157"/>
      <c r="DU53" s="157"/>
      <c r="DV53" s="157"/>
      <c r="DW53" s="157"/>
      <c r="DX53" s="157"/>
      <c r="DY53" s="157"/>
      <c r="DZ53" s="157"/>
      <c r="EA53" s="157"/>
      <c r="EB53" s="157"/>
      <c r="EC53" s="157"/>
      <c r="ED53" s="157"/>
      <c r="EE53" s="157"/>
      <c r="EF53" s="157"/>
      <c r="EG53" s="157"/>
      <c r="EH53" s="157"/>
      <c r="EI53" s="157"/>
      <c r="EJ53" s="157"/>
      <c r="EK53" s="157"/>
      <c r="EL53" s="157"/>
      <c r="EM53" s="157"/>
      <c r="EN53" s="157"/>
      <c r="EO53" s="157"/>
      <c r="EP53" s="157"/>
      <c r="EQ53" s="157"/>
      <c r="ER53" s="157"/>
      <c r="ES53" s="157"/>
      <c r="ET53" s="157"/>
      <c r="EU53" s="157"/>
      <c r="EV53" s="157"/>
      <c r="EW53" s="157"/>
      <c r="EX53" s="157"/>
      <c r="EY53" s="157"/>
      <c r="EZ53" s="157"/>
      <c r="FA53" s="157"/>
      <c r="FB53" s="157"/>
      <c r="FC53" s="157"/>
      <c r="FD53" s="157"/>
      <c r="FE53" s="157"/>
      <c r="FF53" s="157"/>
      <c r="FG53" s="157"/>
      <c r="FH53" s="157"/>
      <c r="FI53" s="157"/>
      <c r="FJ53" s="157"/>
      <c r="FK53" s="157"/>
      <c r="FL53" s="157"/>
      <c r="FM53" s="157"/>
      <c r="FN53" s="157"/>
      <c r="FO53" s="157"/>
      <c r="FP53" s="157"/>
      <c r="FQ53" s="157"/>
      <c r="FR53" s="157"/>
      <c r="FS53" s="157"/>
      <c r="FT53" s="157"/>
      <c r="FU53" s="157"/>
      <c r="FV53" s="157"/>
      <c r="FW53" s="157"/>
      <c r="FX53" s="157"/>
      <c r="FY53" s="157"/>
      <c r="FZ53" s="157"/>
      <c r="GA53" s="157"/>
      <c r="GB53" s="157"/>
      <c r="GC53" s="157"/>
      <c r="GD53" s="157"/>
      <c r="GE53" s="157"/>
      <c r="GF53" s="157"/>
      <c r="GG53" s="157"/>
      <c r="GH53" s="157"/>
      <c r="GI53" s="157"/>
      <c r="GJ53" s="157"/>
      <c r="GK53" s="157"/>
      <c r="GL53" s="157"/>
      <c r="GM53" s="157"/>
      <c r="GN53" s="157"/>
      <c r="GO53" s="157"/>
      <c r="GP53" s="157"/>
      <c r="GQ53" s="157"/>
      <c r="GR53" s="157"/>
      <c r="GS53" s="157"/>
      <c r="GT53" s="157"/>
      <c r="GU53" s="157"/>
      <c r="GV53" s="157"/>
      <c r="GW53" s="157"/>
      <c r="GX53" s="157"/>
      <c r="GY53" s="157"/>
      <c r="GZ53" s="157"/>
      <c r="HA53" s="157"/>
      <c r="HB53" s="157"/>
      <c r="HC53" s="157"/>
      <c r="HD53" s="157"/>
      <c r="HE53" s="157"/>
      <c r="HF53" s="157"/>
      <c r="HG53" s="157"/>
      <c r="HH53" s="157"/>
      <c r="HI53" s="157"/>
      <c r="HJ53" s="157"/>
      <c r="HK53" s="157"/>
      <c r="HL53" s="157"/>
      <c r="HM53" s="157"/>
      <c r="HN53" s="157"/>
      <c r="HO53" s="157"/>
      <c r="HP53" s="157"/>
      <c r="HQ53" s="157"/>
      <c r="HR53" s="157"/>
      <c r="HS53" s="157"/>
      <c r="HT53" s="157"/>
      <c r="HU53" s="157"/>
      <c r="HV53" s="157"/>
      <c r="HW53" s="157"/>
      <c r="HX53" s="157"/>
      <c r="HY53" s="157"/>
      <c r="HZ53" s="157"/>
      <c r="IA53" s="157"/>
      <c r="IB53" s="157"/>
      <c r="IC53" s="157"/>
      <c r="ID53" s="157"/>
      <c r="IE53" s="157"/>
      <c r="IF53" s="157"/>
      <c r="IG53" s="157"/>
      <c r="IH53" s="157"/>
      <c r="II53" s="157"/>
      <c r="IJ53" s="157"/>
      <c r="IK53" s="157"/>
      <c r="IL53" s="157"/>
      <c r="IM53" s="157"/>
      <c r="IN53" s="157"/>
      <c r="IO53" s="157"/>
      <c r="IP53" s="157"/>
      <c r="IQ53" s="157"/>
      <c r="IR53" s="157"/>
      <c r="IS53" s="157"/>
      <c r="IT53" s="157"/>
      <c r="IU53" s="157"/>
      <c r="IV53" s="157"/>
      <c r="IW53" s="157"/>
      <c r="IX53" s="157"/>
      <c r="IY53" s="157"/>
      <c r="IZ53" s="157"/>
      <c r="JA53" s="157"/>
      <c r="JB53" s="157"/>
      <c r="JC53" s="157"/>
      <c r="JD53" s="157"/>
      <c r="JE53" s="157"/>
      <c r="JF53" s="157"/>
      <c r="JG53" s="157"/>
      <c r="JH53" s="157"/>
      <c r="JI53" s="157"/>
      <c r="JJ53" s="157"/>
      <c r="JK53" s="157"/>
      <c r="JL53" s="157"/>
      <c r="JM53" s="157"/>
      <c r="JN53" s="157"/>
      <c r="JO53" s="157"/>
      <c r="JP53" s="157"/>
      <c r="JQ53" s="157"/>
      <c r="JR53" s="157"/>
      <c r="JS53" s="157"/>
      <c r="JT53" s="157"/>
      <c r="JU53" s="157"/>
      <c r="JV53" s="157"/>
      <c r="JW53" s="157"/>
      <c r="JX53" s="157"/>
      <c r="JY53" s="157"/>
      <c r="JZ53" s="157"/>
      <c r="KA53" s="157"/>
      <c r="KB53" s="157"/>
      <c r="KC53" s="157"/>
      <c r="KD53" s="157"/>
      <c r="KE53" s="157"/>
      <c r="KF53" s="157"/>
      <c r="KG53" s="157"/>
      <c r="KH53" s="157"/>
      <c r="KI53" s="157"/>
      <c r="KJ53" s="157"/>
      <c r="KK53" s="157"/>
    </row>
    <row r="54" spans="1:297" x14ac:dyDescent="0.2">
      <c r="A54" s="433"/>
      <c r="B54" s="2"/>
      <c r="C54" s="126" t="s">
        <v>211</v>
      </c>
      <c r="D54" s="126" t="s">
        <v>143</v>
      </c>
      <c r="E54" s="126" t="s">
        <v>162</v>
      </c>
      <c r="F54" s="368">
        <v>121000000</v>
      </c>
      <c r="G54" s="364">
        <v>121000000</v>
      </c>
      <c r="H54" s="364">
        <v>121000000</v>
      </c>
      <c r="I54" s="364">
        <v>121000000</v>
      </c>
      <c r="J54" s="364">
        <v>121000000</v>
      </c>
      <c r="K54" s="364">
        <v>121000000</v>
      </c>
      <c r="L54" s="364">
        <v>121000000</v>
      </c>
      <c r="M54" s="364">
        <v>121000000</v>
      </c>
      <c r="N54" s="164"/>
      <c r="O54" s="154" t="s">
        <v>260</v>
      </c>
      <c r="P54" s="322" t="s">
        <v>257</v>
      </c>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c r="CA54" s="157"/>
      <c r="CB54" s="157"/>
      <c r="CC54" s="157"/>
      <c r="CD54" s="157"/>
      <c r="CE54" s="157"/>
      <c r="CF54" s="157"/>
      <c r="CG54" s="157"/>
      <c r="CH54" s="157"/>
      <c r="CI54" s="157"/>
      <c r="CJ54" s="157"/>
      <c r="CK54" s="157"/>
      <c r="CL54" s="157"/>
      <c r="CM54" s="157"/>
      <c r="CN54" s="157"/>
      <c r="CO54" s="157"/>
      <c r="CP54" s="157"/>
      <c r="CQ54" s="157"/>
      <c r="CR54" s="157"/>
      <c r="CS54" s="157"/>
      <c r="CT54" s="157"/>
      <c r="CU54" s="157"/>
      <c r="CV54" s="157"/>
      <c r="CW54" s="157"/>
      <c r="CX54" s="157"/>
      <c r="CY54" s="157"/>
      <c r="CZ54" s="157"/>
      <c r="DA54" s="157"/>
      <c r="DB54" s="157"/>
      <c r="DC54" s="157"/>
      <c r="DD54" s="157"/>
      <c r="DE54" s="157"/>
      <c r="DF54" s="157"/>
      <c r="DG54" s="157"/>
      <c r="DH54" s="157"/>
      <c r="DI54" s="157"/>
      <c r="DJ54" s="157"/>
      <c r="DK54" s="157"/>
      <c r="DL54" s="157"/>
      <c r="DM54" s="157"/>
      <c r="DN54" s="157"/>
      <c r="DO54" s="157"/>
      <c r="DP54" s="157"/>
      <c r="DQ54" s="157"/>
      <c r="DR54" s="157"/>
      <c r="DS54" s="157"/>
      <c r="DT54" s="157"/>
      <c r="DU54" s="157"/>
      <c r="DV54" s="157"/>
      <c r="DW54" s="157"/>
      <c r="DX54" s="157"/>
      <c r="DY54" s="157"/>
      <c r="DZ54" s="157"/>
      <c r="EA54" s="157"/>
      <c r="EB54" s="157"/>
      <c r="EC54" s="157"/>
      <c r="ED54" s="157"/>
      <c r="EE54" s="157"/>
      <c r="EF54" s="157"/>
      <c r="EG54" s="157"/>
      <c r="EH54" s="157"/>
      <c r="EI54" s="157"/>
      <c r="EJ54" s="157"/>
      <c r="EK54" s="157"/>
      <c r="EL54" s="157"/>
      <c r="EM54" s="157"/>
      <c r="EN54" s="157"/>
      <c r="EO54" s="157"/>
      <c r="EP54" s="157"/>
      <c r="EQ54" s="157"/>
      <c r="ER54" s="157"/>
      <c r="ES54" s="157"/>
      <c r="ET54" s="157"/>
      <c r="EU54" s="157"/>
      <c r="EV54" s="157"/>
      <c r="EW54" s="157"/>
      <c r="EX54" s="157"/>
      <c r="EY54" s="157"/>
      <c r="EZ54" s="157"/>
      <c r="FA54" s="157"/>
      <c r="FB54" s="157"/>
      <c r="FC54" s="157"/>
      <c r="FD54" s="157"/>
      <c r="FE54" s="157"/>
      <c r="FF54" s="157"/>
      <c r="FG54" s="157"/>
      <c r="FH54" s="157"/>
      <c r="FI54" s="157"/>
      <c r="FJ54" s="157"/>
      <c r="FK54" s="157"/>
      <c r="FL54" s="157"/>
      <c r="FM54" s="157"/>
      <c r="FN54" s="157"/>
      <c r="FO54" s="157"/>
      <c r="FP54" s="157"/>
      <c r="FQ54" s="157"/>
      <c r="FR54" s="157"/>
      <c r="FS54" s="157"/>
      <c r="FT54" s="157"/>
      <c r="FU54" s="157"/>
      <c r="FV54" s="157"/>
      <c r="FW54" s="157"/>
      <c r="FX54" s="157"/>
      <c r="FY54" s="157"/>
      <c r="FZ54" s="157"/>
      <c r="GA54" s="157"/>
      <c r="GB54" s="157"/>
      <c r="GC54" s="157"/>
      <c r="GD54" s="157"/>
      <c r="GE54" s="157"/>
      <c r="GF54" s="157"/>
      <c r="GG54" s="157"/>
      <c r="GH54" s="157"/>
      <c r="GI54" s="157"/>
      <c r="GJ54" s="157"/>
      <c r="GK54" s="157"/>
      <c r="GL54" s="157"/>
      <c r="GM54" s="157"/>
      <c r="GN54" s="157"/>
      <c r="GO54" s="157"/>
      <c r="GP54" s="157"/>
      <c r="GQ54" s="157"/>
      <c r="GR54" s="157"/>
      <c r="GS54" s="157"/>
      <c r="GT54" s="157"/>
      <c r="GU54" s="157"/>
      <c r="GV54" s="157"/>
      <c r="GW54" s="157"/>
      <c r="GX54" s="157"/>
      <c r="GY54" s="157"/>
      <c r="GZ54" s="157"/>
      <c r="HA54" s="157"/>
      <c r="HB54" s="157"/>
      <c r="HC54" s="157"/>
      <c r="HD54" s="157"/>
      <c r="HE54" s="157"/>
      <c r="HF54" s="157"/>
      <c r="HG54" s="157"/>
      <c r="HH54" s="157"/>
      <c r="HI54" s="157"/>
      <c r="HJ54" s="157"/>
      <c r="HK54" s="157"/>
      <c r="HL54" s="157"/>
      <c r="HM54" s="157"/>
      <c r="HN54" s="157"/>
      <c r="HO54" s="157"/>
      <c r="HP54" s="157"/>
      <c r="HQ54" s="157"/>
      <c r="HR54" s="157"/>
      <c r="HS54" s="157"/>
      <c r="HT54" s="157"/>
      <c r="HU54" s="157"/>
      <c r="HV54" s="157"/>
      <c r="HW54" s="157"/>
      <c r="HX54" s="157"/>
      <c r="HY54" s="157"/>
      <c r="HZ54" s="157"/>
      <c r="IA54" s="157"/>
      <c r="IB54" s="157"/>
      <c r="IC54" s="157"/>
      <c r="ID54" s="157"/>
      <c r="IE54" s="157"/>
      <c r="IF54" s="157"/>
      <c r="IG54" s="157"/>
      <c r="IH54" s="157"/>
      <c r="II54" s="157"/>
      <c r="IJ54" s="157"/>
      <c r="IK54" s="157"/>
      <c r="IL54" s="157"/>
      <c r="IM54" s="157"/>
      <c r="IN54" s="157"/>
      <c r="IO54" s="157"/>
      <c r="IP54" s="157"/>
      <c r="IQ54" s="157"/>
      <c r="IR54" s="157"/>
      <c r="IS54" s="157"/>
      <c r="IT54" s="157"/>
      <c r="IU54" s="157"/>
      <c r="IV54" s="157"/>
      <c r="IW54" s="157"/>
      <c r="IX54" s="157"/>
      <c r="IY54" s="157"/>
      <c r="IZ54" s="157"/>
      <c r="JA54" s="157"/>
      <c r="JB54" s="157"/>
      <c r="JC54" s="157"/>
      <c r="JD54" s="157"/>
      <c r="JE54" s="157"/>
      <c r="JF54" s="157"/>
      <c r="JG54" s="157"/>
      <c r="JH54" s="157"/>
      <c r="JI54" s="157"/>
      <c r="JJ54" s="157"/>
      <c r="JK54" s="157"/>
      <c r="JL54" s="157"/>
      <c r="JM54" s="157"/>
      <c r="JN54" s="157"/>
      <c r="JO54" s="157"/>
      <c r="JP54" s="157"/>
      <c r="JQ54" s="157"/>
      <c r="JR54" s="157"/>
      <c r="JS54" s="157"/>
      <c r="JT54" s="157"/>
      <c r="JU54" s="157"/>
      <c r="JV54" s="157"/>
      <c r="JW54" s="157"/>
      <c r="JX54" s="157"/>
      <c r="JY54" s="157"/>
      <c r="JZ54" s="157"/>
      <c r="KA54" s="157"/>
      <c r="KB54" s="157"/>
      <c r="KC54" s="157"/>
      <c r="KD54" s="157"/>
      <c r="KE54" s="157"/>
      <c r="KF54" s="157"/>
      <c r="KG54" s="157"/>
      <c r="KH54" s="157"/>
      <c r="KI54" s="157"/>
      <c r="KJ54" s="157"/>
      <c r="KK54" s="157"/>
    </row>
    <row r="55" spans="1:297" x14ac:dyDescent="0.2">
      <c r="A55" s="433"/>
      <c r="B55" s="2"/>
      <c r="C55" s="126" t="s">
        <v>211</v>
      </c>
      <c r="D55" s="126" t="s">
        <v>143</v>
      </c>
      <c r="E55" s="126" t="s">
        <v>148</v>
      </c>
      <c r="F55" s="368">
        <v>250000</v>
      </c>
      <c r="G55" s="364">
        <v>250000</v>
      </c>
      <c r="H55" s="364">
        <v>250000</v>
      </c>
      <c r="I55" s="364">
        <v>250000</v>
      </c>
      <c r="J55" s="364">
        <v>250000</v>
      </c>
      <c r="K55" s="364">
        <v>250000</v>
      </c>
      <c r="L55" s="364">
        <v>250000</v>
      </c>
      <c r="M55" s="364">
        <v>250000</v>
      </c>
      <c r="N55" s="164"/>
      <c r="O55" s="154" t="s">
        <v>260</v>
      </c>
      <c r="P55" s="322" t="s">
        <v>257</v>
      </c>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7"/>
      <c r="BW55" s="157"/>
      <c r="BX55" s="157"/>
      <c r="BY55" s="157"/>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157"/>
      <c r="CV55" s="157"/>
      <c r="CW55" s="157"/>
      <c r="CX55" s="157"/>
      <c r="CY55" s="157"/>
      <c r="CZ55" s="157"/>
      <c r="DA55" s="157"/>
      <c r="DB55" s="157"/>
      <c r="DC55" s="157"/>
      <c r="DD55" s="157"/>
      <c r="DE55" s="157"/>
      <c r="DF55" s="157"/>
      <c r="DG55" s="157"/>
      <c r="DH55" s="157"/>
      <c r="DI55" s="157"/>
      <c r="DJ55" s="157"/>
      <c r="DK55" s="157"/>
      <c r="DL55" s="157"/>
      <c r="DM55" s="157"/>
      <c r="DN55" s="157"/>
      <c r="DO55" s="157"/>
      <c r="DP55" s="157"/>
      <c r="DQ55" s="157"/>
      <c r="DR55" s="157"/>
      <c r="DS55" s="157"/>
      <c r="DT55" s="157"/>
      <c r="DU55" s="157"/>
      <c r="DV55" s="157"/>
      <c r="DW55" s="157"/>
      <c r="DX55" s="157"/>
      <c r="DY55" s="157"/>
      <c r="DZ55" s="157"/>
      <c r="EA55" s="157"/>
      <c r="EB55" s="157"/>
      <c r="EC55" s="157"/>
      <c r="ED55" s="157"/>
      <c r="EE55" s="157"/>
      <c r="EF55" s="157"/>
      <c r="EG55" s="157"/>
      <c r="EH55" s="157"/>
      <c r="EI55" s="157"/>
      <c r="EJ55" s="157"/>
      <c r="EK55" s="157"/>
      <c r="EL55" s="157"/>
      <c r="EM55" s="157"/>
      <c r="EN55" s="157"/>
      <c r="EO55" s="157"/>
      <c r="EP55" s="157"/>
      <c r="EQ55" s="157"/>
      <c r="ER55" s="157"/>
      <c r="ES55" s="157"/>
      <c r="ET55" s="157"/>
      <c r="EU55" s="157"/>
      <c r="EV55" s="157"/>
      <c r="EW55" s="157"/>
      <c r="EX55" s="157"/>
      <c r="EY55" s="157"/>
      <c r="EZ55" s="157"/>
      <c r="FA55" s="157"/>
      <c r="FB55" s="157"/>
      <c r="FC55" s="157"/>
      <c r="FD55" s="157"/>
      <c r="FE55" s="157"/>
      <c r="FF55" s="157"/>
      <c r="FG55" s="157"/>
      <c r="FH55" s="157"/>
      <c r="FI55" s="157"/>
      <c r="FJ55" s="157"/>
      <c r="FK55" s="157"/>
      <c r="FL55" s="157"/>
      <c r="FM55" s="157"/>
      <c r="FN55" s="157"/>
      <c r="FO55" s="157"/>
      <c r="FP55" s="157"/>
      <c r="FQ55" s="157"/>
      <c r="FR55" s="157"/>
      <c r="FS55" s="157"/>
      <c r="FT55" s="157"/>
      <c r="FU55" s="157"/>
      <c r="FV55" s="157"/>
      <c r="FW55" s="157"/>
      <c r="FX55" s="157"/>
      <c r="FY55" s="157"/>
      <c r="FZ55" s="157"/>
      <c r="GA55" s="157"/>
      <c r="GB55" s="157"/>
      <c r="GC55" s="157"/>
      <c r="GD55" s="157"/>
      <c r="GE55" s="157"/>
      <c r="GF55" s="157"/>
      <c r="GG55" s="157"/>
      <c r="GH55" s="157"/>
      <c r="GI55" s="157"/>
      <c r="GJ55" s="157"/>
      <c r="GK55" s="157"/>
      <c r="GL55" s="157"/>
      <c r="GM55" s="157"/>
      <c r="GN55" s="157"/>
      <c r="GO55" s="157"/>
      <c r="GP55" s="157"/>
      <c r="GQ55" s="157"/>
      <c r="GR55" s="157"/>
      <c r="GS55" s="157"/>
      <c r="GT55" s="157"/>
      <c r="GU55" s="157"/>
      <c r="GV55" s="157"/>
      <c r="GW55" s="157"/>
      <c r="GX55" s="157"/>
      <c r="GY55" s="157"/>
      <c r="GZ55" s="157"/>
      <c r="HA55" s="157"/>
      <c r="HB55" s="157"/>
      <c r="HC55" s="157"/>
      <c r="HD55" s="157"/>
      <c r="HE55" s="157"/>
      <c r="HF55" s="157"/>
      <c r="HG55" s="157"/>
      <c r="HH55" s="157"/>
      <c r="HI55" s="157"/>
      <c r="HJ55" s="157"/>
      <c r="HK55" s="157"/>
      <c r="HL55" s="157"/>
      <c r="HM55" s="157"/>
      <c r="HN55" s="157"/>
      <c r="HO55" s="157"/>
      <c r="HP55" s="157"/>
      <c r="HQ55" s="157"/>
      <c r="HR55" s="157"/>
      <c r="HS55" s="157"/>
      <c r="HT55" s="157"/>
      <c r="HU55" s="157"/>
      <c r="HV55" s="157"/>
      <c r="HW55" s="157"/>
      <c r="HX55" s="157"/>
      <c r="HY55" s="157"/>
      <c r="HZ55" s="157"/>
      <c r="IA55" s="157"/>
      <c r="IB55" s="157"/>
      <c r="IC55" s="157"/>
      <c r="ID55" s="157"/>
      <c r="IE55" s="157"/>
      <c r="IF55" s="157"/>
      <c r="IG55" s="157"/>
      <c r="IH55" s="157"/>
      <c r="II55" s="157"/>
      <c r="IJ55" s="157"/>
      <c r="IK55" s="157"/>
      <c r="IL55" s="157"/>
      <c r="IM55" s="157"/>
      <c r="IN55" s="157"/>
      <c r="IO55" s="157"/>
      <c r="IP55" s="157"/>
      <c r="IQ55" s="157"/>
      <c r="IR55" s="157"/>
      <c r="IS55" s="157"/>
      <c r="IT55" s="157"/>
      <c r="IU55" s="157"/>
      <c r="IV55" s="157"/>
      <c r="IW55" s="157"/>
      <c r="IX55" s="157"/>
      <c r="IY55" s="157"/>
      <c r="IZ55" s="157"/>
      <c r="JA55" s="157"/>
      <c r="JB55" s="157"/>
      <c r="JC55" s="157"/>
      <c r="JD55" s="157"/>
      <c r="JE55" s="157"/>
      <c r="JF55" s="157"/>
      <c r="JG55" s="157"/>
      <c r="JH55" s="157"/>
      <c r="JI55" s="157"/>
      <c r="JJ55" s="157"/>
      <c r="JK55" s="157"/>
      <c r="JL55" s="157"/>
      <c r="JM55" s="157"/>
      <c r="JN55" s="157"/>
      <c r="JO55" s="157"/>
      <c r="JP55" s="157"/>
      <c r="JQ55" s="157"/>
      <c r="JR55" s="157"/>
      <c r="JS55" s="157"/>
      <c r="JT55" s="157"/>
      <c r="JU55" s="157"/>
      <c r="JV55" s="157"/>
      <c r="JW55" s="157"/>
      <c r="JX55" s="157"/>
      <c r="JY55" s="157"/>
      <c r="JZ55" s="157"/>
      <c r="KA55" s="157"/>
      <c r="KB55" s="157"/>
      <c r="KC55" s="157"/>
      <c r="KD55" s="157"/>
      <c r="KE55" s="157"/>
      <c r="KF55" s="157"/>
      <c r="KG55" s="157"/>
      <c r="KH55" s="157"/>
      <c r="KI55" s="157"/>
      <c r="KJ55" s="157"/>
      <c r="KK55" s="157"/>
    </row>
    <row r="56" spans="1:297" x14ac:dyDescent="0.2">
      <c r="A56" s="433"/>
      <c r="B56" s="2"/>
      <c r="C56" s="126" t="s">
        <v>211</v>
      </c>
      <c r="D56" s="126" t="s">
        <v>143</v>
      </c>
      <c r="E56" s="126" t="s">
        <v>176</v>
      </c>
      <c r="F56" s="368">
        <v>250000</v>
      </c>
      <c r="G56" s="364">
        <v>250000</v>
      </c>
      <c r="H56" s="364">
        <v>250000</v>
      </c>
      <c r="I56" s="364">
        <v>250000</v>
      </c>
      <c r="J56" s="364">
        <v>250000</v>
      </c>
      <c r="K56" s="364">
        <v>250000</v>
      </c>
      <c r="L56" s="364">
        <v>250000</v>
      </c>
      <c r="M56" s="364">
        <v>250000</v>
      </c>
      <c r="N56" s="164"/>
      <c r="O56" s="154" t="s">
        <v>260</v>
      </c>
      <c r="P56" s="322" t="s">
        <v>257</v>
      </c>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c r="CA56" s="157"/>
      <c r="CB56" s="157"/>
      <c r="CC56" s="157"/>
      <c r="CD56" s="157"/>
      <c r="CE56" s="157"/>
      <c r="CF56" s="157"/>
      <c r="CG56" s="157"/>
      <c r="CH56" s="157"/>
      <c r="CI56" s="157"/>
      <c r="CJ56" s="157"/>
      <c r="CK56" s="157"/>
      <c r="CL56" s="157"/>
      <c r="CM56" s="157"/>
      <c r="CN56" s="157"/>
      <c r="CO56" s="157"/>
      <c r="CP56" s="157"/>
      <c r="CQ56" s="157"/>
      <c r="CR56" s="157"/>
      <c r="CS56" s="157"/>
      <c r="CT56" s="157"/>
      <c r="CU56" s="157"/>
      <c r="CV56" s="157"/>
      <c r="CW56" s="157"/>
      <c r="CX56" s="157"/>
      <c r="CY56" s="157"/>
      <c r="CZ56" s="157"/>
      <c r="DA56" s="157"/>
      <c r="DB56" s="157"/>
      <c r="DC56" s="157"/>
      <c r="DD56" s="157"/>
      <c r="DE56" s="157"/>
      <c r="DF56" s="157"/>
      <c r="DG56" s="157"/>
      <c r="DH56" s="157"/>
      <c r="DI56" s="157"/>
      <c r="DJ56" s="157"/>
      <c r="DK56" s="157"/>
      <c r="DL56" s="157"/>
      <c r="DM56" s="157"/>
      <c r="DN56" s="157"/>
      <c r="DO56" s="157"/>
      <c r="DP56" s="157"/>
      <c r="DQ56" s="157"/>
      <c r="DR56" s="157"/>
      <c r="DS56" s="157"/>
      <c r="DT56" s="157"/>
      <c r="DU56" s="157"/>
      <c r="DV56" s="157"/>
      <c r="DW56" s="157"/>
      <c r="DX56" s="157"/>
      <c r="DY56" s="157"/>
      <c r="DZ56" s="157"/>
      <c r="EA56" s="157"/>
      <c r="EB56" s="157"/>
      <c r="EC56" s="157"/>
      <c r="ED56" s="157"/>
      <c r="EE56" s="157"/>
      <c r="EF56" s="157"/>
      <c r="EG56" s="157"/>
      <c r="EH56" s="157"/>
      <c r="EI56" s="157"/>
      <c r="EJ56" s="157"/>
      <c r="EK56" s="157"/>
      <c r="EL56" s="157"/>
      <c r="EM56" s="157"/>
      <c r="EN56" s="157"/>
      <c r="EO56" s="157"/>
      <c r="EP56" s="157"/>
      <c r="EQ56" s="157"/>
      <c r="ER56" s="157"/>
      <c r="ES56" s="157"/>
      <c r="ET56" s="157"/>
      <c r="EU56" s="157"/>
      <c r="EV56" s="157"/>
      <c r="EW56" s="157"/>
      <c r="EX56" s="157"/>
      <c r="EY56" s="157"/>
      <c r="EZ56" s="157"/>
      <c r="FA56" s="157"/>
      <c r="FB56" s="157"/>
      <c r="FC56" s="157"/>
      <c r="FD56" s="157"/>
      <c r="FE56" s="157"/>
      <c r="FF56" s="157"/>
      <c r="FG56" s="157"/>
      <c r="FH56" s="157"/>
      <c r="FI56" s="157"/>
      <c r="FJ56" s="157"/>
      <c r="FK56" s="157"/>
      <c r="FL56" s="157"/>
      <c r="FM56" s="157"/>
      <c r="FN56" s="157"/>
      <c r="FO56" s="157"/>
      <c r="FP56" s="157"/>
      <c r="FQ56" s="157"/>
      <c r="FR56" s="157"/>
      <c r="FS56" s="157"/>
      <c r="FT56" s="157"/>
      <c r="FU56" s="157"/>
      <c r="FV56" s="157"/>
      <c r="FW56" s="157"/>
      <c r="FX56" s="157"/>
      <c r="FY56" s="157"/>
      <c r="FZ56" s="157"/>
      <c r="GA56" s="157"/>
      <c r="GB56" s="157"/>
      <c r="GC56" s="157"/>
      <c r="GD56" s="157"/>
      <c r="GE56" s="157"/>
      <c r="GF56" s="157"/>
      <c r="GG56" s="157"/>
      <c r="GH56" s="157"/>
      <c r="GI56" s="157"/>
      <c r="GJ56" s="157"/>
      <c r="GK56" s="157"/>
      <c r="GL56" s="157"/>
      <c r="GM56" s="157"/>
      <c r="GN56" s="157"/>
      <c r="GO56" s="157"/>
      <c r="GP56" s="157"/>
      <c r="GQ56" s="157"/>
      <c r="GR56" s="157"/>
      <c r="GS56" s="157"/>
      <c r="GT56" s="157"/>
      <c r="GU56" s="157"/>
      <c r="GV56" s="157"/>
      <c r="GW56" s="157"/>
      <c r="GX56" s="157"/>
      <c r="GY56" s="157"/>
      <c r="GZ56" s="157"/>
      <c r="HA56" s="157"/>
      <c r="HB56" s="157"/>
      <c r="HC56" s="157"/>
      <c r="HD56" s="157"/>
      <c r="HE56" s="157"/>
      <c r="HF56" s="157"/>
      <c r="HG56" s="157"/>
      <c r="HH56" s="157"/>
      <c r="HI56" s="157"/>
      <c r="HJ56" s="157"/>
      <c r="HK56" s="157"/>
      <c r="HL56" s="157"/>
      <c r="HM56" s="157"/>
      <c r="HN56" s="157"/>
      <c r="HO56" s="157"/>
      <c r="HP56" s="157"/>
      <c r="HQ56" s="157"/>
      <c r="HR56" s="157"/>
      <c r="HS56" s="157"/>
      <c r="HT56" s="157"/>
      <c r="HU56" s="157"/>
      <c r="HV56" s="157"/>
      <c r="HW56" s="157"/>
      <c r="HX56" s="157"/>
      <c r="HY56" s="157"/>
      <c r="HZ56" s="157"/>
      <c r="IA56" s="157"/>
      <c r="IB56" s="157"/>
      <c r="IC56" s="157"/>
      <c r="ID56" s="157"/>
      <c r="IE56" s="157"/>
      <c r="IF56" s="157"/>
      <c r="IG56" s="157"/>
      <c r="IH56" s="157"/>
      <c r="II56" s="157"/>
      <c r="IJ56" s="157"/>
      <c r="IK56" s="157"/>
      <c r="IL56" s="157"/>
      <c r="IM56" s="157"/>
      <c r="IN56" s="157"/>
      <c r="IO56" s="157"/>
      <c r="IP56" s="157"/>
      <c r="IQ56" s="157"/>
      <c r="IR56" s="157"/>
      <c r="IS56" s="157"/>
      <c r="IT56" s="157"/>
      <c r="IU56" s="157"/>
      <c r="IV56" s="157"/>
      <c r="IW56" s="157"/>
      <c r="IX56" s="157"/>
      <c r="IY56" s="157"/>
      <c r="IZ56" s="157"/>
      <c r="JA56" s="157"/>
      <c r="JB56" s="157"/>
      <c r="JC56" s="157"/>
      <c r="JD56" s="157"/>
      <c r="JE56" s="157"/>
      <c r="JF56" s="157"/>
      <c r="JG56" s="157"/>
      <c r="JH56" s="157"/>
      <c r="JI56" s="157"/>
      <c r="JJ56" s="157"/>
      <c r="JK56" s="157"/>
      <c r="JL56" s="157"/>
      <c r="JM56" s="157"/>
      <c r="JN56" s="157"/>
      <c r="JO56" s="157"/>
      <c r="JP56" s="157"/>
      <c r="JQ56" s="157"/>
      <c r="JR56" s="157"/>
      <c r="JS56" s="157"/>
      <c r="JT56" s="157"/>
      <c r="JU56" s="157"/>
      <c r="JV56" s="157"/>
      <c r="JW56" s="157"/>
      <c r="JX56" s="157"/>
      <c r="JY56" s="157"/>
      <c r="JZ56" s="157"/>
      <c r="KA56" s="157"/>
      <c r="KB56" s="157"/>
      <c r="KC56" s="157"/>
      <c r="KD56" s="157"/>
      <c r="KE56" s="157"/>
      <c r="KF56" s="157"/>
      <c r="KG56" s="157"/>
      <c r="KH56" s="157"/>
      <c r="KI56" s="157"/>
      <c r="KJ56" s="157"/>
      <c r="KK56" s="157"/>
    </row>
    <row r="57" spans="1:297" ht="16" thickBot="1" x14ac:dyDescent="0.25">
      <c r="A57" s="433"/>
      <c r="B57" s="2"/>
      <c r="C57" s="126" t="s">
        <v>211</v>
      </c>
      <c r="D57" s="126" t="s">
        <v>143</v>
      </c>
      <c r="E57" s="126" t="s">
        <v>158</v>
      </c>
      <c r="F57" s="368">
        <v>250000</v>
      </c>
      <c r="G57" s="364">
        <v>250000</v>
      </c>
      <c r="H57" s="364">
        <v>250000</v>
      </c>
      <c r="I57" s="364">
        <v>250000</v>
      </c>
      <c r="J57" s="364">
        <v>250000</v>
      </c>
      <c r="K57" s="364">
        <v>250000</v>
      </c>
      <c r="L57" s="364">
        <v>250000</v>
      </c>
      <c r="M57" s="364">
        <v>250000</v>
      </c>
      <c r="N57" s="164"/>
      <c r="O57" s="154" t="s">
        <v>260</v>
      </c>
      <c r="P57" s="322" t="s">
        <v>257</v>
      </c>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7"/>
      <c r="BQ57" s="157"/>
      <c r="BR57" s="157"/>
      <c r="BS57" s="157"/>
      <c r="BT57" s="157"/>
      <c r="BU57" s="157"/>
      <c r="BV57" s="157"/>
      <c r="BW57" s="157"/>
      <c r="BX57" s="157"/>
      <c r="BY57" s="157"/>
      <c r="BZ57" s="157"/>
      <c r="CA57" s="157"/>
      <c r="CB57" s="157"/>
      <c r="CC57" s="157"/>
      <c r="CD57" s="157"/>
      <c r="CE57" s="157"/>
      <c r="CF57" s="157"/>
      <c r="CG57" s="157"/>
      <c r="CH57" s="157"/>
      <c r="CI57" s="157"/>
      <c r="CJ57" s="157"/>
      <c r="CK57" s="157"/>
      <c r="CL57" s="157"/>
      <c r="CM57" s="157"/>
      <c r="CN57" s="157"/>
      <c r="CO57" s="157"/>
      <c r="CP57" s="157"/>
      <c r="CQ57" s="157"/>
      <c r="CR57" s="157"/>
      <c r="CS57" s="157"/>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57"/>
      <c r="DT57" s="157"/>
      <c r="DU57" s="157"/>
      <c r="DV57" s="157"/>
      <c r="DW57" s="157"/>
      <c r="DX57" s="157"/>
      <c r="DY57" s="157"/>
      <c r="DZ57" s="157"/>
      <c r="EA57" s="157"/>
      <c r="EB57" s="157"/>
      <c r="EC57" s="157"/>
      <c r="ED57" s="157"/>
      <c r="EE57" s="157"/>
      <c r="EF57" s="157"/>
      <c r="EG57" s="157"/>
      <c r="EH57" s="157"/>
      <c r="EI57" s="157"/>
      <c r="EJ57" s="157"/>
      <c r="EK57" s="157"/>
      <c r="EL57" s="157"/>
      <c r="EM57" s="157"/>
      <c r="EN57" s="157"/>
      <c r="EO57" s="157"/>
      <c r="EP57" s="157"/>
      <c r="EQ57" s="157"/>
      <c r="ER57" s="157"/>
      <c r="ES57" s="157"/>
      <c r="ET57" s="157"/>
      <c r="EU57" s="157"/>
      <c r="EV57" s="157"/>
      <c r="EW57" s="157"/>
      <c r="EX57" s="157"/>
      <c r="EY57" s="157"/>
      <c r="EZ57" s="157"/>
      <c r="FA57" s="157"/>
      <c r="FB57" s="157"/>
      <c r="FC57" s="157"/>
      <c r="FD57" s="157"/>
      <c r="FE57" s="157"/>
      <c r="FF57" s="157"/>
      <c r="FG57" s="157"/>
      <c r="FH57" s="157"/>
      <c r="FI57" s="157"/>
      <c r="FJ57" s="157"/>
      <c r="FK57" s="157"/>
      <c r="FL57" s="157"/>
      <c r="FM57" s="157"/>
      <c r="FN57" s="157"/>
      <c r="FO57" s="157"/>
      <c r="FP57" s="157"/>
      <c r="FQ57" s="157"/>
      <c r="FR57" s="157"/>
      <c r="FS57" s="157"/>
      <c r="FT57" s="157"/>
      <c r="FU57" s="157"/>
      <c r="FV57" s="157"/>
      <c r="FW57" s="157"/>
      <c r="FX57" s="157"/>
      <c r="FY57" s="157"/>
      <c r="FZ57" s="157"/>
      <c r="GA57" s="157"/>
      <c r="GB57" s="157"/>
      <c r="GC57" s="157"/>
      <c r="GD57" s="157"/>
      <c r="GE57" s="157"/>
      <c r="GF57" s="157"/>
      <c r="GG57" s="157"/>
      <c r="GH57" s="157"/>
      <c r="GI57" s="157"/>
      <c r="GJ57" s="157"/>
      <c r="GK57" s="157"/>
      <c r="GL57" s="157"/>
      <c r="GM57" s="157"/>
      <c r="GN57" s="157"/>
      <c r="GO57" s="157"/>
      <c r="GP57" s="157"/>
      <c r="GQ57" s="157"/>
      <c r="GR57" s="157"/>
      <c r="GS57" s="157"/>
      <c r="GT57" s="157"/>
      <c r="GU57" s="157"/>
      <c r="GV57" s="157"/>
      <c r="GW57" s="157"/>
      <c r="GX57" s="157"/>
      <c r="GY57" s="157"/>
      <c r="GZ57" s="157"/>
      <c r="HA57" s="157"/>
      <c r="HB57" s="157"/>
      <c r="HC57" s="157"/>
      <c r="HD57" s="157"/>
      <c r="HE57" s="157"/>
      <c r="HF57" s="157"/>
      <c r="HG57" s="157"/>
      <c r="HH57" s="157"/>
      <c r="HI57" s="157"/>
      <c r="HJ57" s="157"/>
      <c r="HK57" s="157"/>
      <c r="HL57" s="157"/>
      <c r="HM57" s="157"/>
      <c r="HN57" s="157"/>
      <c r="HO57" s="157"/>
      <c r="HP57" s="157"/>
      <c r="HQ57" s="157"/>
      <c r="HR57" s="157"/>
      <c r="HS57" s="157"/>
      <c r="HT57" s="157"/>
      <c r="HU57" s="157"/>
      <c r="HV57" s="157"/>
      <c r="HW57" s="157"/>
      <c r="HX57" s="157"/>
      <c r="HY57" s="157"/>
      <c r="HZ57" s="157"/>
      <c r="IA57" s="157"/>
      <c r="IB57" s="157"/>
      <c r="IC57" s="157"/>
      <c r="ID57" s="157"/>
      <c r="IE57" s="157"/>
      <c r="IF57" s="157"/>
      <c r="IG57" s="157"/>
      <c r="IH57" s="157"/>
      <c r="II57" s="157"/>
      <c r="IJ57" s="157"/>
      <c r="IK57" s="157"/>
      <c r="IL57" s="157"/>
      <c r="IM57" s="157"/>
      <c r="IN57" s="157"/>
      <c r="IO57" s="157"/>
      <c r="IP57" s="157"/>
      <c r="IQ57" s="157"/>
      <c r="IR57" s="157"/>
      <c r="IS57" s="157"/>
      <c r="IT57" s="157"/>
      <c r="IU57" s="157"/>
      <c r="IV57" s="157"/>
      <c r="IW57" s="157"/>
      <c r="IX57" s="157"/>
      <c r="IY57" s="157"/>
      <c r="IZ57" s="157"/>
      <c r="JA57" s="157"/>
      <c r="JB57" s="157"/>
      <c r="JC57" s="157"/>
      <c r="JD57" s="157"/>
      <c r="JE57" s="157"/>
      <c r="JF57" s="157"/>
      <c r="JG57" s="157"/>
      <c r="JH57" s="157"/>
      <c r="JI57" s="157"/>
      <c r="JJ57" s="157"/>
      <c r="JK57" s="157"/>
      <c r="JL57" s="157"/>
      <c r="JM57" s="157"/>
      <c r="JN57" s="157"/>
      <c r="JO57" s="157"/>
      <c r="JP57" s="157"/>
      <c r="JQ57" s="157"/>
      <c r="JR57" s="157"/>
      <c r="JS57" s="157"/>
      <c r="JT57" s="157"/>
      <c r="JU57" s="157"/>
      <c r="JV57" s="157"/>
      <c r="JW57" s="157"/>
      <c r="JX57" s="157"/>
      <c r="JY57" s="157"/>
      <c r="JZ57" s="157"/>
      <c r="KA57" s="157"/>
      <c r="KB57" s="157"/>
      <c r="KC57" s="157"/>
      <c r="KD57" s="157"/>
      <c r="KE57" s="157"/>
      <c r="KF57" s="157"/>
      <c r="KG57" s="157"/>
      <c r="KH57" s="157"/>
      <c r="KI57" s="157"/>
      <c r="KJ57" s="157"/>
      <c r="KK57" s="157"/>
    </row>
    <row r="58" spans="1:297" ht="17" thickBot="1" x14ac:dyDescent="0.25">
      <c r="A58" s="434" t="s">
        <v>120</v>
      </c>
      <c r="B58" s="181" t="s">
        <v>75</v>
      </c>
      <c r="C58" s="180"/>
      <c r="D58" s="335" t="s">
        <v>144</v>
      </c>
      <c r="E58" s="335"/>
      <c r="F58" s="369">
        <v>123910116220665.27</v>
      </c>
      <c r="G58" s="370">
        <v>117522195901061.81</v>
      </c>
      <c r="H58" s="369">
        <v>129833882225496.36</v>
      </c>
      <c r="I58" s="370">
        <v>104101765649367.27</v>
      </c>
      <c r="J58" s="369">
        <v>121523159977070.28</v>
      </c>
      <c r="K58" s="370">
        <v>121534032258606.3</v>
      </c>
      <c r="L58" s="369">
        <v>120100170682888.8</v>
      </c>
      <c r="M58" s="371">
        <v>130275347694868.2</v>
      </c>
      <c r="N58" s="336" t="s">
        <v>95</v>
      </c>
      <c r="O58" s="337" t="s">
        <v>93</v>
      </c>
      <c r="P58" s="338" t="s">
        <v>101</v>
      </c>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7"/>
      <c r="BQ58" s="157"/>
      <c r="BR58" s="157"/>
      <c r="BS58" s="157"/>
      <c r="BT58" s="157"/>
      <c r="BU58" s="157"/>
      <c r="BV58" s="157"/>
      <c r="BW58" s="157"/>
      <c r="BX58" s="157"/>
      <c r="BY58" s="157"/>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57"/>
      <c r="DT58" s="157"/>
      <c r="DU58" s="157"/>
      <c r="DV58" s="157"/>
      <c r="DW58" s="157"/>
      <c r="DX58" s="157"/>
      <c r="DY58" s="157"/>
      <c r="DZ58" s="157"/>
      <c r="EA58" s="157"/>
      <c r="EB58" s="157"/>
      <c r="EC58" s="157"/>
      <c r="ED58" s="157"/>
      <c r="EE58" s="157"/>
      <c r="EF58" s="157"/>
      <c r="EG58" s="157"/>
      <c r="EH58" s="157"/>
      <c r="EI58" s="157"/>
      <c r="EJ58" s="157"/>
      <c r="EK58" s="157"/>
      <c r="EL58" s="157"/>
      <c r="EM58" s="157"/>
      <c r="EN58" s="157"/>
      <c r="EO58" s="157"/>
      <c r="EP58" s="157"/>
      <c r="EQ58" s="157"/>
      <c r="ER58" s="157"/>
      <c r="ES58" s="157"/>
      <c r="ET58" s="157"/>
      <c r="EU58" s="157"/>
      <c r="EV58" s="157"/>
      <c r="EW58" s="157"/>
      <c r="EX58" s="157"/>
      <c r="EY58" s="157"/>
      <c r="EZ58" s="157"/>
      <c r="FA58" s="157"/>
      <c r="FB58" s="157"/>
      <c r="FC58" s="157"/>
      <c r="FD58" s="157"/>
      <c r="FE58" s="157"/>
      <c r="FF58" s="157"/>
      <c r="FG58" s="157"/>
      <c r="FH58" s="157"/>
      <c r="FI58" s="157"/>
      <c r="FJ58" s="157"/>
      <c r="FK58" s="157"/>
      <c r="FL58" s="157"/>
      <c r="FM58" s="157"/>
      <c r="FN58" s="157"/>
      <c r="FO58" s="157"/>
      <c r="FP58" s="157"/>
      <c r="FQ58" s="157"/>
      <c r="FR58" s="157"/>
      <c r="FS58" s="157"/>
      <c r="FT58" s="157"/>
      <c r="FU58" s="157"/>
      <c r="FV58" s="157"/>
      <c r="FW58" s="157"/>
      <c r="FX58" s="157"/>
      <c r="FY58" s="157"/>
      <c r="FZ58" s="157"/>
      <c r="GA58" s="157"/>
      <c r="GB58" s="157"/>
      <c r="GC58" s="157"/>
      <c r="GD58" s="157"/>
      <c r="GE58" s="157"/>
      <c r="GF58" s="157"/>
      <c r="GG58" s="157"/>
      <c r="GH58" s="157"/>
      <c r="GI58" s="157"/>
      <c r="GJ58" s="157"/>
      <c r="GK58" s="157"/>
      <c r="GL58" s="157"/>
      <c r="GM58" s="157"/>
      <c r="GN58" s="157"/>
      <c r="GO58" s="157"/>
      <c r="GP58" s="157"/>
      <c r="GQ58" s="157"/>
      <c r="GR58" s="157"/>
      <c r="GS58" s="157"/>
      <c r="GT58" s="157"/>
      <c r="GU58" s="157"/>
      <c r="GV58" s="157"/>
      <c r="GW58" s="157"/>
      <c r="GX58" s="157"/>
      <c r="GY58" s="157"/>
      <c r="GZ58" s="157"/>
      <c r="HA58" s="157"/>
      <c r="HB58" s="157"/>
      <c r="HC58" s="157"/>
      <c r="HD58" s="157"/>
      <c r="HE58" s="157"/>
      <c r="HF58" s="157"/>
      <c r="HG58" s="157"/>
      <c r="HH58" s="157"/>
      <c r="HI58" s="157"/>
      <c r="HJ58" s="157"/>
      <c r="HK58" s="157"/>
      <c r="HL58" s="157"/>
      <c r="HM58" s="157"/>
      <c r="HN58" s="157"/>
      <c r="HO58" s="157"/>
      <c r="HP58" s="157"/>
      <c r="HQ58" s="157"/>
      <c r="HR58" s="157"/>
      <c r="HS58" s="157"/>
      <c r="HT58" s="157"/>
      <c r="HU58" s="157"/>
      <c r="HV58" s="157"/>
      <c r="HW58" s="157"/>
      <c r="HX58" s="157"/>
      <c r="HY58" s="157"/>
      <c r="HZ58" s="157"/>
      <c r="IA58" s="157"/>
      <c r="IB58" s="157"/>
      <c r="IC58" s="157"/>
      <c r="ID58" s="157"/>
      <c r="IE58" s="157"/>
      <c r="IF58" s="157"/>
      <c r="IG58" s="157"/>
      <c r="IH58" s="157"/>
      <c r="II58" s="157"/>
      <c r="IJ58" s="157"/>
      <c r="IK58" s="157"/>
      <c r="IL58" s="157"/>
      <c r="IM58" s="157"/>
      <c r="IN58" s="157"/>
      <c r="IO58" s="157"/>
      <c r="IP58" s="157"/>
      <c r="IQ58" s="157"/>
      <c r="IR58" s="157"/>
      <c r="IS58" s="157"/>
      <c r="IT58" s="157"/>
      <c r="IU58" s="157"/>
      <c r="IV58" s="157"/>
      <c r="IW58" s="157"/>
      <c r="IX58" s="157"/>
      <c r="IY58" s="157"/>
      <c r="IZ58" s="157"/>
      <c r="JA58" s="157"/>
      <c r="JB58" s="157"/>
      <c r="JC58" s="157"/>
      <c r="JD58" s="157"/>
      <c r="JE58" s="157"/>
      <c r="JF58" s="157"/>
      <c r="JG58" s="157"/>
      <c r="JH58" s="157"/>
      <c r="JI58" s="157"/>
      <c r="JJ58" s="157"/>
      <c r="JK58" s="157"/>
      <c r="JL58" s="157"/>
      <c r="JM58" s="157"/>
      <c r="JN58" s="157"/>
      <c r="JO58" s="157"/>
      <c r="JP58" s="157"/>
      <c r="JQ58" s="157"/>
      <c r="JR58" s="157"/>
      <c r="JS58" s="157"/>
      <c r="JT58" s="157"/>
      <c r="JU58" s="157"/>
      <c r="JV58" s="157"/>
      <c r="JW58" s="157"/>
      <c r="JX58" s="157"/>
      <c r="JY58" s="157"/>
      <c r="JZ58" s="157"/>
      <c r="KA58" s="157"/>
      <c r="KB58" s="157"/>
      <c r="KC58" s="157"/>
      <c r="KD58" s="157"/>
      <c r="KE58" s="157"/>
      <c r="KF58" s="157"/>
      <c r="KG58" s="157"/>
      <c r="KH58" s="157"/>
      <c r="KI58" s="157"/>
      <c r="KJ58" s="157"/>
      <c r="KK58" s="157"/>
    </row>
    <row r="59" spans="1:297" ht="17" thickBot="1" x14ac:dyDescent="0.25">
      <c r="A59" s="435"/>
      <c r="B59" s="181" t="s">
        <v>76</v>
      </c>
      <c r="C59" s="182"/>
      <c r="D59" s="160" t="s">
        <v>144</v>
      </c>
      <c r="E59" s="160"/>
      <c r="F59" s="358">
        <v>362031185573577.38</v>
      </c>
      <c r="G59" s="359">
        <v>360895696229383.81</v>
      </c>
      <c r="H59" s="358">
        <v>362168406089139.88</v>
      </c>
      <c r="I59" s="359">
        <v>362278191830475.81</v>
      </c>
      <c r="J59" s="358">
        <v>363132297264073.62</v>
      </c>
      <c r="K59" s="359">
        <v>358531188324205.88</v>
      </c>
      <c r="L59" s="358">
        <v>358243731045640.94</v>
      </c>
      <c r="M59" s="360">
        <v>361628024420237.69</v>
      </c>
      <c r="N59" s="164" t="s">
        <v>96</v>
      </c>
      <c r="O59" s="154" t="s">
        <v>93</v>
      </c>
      <c r="P59" s="197" t="s">
        <v>101</v>
      </c>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7"/>
      <c r="BQ59" s="157"/>
      <c r="BR59" s="157"/>
      <c r="BS59" s="157"/>
      <c r="BT59" s="157"/>
      <c r="BU59" s="157"/>
      <c r="BV59" s="157"/>
      <c r="BW59" s="157"/>
      <c r="BX59" s="157"/>
      <c r="BY59" s="157"/>
      <c r="BZ59" s="157"/>
      <c r="CA59" s="157"/>
      <c r="CB59" s="157"/>
      <c r="CC59" s="157"/>
      <c r="CD59" s="157"/>
      <c r="CE59" s="157"/>
      <c r="CF59" s="157"/>
      <c r="CG59" s="157"/>
      <c r="CH59" s="157"/>
      <c r="CI59" s="157"/>
      <c r="CJ59" s="157"/>
      <c r="CK59" s="157"/>
      <c r="CL59" s="157"/>
      <c r="CM59" s="157"/>
      <c r="CN59" s="157"/>
      <c r="CO59" s="157"/>
      <c r="CP59" s="157"/>
      <c r="CQ59" s="157"/>
      <c r="CR59" s="157"/>
      <c r="CS59" s="157"/>
      <c r="CT59" s="157"/>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57"/>
      <c r="DT59" s="157"/>
      <c r="DU59" s="157"/>
      <c r="DV59" s="157"/>
      <c r="DW59" s="157"/>
      <c r="DX59" s="157"/>
      <c r="DY59" s="157"/>
      <c r="DZ59" s="157"/>
      <c r="EA59" s="157"/>
      <c r="EB59" s="157"/>
      <c r="EC59" s="157"/>
      <c r="ED59" s="157"/>
      <c r="EE59" s="157"/>
      <c r="EF59" s="157"/>
      <c r="EG59" s="157"/>
      <c r="EH59" s="157"/>
      <c r="EI59" s="157"/>
      <c r="EJ59" s="157"/>
      <c r="EK59" s="157"/>
      <c r="EL59" s="157"/>
      <c r="EM59" s="157"/>
      <c r="EN59" s="157"/>
      <c r="EO59" s="157"/>
      <c r="EP59" s="157"/>
      <c r="EQ59" s="157"/>
      <c r="ER59" s="157"/>
      <c r="ES59" s="157"/>
      <c r="ET59" s="157"/>
      <c r="EU59" s="157"/>
      <c r="EV59" s="157"/>
      <c r="EW59" s="157"/>
      <c r="EX59" s="157"/>
      <c r="EY59" s="157"/>
      <c r="EZ59" s="157"/>
      <c r="FA59" s="157"/>
      <c r="FB59" s="157"/>
      <c r="FC59" s="157"/>
      <c r="FD59" s="157"/>
      <c r="FE59" s="157"/>
      <c r="FF59" s="157"/>
      <c r="FG59" s="157"/>
      <c r="FH59" s="157"/>
      <c r="FI59" s="157"/>
      <c r="FJ59" s="157"/>
      <c r="FK59" s="157"/>
      <c r="FL59" s="157"/>
      <c r="FM59" s="157"/>
      <c r="FN59" s="157"/>
      <c r="FO59" s="157"/>
      <c r="FP59" s="157"/>
      <c r="FQ59" s="157"/>
      <c r="FR59" s="157"/>
      <c r="FS59" s="157"/>
      <c r="FT59" s="157"/>
      <c r="FU59" s="157"/>
      <c r="FV59" s="157"/>
      <c r="FW59" s="157"/>
      <c r="FX59" s="157"/>
      <c r="FY59" s="157"/>
      <c r="FZ59" s="157"/>
      <c r="GA59" s="157"/>
      <c r="GB59" s="157"/>
      <c r="GC59" s="157"/>
      <c r="GD59" s="157"/>
      <c r="GE59" s="157"/>
      <c r="GF59" s="157"/>
      <c r="GG59" s="157"/>
      <c r="GH59" s="157"/>
      <c r="GI59" s="157"/>
      <c r="GJ59" s="157"/>
      <c r="GK59" s="157"/>
      <c r="GL59" s="157"/>
      <c r="GM59" s="157"/>
      <c r="GN59" s="157"/>
      <c r="GO59" s="157"/>
      <c r="GP59" s="157"/>
      <c r="GQ59" s="157"/>
      <c r="GR59" s="157"/>
      <c r="GS59" s="157"/>
      <c r="GT59" s="157"/>
      <c r="GU59" s="157"/>
      <c r="GV59" s="157"/>
      <c r="GW59" s="157"/>
      <c r="GX59" s="157"/>
      <c r="GY59" s="157"/>
      <c r="GZ59" s="157"/>
      <c r="HA59" s="157"/>
      <c r="HB59" s="157"/>
      <c r="HC59" s="157"/>
      <c r="HD59" s="157"/>
      <c r="HE59" s="157"/>
      <c r="HF59" s="157"/>
      <c r="HG59" s="157"/>
      <c r="HH59" s="157"/>
      <c r="HI59" s="157"/>
      <c r="HJ59" s="157"/>
      <c r="HK59" s="157"/>
      <c r="HL59" s="157"/>
      <c r="HM59" s="157"/>
      <c r="HN59" s="157"/>
      <c r="HO59" s="157"/>
      <c r="HP59" s="157"/>
      <c r="HQ59" s="157"/>
      <c r="HR59" s="157"/>
      <c r="HS59" s="157"/>
      <c r="HT59" s="157"/>
      <c r="HU59" s="157"/>
      <c r="HV59" s="157"/>
      <c r="HW59" s="157"/>
      <c r="HX59" s="157"/>
      <c r="HY59" s="157"/>
      <c r="HZ59" s="157"/>
      <c r="IA59" s="157"/>
      <c r="IB59" s="157"/>
      <c r="IC59" s="157"/>
      <c r="ID59" s="157"/>
      <c r="IE59" s="157"/>
      <c r="IF59" s="157"/>
      <c r="IG59" s="157"/>
      <c r="IH59" s="157"/>
      <c r="II59" s="157"/>
      <c r="IJ59" s="157"/>
      <c r="IK59" s="157"/>
      <c r="IL59" s="157"/>
      <c r="IM59" s="157"/>
      <c r="IN59" s="157"/>
      <c r="IO59" s="157"/>
      <c r="IP59" s="157"/>
      <c r="IQ59" s="157"/>
      <c r="IR59" s="157"/>
      <c r="IS59" s="157"/>
      <c r="IT59" s="157"/>
      <c r="IU59" s="157"/>
      <c r="IV59" s="157"/>
      <c r="IW59" s="157"/>
      <c r="IX59" s="157"/>
      <c r="IY59" s="157"/>
      <c r="IZ59" s="157"/>
      <c r="JA59" s="157"/>
      <c r="JB59" s="157"/>
      <c r="JC59" s="157"/>
      <c r="JD59" s="157"/>
      <c r="JE59" s="157"/>
      <c r="JF59" s="157"/>
      <c r="JG59" s="157"/>
      <c r="JH59" s="157"/>
      <c r="JI59" s="157"/>
      <c r="JJ59" s="157"/>
      <c r="JK59" s="157"/>
      <c r="JL59" s="157"/>
      <c r="JM59" s="157"/>
      <c r="JN59" s="157"/>
      <c r="JO59" s="157"/>
      <c r="JP59" s="157"/>
      <c r="JQ59" s="157"/>
      <c r="JR59" s="157"/>
      <c r="JS59" s="157"/>
      <c r="JT59" s="157"/>
      <c r="JU59" s="157"/>
      <c r="JV59" s="157"/>
      <c r="JW59" s="157"/>
      <c r="JX59" s="157"/>
      <c r="JY59" s="157"/>
      <c r="JZ59" s="157"/>
      <c r="KA59" s="157"/>
      <c r="KB59" s="157"/>
      <c r="KC59" s="157"/>
      <c r="KD59" s="157"/>
      <c r="KE59" s="157"/>
      <c r="KF59" s="157"/>
      <c r="KG59" s="157"/>
      <c r="KH59" s="157"/>
      <c r="KI59" s="157"/>
      <c r="KJ59" s="157"/>
      <c r="KK59" s="157"/>
    </row>
    <row r="60" spans="1:297" ht="65" thickBot="1" x14ac:dyDescent="0.25">
      <c r="A60" s="435"/>
      <c r="B60" s="183"/>
      <c r="C60" s="183" t="s">
        <v>145</v>
      </c>
      <c r="D60" s="159" t="s">
        <v>144</v>
      </c>
      <c r="E60" s="159"/>
      <c r="F60" s="358">
        <f t="shared" ref="F60:M60" si="3">F59+F58+F8</f>
        <v>502268688752959.06</v>
      </c>
      <c r="G60" s="348">
        <f t="shared" si="3"/>
        <v>502268688752959</v>
      </c>
      <c r="H60" s="358">
        <f t="shared" si="3"/>
        <v>502268688752959.06</v>
      </c>
      <c r="I60" s="358">
        <f t="shared" si="3"/>
        <v>502268688752959.06</v>
      </c>
      <c r="J60" s="358">
        <f t="shared" si="3"/>
        <v>502268688752959.06</v>
      </c>
      <c r="K60" s="358">
        <f t="shared" si="3"/>
        <v>502268688752959</v>
      </c>
      <c r="L60" s="358">
        <f t="shared" si="3"/>
        <v>502268688752959.06</v>
      </c>
      <c r="M60" s="358">
        <f t="shared" si="3"/>
        <v>502268688752959.06</v>
      </c>
      <c r="N60" s="164"/>
      <c r="O60" s="154"/>
      <c r="P60" s="197"/>
      <c r="Q60" s="184" t="s">
        <v>177</v>
      </c>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c r="CA60" s="157"/>
      <c r="CB60" s="157"/>
      <c r="CC60" s="157"/>
      <c r="CD60" s="157"/>
      <c r="CE60" s="157"/>
      <c r="CF60" s="157"/>
      <c r="CG60" s="157"/>
      <c r="CH60" s="157"/>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57"/>
      <c r="DT60" s="157"/>
      <c r="DU60" s="157"/>
      <c r="DV60" s="157"/>
      <c r="DW60" s="157"/>
      <c r="DX60" s="157"/>
      <c r="DY60" s="157"/>
      <c r="DZ60" s="157"/>
      <c r="EA60" s="157"/>
      <c r="EB60" s="157"/>
      <c r="EC60" s="157"/>
      <c r="ED60" s="157"/>
      <c r="EE60" s="157"/>
      <c r="EF60" s="157"/>
      <c r="EG60" s="157"/>
      <c r="EH60" s="157"/>
      <c r="EI60" s="157"/>
      <c r="EJ60" s="157"/>
      <c r="EK60" s="157"/>
      <c r="EL60" s="157"/>
      <c r="EM60" s="157"/>
      <c r="EN60" s="157"/>
      <c r="EO60" s="157"/>
      <c r="EP60" s="157"/>
      <c r="EQ60" s="157"/>
      <c r="ER60" s="157"/>
      <c r="ES60" s="157"/>
      <c r="ET60" s="157"/>
      <c r="EU60" s="157"/>
      <c r="EV60" s="157"/>
      <c r="EW60" s="157"/>
      <c r="EX60" s="157"/>
      <c r="EY60" s="157"/>
      <c r="EZ60" s="157"/>
      <c r="FA60" s="157"/>
      <c r="FB60" s="157"/>
      <c r="FC60" s="157"/>
      <c r="FD60" s="157"/>
      <c r="FE60" s="157"/>
      <c r="FF60" s="157"/>
      <c r="FG60" s="157"/>
      <c r="FH60" s="157"/>
      <c r="FI60" s="157"/>
      <c r="FJ60" s="157"/>
      <c r="FK60" s="157"/>
      <c r="FL60" s="157"/>
      <c r="FM60" s="157"/>
      <c r="FN60" s="157"/>
      <c r="FO60" s="157"/>
      <c r="FP60" s="157"/>
      <c r="FQ60" s="157"/>
      <c r="FR60" s="157"/>
      <c r="FS60" s="157"/>
      <c r="FT60" s="157"/>
      <c r="FU60" s="157"/>
      <c r="FV60" s="157"/>
      <c r="FW60" s="157"/>
      <c r="FX60" s="157"/>
      <c r="FY60" s="157"/>
      <c r="FZ60" s="157"/>
      <c r="GA60" s="157"/>
      <c r="GB60" s="157"/>
      <c r="GC60" s="157"/>
      <c r="GD60" s="157"/>
      <c r="GE60" s="157"/>
      <c r="GF60" s="157"/>
      <c r="GG60" s="157"/>
      <c r="GH60" s="157"/>
      <c r="GI60" s="157"/>
      <c r="GJ60" s="157"/>
      <c r="GK60" s="157"/>
      <c r="GL60" s="157"/>
      <c r="GM60" s="157"/>
      <c r="GN60" s="157"/>
      <c r="GO60" s="157"/>
      <c r="GP60" s="157"/>
      <c r="GQ60" s="157"/>
      <c r="GR60" s="157"/>
      <c r="GS60" s="157"/>
      <c r="GT60" s="157"/>
      <c r="GU60" s="157"/>
      <c r="GV60" s="157"/>
      <c r="GW60" s="157"/>
      <c r="GX60" s="157"/>
      <c r="GY60" s="157"/>
      <c r="GZ60" s="157"/>
      <c r="HA60" s="157"/>
      <c r="HB60" s="157"/>
      <c r="HC60" s="157"/>
      <c r="HD60" s="157"/>
      <c r="HE60" s="157"/>
      <c r="HF60" s="157"/>
      <c r="HG60" s="157"/>
      <c r="HH60" s="157"/>
      <c r="HI60" s="157"/>
      <c r="HJ60" s="157"/>
      <c r="HK60" s="157"/>
      <c r="HL60" s="157"/>
      <c r="HM60" s="157"/>
      <c r="HN60" s="157"/>
      <c r="HO60" s="157"/>
      <c r="HP60" s="157"/>
      <c r="HQ60" s="157"/>
      <c r="HR60" s="157"/>
      <c r="HS60" s="157"/>
      <c r="HT60" s="157"/>
      <c r="HU60" s="157"/>
      <c r="HV60" s="157"/>
      <c r="HW60" s="157"/>
      <c r="HX60" s="157"/>
      <c r="HY60" s="157"/>
      <c r="HZ60" s="157"/>
      <c r="IA60" s="157"/>
      <c r="IB60" s="157"/>
      <c r="IC60" s="157"/>
      <c r="ID60" s="157"/>
      <c r="IE60" s="157"/>
      <c r="IF60" s="157"/>
      <c r="IG60" s="157"/>
      <c r="IH60" s="157"/>
      <c r="II60" s="157"/>
      <c r="IJ60" s="157"/>
      <c r="IK60" s="157"/>
      <c r="IL60" s="157"/>
      <c r="IM60" s="157"/>
      <c r="IN60" s="157"/>
      <c r="IO60" s="157"/>
      <c r="IP60" s="157"/>
      <c r="IQ60" s="157"/>
      <c r="IR60" s="157"/>
      <c r="IS60" s="157"/>
      <c r="IT60" s="157"/>
      <c r="IU60" s="157"/>
      <c r="IV60" s="157"/>
      <c r="IW60" s="157"/>
      <c r="IX60" s="157"/>
      <c r="IY60" s="157"/>
      <c r="IZ60" s="157"/>
      <c r="JA60" s="157"/>
      <c r="JB60" s="157"/>
      <c r="JC60" s="157"/>
      <c r="JD60" s="157"/>
      <c r="JE60" s="157"/>
      <c r="JF60" s="157"/>
      <c r="JG60" s="157"/>
      <c r="JH60" s="157"/>
      <c r="JI60" s="157"/>
      <c r="JJ60" s="157"/>
      <c r="JK60" s="157"/>
      <c r="JL60" s="157"/>
      <c r="JM60" s="157"/>
      <c r="JN60" s="157"/>
      <c r="JO60" s="157"/>
      <c r="JP60" s="157"/>
      <c r="JQ60" s="157"/>
      <c r="JR60" s="157"/>
      <c r="JS60" s="157"/>
      <c r="JT60" s="157"/>
      <c r="JU60" s="157"/>
      <c r="JV60" s="157"/>
      <c r="JW60" s="157"/>
      <c r="JX60" s="157"/>
      <c r="JY60" s="157"/>
      <c r="JZ60" s="157"/>
      <c r="KA60" s="157"/>
      <c r="KB60" s="157"/>
      <c r="KC60" s="157"/>
      <c r="KD60" s="157"/>
      <c r="KE60" s="157"/>
      <c r="KF60" s="157"/>
      <c r="KG60" s="157"/>
      <c r="KH60" s="157"/>
      <c r="KI60" s="157"/>
      <c r="KJ60" s="157"/>
      <c r="KK60" s="157"/>
    </row>
    <row r="61" spans="1:297" ht="33" thickBot="1" x14ac:dyDescent="0.25">
      <c r="A61" s="435"/>
      <c r="B61" s="183"/>
      <c r="C61" s="183" t="s">
        <v>146</v>
      </c>
      <c r="D61" s="159" t="s">
        <v>144</v>
      </c>
      <c r="E61" s="159"/>
      <c r="F61" s="358">
        <f t="shared" ref="F61:M61" si="4">(F59+F7)/F60</f>
        <v>0.72445008239503428</v>
      </c>
      <c r="G61" s="358">
        <f t="shared" si="4"/>
        <v>0.72445008239503428</v>
      </c>
      <c r="H61" s="358">
        <f t="shared" si="4"/>
        <v>0.72445008239503428</v>
      </c>
      <c r="I61" s="358">
        <f t="shared" si="4"/>
        <v>0.72445008239503428</v>
      </c>
      <c r="J61" s="358">
        <f t="shared" si="4"/>
        <v>0.72445008239503428</v>
      </c>
      <c r="K61" s="358">
        <f t="shared" si="4"/>
        <v>0.72445008239503428</v>
      </c>
      <c r="L61" s="358">
        <f t="shared" si="4"/>
        <v>0.72445008239503428</v>
      </c>
      <c r="M61" s="358">
        <f t="shared" si="4"/>
        <v>0.72445008239503428</v>
      </c>
      <c r="N61" s="164"/>
      <c r="O61" s="154"/>
      <c r="P61" s="197"/>
      <c r="Q61" s="184" t="s">
        <v>178</v>
      </c>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c r="DI61" s="157"/>
      <c r="DJ61" s="157"/>
      <c r="DK61" s="157"/>
      <c r="DL61" s="157"/>
      <c r="DM61" s="157"/>
      <c r="DN61" s="157"/>
      <c r="DO61" s="157"/>
      <c r="DP61" s="157"/>
      <c r="DQ61" s="157"/>
      <c r="DR61" s="157"/>
      <c r="DS61" s="157"/>
      <c r="DT61" s="157"/>
      <c r="DU61" s="157"/>
      <c r="DV61" s="157"/>
      <c r="DW61" s="157"/>
      <c r="DX61" s="157"/>
      <c r="DY61" s="157"/>
      <c r="DZ61" s="157"/>
      <c r="EA61" s="157"/>
      <c r="EB61" s="157"/>
      <c r="EC61" s="157"/>
      <c r="ED61" s="157"/>
      <c r="EE61" s="157"/>
      <c r="EF61" s="157"/>
      <c r="EG61" s="157"/>
      <c r="EH61" s="157"/>
      <c r="EI61" s="157"/>
      <c r="EJ61" s="157"/>
      <c r="EK61" s="157"/>
      <c r="EL61" s="157"/>
      <c r="EM61" s="157"/>
      <c r="EN61" s="157"/>
      <c r="EO61" s="157"/>
      <c r="EP61" s="157"/>
      <c r="EQ61" s="157"/>
      <c r="ER61" s="157"/>
      <c r="ES61" s="157"/>
      <c r="ET61" s="157"/>
      <c r="EU61" s="157"/>
      <c r="EV61" s="157"/>
      <c r="EW61" s="157"/>
      <c r="EX61" s="157"/>
      <c r="EY61" s="157"/>
      <c r="EZ61" s="157"/>
      <c r="FA61" s="157"/>
      <c r="FB61" s="157"/>
      <c r="FC61" s="157"/>
      <c r="FD61" s="157"/>
      <c r="FE61" s="157"/>
      <c r="FF61" s="157"/>
      <c r="FG61" s="157"/>
      <c r="FH61" s="157"/>
      <c r="FI61" s="157"/>
      <c r="FJ61" s="157"/>
      <c r="FK61" s="157"/>
      <c r="FL61" s="157"/>
      <c r="FM61" s="157"/>
      <c r="FN61" s="157"/>
      <c r="FO61" s="157"/>
      <c r="FP61" s="157"/>
      <c r="FQ61" s="157"/>
      <c r="FR61" s="157"/>
      <c r="FS61" s="157"/>
      <c r="FT61" s="157"/>
      <c r="FU61" s="157"/>
      <c r="FV61" s="157"/>
      <c r="FW61" s="157"/>
      <c r="FX61" s="157"/>
      <c r="FY61" s="157"/>
      <c r="FZ61" s="157"/>
      <c r="GA61" s="157"/>
      <c r="GB61" s="157"/>
      <c r="GC61" s="157"/>
      <c r="GD61" s="157"/>
      <c r="GE61" s="157"/>
      <c r="GF61" s="157"/>
      <c r="GG61" s="157"/>
      <c r="GH61" s="157"/>
      <c r="GI61" s="157"/>
      <c r="GJ61" s="157"/>
      <c r="GK61" s="157"/>
      <c r="GL61" s="157"/>
      <c r="GM61" s="157"/>
      <c r="GN61" s="157"/>
      <c r="GO61" s="157"/>
      <c r="GP61" s="157"/>
      <c r="GQ61" s="157"/>
      <c r="GR61" s="157"/>
      <c r="GS61" s="157"/>
      <c r="GT61" s="157"/>
      <c r="GU61" s="157"/>
      <c r="GV61" s="157"/>
      <c r="GW61" s="157"/>
      <c r="GX61" s="157"/>
      <c r="GY61" s="157"/>
      <c r="GZ61" s="157"/>
      <c r="HA61" s="157"/>
      <c r="HB61" s="157"/>
      <c r="HC61" s="157"/>
      <c r="HD61" s="157"/>
      <c r="HE61" s="157"/>
      <c r="HF61" s="157"/>
      <c r="HG61" s="157"/>
      <c r="HH61" s="157"/>
      <c r="HI61" s="157"/>
      <c r="HJ61" s="157"/>
      <c r="HK61" s="157"/>
      <c r="HL61" s="157"/>
      <c r="HM61" s="157"/>
      <c r="HN61" s="157"/>
      <c r="HO61" s="157"/>
      <c r="HP61" s="157"/>
      <c r="HQ61" s="157"/>
      <c r="HR61" s="157"/>
      <c r="HS61" s="157"/>
      <c r="HT61" s="157"/>
      <c r="HU61" s="157"/>
      <c r="HV61" s="157"/>
      <c r="HW61" s="157"/>
      <c r="HX61" s="157"/>
      <c r="HY61" s="157"/>
      <c r="HZ61" s="157"/>
      <c r="IA61" s="157"/>
      <c r="IB61" s="157"/>
      <c r="IC61" s="157"/>
      <c r="ID61" s="157"/>
      <c r="IE61" s="157"/>
      <c r="IF61" s="157"/>
      <c r="IG61" s="157"/>
      <c r="IH61" s="157"/>
      <c r="II61" s="157"/>
      <c r="IJ61" s="157"/>
      <c r="IK61" s="157"/>
      <c r="IL61" s="157"/>
      <c r="IM61" s="157"/>
      <c r="IN61" s="157"/>
      <c r="IO61" s="157"/>
      <c r="IP61" s="157"/>
      <c r="IQ61" s="157"/>
      <c r="IR61" s="157"/>
      <c r="IS61" s="157"/>
      <c r="IT61" s="157"/>
      <c r="IU61" s="157"/>
      <c r="IV61" s="157"/>
      <c r="IW61" s="157"/>
      <c r="IX61" s="157"/>
      <c r="IY61" s="157"/>
      <c r="IZ61" s="157"/>
      <c r="JA61" s="157"/>
      <c r="JB61" s="157"/>
      <c r="JC61" s="157"/>
      <c r="JD61" s="157"/>
      <c r="JE61" s="157"/>
      <c r="JF61" s="157"/>
      <c r="JG61" s="157"/>
      <c r="JH61" s="157"/>
      <c r="JI61" s="157"/>
      <c r="JJ61" s="157"/>
      <c r="JK61" s="157"/>
      <c r="JL61" s="157"/>
      <c r="JM61" s="157"/>
      <c r="JN61" s="157"/>
      <c r="JO61" s="157"/>
      <c r="JP61" s="157"/>
      <c r="JQ61" s="157"/>
      <c r="JR61" s="157"/>
      <c r="JS61" s="157"/>
      <c r="JT61" s="157"/>
      <c r="JU61" s="157"/>
      <c r="JV61" s="157"/>
      <c r="JW61" s="157"/>
      <c r="JX61" s="157"/>
      <c r="JY61" s="157"/>
      <c r="JZ61" s="157"/>
      <c r="KA61" s="157"/>
      <c r="KB61" s="157"/>
      <c r="KC61" s="157"/>
      <c r="KD61" s="157"/>
      <c r="KE61" s="157"/>
      <c r="KF61" s="157"/>
      <c r="KG61" s="157"/>
      <c r="KH61" s="157"/>
      <c r="KI61" s="157"/>
      <c r="KJ61" s="157"/>
      <c r="KK61" s="157"/>
    </row>
    <row r="62" spans="1:297" ht="49" thickBot="1" x14ac:dyDescent="0.25">
      <c r="A62" s="435"/>
      <c r="B62" s="181" t="s">
        <v>135</v>
      </c>
      <c r="C62" s="183" t="s">
        <v>147</v>
      </c>
      <c r="D62" s="185" t="s">
        <v>144</v>
      </c>
      <c r="E62" s="159" t="s">
        <v>148</v>
      </c>
      <c r="F62" s="351">
        <v>3.7256942929988299E-3</v>
      </c>
      <c r="G62" s="352">
        <v>2.7612917385104558E-3</v>
      </c>
      <c r="H62" s="351">
        <v>3.2048504184839909E-3</v>
      </c>
      <c r="I62" s="352">
        <v>4.1965314941155808E-3</v>
      </c>
      <c r="J62" s="351">
        <v>3.3368618910302522E-3</v>
      </c>
      <c r="K62" s="352">
        <v>2.6678906513677935E-3</v>
      </c>
      <c r="L62" s="351">
        <v>3.058070089746998E-3</v>
      </c>
      <c r="M62" s="353">
        <v>3.3812261696734769E-3</v>
      </c>
      <c r="N62" s="164" t="s">
        <v>97</v>
      </c>
      <c r="O62" s="154" t="s">
        <v>14</v>
      </c>
      <c r="P62" s="339" t="s">
        <v>102</v>
      </c>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c r="CA62" s="157"/>
      <c r="CB62" s="157"/>
      <c r="CC62" s="157"/>
      <c r="CD62" s="157"/>
      <c r="CE62" s="157"/>
      <c r="CF62" s="157"/>
      <c r="CG62" s="157"/>
      <c r="CH62" s="157"/>
      <c r="CI62" s="157"/>
      <c r="CJ62" s="157"/>
      <c r="CK62" s="157"/>
      <c r="CL62" s="157"/>
      <c r="CM62" s="157"/>
      <c r="CN62" s="157"/>
      <c r="CO62" s="157"/>
      <c r="CP62" s="157"/>
      <c r="CQ62" s="157"/>
      <c r="CR62" s="157"/>
      <c r="CS62" s="157"/>
      <c r="CT62" s="157"/>
      <c r="CU62" s="157"/>
      <c r="CV62" s="157"/>
      <c r="CW62" s="157"/>
      <c r="CX62" s="157"/>
      <c r="CY62" s="157"/>
      <c r="CZ62" s="157"/>
      <c r="DA62" s="157"/>
      <c r="DB62" s="157"/>
      <c r="DC62" s="157"/>
      <c r="DD62" s="157"/>
      <c r="DE62" s="157"/>
      <c r="DF62" s="157"/>
      <c r="DG62" s="157"/>
      <c r="DH62" s="157"/>
      <c r="DI62" s="157"/>
      <c r="DJ62" s="157"/>
      <c r="DK62" s="157"/>
      <c r="DL62" s="157"/>
      <c r="DM62" s="157"/>
      <c r="DN62" s="157"/>
      <c r="DO62" s="157"/>
      <c r="DP62" s="157"/>
      <c r="DQ62" s="157"/>
      <c r="DR62" s="157"/>
      <c r="DS62" s="157"/>
      <c r="DT62" s="157"/>
      <c r="DU62" s="157"/>
      <c r="DV62" s="157"/>
      <c r="DW62" s="157"/>
      <c r="DX62" s="157"/>
      <c r="DY62" s="157"/>
      <c r="DZ62" s="157"/>
      <c r="EA62" s="157"/>
      <c r="EB62" s="157"/>
      <c r="EC62" s="157"/>
      <c r="ED62" s="157"/>
      <c r="EE62" s="157"/>
      <c r="EF62" s="157"/>
      <c r="EG62" s="157"/>
      <c r="EH62" s="157"/>
      <c r="EI62" s="157"/>
      <c r="EJ62" s="157"/>
      <c r="EK62" s="157"/>
      <c r="EL62" s="157"/>
      <c r="EM62" s="157"/>
      <c r="EN62" s="157"/>
      <c r="EO62" s="157"/>
      <c r="EP62" s="157"/>
      <c r="EQ62" s="157"/>
      <c r="ER62" s="157"/>
      <c r="ES62" s="157"/>
      <c r="ET62" s="157"/>
      <c r="EU62" s="157"/>
      <c r="EV62" s="157"/>
      <c r="EW62" s="157"/>
      <c r="EX62" s="157"/>
      <c r="EY62" s="157"/>
      <c r="EZ62" s="157"/>
      <c r="FA62" s="157"/>
      <c r="FB62" s="157"/>
      <c r="FC62" s="157"/>
      <c r="FD62" s="157"/>
      <c r="FE62" s="157"/>
      <c r="FF62" s="157"/>
      <c r="FG62" s="157"/>
      <c r="FH62" s="157"/>
      <c r="FI62" s="157"/>
      <c r="FJ62" s="157"/>
      <c r="FK62" s="157"/>
      <c r="FL62" s="157"/>
      <c r="FM62" s="157"/>
      <c r="FN62" s="157"/>
      <c r="FO62" s="157"/>
      <c r="FP62" s="157"/>
      <c r="FQ62" s="157"/>
      <c r="FR62" s="157"/>
      <c r="FS62" s="157"/>
      <c r="FT62" s="157"/>
      <c r="FU62" s="157"/>
      <c r="FV62" s="157"/>
      <c r="FW62" s="157"/>
      <c r="FX62" s="157"/>
      <c r="FY62" s="157"/>
      <c r="FZ62" s="157"/>
      <c r="GA62" s="157"/>
      <c r="GB62" s="157"/>
      <c r="GC62" s="157"/>
      <c r="GD62" s="157"/>
      <c r="GE62" s="157"/>
      <c r="GF62" s="157"/>
      <c r="GG62" s="157"/>
      <c r="GH62" s="157"/>
      <c r="GI62" s="157"/>
      <c r="GJ62" s="157"/>
      <c r="GK62" s="157"/>
      <c r="GL62" s="157"/>
      <c r="GM62" s="157"/>
      <c r="GN62" s="157"/>
      <c r="GO62" s="157"/>
      <c r="GP62" s="157"/>
      <c r="GQ62" s="157"/>
      <c r="GR62" s="157"/>
      <c r="GS62" s="157"/>
      <c r="GT62" s="157"/>
      <c r="GU62" s="157"/>
      <c r="GV62" s="157"/>
      <c r="GW62" s="157"/>
      <c r="GX62" s="157"/>
      <c r="GY62" s="157"/>
      <c r="GZ62" s="157"/>
      <c r="HA62" s="157"/>
      <c r="HB62" s="157"/>
      <c r="HC62" s="157"/>
      <c r="HD62" s="157"/>
      <c r="HE62" s="157"/>
      <c r="HF62" s="157"/>
      <c r="HG62" s="157"/>
      <c r="HH62" s="157"/>
      <c r="HI62" s="157"/>
      <c r="HJ62" s="157"/>
      <c r="HK62" s="157"/>
      <c r="HL62" s="157"/>
      <c r="HM62" s="157"/>
      <c r="HN62" s="157"/>
      <c r="HO62" s="157"/>
      <c r="HP62" s="157"/>
      <c r="HQ62" s="157"/>
      <c r="HR62" s="157"/>
      <c r="HS62" s="157"/>
      <c r="HT62" s="157"/>
      <c r="HU62" s="157"/>
      <c r="HV62" s="157"/>
      <c r="HW62" s="157"/>
      <c r="HX62" s="157"/>
      <c r="HY62" s="157"/>
      <c r="HZ62" s="157"/>
      <c r="IA62" s="157"/>
      <c r="IB62" s="157"/>
      <c r="IC62" s="157"/>
      <c r="ID62" s="157"/>
      <c r="IE62" s="157"/>
      <c r="IF62" s="157"/>
      <c r="IG62" s="157"/>
      <c r="IH62" s="157"/>
      <c r="II62" s="157"/>
      <c r="IJ62" s="157"/>
      <c r="IK62" s="157"/>
      <c r="IL62" s="157"/>
      <c r="IM62" s="157"/>
      <c r="IN62" s="157"/>
      <c r="IO62" s="157"/>
      <c r="IP62" s="157"/>
      <c r="IQ62" s="157"/>
      <c r="IR62" s="157"/>
      <c r="IS62" s="157"/>
      <c r="IT62" s="157"/>
      <c r="IU62" s="157"/>
      <c r="IV62" s="157"/>
      <c r="IW62" s="157"/>
      <c r="IX62" s="157"/>
      <c r="IY62" s="157"/>
      <c r="IZ62" s="157"/>
      <c r="JA62" s="157"/>
      <c r="JB62" s="157"/>
      <c r="JC62" s="157"/>
      <c r="JD62" s="157"/>
      <c r="JE62" s="157"/>
      <c r="JF62" s="157"/>
      <c r="JG62" s="157"/>
      <c r="JH62" s="157"/>
      <c r="JI62" s="157"/>
      <c r="JJ62" s="157"/>
      <c r="JK62" s="157"/>
      <c r="JL62" s="157"/>
      <c r="JM62" s="157"/>
      <c r="JN62" s="157"/>
      <c r="JO62" s="157"/>
      <c r="JP62" s="157"/>
      <c r="JQ62" s="157"/>
      <c r="JR62" s="157"/>
      <c r="JS62" s="157"/>
      <c r="JT62" s="157"/>
      <c r="JU62" s="157"/>
      <c r="JV62" s="157"/>
      <c r="JW62" s="157"/>
      <c r="JX62" s="157"/>
      <c r="JY62" s="157"/>
      <c r="JZ62" s="157"/>
      <c r="KA62" s="157"/>
      <c r="KB62" s="157"/>
      <c r="KC62" s="157"/>
      <c r="KD62" s="157"/>
      <c r="KE62" s="157"/>
      <c r="KF62" s="157"/>
      <c r="KG62" s="157"/>
      <c r="KH62" s="157"/>
      <c r="KI62" s="157"/>
      <c r="KJ62" s="157"/>
      <c r="KK62" s="157"/>
    </row>
    <row r="63" spans="1:297" ht="49" thickBot="1" x14ac:dyDescent="0.25">
      <c r="A63" s="435"/>
      <c r="B63" s="181" t="s">
        <v>77</v>
      </c>
      <c r="C63" s="183" t="s">
        <v>147</v>
      </c>
      <c r="D63" s="185" t="s">
        <v>144</v>
      </c>
      <c r="E63" s="159" t="s">
        <v>149</v>
      </c>
      <c r="F63" s="358">
        <v>2.3643520987269014E-2</v>
      </c>
      <c r="G63" s="359">
        <v>3.3374002609103059E-2</v>
      </c>
      <c r="H63" s="358">
        <v>3.0570453094481791E-2</v>
      </c>
      <c r="I63" s="359">
        <v>3.5812439800389645E-2</v>
      </c>
      <c r="J63" s="358">
        <v>3.0787933239320203E-2</v>
      </c>
      <c r="K63" s="359">
        <v>3.0123705555439164E-2</v>
      </c>
      <c r="L63" s="358">
        <v>2.7011188560264476E-2</v>
      </c>
      <c r="M63" s="360">
        <v>3.1862099111123296E-2</v>
      </c>
      <c r="N63" s="164" t="s">
        <v>98</v>
      </c>
      <c r="O63" s="154" t="s">
        <v>14</v>
      </c>
      <c r="P63" s="339" t="s">
        <v>102</v>
      </c>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7"/>
      <c r="BQ63" s="157"/>
      <c r="BR63" s="157"/>
      <c r="BS63" s="157"/>
      <c r="BT63" s="157"/>
      <c r="BU63" s="157"/>
      <c r="BV63" s="157"/>
      <c r="BW63" s="157"/>
      <c r="BX63" s="157"/>
      <c r="BY63" s="157"/>
      <c r="BZ63" s="157"/>
      <c r="CA63" s="157"/>
      <c r="CB63" s="157"/>
      <c r="CC63" s="157"/>
      <c r="CD63" s="157"/>
      <c r="CE63" s="157"/>
      <c r="CF63" s="157"/>
      <c r="CG63" s="157"/>
      <c r="CH63" s="157"/>
      <c r="CI63" s="157"/>
      <c r="CJ63" s="157"/>
      <c r="CK63" s="157"/>
      <c r="CL63" s="157"/>
      <c r="CM63" s="157"/>
      <c r="CN63" s="157"/>
      <c r="CO63" s="157"/>
      <c r="CP63" s="157"/>
      <c r="CQ63" s="157"/>
      <c r="CR63" s="157"/>
      <c r="CS63" s="157"/>
      <c r="CT63" s="157"/>
      <c r="CU63" s="157"/>
      <c r="CV63" s="157"/>
      <c r="CW63" s="157"/>
      <c r="CX63" s="157"/>
      <c r="CY63" s="157"/>
      <c r="CZ63" s="157"/>
      <c r="DA63" s="157"/>
      <c r="DB63" s="157"/>
      <c r="DC63" s="157"/>
      <c r="DD63" s="157"/>
      <c r="DE63" s="157"/>
      <c r="DF63" s="157"/>
      <c r="DG63" s="157"/>
      <c r="DH63" s="157"/>
      <c r="DI63" s="157"/>
      <c r="DJ63" s="157"/>
      <c r="DK63" s="157"/>
      <c r="DL63" s="157"/>
      <c r="DM63" s="157"/>
      <c r="DN63" s="157"/>
      <c r="DO63" s="157"/>
      <c r="DP63" s="157"/>
      <c r="DQ63" s="157"/>
      <c r="DR63" s="157"/>
      <c r="DS63" s="157"/>
      <c r="DT63" s="157"/>
      <c r="DU63" s="157"/>
      <c r="DV63" s="157"/>
      <c r="DW63" s="157"/>
      <c r="DX63" s="157"/>
      <c r="DY63" s="157"/>
      <c r="DZ63" s="157"/>
      <c r="EA63" s="157"/>
      <c r="EB63" s="157"/>
      <c r="EC63" s="157"/>
      <c r="ED63" s="157"/>
      <c r="EE63" s="157"/>
      <c r="EF63" s="157"/>
      <c r="EG63" s="157"/>
      <c r="EH63" s="157"/>
      <c r="EI63" s="157"/>
      <c r="EJ63" s="157"/>
      <c r="EK63" s="157"/>
      <c r="EL63" s="157"/>
      <c r="EM63" s="157"/>
      <c r="EN63" s="157"/>
      <c r="EO63" s="157"/>
      <c r="EP63" s="157"/>
      <c r="EQ63" s="157"/>
      <c r="ER63" s="157"/>
      <c r="ES63" s="157"/>
      <c r="ET63" s="157"/>
      <c r="EU63" s="157"/>
      <c r="EV63" s="157"/>
      <c r="EW63" s="157"/>
      <c r="EX63" s="157"/>
      <c r="EY63" s="157"/>
      <c r="EZ63" s="157"/>
      <c r="FA63" s="157"/>
      <c r="FB63" s="157"/>
      <c r="FC63" s="157"/>
      <c r="FD63" s="157"/>
      <c r="FE63" s="157"/>
      <c r="FF63" s="157"/>
      <c r="FG63" s="157"/>
      <c r="FH63" s="157"/>
      <c r="FI63" s="157"/>
      <c r="FJ63" s="157"/>
      <c r="FK63" s="157"/>
      <c r="FL63" s="157"/>
      <c r="FM63" s="157"/>
      <c r="FN63" s="157"/>
      <c r="FO63" s="157"/>
      <c r="FP63" s="157"/>
      <c r="FQ63" s="157"/>
      <c r="FR63" s="157"/>
      <c r="FS63" s="157"/>
      <c r="FT63" s="157"/>
      <c r="FU63" s="157"/>
      <c r="FV63" s="157"/>
      <c r="FW63" s="157"/>
      <c r="FX63" s="157"/>
      <c r="FY63" s="157"/>
      <c r="FZ63" s="157"/>
      <c r="GA63" s="157"/>
      <c r="GB63" s="157"/>
      <c r="GC63" s="157"/>
      <c r="GD63" s="157"/>
      <c r="GE63" s="157"/>
      <c r="GF63" s="157"/>
      <c r="GG63" s="157"/>
      <c r="GH63" s="157"/>
      <c r="GI63" s="157"/>
      <c r="GJ63" s="157"/>
      <c r="GK63" s="157"/>
      <c r="GL63" s="157"/>
      <c r="GM63" s="157"/>
      <c r="GN63" s="157"/>
      <c r="GO63" s="157"/>
      <c r="GP63" s="157"/>
      <c r="GQ63" s="157"/>
      <c r="GR63" s="157"/>
      <c r="GS63" s="157"/>
      <c r="GT63" s="157"/>
      <c r="GU63" s="157"/>
      <c r="GV63" s="157"/>
      <c r="GW63" s="157"/>
      <c r="GX63" s="157"/>
      <c r="GY63" s="157"/>
      <c r="GZ63" s="157"/>
      <c r="HA63" s="157"/>
      <c r="HB63" s="157"/>
      <c r="HC63" s="157"/>
      <c r="HD63" s="157"/>
      <c r="HE63" s="157"/>
      <c r="HF63" s="157"/>
      <c r="HG63" s="157"/>
      <c r="HH63" s="157"/>
      <c r="HI63" s="157"/>
      <c r="HJ63" s="157"/>
      <c r="HK63" s="157"/>
      <c r="HL63" s="157"/>
      <c r="HM63" s="157"/>
      <c r="HN63" s="157"/>
      <c r="HO63" s="157"/>
      <c r="HP63" s="157"/>
      <c r="HQ63" s="157"/>
      <c r="HR63" s="157"/>
      <c r="HS63" s="157"/>
      <c r="HT63" s="157"/>
      <c r="HU63" s="157"/>
      <c r="HV63" s="157"/>
      <c r="HW63" s="157"/>
      <c r="HX63" s="157"/>
      <c r="HY63" s="157"/>
      <c r="HZ63" s="157"/>
      <c r="IA63" s="157"/>
      <c r="IB63" s="157"/>
      <c r="IC63" s="157"/>
      <c r="ID63" s="157"/>
      <c r="IE63" s="157"/>
      <c r="IF63" s="157"/>
      <c r="IG63" s="157"/>
      <c r="IH63" s="157"/>
      <c r="II63" s="157"/>
      <c r="IJ63" s="157"/>
      <c r="IK63" s="157"/>
      <c r="IL63" s="157"/>
      <c r="IM63" s="157"/>
      <c r="IN63" s="157"/>
      <c r="IO63" s="157"/>
      <c r="IP63" s="157"/>
      <c r="IQ63" s="157"/>
      <c r="IR63" s="157"/>
      <c r="IS63" s="157"/>
      <c r="IT63" s="157"/>
      <c r="IU63" s="157"/>
      <c r="IV63" s="157"/>
      <c r="IW63" s="157"/>
      <c r="IX63" s="157"/>
      <c r="IY63" s="157"/>
      <c r="IZ63" s="157"/>
      <c r="JA63" s="157"/>
      <c r="JB63" s="157"/>
      <c r="JC63" s="157"/>
      <c r="JD63" s="157"/>
      <c r="JE63" s="157"/>
      <c r="JF63" s="157"/>
      <c r="JG63" s="157"/>
      <c r="JH63" s="157"/>
      <c r="JI63" s="157"/>
      <c r="JJ63" s="157"/>
      <c r="JK63" s="157"/>
      <c r="JL63" s="157"/>
      <c r="JM63" s="157"/>
      <c r="JN63" s="157"/>
      <c r="JO63" s="157"/>
      <c r="JP63" s="157"/>
      <c r="JQ63" s="157"/>
      <c r="JR63" s="157"/>
      <c r="JS63" s="157"/>
      <c r="JT63" s="157"/>
      <c r="JU63" s="157"/>
      <c r="JV63" s="157"/>
      <c r="JW63" s="157"/>
      <c r="JX63" s="157"/>
      <c r="JY63" s="157"/>
      <c r="JZ63" s="157"/>
      <c r="KA63" s="157"/>
      <c r="KB63" s="157"/>
      <c r="KC63" s="157"/>
      <c r="KD63" s="157"/>
      <c r="KE63" s="157"/>
      <c r="KF63" s="157"/>
      <c r="KG63" s="157"/>
      <c r="KH63" s="157"/>
      <c r="KI63" s="157"/>
      <c r="KJ63" s="157"/>
      <c r="KK63" s="157"/>
    </row>
    <row r="64" spans="1:297" ht="49" thickBot="1" x14ac:dyDescent="0.25">
      <c r="A64" s="435"/>
      <c r="B64" s="181" t="s">
        <v>78</v>
      </c>
      <c r="C64" s="183" t="s">
        <v>147</v>
      </c>
      <c r="D64" s="185" t="s">
        <v>144</v>
      </c>
      <c r="E64" s="159" t="s">
        <v>150</v>
      </c>
      <c r="F64" s="351">
        <v>0.60856222692615203</v>
      </c>
      <c r="G64" s="352">
        <v>0.60333261812161854</v>
      </c>
      <c r="H64" s="351">
        <v>0.6126844262541471</v>
      </c>
      <c r="I64" s="352">
        <v>0.61834427126322766</v>
      </c>
      <c r="J64" s="351">
        <v>0.62337847297023175</v>
      </c>
      <c r="K64" s="352">
        <v>0.62669564754335116</v>
      </c>
      <c r="L64" s="351">
        <v>0.57889629385056318</v>
      </c>
      <c r="M64" s="353">
        <v>0.61566039747804102</v>
      </c>
      <c r="N64" s="164" t="s">
        <v>99</v>
      </c>
      <c r="O64" s="154" t="s">
        <v>14</v>
      </c>
      <c r="P64" s="197" t="s">
        <v>101</v>
      </c>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7"/>
      <c r="BQ64" s="157"/>
      <c r="BR64" s="157"/>
      <c r="BS64" s="157"/>
      <c r="BT64" s="157"/>
      <c r="BU64" s="157"/>
      <c r="BV64" s="157"/>
      <c r="BW64" s="157"/>
      <c r="BX64" s="157"/>
      <c r="BY64" s="157"/>
      <c r="BZ64" s="157"/>
      <c r="CA64" s="157"/>
      <c r="CB64" s="157"/>
      <c r="CC64" s="157"/>
      <c r="CD64" s="157"/>
      <c r="CE64" s="157"/>
      <c r="CF64" s="157"/>
      <c r="CG64" s="157"/>
      <c r="CH64" s="157"/>
      <c r="CI64" s="157"/>
      <c r="CJ64" s="157"/>
      <c r="CK64" s="157"/>
      <c r="CL64" s="157"/>
      <c r="CM64" s="157"/>
      <c r="CN64" s="157"/>
      <c r="CO64" s="157"/>
      <c r="CP64" s="157"/>
      <c r="CQ64" s="157"/>
      <c r="CR64" s="157"/>
      <c r="CS64" s="157"/>
      <c r="CT64" s="157"/>
      <c r="CU64" s="157"/>
      <c r="CV64" s="157"/>
      <c r="CW64" s="157"/>
      <c r="CX64" s="157"/>
      <c r="CY64" s="157"/>
      <c r="CZ64" s="157"/>
      <c r="DA64" s="157"/>
      <c r="DB64" s="157"/>
      <c r="DC64" s="157"/>
      <c r="DD64" s="157"/>
      <c r="DE64" s="157"/>
      <c r="DF64" s="157"/>
      <c r="DG64" s="157"/>
      <c r="DH64" s="157"/>
      <c r="DI64" s="157"/>
      <c r="DJ64" s="157"/>
      <c r="DK64" s="157"/>
      <c r="DL64" s="157"/>
      <c r="DM64" s="157"/>
      <c r="DN64" s="157"/>
      <c r="DO64" s="157"/>
      <c r="DP64" s="157"/>
      <c r="DQ64" s="157"/>
      <c r="DR64" s="157"/>
      <c r="DS64" s="157"/>
      <c r="DT64" s="157"/>
      <c r="DU64" s="157"/>
      <c r="DV64" s="157"/>
      <c r="DW64" s="157"/>
      <c r="DX64" s="157"/>
      <c r="DY64" s="157"/>
      <c r="DZ64" s="157"/>
      <c r="EA64" s="157"/>
      <c r="EB64" s="157"/>
      <c r="EC64" s="157"/>
      <c r="ED64" s="157"/>
      <c r="EE64" s="157"/>
      <c r="EF64" s="157"/>
      <c r="EG64" s="157"/>
      <c r="EH64" s="157"/>
      <c r="EI64" s="157"/>
      <c r="EJ64" s="157"/>
      <c r="EK64" s="157"/>
      <c r="EL64" s="157"/>
      <c r="EM64" s="157"/>
      <c r="EN64" s="157"/>
      <c r="EO64" s="157"/>
      <c r="EP64" s="157"/>
      <c r="EQ64" s="157"/>
      <c r="ER64" s="157"/>
      <c r="ES64" s="157"/>
      <c r="ET64" s="157"/>
      <c r="EU64" s="157"/>
      <c r="EV64" s="157"/>
      <c r="EW64" s="157"/>
      <c r="EX64" s="157"/>
      <c r="EY64" s="157"/>
      <c r="EZ64" s="157"/>
      <c r="FA64" s="157"/>
      <c r="FB64" s="157"/>
      <c r="FC64" s="157"/>
      <c r="FD64" s="157"/>
      <c r="FE64" s="157"/>
      <c r="FF64" s="157"/>
      <c r="FG64" s="157"/>
      <c r="FH64" s="157"/>
      <c r="FI64" s="157"/>
      <c r="FJ64" s="157"/>
      <c r="FK64" s="157"/>
      <c r="FL64" s="157"/>
      <c r="FM64" s="157"/>
      <c r="FN64" s="157"/>
      <c r="FO64" s="157"/>
      <c r="FP64" s="157"/>
      <c r="FQ64" s="157"/>
      <c r="FR64" s="157"/>
      <c r="FS64" s="157"/>
      <c r="FT64" s="157"/>
      <c r="FU64" s="157"/>
      <c r="FV64" s="157"/>
      <c r="FW64" s="157"/>
      <c r="FX64" s="157"/>
      <c r="FY64" s="157"/>
      <c r="FZ64" s="157"/>
      <c r="GA64" s="157"/>
      <c r="GB64" s="157"/>
      <c r="GC64" s="157"/>
      <c r="GD64" s="157"/>
      <c r="GE64" s="157"/>
      <c r="GF64" s="157"/>
      <c r="GG64" s="157"/>
      <c r="GH64" s="157"/>
      <c r="GI64" s="157"/>
      <c r="GJ64" s="157"/>
      <c r="GK64" s="157"/>
      <c r="GL64" s="157"/>
      <c r="GM64" s="157"/>
      <c r="GN64" s="157"/>
      <c r="GO64" s="157"/>
      <c r="GP64" s="157"/>
      <c r="GQ64" s="157"/>
      <c r="GR64" s="157"/>
      <c r="GS64" s="157"/>
      <c r="GT64" s="157"/>
      <c r="GU64" s="157"/>
      <c r="GV64" s="157"/>
      <c r="GW64" s="157"/>
      <c r="GX64" s="157"/>
      <c r="GY64" s="157"/>
      <c r="GZ64" s="157"/>
      <c r="HA64" s="157"/>
      <c r="HB64" s="157"/>
      <c r="HC64" s="157"/>
      <c r="HD64" s="157"/>
      <c r="HE64" s="157"/>
      <c r="HF64" s="157"/>
      <c r="HG64" s="157"/>
      <c r="HH64" s="157"/>
      <c r="HI64" s="157"/>
      <c r="HJ64" s="157"/>
      <c r="HK64" s="157"/>
      <c r="HL64" s="157"/>
      <c r="HM64" s="157"/>
      <c r="HN64" s="157"/>
      <c r="HO64" s="157"/>
      <c r="HP64" s="157"/>
      <c r="HQ64" s="157"/>
      <c r="HR64" s="157"/>
      <c r="HS64" s="157"/>
      <c r="HT64" s="157"/>
      <c r="HU64" s="157"/>
      <c r="HV64" s="157"/>
      <c r="HW64" s="157"/>
      <c r="HX64" s="157"/>
      <c r="HY64" s="157"/>
      <c r="HZ64" s="157"/>
      <c r="IA64" s="157"/>
      <c r="IB64" s="157"/>
      <c r="IC64" s="157"/>
      <c r="ID64" s="157"/>
      <c r="IE64" s="157"/>
      <c r="IF64" s="157"/>
      <c r="IG64" s="157"/>
      <c r="IH64" s="157"/>
      <c r="II64" s="157"/>
      <c r="IJ64" s="157"/>
      <c r="IK64" s="157"/>
      <c r="IL64" s="157"/>
      <c r="IM64" s="157"/>
      <c r="IN64" s="157"/>
      <c r="IO64" s="157"/>
      <c r="IP64" s="157"/>
      <c r="IQ64" s="157"/>
      <c r="IR64" s="157"/>
      <c r="IS64" s="157"/>
      <c r="IT64" s="157"/>
      <c r="IU64" s="157"/>
      <c r="IV64" s="157"/>
      <c r="IW64" s="157"/>
      <c r="IX64" s="157"/>
      <c r="IY64" s="157"/>
      <c r="IZ64" s="157"/>
      <c r="JA64" s="157"/>
      <c r="JB64" s="157"/>
      <c r="JC64" s="157"/>
      <c r="JD64" s="157"/>
      <c r="JE64" s="157"/>
      <c r="JF64" s="157"/>
      <c r="JG64" s="157"/>
      <c r="JH64" s="157"/>
      <c r="JI64" s="157"/>
      <c r="JJ64" s="157"/>
      <c r="JK64" s="157"/>
      <c r="JL64" s="157"/>
      <c r="JM64" s="157"/>
      <c r="JN64" s="157"/>
      <c r="JO64" s="157"/>
      <c r="JP64" s="157"/>
      <c r="JQ64" s="157"/>
      <c r="JR64" s="157"/>
      <c r="JS64" s="157"/>
      <c r="JT64" s="157"/>
      <c r="JU64" s="157"/>
      <c r="JV64" s="157"/>
      <c r="JW64" s="157"/>
      <c r="JX64" s="157"/>
      <c r="JY64" s="157"/>
      <c r="JZ64" s="157"/>
      <c r="KA64" s="157"/>
      <c r="KB64" s="157"/>
      <c r="KC64" s="157"/>
      <c r="KD64" s="157"/>
      <c r="KE64" s="157"/>
      <c r="KF64" s="157"/>
      <c r="KG64" s="157"/>
      <c r="KH64" s="157"/>
      <c r="KI64" s="157"/>
      <c r="KJ64" s="157"/>
      <c r="KK64" s="157"/>
    </row>
    <row r="65" spans="1:297" ht="49" thickBot="1" x14ac:dyDescent="0.25">
      <c r="A65" s="435"/>
      <c r="B65" s="181" t="s">
        <v>79</v>
      </c>
      <c r="C65" s="183" t="s">
        <v>147</v>
      </c>
      <c r="D65" s="185" t="s">
        <v>144</v>
      </c>
      <c r="E65" s="159" t="s">
        <v>151</v>
      </c>
      <c r="F65" s="358">
        <v>0.36406855779358038</v>
      </c>
      <c r="G65" s="359">
        <v>0.36053208753076821</v>
      </c>
      <c r="H65" s="358">
        <v>0.35354027023288731</v>
      </c>
      <c r="I65" s="359">
        <v>0.34164675744226736</v>
      </c>
      <c r="J65" s="358">
        <v>0.34249673189941798</v>
      </c>
      <c r="K65" s="359">
        <v>0.34051275624984195</v>
      </c>
      <c r="L65" s="358">
        <v>0.39103444749942551</v>
      </c>
      <c r="M65" s="360">
        <v>0.34909627724116243</v>
      </c>
      <c r="N65" s="164" t="s">
        <v>100</v>
      </c>
      <c r="O65" s="154" t="s">
        <v>14</v>
      </c>
      <c r="P65" s="197" t="s">
        <v>101</v>
      </c>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c r="CG65" s="157"/>
      <c r="CH65" s="157"/>
      <c r="CI65" s="157"/>
      <c r="CJ65" s="157"/>
      <c r="CK65" s="157"/>
      <c r="CL65" s="157"/>
      <c r="CM65" s="157"/>
      <c r="CN65" s="157"/>
      <c r="CO65" s="157"/>
      <c r="CP65" s="157"/>
      <c r="CQ65" s="157"/>
      <c r="CR65" s="157"/>
      <c r="CS65" s="157"/>
      <c r="CT65" s="157"/>
      <c r="CU65" s="157"/>
      <c r="CV65" s="157"/>
      <c r="CW65" s="157"/>
      <c r="CX65" s="157"/>
      <c r="CY65" s="157"/>
      <c r="CZ65" s="157"/>
      <c r="DA65" s="157"/>
      <c r="DB65" s="157"/>
      <c r="DC65" s="157"/>
      <c r="DD65" s="157"/>
      <c r="DE65" s="157"/>
      <c r="DF65" s="157"/>
      <c r="DG65" s="157"/>
      <c r="DH65" s="157"/>
      <c r="DI65" s="157"/>
      <c r="DJ65" s="157"/>
      <c r="DK65" s="157"/>
      <c r="DL65" s="157"/>
      <c r="DM65" s="157"/>
      <c r="DN65" s="157"/>
      <c r="DO65" s="157"/>
      <c r="DP65" s="157"/>
      <c r="DQ65" s="157"/>
      <c r="DR65" s="157"/>
      <c r="DS65" s="157"/>
      <c r="DT65" s="157"/>
      <c r="DU65" s="157"/>
      <c r="DV65" s="157"/>
      <c r="DW65" s="157"/>
      <c r="DX65" s="157"/>
      <c r="DY65" s="157"/>
      <c r="DZ65" s="157"/>
      <c r="EA65" s="157"/>
      <c r="EB65" s="157"/>
      <c r="EC65" s="157"/>
      <c r="ED65" s="157"/>
      <c r="EE65" s="157"/>
      <c r="EF65" s="157"/>
      <c r="EG65" s="157"/>
      <c r="EH65" s="157"/>
      <c r="EI65" s="157"/>
      <c r="EJ65" s="157"/>
      <c r="EK65" s="157"/>
      <c r="EL65" s="157"/>
      <c r="EM65" s="157"/>
      <c r="EN65" s="157"/>
      <c r="EO65" s="157"/>
      <c r="EP65" s="157"/>
      <c r="EQ65" s="157"/>
      <c r="ER65" s="157"/>
      <c r="ES65" s="157"/>
      <c r="ET65" s="157"/>
      <c r="EU65" s="157"/>
      <c r="EV65" s="157"/>
      <c r="EW65" s="157"/>
      <c r="EX65" s="157"/>
      <c r="EY65" s="157"/>
      <c r="EZ65" s="157"/>
      <c r="FA65" s="157"/>
      <c r="FB65" s="157"/>
      <c r="FC65" s="157"/>
      <c r="FD65" s="157"/>
      <c r="FE65" s="157"/>
      <c r="FF65" s="157"/>
      <c r="FG65" s="157"/>
      <c r="FH65" s="157"/>
      <c r="FI65" s="157"/>
      <c r="FJ65" s="157"/>
      <c r="FK65" s="157"/>
      <c r="FL65" s="157"/>
      <c r="FM65" s="157"/>
      <c r="FN65" s="157"/>
      <c r="FO65" s="157"/>
      <c r="FP65" s="157"/>
      <c r="FQ65" s="157"/>
      <c r="FR65" s="157"/>
      <c r="FS65" s="157"/>
      <c r="FT65" s="157"/>
      <c r="FU65" s="157"/>
      <c r="FV65" s="157"/>
      <c r="FW65" s="157"/>
      <c r="FX65" s="157"/>
      <c r="FY65" s="157"/>
      <c r="FZ65" s="157"/>
      <c r="GA65" s="157"/>
      <c r="GB65" s="157"/>
      <c r="GC65" s="157"/>
      <c r="GD65" s="157"/>
      <c r="GE65" s="157"/>
      <c r="GF65" s="157"/>
      <c r="GG65" s="157"/>
      <c r="GH65" s="157"/>
      <c r="GI65" s="157"/>
      <c r="GJ65" s="157"/>
      <c r="GK65" s="157"/>
      <c r="GL65" s="157"/>
      <c r="GM65" s="157"/>
      <c r="GN65" s="157"/>
      <c r="GO65" s="157"/>
      <c r="GP65" s="157"/>
      <c r="GQ65" s="157"/>
      <c r="GR65" s="157"/>
      <c r="GS65" s="157"/>
      <c r="GT65" s="157"/>
      <c r="GU65" s="157"/>
      <c r="GV65" s="157"/>
      <c r="GW65" s="157"/>
      <c r="GX65" s="157"/>
      <c r="GY65" s="157"/>
      <c r="GZ65" s="157"/>
      <c r="HA65" s="157"/>
      <c r="HB65" s="157"/>
      <c r="HC65" s="157"/>
      <c r="HD65" s="157"/>
      <c r="HE65" s="157"/>
      <c r="HF65" s="157"/>
      <c r="HG65" s="157"/>
      <c r="HH65" s="157"/>
      <c r="HI65" s="157"/>
      <c r="HJ65" s="157"/>
      <c r="HK65" s="157"/>
      <c r="HL65" s="157"/>
      <c r="HM65" s="157"/>
      <c r="HN65" s="157"/>
      <c r="HO65" s="157"/>
      <c r="HP65" s="157"/>
      <c r="HQ65" s="157"/>
      <c r="HR65" s="157"/>
      <c r="HS65" s="157"/>
      <c r="HT65" s="157"/>
      <c r="HU65" s="157"/>
      <c r="HV65" s="157"/>
      <c r="HW65" s="157"/>
      <c r="HX65" s="157"/>
      <c r="HY65" s="157"/>
      <c r="HZ65" s="157"/>
      <c r="IA65" s="157"/>
      <c r="IB65" s="157"/>
      <c r="IC65" s="157"/>
      <c r="ID65" s="157"/>
      <c r="IE65" s="157"/>
      <c r="IF65" s="157"/>
      <c r="IG65" s="157"/>
      <c r="IH65" s="157"/>
      <c r="II65" s="157"/>
      <c r="IJ65" s="157"/>
      <c r="IK65" s="157"/>
      <c r="IL65" s="157"/>
      <c r="IM65" s="157"/>
      <c r="IN65" s="157"/>
      <c r="IO65" s="157"/>
      <c r="IP65" s="157"/>
      <c r="IQ65" s="157"/>
      <c r="IR65" s="157"/>
      <c r="IS65" s="157"/>
      <c r="IT65" s="157"/>
      <c r="IU65" s="157"/>
      <c r="IV65" s="157"/>
      <c r="IW65" s="157"/>
      <c r="IX65" s="157"/>
      <c r="IY65" s="157"/>
      <c r="IZ65" s="157"/>
      <c r="JA65" s="157"/>
      <c r="JB65" s="157"/>
      <c r="JC65" s="157"/>
      <c r="JD65" s="157"/>
      <c r="JE65" s="157"/>
      <c r="JF65" s="157"/>
      <c r="JG65" s="157"/>
      <c r="JH65" s="157"/>
      <c r="JI65" s="157"/>
      <c r="JJ65" s="157"/>
      <c r="JK65" s="157"/>
      <c r="JL65" s="157"/>
      <c r="JM65" s="157"/>
      <c r="JN65" s="157"/>
      <c r="JO65" s="157"/>
      <c r="JP65" s="157"/>
      <c r="JQ65" s="157"/>
      <c r="JR65" s="157"/>
      <c r="JS65" s="157"/>
      <c r="JT65" s="157"/>
      <c r="JU65" s="157"/>
      <c r="JV65" s="157"/>
      <c r="JW65" s="157"/>
      <c r="JX65" s="157"/>
      <c r="JY65" s="157"/>
      <c r="JZ65" s="157"/>
      <c r="KA65" s="157"/>
      <c r="KB65" s="157"/>
      <c r="KC65" s="157"/>
      <c r="KD65" s="157"/>
      <c r="KE65" s="157"/>
      <c r="KF65" s="157"/>
      <c r="KG65" s="157"/>
      <c r="KH65" s="157"/>
      <c r="KI65" s="157"/>
      <c r="KJ65" s="157"/>
      <c r="KK65" s="157"/>
    </row>
    <row r="66" spans="1:297" ht="49" thickBot="1" x14ac:dyDescent="0.25">
      <c r="A66" s="435"/>
      <c r="B66" s="183" t="s">
        <v>64</v>
      </c>
      <c r="C66" s="183" t="s">
        <v>147</v>
      </c>
      <c r="D66" s="159" t="s">
        <v>144</v>
      </c>
      <c r="E66" s="159" t="s">
        <v>162</v>
      </c>
      <c r="F66" s="348">
        <v>9.9999999999999995E-21</v>
      </c>
      <c r="G66" s="348">
        <v>9.9999999999999995E-21</v>
      </c>
      <c r="H66" s="348">
        <v>9.9999999999999995E-21</v>
      </c>
      <c r="I66" s="348">
        <v>9.9999999999999995E-21</v>
      </c>
      <c r="J66" s="348">
        <v>9.9999999999999995E-21</v>
      </c>
      <c r="K66" s="348">
        <v>9.9999999999999995E-21</v>
      </c>
      <c r="L66" s="348">
        <v>9.9999999999999995E-21</v>
      </c>
      <c r="M66" s="348">
        <v>9.9999999999999995E-21</v>
      </c>
      <c r="N66" s="164" t="s">
        <v>163</v>
      </c>
      <c r="O66" s="154" t="s">
        <v>14</v>
      </c>
      <c r="P66" s="197" t="s">
        <v>14</v>
      </c>
      <c r="Q66" s="155" t="s">
        <v>164</v>
      </c>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c r="CU66" s="157"/>
      <c r="CV66" s="157"/>
      <c r="CW66" s="157"/>
      <c r="CX66" s="157"/>
      <c r="CY66" s="157"/>
      <c r="CZ66" s="157"/>
      <c r="DA66" s="157"/>
      <c r="DB66" s="157"/>
      <c r="DC66" s="157"/>
      <c r="DD66" s="157"/>
      <c r="DE66" s="157"/>
      <c r="DF66" s="157"/>
      <c r="DG66" s="157"/>
      <c r="DH66" s="157"/>
      <c r="DI66" s="157"/>
      <c r="DJ66" s="157"/>
      <c r="DK66" s="157"/>
      <c r="DL66" s="157"/>
      <c r="DM66" s="157"/>
      <c r="DN66" s="157"/>
      <c r="DO66" s="157"/>
      <c r="DP66" s="157"/>
      <c r="DQ66" s="157"/>
      <c r="DR66" s="157"/>
      <c r="DS66" s="157"/>
      <c r="DT66" s="157"/>
      <c r="DU66" s="157"/>
      <c r="DV66" s="157"/>
      <c r="DW66" s="157"/>
      <c r="DX66" s="157"/>
      <c r="DY66" s="157"/>
      <c r="DZ66" s="157"/>
      <c r="EA66" s="157"/>
      <c r="EB66" s="157"/>
      <c r="EC66" s="157"/>
      <c r="ED66" s="157"/>
      <c r="EE66" s="157"/>
      <c r="EF66" s="157"/>
      <c r="EG66" s="157"/>
      <c r="EH66" s="157"/>
      <c r="EI66" s="157"/>
      <c r="EJ66" s="157"/>
      <c r="EK66" s="157"/>
      <c r="EL66" s="157"/>
      <c r="EM66" s="157"/>
      <c r="EN66" s="157"/>
      <c r="EO66" s="157"/>
      <c r="EP66" s="157"/>
      <c r="EQ66" s="157"/>
      <c r="ER66" s="157"/>
      <c r="ES66" s="157"/>
      <c r="ET66" s="157"/>
      <c r="EU66" s="157"/>
      <c r="EV66" s="157"/>
      <c r="EW66" s="157"/>
      <c r="EX66" s="157"/>
      <c r="EY66" s="157"/>
      <c r="EZ66" s="157"/>
      <c r="FA66" s="157"/>
      <c r="FB66" s="157"/>
      <c r="FC66" s="157"/>
      <c r="FD66" s="157"/>
      <c r="FE66" s="157"/>
      <c r="FF66" s="157"/>
      <c r="FG66" s="157"/>
      <c r="FH66" s="157"/>
      <c r="FI66" s="157"/>
      <c r="FJ66" s="157"/>
      <c r="FK66" s="157"/>
      <c r="FL66" s="157"/>
      <c r="FM66" s="157"/>
      <c r="FN66" s="157"/>
      <c r="FO66" s="157"/>
      <c r="FP66" s="157"/>
      <c r="FQ66" s="157"/>
      <c r="FR66" s="157"/>
      <c r="FS66" s="157"/>
      <c r="FT66" s="157"/>
      <c r="FU66" s="157"/>
      <c r="FV66" s="157"/>
      <c r="FW66" s="157"/>
      <c r="FX66" s="157"/>
      <c r="FY66" s="157"/>
      <c r="FZ66" s="157"/>
      <c r="GA66" s="157"/>
      <c r="GB66" s="157"/>
      <c r="GC66" s="157"/>
      <c r="GD66" s="157"/>
      <c r="GE66" s="157"/>
      <c r="GF66" s="157"/>
      <c r="GG66" s="157"/>
      <c r="GH66" s="157"/>
      <c r="GI66" s="157"/>
      <c r="GJ66" s="157"/>
      <c r="GK66" s="157"/>
      <c r="GL66" s="157"/>
      <c r="GM66" s="157"/>
      <c r="GN66" s="157"/>
      <c r="GO66" s="157"/>
      <c r="GP66" s="157"/>
      <c r="GQ66" s="157"/>
      <c r="GR66" s="157"/>
      <c r="GS66" s="157"/>
      <c r="GT66" s="157"/>
      <c r="GU66" s="157"/>
      <c r="GV66" s="157"/>
      <c r="GW66" s="157"/>
      <c r="GX66" s="157"/>
      <c r="GY66" s="157"/>
      <c r="GZ66" s="157"/>
      <c r="HA66" s="157"/>
      <c r="HB66" s="157"/>
      <c r="HC66" s="157"/>
      <c r="HD66" s="157"/>
      <c r="HE66" s="157"/>
      <c r="HF66" s="157"/>
      <c r="HG66" s="157"/>
      <c r="HH66" s="157"/>
      <c r="HI66" s="157"/>
      <c r="HJ66" s="157"/>
      <c r="HK66" s="157"/>
      <c r="HL66" s="157"/>
      <c r="HM66" s="157"/>
      <c r="HN66" s="157"/>
      <c r="HO66" s="157"/>
      <c r="HP66" s="157"/>
      <c r="HQ66" s="157"/>
      <c r="HR66" s="157"/>
      <c r="HS66" s="157"/>
      <c r="HT66" s="157"/>
      <c r="HU66" s="157"/>
      <c r="HV66" s="157"/>
      <c r="HW66" s="157"/>
      <c r="HX66" s="157"/>
      <c r="HY66" s="157"/>
      <c r="HZ66" s="157"/>
      <c r="IA66" s="157"/>
      <c r="IB66" s="157"/>
      <c r="IC66" s="157"/>
      <c r="ID66" s="157"/>
      <c r="IE66" s="157"/>
      <c r="IF66" s="157"/>
      <c r="IG66" s="157"/>
      <c r="IH66" s="157"/>
      <c r="II66" s="157"/>
      <c r="IJ66" s="157"/>
      <c r="IK66" s="157"/>
      <c r="IL66" s="157"/>
      <c r="IM66" s="157"/>
      <c r="IN66" s="157"/>
      <c r="IO66" s="157"/>
      <c r="IP66" s="157"/>
      <c r="IQ66" s="157"/>
      <c r="IR66" s="157"/>
      <c r="IS66" s="157"/>
      <c r="IT66" s="157"/>
      <c r="IU66" s="157"/>
      <c r="IV66" s="157"/>
      <c r="IW66" s="157"/>
      <c r="IX66" s="157"/>
      <c r="IY66" s="157"/>
      <c r="IZ66" s="157"/>
      <c r="JA66" s="157"/>
      <c r="JB66" s="157"/>
      <c r="JC66" s="157"/>
      <c r="JD66" s="157"/>
      <c r="JE66" s="157"/>
      <c r="JF66" s="157"/>
      <c r="JG66" s="157"/>
      <c r="JH66" s="157"/>
      <c r="JI66" s="157"/>
      <c r="JJ66" s="157"/>
      <c r="JK66" s="157"/>
      <c r="JL66" s="157"/>
      <c r="JM66" s="157"/>
      <c r="JN66" s="157"/>
      <c r="JO66" s="157"/>
      <c r="JP66" s="157"/>
      <c r="JQ66" s="157"/>
      <c r="JR66" s="157"/>
      <c r="JS66" s="157"/>
      <c r="JT66" s="157"/>
      <c r="JU66" s="157"/>
      <c r="JV66" s="157"/>
      <c r="JW66" s="157"/>
      <c r="JX66" s="157"/>
      <c r="JY66" s="157"/>
      <c r="JZ66" s="157"/>
      <c r="KA66" s="157"/>
      <c r="KB66" s="157"/>
      <c r="KC66" s="157"/>
      <c r="KD66" s="157"/>
      <c r="KE66" s="157"/>
      <c r="KF66" s="157"/>
      <c r="KG66" s="157"/>
      <c r="KH66" s="157"/>
      <c r="KI66" s="157"/>
      <c r="KJ66" s="157"/>
      <c r="KK66" s="157"/>
    </row>
    <row r="67" spans="1:297" ht="49" thickBot="1" x14ac:dyDescent="0.25">
      <c r="A67" s="435"/>
      <c r="B67" s="181" t="s">
        <v>136</v>
      </c>
      <c r="C67" s="182"/>
      <c r="D67" s="160" t="s">
        <v>144</v>
      </c>
      <c r="E67" s="160"/>
      <c r="F67" s="358">
        <v>0.13612718723744019</v>
      </c>
      <c r="G67" s="359">
        <v>7.6415365873249624E-2</v>
      </c>
      <c r="H67" s="358">
        <v>9.4887390641913899E-2</v>
      </c>
      <c r="I67" s="359">
        <v>0.10488976242915614</v>
      </c>
      <c r="J67" s="358">
        <v>9.7784085685615182E-2</v>
      </c>
      <c r="K67" s="359">
        <v>8.1358974858747074E-2</v>
      </c>
      <c r="L67" s="358">
        <v>0.1017008808012575</v>
      </c>
      <c r="M67" s="360">
        <v>9.5939476276258873E-2</v>
      </c>
      <c r="N67" s="164" t="s">
        <v>103</v>
      </c>
      <c r="O67" s="154" t="s">
        <v>14</v>
      </c>
      <c r="P67" s="339" t="s">
        <v>102</v>
      </c>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c r="CA67" s="157"/>
      <c r="CB67" s="157"/>
      <c r="CC67" s="157"/>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57"/>
      <c r="DT67" s="157"/>
      <c r="DU67" s="157"/>
      <c r="DV67" s="157"/>
      <c r="DW67" s="157"/>
      <c r="DX67" s="157"/>
      <c r="DY67" s="157"/>
      <c r="DZ67" s="157"/>
      <c r="EA67" s="157"/>
      <c r="EB67" s="157"/>
      <c r="EC67" s="157"/>
      <c r="ED67" s="157"/>
      <c r="EE67" s="157"/>
      <c r="EF67" s="157"/>
      <c r="EG67" s="157"/>
      <c r="EH67" s="157"/>
      <c r="EI67" s="157"/>
      <c r="EJ67" s="157"/>
      <c r="EK67" s="157"/>
      <c r="EL67" s="157"/>
      <c r="EM67" s="157"/>
      <c r="EN67" s="157"/>
      <c r="EO67" s="157"/>
      <c r="EP67" s="157"/>
      <c r="EQ67" s="157"/>
      <c r="ER67" s="157"/>
      <c r="ES67" s="157"/>
      <c r="ET67" s="157"/>
      <c r="EU67" s="157"/>
      <c r="EV67" s="157"/>
      <c r="EW67" s="157"/>
      <c r="EX67" s="157"/>
      <c r="EY67" s="157"/>
      <c r="EZ67" s="157"/>
      <c r="FA67" s="157"/>
      <c r="FB67" s="157"/>
      <c r="FC67" s="157"/>
      <c r="FD67" s="157"/>
      <c r="FE67" s="157"/>
      <c r="FF67" s="157"/>
      <c r="FG67" s="157"/>
      <c r="FH67" s="157"/>
      <c r="FI67" s="157"/>
      <c r="FJ67" s="157"/>
      <c r="FK67" s="157"/>
      <c r="FL67" s="157"/>
      <c r="FM67" s="157"/>
      <c r="FN67" s="157"/>
      <c r="FO67" s="157"/>
      <c r="FP67" s="157"/>
      <c r="FQ67" s="157"/>
      <c r="FR67" s="157"/>
      <c r="FS67" s="157"/>
      <c r="FT67" s="157"/>
      <c r="FU67" s="157"/>
      <c r="FV67" s="157"/>
      <c r="FW67" s="157"/>
      <c r="FX67" s="157"/>
      <c r="FY67" s="157"/>
      <c r="FZ67" s="157"/>
      <c r="GA67" s="157"/>
      <c r="GB67" s="157"/>
      <c r="GC67" s="157"/>
      <c r="GD67" s="157"/>
      <c r="GE67" s="157"/>
      <c r="GF67" s="157"/>
      <c r="GG67" s="157"/>
      <c r="GH67" s="157"/>
      <c r="GI67" s="157"/>
      <c r="GJ67" s="157"/>
      <c r="GK67" s="157"/>
      <c r="GL67" s="157"/>
      <c r="GM67" s="157"/>
      <c r="GN67" s="157"/>
      <c r="GO67" s="157"/>
      <c r="GP67" s="157"/>
      <c r="GQ67" s="157"/>
      <c r="GR67" s="157"/>
      <c r="GS67" s="157"/>
      <c r="GT67" s="157"/>
      <c r="GU67" s="157"/>
      <c r="GV67" s="157"/>
      <c r="GW67" s="157"/>
      <c r="GX67" s="157"/>
      <c r="GY67" s="157"/>
      <c r="GZ67" s="157"/>
      <c r="HA67" s="157"/>
      <c r="HB67" s="157"/>
      <c r="HC67" s="157"/>
      <c r="HD67" s="157"/>
      <c r="HE67" s="157"/>
      <c r="HF67" s="157"/>
      <c r="HG67" s="157"/>
      <c r="HH67" s="157"/>
      <c r="HI67" s="157"/>
      <c r="HJ67" s="157"/>
      <c r="HK67" s="157"/>
      <c r="HL67" s="157"/>
      <c r="HM67" s="157"/>
      <c r="HN67" s="157"/>
      <c r="HO67" s="157"/>
      <c r="HP67" s="157"/>
      <c r="HQ67" s="157"/>
      <c r="HR67" s="157"/>
      <c r="HS67" s="157"/>
      <c r="HT67" s="157"/>
      <c r="HU67" s="157"/>
      <c r="HV67" s="157"/>
      <c r="HW67" s="157"/>
      <c r="HX67" s="157"/>
      <c r="HY67" s="157"/>
      <c r="HZ67" s="157"/>
      <c r="IA67" s="157"/>
      <c r="IB67" s="157"/>
      <c r="IC67" s="157"/>
      <c r="ID67" s="157"/>
      <c r="IE67" s="157"/>
      <c r="IF67" s="157"/>
      <c r="IG67" s="157"/>
      <c r="IH67" s="157"/>
      <c r="II67" s="157"/>
      <c r="IJ67" s="157"/>
      <c r="IK67" s="157"/>
      <c r="IL67" s="157"/>
      <c r="IM67" s="157"/>
      <c r="IN67" s="157"/>
      <c r="IO67" s="157"/>
      <c r="IP67" s="157"/>
      <c r="IQ67" s="157"/>
      <c r="IR67" s="157"/>
      <c r="IS67" s="157"/>
      <c r="IT67" s="157"/>
      <c r="IU67" s="157"/>
      <c r="IV67" s="157"/>
      <c r="IW67" s="157"/>
      <c r="IX67" s="157"/>
      <c r="IY67" s="157"/>
      <c r="IZ67" s="157"/>
      <c r="JA67" s="157"/>
      <c r="JB67" s="157"/>
      <c r="JC67" s="157"/>
      <c r="JD67" s="157"/>
      <c r="JE67" s="157"/>
      <c r="JF67" s="157"/>
      <c r="JG67" s="157"/>
      <c r="JH67" s="157"/>
      <c r="JI67" s="157"/>
      <c r="JJ67" s="157"/>
      <c r="JK67" s="157"/>
      <c r="JL67" s="157"/>
      <c r="JM67" s="157"/>
      <c r="JN67" s="157"/>
      <c r="JO67" s="157"/>
      <c r="JP67" s="157"/>
      <c r="JQ67" s="157"/>
      <c r="JR67" s="157"/>
      <c r="JS67" s="157"/>
      <c r="JT67" s="157"/>
      <c r="JU67" s="157"/>
      <c r="JV67" s="157"/>
      <c r="JW67" s="157"/>
      <c r="JX67" s="157"/>
      <c r="JY67" s="157"/>
      <c r="JZ67" s="157"/>
      <c r="KA67" s="157"/>
      <c r="KB67" s="157"/>
      <c r="KC67" s="157"/>
      <c r="KD67" s="157"/>
      <c r="KE67" s="157"/>
      <c r="KF67" s="157"/>
      <c r="KG67" s="157"/>
      <c r="KH67" s="157"/>
      <c r="KI67" s="157"/>
      <c r="KJ67" s="157"/>
      <c r="KK67" s="157"/>
    </row>
    <row r="68" spans="1:297" ht="49" thickBot="1" x14ac:dyDescent="0.25">
      <c r="A68" s="435"/>
      <c r="B68" s="181" t="s">
        <v>80</v>
      </c>
      <c r="C68" s="182"/>
      <c r="D68" s="160" t="s">
        <v>144</v>
      </c>
      <c r="E68" s="160"/>
      <c r="F68" s="358">
        <v>0.86387281276255978</v>
      </c>
      <c r="G68" s="359">
        <v>0.9235846341267504</v>
      </c>
      <c r="H68" s="358">
        <v>0.90511260935808613</v>
      </c>
      <c r="I68" s="359">
        <v>0.89511023757084385</v>
      </c>
      <c r="J68" s="358">
        <v>0.90221591431438486</v>
      </c>
      <c r="K68" s="359">
        <v>0.9186410251412529</v>
      </c>
      <c r="L68" s="358">
        <v>0.8982991191987425</v>
      </c>
      <c r="M68" s="360">
        <v>0.90406052372374113</v>
      </c>
      <c r="N68" s="164" t="s">
        <v>104</v>
      </c>
      <c r="O68" s="154" t="s">
        <v>14</v>
      </c>
      <c r="P68" s="339" t="s">
        <v>102</v>
      </c>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c r="BW68" s="157"/>
      <c r="BX68" s="157"/>
      <c r="BY68" s="157"/>
      <c r="BZ68" s="157"/>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57"/>
      <c r="DT68" s="157"/>
      <c r="DU68" s="157"/>
      <c r="DV68" s="157"/>
      <c r="DW68" s="157"/>
      <c r="DX68" s="157"/>
      <c r="DY68" s="157"/>
      <c r="DZ68" s="157"/>
      <c r="EA68" s="157"/>
      <c r="EB68" s="157"/>
      <c r="EC68" s="157"/>
      <c r="ED68" s="157"/>
      <c r="EE68" s="157"/>
      <c r="EF68" s="157"/>
      <c r="EG68" s="157"/>
      <c r="EH68" s="157"/>
      <c r="EI68" s="157"/>
      <c r="EJ68" s="157"/>
      <c r="EK68" s="157"/>
      <c r="EL68" s="157"/>
      <c r="EM68" s="157"/>
      <c r="EN68" s="157"/>
      <c r="EO68" s="157"/>
      <c r="EP68" s="157"/>
      <c r="EQ68" s="157"/>
      <c r="ER68" s="157"/>
      <c r="ES68" s="157"/>
      <c r="ET68" s="157"/>
      <c r="EU68" s="157"/>
      <c r="EV68" s="157"/>
      <c r="EW68" s="157"/>
      <c r="EX68" s="157"/>
      <c r="EY68" s="157"/>
      <c r="EZ68" s="157"/>
      <c r="FA68" s="157"/>
      <c r="FB68" s="157"/>
      <c r="FC68" s="157"/>
      <c r="FD68" s="157"/>
      <c r="FE68" s="157"/>
      <c r="FF68" s="157"/>
      <c r="FG68" s="157"/>
      <c r="FH68" s="157"/>
      <c r="FI68" s="157"/>
      <c r="FJ68" s="157"/>
      <c r="FK68" s="157"/>
      <c r="FL68" s="157"/>
      <c r="FM68" s="157"/>
      <c r="FN68" s="157"/>
      <c r="FO68" s="157"/>
      <c r="FP68" s="157"/>
      <c r="FQ68" s="157"/>
      <c r="FR68" s="157"/>
      <c r="FS68" s="157"/>
      <c r="FT68" s="157"/>
      <c r="FU68" s="157"/>
      <c r="FV68" s="157"/>
      <c r="FW68" s="157"/>
      <c r="FX68" s="157"/>
      <c r="FY68" s="157"/>
      <c r="FZ68" s="157"/>
      <c r="GA68" s="157"/>
      <c r="GB68" s="157"/>
      <c r="GC68" s="157"/>
      <c r="GD68" s="157"/>
      <c r="GE68" s="157"/>
      <c r="GF68" s="157"/>
      <c r="GG68" s="157"/>
      <c r="GH68" s="157"/>
      <c r="GI68" s="157"/>
      <c r="GJ68" s="157"/>
      <c r="GK68" s="157"/>
      <c r="GL68" s="157"/>
      <c r="GM68" s="157"/>
      <c r="GN68" s="157"/>
      <c r="GO68" s="157"/>
      <c r="GP68" s="157"/>
      <c r="GQ68" s="157"/>
      <c r="GR68" s="157"/>
      <c r="GS68" s="157"/>
      <c r="GT68" s="157"/>
      <c r="GU68" s="157"/>
      <c r="GV68" s="157"/>
      <c r="GW68" s="157"/>
      <c r="GX68" s="157"/>
      <c r="GY68" s="157"/>
      <c r="GZ68" s="157"/>
      <c r="HA68" s="157"/>
      <c r="HB68" s="157"/>
      <c r="HC68" s="157"/>
      <c r="HD68" s="157"/>
      <c r="HE68" s="157"/>
      <c r="HF68" s="157"/>
      <c r="HG68" s="157"/>
      <c r="HH68" s="157"/>
      <c r="HI68" s="157"/>
      <c r="HJ68" s="157"/>
      <c r="HK68" s="157"/>
      <c r="HL68" s="157"/>
      <c r="HM68" s="157"/>
      <c r="HN68" s="157"/>
      <c r="HO68" s="157"/>
      <c r="HP68" s="157"/>
      <c r="HQ68" s="157"/>
      <c r="HR68" s="157"/>
      <c r="HS68" s="157"/>
      <c r="HT68" s="157"/>
      <c r="HU68" s="157"/>
      <c r="HV68" s="157"/>
      <c r="HW68" s="157"/>
      <c r="HX68" s="157"/>
      <c r="HY68" s="157"/>
      <c r="HZ68" s="157"/>
      <c r="IA68" s="157"/>
      <c r="IB68" s="157"/>
      <c r="IC68" s="157"/>
      <c r="ID68" s="157"/>
      <c r="IE68" s="157"/>
      <c r="IF68" s="157"/>
      <c r="IG68" s="157"/>
      <c r="IH68" s="157"/>
      <c r="II68" s="157"/>
      <c r="IJ68" s="157"/>
      <c r="IK68" s="157"/>
      <c r="IL68" s="157"/>
      <c r="IM68" s="157"/>
      <c r="IN68" s="157"/>
      <c r="IO68" s="157"/>
      <c r="IP68" s="157"/>
      <c r="IQ68" s="157"/>
      <c r="IR68" s="157"/>
      <c r="IS68" s="157"/>
      <c r="IT68" s="157"/>
      <c r="IU68" s="157"/>
      <c r="IV68" s="157"/>
      <c r="IW68" s="157"/>
      <c r="IX68" s="157"/>
      <c r="IY68" s="157"/>
      <c r="IZ68" s="157"/>
      <c r="JA68" s="157"/>
      <c r="JB68" s="157"/>
      <c r="JC68" s="157"/>
      <c r="JD68" s="157"/>
      <c r="JE68" s="157"/>
      <c r="JF68" s="157"/>
      <c r="JG68" s="157"/>
      <c r="JH68" s="157"/>
      <c r="JI68" s="157"/>
      <c r="JJ68" s="157"/>
      <c r="JK68" s="157"/>
      <c r="JL68" s="157"/>
      <c r="JM68" s="157"/>
      <c r="JN68" s="157"/>
      <c r="JO68" s="157"/>
      <c r="JP68" s="157"/>
      <c r="JQ68" s="157"/>
      <c r="JR68" s="157"/>
      <c r="JS68" s="157"/>
      <c r="JT68" s="157"/>
      <c r="JU68" s="157"/>
      <c r="JV68" s="157"/>
      <c r="JW68" s="157"/>
      <c r="JX68" s="157"/>
      <c r="JY68" s="157"/>
      <c r="JZ68" s="157"/>
      <c r="KA68" s="157"/>
      <c r="KB68" s="157"/>
      <c r="KC68" s="157"/>
      <c r="KD68" s="157"/>
      <c r="KE68" s="157"/>
      <c r="KF68" s="157"/>
      <c r="KG68" s="157"/>
      <c r="KH68" s="157"/>
      <c r="KI68" s="157"/>
      <c r="KJ68" s="157"/>
      <c r="KK68" s="157"/>
    </row>
    <row r="69" spans="1:297" ht="17" thickBot="1" x14ac:dyDescent="0.25">
      <c r="A69" s="435"/>
      <c r="B69" s="181" t="s">
        <v>81</v>
      </c>
      <c r="C69" s="183" t="s">
        <v>152</v>
      </c>
      <c r="D69" s="185" t="s">
        <v>144</v>
      </c>
      <c r="E69" s="185"/>
      <c r="F69" s="358">
        <v>285.14999999999998</v>
      </c>
      <c r="G69" s="359">
        <v>285.14999999999998</v>
      </c>
      <c r="H69" s="358">
        <v>285.14999999999998</v>
      </c>
      <c r="I69" s="359">
        <v>285.14999999999998</v>
      </c>
      <c r="J69" s="358">
        <v>285.14999999999998</v>
      </c>
      <c r="K69" s="359">
        <v>285.14999999999998</v>
      </c>
      <c r="L69" s="358">
        <v>285.14999999999998</v>
      </c>
      <c r="M69" s="360">
        <v>285.14999999999998</v>
      </c>
      <c r="N69" s="164" t="s">
        <v>105</v>
      </c>
      <c r="O69" s="154" t="s">
        <v>106</v>
      </c>
      <c r="P69" s="197" t="s">
        <v>101</v>
      </c>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c r="BW69" s="157"/>
      <c r="BX69" s="157"/>
      <c r="BY69" s="157"/>
      <c r="BZ69" s="157"/>
      <c r="CA69" s="157"/>
      <c r="CB69" s="157"/>
      <c r="CC69" s="157"/>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c r="DI69" s="157"/>
      <c r="DJ69" s="157"/>
      <c r="DK69" s="157"/>
      <c r="DL69" s="157"/>
      <c r="DM69" s="157"/>
      <c r="DN69" s="157"/>
      <c r="DO69" s="157"/>
      <c r="DP69" s="157"/>
      <c r="DQ69" s="157"/>
      <c r="DR69" s="157"/>
      <c r="DS69" s="157"/>
      <c r="DT69" s="157"/>
      <c r="DU69" s="157"/>
      <c r="DV69" s="157"/>
      <c r="DW69" s="157"/>
      <c r="DX69" s="157"/>
      <c r="DY69" s="157"/>
      <c r="DZ69" s="157"/>
      <c r="EA69" s="157"/>
      <c r="EB69" s="157"/>
      <c r="EC69" s="157"/>
      <c r="ED69" s="157"/>
      <c r="EE69" s="157"/>
      <c r="EF69" s="157"/>
      <c r="EG69" s="157"/>
      <c r="EH69" s="157"/>
      <c r="EI69" s="157"/>
      <c r="EJ69" s="157"/>
      <c r="EK69" s="157"/>
      <c r="EL69" s="157"/>
      <c r="EM69" s="157"/>
      <c r="EN69" s="157"/>
      <c r="EO69" s="157"/>
      <c r="EP69" s="157"/>
      <c r="EQ69" s="157"/>
      <c r="ER69" s="157"/>
      <c r="ES69" s="157"/>
      <c r="ET69" s="157"/>
      <c r="EU69" s="157"/>
      <c r="EV69" s="157"/>
      <c r="EW69" s="157"/>
      <c r="EX69" s="157"/>
      <c r="EY69" s="157"/>
      <c r="EZ69" s="157"/>
      <c r="FA69" s="157"/>
      <c r="FB69" s="157"/>
      <c r="FC69" s="157"/>
      <c r="FD69" s="157"/>
      <c r="FE69" s="157"/>
      <c r="FF69" s="157"/>
      <c r="FG69" s="157"/>
      <c r="FH69" s="157"/>
      <c r="FI69" s="157"/>
      <c r="FJ69" s="157"/>
      <c r="FK69" s="157"/>
      <c r="FL69" s="157"/>
      <c r="FM69" s="157"/>
      <c r="FN69" s="157"/>
      <c r="FO69" s="157"/>
      <c r="FP69" s="157"/>
      <c r="FQ69" s="157"/>
      <c r="FR69" s="157"/>
      <c r="FS69" s="157"/>
      <c r="FT69" s="157"/>
      <c r="FU69" s="157"/>
      <c r="FV69" s="157"/>
      <c r="FW69" s="157"/>
      <c r="FX69" s="157"/>
      <c r="FY69" s="157"/>
      <c r="FZ69" s="157"/>
      <c r="GA69" s="157"/>
      <c r="GB69" s="157"/>
      <c r="GC69" s="157"/>
      <c r="GD69" s="157"/>
      <c r="GE69" s="157"/>
      <c r="GF69" s="157"/>
      <c r="GG69" s="157"/>
      <c r="GH69" s="157"/>
      <c r="GI69" s="157"/>
      <c r="GJ69" s="157"/>
      <c r="GK69" s="157"/>
      <c r="GL69" s="157"/>
      <c r="GM69" s="157"/>
      <c r="GN69" s="157"/>
      <c r="GO69" s="157"/>
      <c r="GP69" s="157"/>
      <c r="GQ69" s="157"/>
      <c r="GR69" s="157"/>
      <c r="GS69" s="157"/>
      <c r="GT69" s="157"/>
      <c r="GU69" s="157"/>
      <c r="GV69" s="157"/>
      <c r="GW69" s="157"/>
      <c r="GX69" s="157"/>
      <c r="GY69" s="157"/>
      <c r="GZ69" s="157"/>
      <c r="HA69" s="157"/>
      <c r="HB69" s="157"/>
      <c r="HC69" s="157"/>
      <c r="HD69" s="157"/>
      <c r="HE69" s="157"/>
      <c r="HF69" s="157"/>
      <c r="HG69" s="157"/>
      <c r="HH69" s="157"/>
      <c r="HI69" s="157"/>
      <c r="HJ69" s="157"/>
      <c r="HK69" s="157"/>
      <c r="HL69" s="157"/>
      <c r="HM69" s="157"/>
      <c r="HN69" s="157"/>
      <c r="HO69" s="157"/>
      <c r="HP69" s="157"/>
      <c r="HQ69" s="157"/>
      <c r="HR69" s="157"/>
      <c r="HS69" s="157"/>
      <c r="HT69" s="157"/>
      <c r="HU69" s="157"/>
      <c r="HV69" s="157"/>
      <c r="HW69" s="157"/>
      <c r="HX69" s="157"/>
      <c r="HY69" s="157"/>
      <c r="HZ69" s="157"/>
      <c r="IA69" s="157"/>
      <c r="IB69" s="157"/>
      <c r="IC69" s="157"/>
      <c r="ID69" s="157"/>
      <c r="IE69" s="157"/>
      <c r="IF69" s="157"/>
      <c r="IG69" s="157"/>
      <c r="IH69" s="157"/>
      <c r="II69" s="157"/>
      <c r="IJ69" s="157"/>
      <c r="IK69" s="157"/>
      <c r="IL69" s="157"/>
      <c r="IM69" s="157"/>
      <c r="IN69" s="157"/>
      <c r="IO69" s="157"/>
      <c r="IP69" s="157"/>
      <c r="IQ69" s="157"/>
      <c r="IR69" s="157"/>
      <c r="IS69" s="157"/>
      <c r="IT69" s="157"/>
      <c r="IU69" s="157"/>
      <c r="IV69" s="157"/>
      <c r="IW69" s="157"/>
      <c r="IX69" s="157"/>
      <c r="IY69" s="157"/>
      <c r="IZ69" s="157"/>
      <c r="JA69" s="157"/>
      <c r="JB69" s="157"/>
      <c r="JC69" s="157"/>
      <c r="JD69" s="157"/>
      <c r="JE69" s="157"/>
      <c r="JF69" s="157"/>
      <c r="JG69" s="157"/>
      <c r="JH69" s="157"/>
      <c r="JI69" s="157"/>
      <c r="JJ69" s="157"/>
      <c r="JK69" s="157"/>
      <c r="JL69" s="157"/>
      <c r="JM69" s="157"/>
      <c r="JN69" s="157"/>
      <c r="JO69" s="157"/>
      <c r="JP69" s="157"/>
      <c r="JQ69" s="157"/>
      <c r="JR69" s="157"/>
      <c r="JS69" s="157"/>
      <c r="JT69" s="157"/>
      <c r="JU69" s="157"/>
      <c r="JV69" s="157"/>
      <c r="JW69" s="157"/>
      <c r="JX69" s="157"/>
      <c r="JY69" s="157"/>
      <c r="JZ69" s="157"/>
      <c r="KA69" s="157"/>
      <c r="KB69" s="157"/>
      <c r="KC69" s="157"/>
      <c r="KD69" s="157"/>
      <c r="KE69" s="157"/>
      <c r="KF69" s="157"/>
      <c r="KG69" s="157"/>
      <c r="KH69" s="157"/>
      <c r="KI69" s="157"/>
      <c r="KJ69" s="157"/>
      <c r="KK69" s="157"/>
    </row>
    <row r="70" spans="1:297" ht="17" thickBot="1" x14ac:dyDescent="0.25">
      <c r="A70" s="435"/>
      <c r="B70" s="181" t="s">
        <v>82</v>
      </c>
      <c r="C70" s="183" t="s">
        <v>153</v>
      </c>
      <c r="D70" s="185" t="s">
        <v>144</v>
      </c>
      <c r="E70" s="185"/>
      <c r="F70" s="358">
        <v>3</v>
      </c>
      <c r="G70" s="359">
        <v>3</v>
      </c>
      <c r="H70" s="358">
        <v>3</v>
      </c>
      <c r="I70" s="359">
        <v>3</v>
      </c>
      <c r="J70" s="358">
        <v>3</v>
      </c>
      <c r="K70" s="359">
        <v>3</v>
      </c>
      <c r="L70" s="358">
        <v>3</v>
      </c>
      <c r="M70" s="360">
        <v>3</v>
      </c>
      <c r="N70" s="164" t="s">
        <v>107</v>
      </c>
      <c r="O70" s="154" t="s">
        <v>108</v>
      </c>
      <c r="P70" s="197" t="s">
        <v>101</v>
      </c>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c r="CA70" s="157"/>
      <c r="CB70" s="157"/>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c r="DI70" s="157"/>
      <c r="DJ70" s="157"/>
      <c r="DK70" s="157"/>
      <c r="DL70" s="157"/>
      <c r="DM70" s="157"/>
      <c r="DN70" s="157"/>
      <c r="DO70" s="157"/>
      <c r="DP70" s="157"/>
      <c r="DQ70" s="157"/>
      <c r="DR70" s="157"/>
      <c r="DS70" s="157"/>
      <c r="DT70" s="157"/>
      <c r="DU70" s="157"/>
      <c r="DV70" s="157"/>
      <c r="DW70" s="157"/>
      <c r="DX70" s="157"/>
      <c r="DY70" s="157"/>
      <c r="DZ70" s="157"/>
      <c r="EA70" s="157"/>
      <c r="EB70" s="157"/>
      <c r="EC70" s="157"/>
      <c r="ED70" s="157"/>
      <c r="EE70" s="157"/>
      <c r="EF70" s="157"/>
      <c r="EG70" s="157"/>
      <c r="EH70" s="157"/>
      <c r="EI70" s="157"/>
      <c r="EJ70" s="157"/>
      <c r="EK70" s="157"/>
      <c r="EL70" s="157"/>
      <c r="EM70" s="157"/>
      <c r="EN70" s="157"/>
      <c r="EO70" s="157"/>
      <c r="EP70" s="157"/>
      <c r="EQ70" s="157"/>
      <c r="ER70" s="157"/>
      <c r="ES70" s="157"/>
      <c r="ET70" s="157"/>
      <c r="EU70" s="157"/>
      <c r="EV70" s="157"/>
      <c r="EW70" s="157"/>
      <c r="EX70" s="157"/>
      <c r="EY70" s="157"/>
      <c r="EZ70" s="157"/>
      <c r="FA70" s="157"/>
      <c r="FB70" s="157"/>
      <c r="FC70" s="157"/>
      <c r="FD70" s="157"/>
      <c r="FE70" s="157"/>
      <c r="FF70" s="157"/>
      <c r="FG70" s="157"/>
      <c r="FH70" s="157"/>
      <c r="FI70" s="157"/>
      <c r="FJ70" s="157"/>
      <c r="FK70" s="157"/>
      <c r="FL70" s="157"/>
      <c r="FM70" s="157"/>
      <c r="FN70" s="157"/>
      <c r="FO70" s="157"/>
      <c r="FP70" s="157"/>
      <c r="FQ70" s="157"/>
      <c r="FR70" s="157"/>
      <c r="FS70" s="157"/>
      <c r="FT70" s="157"/>
      <c r="FU70" s="157"/>
      <c r="FV70" s="157"/>
      <c r="FW70" s="157"/>
      <c r="FX70" s="157"/>
      <c r="FY70" s="157"/>
      <c r="FZ70" s="157"/>
      <c r="GA70" s="157"/>
      <c r="GB70" s="157"/>
      <c r="GC70" s="157"/>
      <c r="GD70" s="157"/>
      <c r="GE70" s="157"/>
      <c r="GF70" s="157"/>
      <c r="GG70" s="157"/>
      <c r="GH70" s="157"/>
      <c r="GI70" s="157"/>
      <c r="GJ70" s="157"/>
      <c r="GK70" s="157"/>
      <c r="GL70" s="157"/>
      <c r="GM70" s="157"/>
      <c r="GN70" s="157"/>
      <c r="GO70" s="157"/>
      <c r="GP70" s="157"/>
      <c r="GQ70" s="157"/>
      <c r="GR70" s="157"/>
      <c r="GS70" s="157"/>
      <c r="GT70" s="157"/>
      <c r="GU70" s="157"/>
      <c r="GV70" s="157"/>
      <c r="GW70" s="157"/>
      <c r="GX70" s="157"/>
      <c r="GY70" s="157"/>
      <c r="GZ70" s="157"/>
      <c r="HA70" s="157"/>
      <c r="HB70" s="157"/>
      <c r="HC70" s="157"/>
      <c r="HD70" s="157"/>
      <c r="HE70" s="157"/>
      <c r="HF70" s="157"/>
      <c r="HG70" s="157"/>
      <c r="HH70" s="157"/>
      <c r="HI70" s="157"/>
      <c r="HJ70" s="157"/>
      <c r="HK70" s="157"/>
      <c r="HL70" s="157"/>
      <c r="HM70" s="157"/>
      <c r="HN70" s="157"/>
      <c r="HO70" s="157"/>
      <c r="HP70" s="157"/>
      <c r="HQ70" s="157"/>
      <c r="HR70" s="157"/>
      <c r="HS70" s="157"/>
      <c r="HT70" s="157"/>
      <c r="HU70" s="157"/>
      <c r="HV70" s="157"/>
      <c r="HW70" s="157"/>
      <c r="HX70" s="157"/>
      <c r="HY70" s="157"/>
      <c r="HZ70" s="157"/>
      <c r="IA70" s="157"/>
      <c r="IB70" s="157"/>
      <c r="IC70" s="157"/>
      <c r="ID70" s="157"/>
      <c r="IE70" s="157"/>
      <c r="IF70" s="157"/>
      <c r="IG70" s="157"/>
      <c r="IH70" s="157"/>
      <c r="II70" s="157"/>
      <c r="IJ70" s="157"/>
      <c r="IK70" s="157"/>
      <c r="IL70" s="157"/>
      <c r="IM70" s="157"/>
      <c r="IN70" s="157"/>
      <c r="IO70" s="157"/>
      <c r="IP70" s="157"/>
      <c r="IQ70" s="157"/>
      <c r="IR70" s="157"/>
      <c r="IS70" s="157"/>
      <c r="IT70" s="157"/>
      <c r="IU70" s="157"/>
      <c r="IV70" s="157"/>
      <c r="IW70" s="157"/>
      <c r="IX70" s="157"/>
      <c r="IY70" s="157"/>
      <c r="IZ70" s="157"/>
      <c r="JA70" s="157"/>
      <c r="JB70" s="157"/>
      <c r="JC70" s="157"/>
      <c r="JD70" s="157"/>
      <c r="JE70" s="157"/>
      <c r="JF70" s="157"/>
      <c r="JG70" s="157"/>
      <c r="JH70" s="157"/>
      <c r="JI70" s="157"/>
      <c r="JJ70" s="157"/>
      <c r="JK70" s="157"/>
      <c r="JL70" s="157"/>
      <c r="JM70" s="157"/>
      <c r="JN70" s="157"/>
      <c r="JO70" s="157"/>
      <c r="JP70" s="157"/>
      <c r="JQ70" s="157"/>
      <c r="JR70" s="157"/>
      <c r="JS70" s="157"/>
      <c r="JT70" s="157"/>
      <c r="JU70" s="157"/>
      <c r="JV70" s="157"/>
      <c r="JW70" s="157"/>
      <c r="JX70" s="157"/>
      <c r="JY70" s="157"/>
      <c r="JZ70" s="157"/>
      <c r="KA70" s="157"/>
      <c r="KB70" s="157"/>
      <c r="KC70" s="157"/>
      <c r="KD70" s="157"/>
      <c r="KE70" s="157"/>
      <c r="KF70" s="157"/>
      <c r="KG70" s="157"/>
      <c r="KH70" s="157"/>
      <c r="KI70" s="157"/>
      <c r="KJ70" s="157"/>
      <c r="KK70" s="157"/>
    </row>
    <row r="71" spans="1:297" ht="17" thickBot="1" x14ac:dyDescent="0.25">
      <c r="A71" s="435"/>
      <c r="B71" s="181" t="s">
        <v>83</v>
      </c>
      <c r="C71" s="182"/>
      <c r="D71" s="160" t="s">
        <v>144</v>
      </c>
      <c r="E71" s="160"/>
      <c r="F71" s="358">
        <v>2.219685438863521E-8</v>
      </c>
      <c r="G71" s="359">
        <v>2.219685438863521E-8</v>
      </c>
      <c r="H71" s="358">
        <v>2.219685438863521E-8</v>
      </c>
      <c r="I71" s="359">
        <v>2.219685438863521E-8</v>
      </c>
      <c r="J71" s="358">
        <v>2.219685438863521E-8</v>
      </c>
      <c r="K71" s="359">
        <v>2.219685438863521E-8</v>
      </c>
      <c r="L71" s="358">
        <v>2.219685438863521E-8</v>
      </c>
      <c r="M71" s="360">
        <v>2.219685438863521E-8</v>
      </c>
      <c r="N71" s="164" t="s">
        <v>109</v>
      </c>
      <c r="O71" s="154" t="s">
        <v>108</v>
      </c>
      <c r="P71" s="197" t="s">
        <v>101</v>
      </c>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7"/>
      <c r="EC71" s="157"/>
      <c r="ED71" s="157"/>
      <c r="EE71" s="157"/>
      <c r="EF71" s="157"/>
      <c r="EG71" s="157"/>
      <c r="EH71" s="157"/>
      <c r="EI71" s="157"/>
      <c r="EJ71" s="157"/>
      <c r="EK71" s="157"/>
      <c r="EL71" s="157"/>
      <c r="EM71" s="157"/>
      <c r="EN71" s="157"/>
      <c r="EO71" s="157"/>
      <c r="EP71" s="157"/>
      <c r="EQ71" s="157"/>
      <c r="ER71" s="157"/>
      <c r="ES71" s="157"/>
      <c r="ET71" s="157"/>
      <c r="EU71" s="157"/>
      <c r="EV71" s="157"/>
      <c r="EW71" s="157"/>
      <c r="EX71" s="157"/>
      <c r="EY71" s="157"/>
      <c r="EZ71" s="157"/>
      <c r="FA71" s="157"/>
      <c r="FB71" s="157"/>
      <c r="FC71" s="157"/>
      <c r="FD71" s="157"/>
      <c r="FE71" s="157"/>
      <c r="FF71" s="157"/>
      <c r="FG71" s="157"/>
      <c r="FH71" s="157"/>
      <c r="FI71" s="157"/>
      <c r="FJ71" s="157"/>
      <c r="FK71" s="157"/>
      <c r="FL71" s="157"/>
      <c r="FM71" s="157"/>
      <c r="FN71" s="157"/>
      <c r="FO71" s="157"/>
      <c r="FP71" s="157"/>
      <c r="FQ71" s="157"/>
      <c r="FR71" s="157"/>
      <c r="FS71" s="157"/>
      <c r="FT71" s="157"/>
      <c r="FU71" s="157"/>
      <c r="FV71" s="157"/>
      <c r="FW71" s="157"/>
      <c r="FX71" s="157"/>
      <c r="FY71" s="157"/>
      <c r="FZ71" s="157"/>
      <c r="GA71" s="157"/>
      <c r="GB71" s="157"/>
      <c r="GC71" s="157"/>
      <c r="GD71" s="157"/>
      <c r="GE71" s="157"/>
      <c r="GF71" s="157"/>
      <c r="GG71" s="157"/>
      <c r="GH71" s="157"/>
      <c r="GI71" s="157"/>
      <c r="GJ71" s="157"/>
      <c r="GK71" s="157"/>
      <c r="GL71" s="157"/>
      <c r="GM71" s="157"/>
      <c r="GN71" s="157"/>
      <c r="GO71" s="157"/>
      <c r="GP71" s="157"/>
      <c r="GQ71" s="157"/>
      <c r="GR71" s="157"/>
      <c r="GS71" s="157"/>
      <c r="GT71" s="157"/>
      <c r="GU71" s="157"/>
      <c r="GV71" s="157"/>
      <c r="GW71" s="157"/>
      <c r="GX71" s="157"/>
      <c r="GY71" s="157"/>
      <c r="GZ71" s="157"/>
      <c r="HA71" s="157"/>
      <c r="HB71" s="157"/>
      <c r="HC71" s="157"/>
      <c r="HD71" s="157"/>
      <c r="HE71" s="157"/>
      <c r="HF71" s="157"/>
      <c r="HG71" s="157"/>
      <c r="HH71" s="157"/>
      <c r="HI71" s="157"/>
      <c r="HJ71" s="157"/>
      <c r="HK71" s="157"/>
      <c r="HL71" s="157"/>
      <c r="HM71" s="157"/>
      <c r="HN71" s="157"/>
      <c r="HO71" s="157"/>
      <c r="HP71" s="157"/>
      <c r="HQ71" s="157"/>
      <c r="HR71" s="157"/>
      <c r="HS71" s="157"/>
      <c r="HT71" s="157"/>
      <c r="HU71" s="157"/>
      <c r="HV71" s="157"/>
      <c r="HW71" s="157"/>
      <c r="HX71" s="157"/>
      <c r="HY71" s="157"/>
      <c r="HZ71" s="157"/>
      <c r="IA71" s="157"/>
      <c r="IB71" s="157"/>
      <c r="IC71" s="157"/>
      <c r="ID71" s="157"/>
      <c r="IE71" s="157"/>
      <c r="IF71" s="157"/>
      <c r="IG71" s="157"/>
      <c r="IH71" s="157"/>
      <c r="II71" s="157"/>
      <c r="IJ71" s="157"/>
      <c r="IK71" s="157"/>
      <c r="IL71" s="157"/>
      <c r="IM71" s="157"/>
      <c r="IN71" s="157"/>
      <c r="IO71" s="157"/>
      <c r="IP71" s="157"/>
      <c r="IQ71" s="157"/>
      <c r="IR71" s="157"/>
      <c r="IS71" s="157"/>
      <c r="IT71" s="157"/>
      <c r="IU71" s="157"/>
      <c r="IV71" s="157"/>
      <c r="IW71" s="157"/>
      <c r="IX71" s="157"/>
      <c r="IY71" s="157"/>
      <c r="IZ71" s="157"/>
      <c r="JA71" s="157"/>
      <c r="JB71" s="157"/>
      <c r="JC71" s="157"/>
      <c r="JD71" s="157"/>
      <c r="JE71" s="157"/>
      <c r="JF71" s="157"/>
      <c r="JG71" s="157"/>
      <c r="JH71" s="157"/>
      <c r="JI71" s="157"/>
      <c r="JJ71" s="157"/>
      <c r="JK71" s="157"/>
      <c r="JL71" s="157"/>
      <c r="JM71" s="157"/>
      <c r="JN71" s="157"/>
      <c r="JO71" s="157"/>
      <c r="JP71" s="157"/>
      <c r="JQ71" s="157"/>
      <c r="JR71" s="157"/>
      <c r="JS71" s="157"/>
      <c r="JT71" s="157"/>
      <c r="JU71" s="157"/>
      <c r="JV71" s="157"/>
      <c r="JW71" s="157"/>
      <c r="JX71" s="157"/>
      <c r="JY71" s="157"/>
      <c r="JZ71" s="157"/>
      <c r="KA71" s="157"/>
      <c r="KB71" s="157"/>
      <c r="KC71" s="157"/>
      <c r="KD71" s="157"/>
      <c r="KE71" s="157"/>
      <c r="KF71" s="157"/>
      <c r="KG71" s="157"/>
      <c r="KH71" s="157"/>
      <c r="KI71" s="157"/>
      <c r="KJ71" s="157"/>
      <c r="KK71" s="157"/>
    </row>
    <row r="72" spans="1:297" ht="17" thickBot="1" x14ac:dyDescent="0.25">
      <c r="A72" s="435"/>
      <c r="B72" s="183"/>
      <c r="C72" s="183" t="s">
        <v>154</v>
      </c>
      <c r="D72" s="159" t="s">
        <v>144</v>
      </c>
      <c r="E72" s="159"/>
      <c r="F72" s="358">
        <f>F71*1000*365*24*3600</f>
        <v>699.99999999999989</v>
      </c>
      <c r="G72" s="358">
        <f t="shared" ref="G72" si="5">G71*1000*365*24*3600</f>
        <v>699.99999999999989</v>
      </c>
      <c r="H72" s="358">
        <f t="shared" ref="H72" si="6">H71*1000*365*24*3600</f>
        <v>699.99999999999989</v>
      </c>
      <c r="I72" s="358">
        <f t="shared" ref="I72" si="7">I71*1000*365*24*3600</f>
        <v>699.99999999999989</v>
      </c>
      <c r="J72" s="358">
        <f t="shared" ref="J72" si="8">J71*1000*365*24*3600</f>
        <v>699.99999999999989</v>
      </c>
      <c r="K72" s="358">
        <f t="shared" ref="K72" si="9">K71*1000*365*24*3600</f>
        <v>699.99999999999989</v>
      </c>
      <c r="L72" s="358">
        <f t="shared" ref="L72" si="10">L71*1000*365*24*3600</f>
        <v>699.99999999999989</v>
      </c>
      <c r="M72" s="358">
        <f t="shared" ref="M72" si="11">M71*1000*365*24*3600</f>
        <v>699.99999999999989</v>
      </c>
      <c r="N72" s="164" t="s">
        <v>109</v>
      </c>
      <c r="O72" s="154" t="s">
        <v>155</v>
      </c>
      <c r="P72" s="197" t="s">
        <v>101</v>
      </c>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157"/>
      <c r="BI72" s="157"/>
      <c r="BJ72" s="157"/>
      <c r="BK72" s="157"/>
      <c r="BL72" s="157"/>
      <c r="BM72" s="157"/>
      <c r="BN72" s="157"/>
      <c r="BO72" s="157"/>
      <c r="BP72" s="157"/>
      <c r="BQ72" s="157"/>
      <c r="BR72" s="157"/>
      <c r="BS72" s="157"/>
      <c r="BT72" s="157"/>
      <c r="BU72" s="157"/>
      <c r="BV72" s="157"/>
      <c r="BW72" s="157"/>
      <c r="BX72" s="157"/>
      <c r="BY72" s="157"/>
      <c r="BZ72" s="157"/>
      <c r="CA72" s="157"/>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157"/>
      <c r="DO72" s="157"/>
      <c r="DP72" s="157"/>
      <c r="DQ72" s="157"/>
      <c r="DR72" s="157"/>
      <c r="DS72" s="157"/>
      <c r="DT72" s="157"/>
      <c r="DU72" s="157"/>
      <c r="DV72" s="157"/>
      <c r="DW72" s="157"/>
      <c r="DX72" s="157"/>
      <c r="DY72" s="157"/>
      <c r="DZ72" s="157"/>
      <c r="EA72" s="157"/>
      <c r="EB72" s="157"/>
      <c r="EC72" s="157"/>
      <c r="ED72" s="157"/>
      <c r="EE72" s="157"/>
      <c r="EF72" s="157"/>
      <c r="EG72" s="157"/>
      <c r="EH72" s="157"/>
      <c r="EI72" s="157"/>
      <c r="EJ72" s="157"/>
      <c r="EK72" s="157"/>
      <c r="EL72" s="157"/>
      <c r="EM72" s="157"/>
      <c r="EN72" s="157"/>
      <c r="EO72" s="157"/>
      <c r="EP72" s="157"/>
      <c r="EQ72" s="157"/>
      <c r="ER72" s="157"/>
      <c r="ES72" s="157"/>
      <c r="ET72" s="157"/>
      <c r="EU72" s="157"/>
      <c r="EV72" s="157"/>
      <c r="EW72" s="157"/>
      <c r="EX72" s="157"/>
      <c r="EY72" s="157"/>
      <c r="EZ72" s="157"/>
      <c r="FA72" s="157"/>
      <c r="FB72" s="157"/>
      <c r="FC72" s="157"/>
      <c r="FD72" s="157"/>
      <c r="FE72" s="157"/>
      <c r="FF72" s="157"/>
      <c r="FG72" s="157"/>
      <c r="FH72" s="157"/>
      <c r="FI72" s="157"/>
      <c r="FJ72" s="157"/>
      <c r="FK72" s="157"/>
      <c r="FL72" s="157"/>
      <c r="FM72" s="157"/>
      <c r="FN72" s="157"/>
      <c r="FO72" s="157"/>
      <c r="FP72" s="157"/>
      <c r="FQ72" s="157"/>
      <c r="FR72" s="157"/>
      <c r="FS72" s="157"/>
      <c r="FT72" s="157"/>
      <c r="FU72" s="157"/>
      <c r="FV72" s="157"/>
      <c r="FW72" s="157"/>
      <c r="FX72" s="157"/>
      <c r="FY72" s="157"/>
      <c r="FZ72" s="157"/>
      <c r="GA72" s="157"/>
      <c r="GB72" s="157"/>
      <c r="GC72" s="157"/>
      <c r="GD72" s="157"/>
      <c r="GE72" s="157"/>
      <c r="GF72" s="157"/>
      <c r="GG72" s="157"/>
      <c r="GH72" s="157"/>
      <c r="GI72" s="157"/>
      <c r="GJ72" s="157"/>
      <c r="GK72" s="157"/>
      <c r="GL72" s="157"/>
      <c r="GM72" s="157"/>
      <c r="GN72" s="157"/>
      <c r="GO72" s="157"/>
      <c r="GP72" s="157"/>
      <c r="GQ72" s="157"/>
      <c r="GR72" s="157"/>
      <c r="GS72" s="157"/>
      <c r="GT72" s="157"/>
      <c r="GU72" s="157"/>
      <c r="GV72" s="157"/>
      <c r="GW72" s="157"/>
      <c r="GX72" s="157"/>
      <c r="GY72" s="157"/>
      <c r="GZ72" s="157"/>
      <c r="HA72" s="157"/>
      <c r="HB72" s="157"/>
      <c r="HC72" s="157"/>
      <c r="HD72" s="157"/>
      <c r="HE72" s="157"/>
      <c r="HF72" s="157"/>
      <c r="HG72" s="157"/>
      <c r="HH72" s="157"/>
      <c r="HI72" s="157"/>
      <c r="HJ72" s="157"/>
      <c r="HK72" s="157"/>
      <c r="HL72" s="157"/>
      <c r="HM72" s="157"/>
      <c r="HN72" s="157"/>
      <c r="HO72" s="157"/>
      <c r="HP72" s="157"/>
      <c r="HQ72" s="157"/>
      <c r="HR72" s="157"/>
      <c r="HS72" s="157"/>
      <c r="HT72" s="157"/>
      <c r="HU72" s="157"/>
      <c r="HV72" s="157"/>
      <c r="HW72" s="157"/>
      <c r="HX72" s="157"/>
      <c r="HY72" s="157"/>
      <c r="HZ72" s="157"/>
      <c r="IA72" s="157"/>
      <c r="IB72" s="157"/>
      <c r="IC72" s="157"/>
      <c r="ID72" s="157"/>
      <c r="IE72" s="157"/>
      <c r="IF72" s="157"/>
      <c r="IG72" s="157"/>
      <c r="IH72" s="157"/>
      <c r="II72" s="157"/>
      <c r="IJ72" s="157"/>
      <c r="IK72" s="157"/>
      <c r="IL72" s="157"/>
      <c r="IM72" s="157"/>
      <c r="IN72" s="157"/>
      <c r="IO72" s="157"/>
      <c r="IP72" s="157"/>
      <c r="IQ72" s="157"/>
      <c r="IR72" s="157"/>
      <c r="IS72" s="157"/>
      <c r="IT72" s="157"/>
      <c r="IU72" s="157"/>
      <c r="IV72" s="157"/>
      <c r="IW72" s="157"/>
      <c r="IX72" s="157"/>
      <c r="IY72" s="157"/>
      <c r="IZ72" s="157"/>
      <c r="JA72" s="157"/>
      <c r="JB72" s="157"/>
      <c r="JC72" s="157"/>
      <c r="JD72" s="157"/>
      <c r="JE72" s="157"/>
      <c r="JF72" s="157"/>
      <c r="JG72" s="157"/>
      <c r="JH72" s="157"/>
      <c r="JI72" s="157"/>
      <c r="JJ72" s="157"/>
      <c r="JK72" s="157"/>
      <c r="JL72" s="157"/>
      <c r="JM72" s="157"/>
      <c r="JN72" s="157"/>
      <c r="JO72" s="157"/>
      <c r="JP72" s="157"/>
      <c r="JQ72" s="157"/>
      <c r="JR72" s="157"/>
      <c r="JS72" s="157"/>
      <c r="JT72" s="157"/>
      <c r="JU72" s="157"/>
      <c r="JV72" s="157"/>
      <c r="JW72" s="157"/>
      <c r="JX72" s="157"/>
      <c r="JY72" s="157"/>
      <c r="JZ72" s="157"/>
      <c r="KA72" s="157"/>
      <c r="KB72" s="157"/>
      <c r="KC72" s="157"/>
      <c r="KD72" s="157"/>
      <c r="KE72" s="157"/>
      <c r="KF72" s="157"/>
      <c r="KG72" s="157"/>
      <c r="KH72" s="157"/>
      <c r="KI72" s="157"/>
      <c r="KJ72" s="157"/>
      <c r="KK72" s="157"/>
    </row>
    <row r="73" spans="1:297" ht="33" thickBot="1" x14ac:dyDescent="0.25">
      <c r="A73" s="435"/>
      <c r="B73" s="181" t="s">
        <v>137</v>
      </c>
      <c r="C73" s="183" t="s">
        <v>157</v>
      </c>
      <c r="D73" s="185" t="s">
        <v>144</v>
      </c>
      <c r="E73" s="159" t="s">
        <v>148</v>
      </c>
      <c r="F73" s="358">
        <v>3.3481104795914902</v>
      </c>
      <c r="G73" s="359">
        <v>2.7350201240101115</v>
      </c>
      <c r="H73" s="358">
        <v>3.2415889238524862</v>
      </c>
      <c r="I73" s="359">
        <v>3.1902082562842287</v>
      </c>
      <c r="J73" s="358">
        <v>3.2236167377528071</v>
      </c>
      <c r="K73" s="359">
        <v>3.1509464211344089</v>
      </c>
      <c r="L73" s="358">
        <v>3.2600324704341905</v>
      </c>
      <c r="M73" s="360">
        <v>3.246641926267948</v>
      </c>
      <c r="N73" s="164" t="s">
        <v>113</v>
      </c>
      <c r="O73" s="154" t="s">
        <v>110</v>
      </c>
      <c r="P73" s="339" t="s">
        <v>102</v>
      </c>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157"/>
      <c r="BU73" s="157"/>
      <c r="BV73" s="157"/>
      <c r="BW73" s="157"/>
      <c r="BX73" s="157"/>
      <c r="BY73" s="157"/>
      <c r="BZ73" s="157"/>
      <c r="CA73" s="157"/>
      <c r="CB73" s="157"/>
      <c r="CC73" s="157"/>
      <c r="CD73" s="157"/>
      <c r="CE73" s="157"/>
      <c r="CF73" s="157"/>
      <c r="CG73" s="157"/>
      <c r="CH73" s="157"/>
      <c r="CI73" s="157"/>
      <c r="CJ73" s="157"/>
      <c r="CK73" s="157"/>
      <c r="CL73" s="157"/>
      <c r="CM73" s="157"/>
      <c r="CN73" s="157"/>
      <c r="CO73" s="157"/>
      <c r="CP73" s="157"/>
      <c r="CQ73" s="157"/>
      <c r="CR73" s="157"/>
      <c r="CS73" s="157"/>
      <c r="CT73" s="157"/>
      <c r="CU73" s="157"/>
      <c r="CV73" s="157"/>
      <c r="CW73" s="157"/>
      <c r="CX73" s="157"/>
      <c r="CY73" s="157"/>
      <c r="CZ73" s="157"/>
      <c r="DA73" s="157"/>
      <c r="DB73" s="157"/>
      <c r="DC73" s="157"/>
      <c r="DD73" s="157"/>
      <c r="DE73" s="157"/>
      <c r="DF73" s="157"/>
      <c r="DG73" s="157"/>
      <c r="DH73" s="157"/>
      <c r="DI73" s="157"/>
      <c r="DJ73" s="157"/>
      <c r="DK73" s="157"/>
      <c r="DL73" s="157"/>
      <c r="DM73" s="157"/>
      <c r="DN73" s="157"/>
      <c r="DO73" s="157"/>
      <c r="DP73" s="157"/>
      <c r="DQ73" s="157"/>
      <c r="DR73" s="157"/>
      <c r="DS73" s="157"/>
      <c r="DT73" s="157"/>
      <c r="DU73" s="157"/>
      <c r="DV73" s="157"/>
      <c r="DW73" s="157"/>
      <c r="DX73" s="157"/>
      <c r="DY73" s="157"/>
      <c r="DZ73" s="157"/>
      <c r="EA73" s="157"/>
      <c r="EB73" s="157"/>
      <c r="EC73" s="157"/>
      <c r="ED73" s="157"/>
      <c r="EE73" s="157"/>
      <c r="EF73" s="157"/>
      <c r="EG73" s="157"/>
      <c r="EH73" s="157"/>
      <c r="EI73" s="157"/>
      <c r="EJ73" s="157"/>
      <c r="EK73" s="157"/>
      <c r="EL73" s="157"/>
      <c r="EM73" s="157"/>
      <c r="EN73" s="157"/>
      <c r="EO73" s="157"/>
      <c r="EP73" s="157"/>
      <c r="EQ73" s="157"/>
      <c r="ER73" s="157"/>
      <c r="ES73" s="157"/>
      <c r="ET73" s="157"/>
      <c r="EU73" s="157"/>
      <c r="EV73" s="157"/>
      <c r="EW73" s="157"/>
      <c r="EX73" s="157"/>
      <c r="EY73" s="157"/>
      <c r="EZ73" s="157"/>
      <c r="FA73" s="157"/>
      <c r="FB73" s="157"/>
      <c r="FC73" s="157"/>
      <c r="FD73" s="157"/>
      <c r="FE73" s="157"/>
      <c r="FF73" s="157"/>
      <c r="FG73" s="157"/>
      <c r="FH73" s="157"/>
      <c r="FI73" s="157"/>
      <c r="FJ73" s="157"/>
      <c r="FK73" s="157"/>
      <c r="FL73" s="157"/>
      <c r="FM73" s="157"/>
      <c r="FN73" s="157"/>
      <c r="FO73" s="157"/>
      <c r="FP73" s="157"/>
      <c r="FQ73" s="157"/>
      <c r="FR73" s="157"/>
      <c r="FS73" s="157"/>
      <c r="FT73" s="157"/>
      <c r="FU73" s="157"/>
      <c r="FV73" s="157"/>
      <c r="FW73" s="157"/>
      <c r="FX73" s="157"/>
      <c r="FY73" s="157"/>
      <c r="FZ73" s="157"/>
      <c r="GA73" s="157"/>
      <c r="GB73" s="157"/>
      <c r="GC73" s="157"/>
      <c r="GD73" s="157"/>
      <c r="GE73" s="157"/>
      <c r="GF73" s="157"/>
      <c r="GG73" s="157"/>
      <c r="GH73" s="157"/>
      <c r="GI73" s="157"/>
      <c r="GJ73" s="157"/>
      <c r="GK73" s="157"/>
      <c r="GL73" s="157"/>
      <c r="GM73" s="157"/>
      <c r="GN73" s="157"/>
      <c r="GO73" s="157"/>
      <c r="GP73" s="157"/>
      <c r="GQ73" s="157"/>
      <c r="GR73" s="157"/>
      <c r="GS73" s="157"/>
      <c r="GT73" s="157"/>
      <c r="GU73" s="157"/>
      <c r="GV73" s="157"/>
      <c r="GW73" s="157"/>
      <c r="GX73" s="157"/>
      <c r="GY73" s="157"/>
      <c r="GZ73" s="157"/>
      <c r="HA73" s="157"/>
      <c r="HB73" s="157"/>
      <c r="HC73" s="157"/>
      <c r="HD73" s="157"/>
      <c r="HE73" s="157"/>
      <c r="HF73" s="157"/>
      <c r="HG73" s="157"/>
      <c r="HH73" s="157"/>
      <c r="HI73" s="157"/>
      <c r="HJ73" s="157"/>
      <c r="HK73" s="157"/>
      <c r="HL73" s="157"/>
      <c r="HM73" s="157"/>
      <c r="HN73" s="157"/>
      <c r="HO73" s="157"/>
      <c r="HP73" s="157"/>
      <c r="HQ73" s="157"/>
      <c r="HR73" s="157"/>
      <c r="HS73" s="157"/>
      <c r="HT73" s="157"/>
      <c r="HU73" s="157"/>
      <c r="HV73" s="157"/>
      <c r="HW73" s="157"/>
      <c r="HX73" s="157"/>
      <c r="HY73" s="157"/>
      <c r="HZ73" s="157"/>
      <c r="IA73" s="157"/>
      <c r="IB73" s="157"/>
      <c r="IC73" s="157"/>
      <c r="ID73" s="157"/>
      <c r="IE73" s="157"/>
      <c r="IF73" s="157"/>
      <c r="IG73" s="157"/>
      <c r="IH73" s="157"/>
      <c r="II73" s="157"/>
      <c r="IJ73" s="157"/>
      <c r="IK73" s="157"/>
      <c r="IL73" s="157"/>
      <c r="IM73" s="157"/>
      <c r="IN73" s="157"/>
      <c r="IO73" s="157"/>
      <c r="IP73" s="157"/>
      <c r="IQ73" s="157"/>
      <c r="IR73" s="157"/>
      <c r="IS73" s="157"/>
      <c r="IT73" s="157"/>
      <c r="IU73" s="157"/>
      <c r="IV73" s="157"/>
      <c r="IW73" s="157"/>
      <c r="IX73" s="157"/>
      <c r="IY73" s="157"/>
      <c r="IZ73" s="157"/>
      <c r="JA73" s="157"/>
      <c r="JB73" s="157"/>
      <c r="JC73" s="157"/>
      <c r="JD73" s="157"/>
      <c r="JE73" s="157"/>
      <c r="JF73" s="157"/>
      <c r="JG73" s="157"/>
      <c r="JH73" s="157"/>
      <c r="JI73" s="157"/>
      <c r="JJ73" s="157"/>
      <c r="JK73" s="157"/>
      <c r="JL73" s="157"/>
      <c r="JM73" s="157"/>
      <c r="JN73" s="157"/>
      <c r="JO73" s="157"/>
      <c r="JP73" s="157"/>
      <c r="JQ73" s="157"/>
      <c r="JR73" s="157"/>
      <c r="JS73" s="157"/>
      <c r="JT73" s="157"/>
      <c r="JU73" s="157"/>
      <c r="JV73" s="157"/>
      <c r="JW73" s="157"/>
      <c r="JX73" s="157"/>
      <c r="JY73" s="157"/>
      <c r="JZ73" s="157"/>
      <c r="KA73" s="157"/>
      <c r="KB73" s="157"/>
      <c r="KC73" s="157"/>
      <c r="KD73" s="157"/>
      <c r="KE73" s="157"/>
      <c r="KF73" s="157"/>
      <c r="KG73" s="157"/>
      <c r="KH73" s="157"/>
      <c r="KI73" s="157"/>
      <c r="KJ73" s="157"/>
      <c r="KK73" s="157"/>
    </row>
    <row r="74" spans="1:297" ht="33" thickBot="1" x14ac:dyDescent="0.25">
      <c r="A74" s="435"/>
      <c r="B74" s="181" t="s">
        <v>84</v>
      </c>
      <c r="C74" s="183" t="s">
        <v>157</v>
      </c>
      <c r="D74" s="185" t="s">
        <v>144</v>
      </c>
      <c r="E74" s="159" t="s">
        <v>149</v>
      </c>
      <c r="F74" s="358">
        <v>90.805256532189901</v>
      </c>
      <c r="G74" s="359">
        <v>66.519702812403409</v>
      </c>
      <c r="H74" s="358">
        <v>65.109349963746212</v>
      </c>
      <c r="I74" s="359">
        <v>58.824130287627625</v>
      </c>
      <c r="J74" s="358">
        <v>65.859718757561268</v>
      </c>
      <c r="K74" s="359">
        <v>66.646020138509783</v>
      </c>
      <c r="L74" s="358">
        <v>39.143976186341142</v>
      </c>
      <c r="M74" s="360">
        <v>65.281447746446048</v>
      </c>
      <c r="N74" s="164" t="s">
        <v>112</v>
      </c>
      <c r="O74" s="154" t="s">
        <v>110</v>
      </c>
      <c r="P74" s="339" t="s">
        <v>102</v>
      </c>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c r="CE74" s="157"/>
      <c r="CF74" s="157"/>
      <c r="CG74" s="157"/>
      <c r="CH74" s="157"/>
      <c r="CI74" s="157"/>
      <c r="CJ74" s="157"/>
      <c r="CK74" s="157"/>
      <c r="CL74" s="157"/>
      <c r="CM74" s="157"/>
      <c r="CN74" s="157"/>
      <c r="CO74" s="157"/>
      <c r="CP74" s="157"/>
      <c r="CQ74" s="157"/>
      <c r="CR74" s="157"/>
      <c r="CS74" s="157"/>
      <c r="CT74" s="157"/>
      <c r="CU74" s="157"/>
      <c r="CV74" s="157"/>
      <c r="CW74" s="157"/>
      <c r="CX74" s="157"/>
      <c r="CY74" s="157"/>
      <c r="CZ74" s="157"/>
      <c r="DA74" s="157"/>
      <c r="DB74" s="157"/>
      <c r="DC74" s="157"/>
      <c r="DD74" s="157"/>
      <c r="DE74" s="157"/>
      <c r="DF74" s="157"/>
      <c r="DG74" s="157"/>
      <c r="DH74" s="157"/>
      <c r="DI74" s="157"/>
      <c r="DJ74" s="157"/>
      <c r="DK74" s="157"/>
      <c r="DL74" s="157"/>
      <c r="DM74" s="157"/>
      <c r="DN74" s="157"/>
      <c r="DO74" s="157"/>
      <c r="DP74" s="157"/>
      <c r="DQ74" s="157"/>
      <c r="DR74" s="157"/>
      <c r="DS74" s="157"/>
      <c r="DT74" s="157"/>
      <c r="DU74" s="157"/>
      <c r="DV74" s="157"/>
      <c r="DW74" s="157"/>
      <c r="DX74" s="157"/>
      <c r="DY74" s="157"/>
      <c r="DZ74" s="157"/>
      <c r="EA74" s="157"/>
      <c r="EB74" s="157"/>
      <c r="EC74" s="157"/>
      <c r="ED74" s="157"/>
      <c r="EE74" s="157"/>
      <c r="EF74" s="157"/>
      <c r="EG74" s="157"/>
      <c r="EH74" s="157"/>
      <c r="EI74" s="157"/>
      <c r="EJ74" s="157"/>
      <c r="EK74" s="157"/>
      <c r="EL74" s="157"/>
      <c r="EM74" s="157"/>
      <c r="EN74" s="157"/>
      <c r="EO74" s="157"/>
      <c r="EP74" s="157"/>
      <c r="EQ74" s="157"/>
      <c r="ER74" s="157"/>
      <c r="ES74" s="157"/>
      <c r="ET74" s="157"/>
      <c r="EU74" s="157"/>
      <c r="EV74" s="157"/>
      <c r="EW74" s="157"/>
      <c r="EX74" s="157"/>
      <c r="EY74" s="157"/>
      <c r="EZ74" s="157"/>
      <c r="FA74" s="157"/>
      <c r="FB74" s="157"/>
      <c r="FC74" s="157"/>
      <c r="FD74" s="157"/>
      <c r="FE74" s="157"/>
      <c r="FF74" s="157"/>
      <c r="FG74" s="157"/>
      <c r="FH74" s="157"/>
      <c r="FI74" s="157"/>
      <c r="FJ74" s="157"/>
      <c r="FK74" s="157"/>
      <c r="FL74" s="157"/>
      <c r="FM74" s="157"/>
      <c r="FN74" s="157"/>
      <c r="FO74" s="157"/>
      <c r="FP74" s="157"/>
      <c r="FQ74" s="157"/>
      <c r="FR74" s="157"/>
      <c r="FS74" s="157"/>
      <c r="FT74" s="157"/>
      <c r="FU74" s="157"/>
      <c r="FV74" s="157"/>
      <c r="FW74" s="157"/>
      <c r="FX74" s="157"/>
      <c r="FY74" s="157"/>
      <c r="FZ74" s="157"/>
      <c r="GA74" s="157"/>
      <c r="GB74" s="157"/>
      <c r="GC74" s="157"/>
      <c r="GD74" s="157"/>
      <c r="GE74" s="157"/>
      <c r="GF74" s="157"/>
      <c r="GG74" s="157"/>
      <c r="GH74" s="157"/>
      <c r="GI74" s="157"/>
      <c r="GJ74" s="157"/>
      <c r="GK74" s="157"/>
      <c r="GL74" s="157"/>
      <c r="GM74" s="157"/>
      <c r="GN74" s="157"/>
      <c r="GO74" s="157"/>
      <c r="GP74" s="157"/>
      <c r="GQ74" s="157"/>
      <c r="GR74" s="157"/>
      <c r="GS74" s="157"/>
      <c r="GT74" s="157"/>
      <c r="GU74" s="157"/>
      <c r="GV74" s="157"/>
      <c r="GW74" s="157"/>
      <c r="GX74" s="157"/>
      <c r="GY74" s="157"/>
      <c r="GZ74" s="157"/>
      <c r="HA74" s="157"/>
      <c r="HB74" s="157"/>
      <c r="HC74" s="157"/>
      <c r="HD74" s="157"/>
      <c r="HE74" s="157"/>
      <c r="HF74" s="157"/>
      <c r="HG74" s="157"/>
      <c r="HH74" s="157"/>
      <c r="HI74" s="157"/>
      <c r="HJ74" s="157"/>
      <c r="HK74" s="157"/>
      <c r="HL74" s="157"/>
      <c r="HM74" s="157"/>
      <c r="HN74" s="157"/>
      <c r="HO74" s="157"/>
      <c r="HP74" s="157"/>
      <c r="HQ74" s="157"/>
      <c r="HR74" s="157"/>
      <c r="HS74" s="157"/>
      <c r="HT74" s="157"/>
      <c r="HU74" s="157"/>
      <c r="HV74" s="157"/>
      <c r="HW74" s="157"/>
      <c r="HX74" s="157"/>
      <c r="HY74" s="157"/>
      <c r="HZ74" s="157"/>
      <c r="IA74" s="157"/>
      <c r="IB74" s="157"/>
      <c r="IC74" s="157"/>
      <c r="ID74" s="157"/>
      <c r="IE74" s="157"/>
      <c r="IF74" s="157"/>
      <c r="IG74" s="157"/>
      <c r="IH74" s="157"/>
      <c r="II74" s="157"/>
      <c r="IJ74" s="157"/>
      <c r="IK74" s="157"/>
      <c r="IL74" s="157"/>
      <c r="IM74" s="157"/>
      <c r="IN74" s="157"/>
      <c r="IO74" s="157"/>
      <c r="IP74" s="157"/>
      <c r="IQ74" s="157"/>
      <c r="IR74" s="157"/>
      <c r="IS74" s="157"/>
      <c r="IT74" s="157"/>
      <c r="IU74" s="157"/>
      <c r="IV74" s="157"/>
      <c r="IW74" s="157"/>
      <c r="IX74" s="157"/>
      <c r="IY74" s="157"/>
      <c r="IZ74" s="157"/>
      <c r="JA74" s="157"/>
      <c r="JB74" s="157"/>
      <c r="JC74" s="157"/>
      <c r="JD74" s="157"/>
      <c r="JE74" s="157"/>
      <c r="JF74" s="157"/>
      <c r="JG74" s="157"/>
      <c r="JH74" s="157"/>
      <c r="JI74" s="157"/>
      <c r="JJ74" s="157"/>
      <c r="JK74" s="157"/>
      <c r="JL74" s="157"/>
      <c r="JM74" s="157"/>
      <c r="JN74" s="157"/>
      <c r="JO74" s="157"/>
      <c r="JP74" s="157"/>
      <c r="JQ74" s="157"/>
      <c r="JR74" s="157"/>
      <c r="JS74" s="157"/>
      <c r="JT74" s="157"/>
      <c r="JU74" s="157"/>
      <c r="JV74" s="157"/>
      <c r="JW74" s="157"/>
      <c r="JX74" s="157"/>
      <c r="JY74" s="157"/>
      <c r="JZ74" s="157"/>
      <c r="KA74" s="157"/>
      <c r="KB74" s="157"/>
      <c r="KC74" s="157"/>
      <c r="KD74" s="157"/>
      <c r="KE74" s="157"/>
      <c r="KF74" s="157"/>
      <c r="KG74" s="157"/>
      <c r="KH74" s="157"/>
      <c r="KI74" s="157"/>
      <c r="KJ74" s="157"/>
      <c r="KK74" s="157"/>
    </row>
    <row r="75" spans="1:297" ht="17" thickBot="1" x14ac:dyDescent="0.25">
      <c r="A75" s="435"/>
      <c r="B75" s="181" t="s">
        <v>85</v>
      </c>
      <c r="C75" s="183" t="s">
        <v>157</v>
      </c>
      <c r="D75" s="185" t="s">
        <v>144</v>
      </c>
      <c r="E75" s="159" t="s">
        <v>158</v>
      </c>
      <c r="F75" s="358">
        <v>3682</v>
      </c>
      <c r="G75" s="359">
        <v>3682</v>
      </c>
      <c r="H75" s="358">
        <v>3682</v>
      </c>
      <c r="I75" s="359">
        <v>3682</v>
      </c>
      <c r="J75" s="358">
        <v>3682</v>
      </c>
      <c r="K75" s="359">
        <v>3682</v>
      </c>
      <c r="L75" s="358">
        <v>3682</v>
      </c>
      <c r="M75" s="360">
        <v>3682</v>
      </c>
      <c r="N75" s="164" t="s">
        <v>111</v>
      </c>
      <c r="O75" s="154" t="s">
        <v>110</v>
      </c>
      <c r="P75" s="197" t="s">
        <v>101</v>
      </c>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c r="CE75" s="157"/>
      <c r="CF75" s="157"/>
      <c r="CG75" s="157"/>
      <c r="CH75" s="157"/>
      <c r="CI75" s="157"/>
      <c r="CJ75" s="157"/>
      <c r="CK75" s="157"/>
      <c r="CL75" s="157"/>
      <c r="CM75" s="157"/>
      <c r="CN75" s="157"/>
      <c r="CO75" s="157"/>
      <c r="CP75" s="157"/>
      <c r="CQ75" s="157"/>
      <c r="CR75" s="157"/>
      <c r="CS75" s="157"/>
      <c r="CT75" s="157"/>
      <c r="CU75" s="157"/>
      <c r="CV75" s="157"/>
      <c r="CW75" s="157"/>
      <c r="CX75" s="157"/>
      <c r="CY75" s="157"/>
      <c r="CZ75" s="157"/>
      <c r="DA75" s="157"/>
      <c r="DB75" s="157"/>
      <c r="DC75" s="157"/>
      <c r="DD75" s="157"/>
      <c r="DE75" s="157"/>
      <c r="DF75" s="157"/>
      <c r="DG75" s="157"/>
      <c r="DH75" s="157"/>
      <c r="DI75" s="157"/>
      <c r="DJ75" s="157"/>
      <c r="DK75" s="157"/>
      <c r="DL75" s="157"/>
      <c r="DM75" s="157"/>
      <c r="DN75" s="157"/>
      <c r="DO75" s="157"/>
      <c r="DP75" s="157"/>
      <c r="DQ75" s="157"/>
      <c r="DR75" s="157"/>
      <c r="DS75" s="157"/>
      <c r="DT75" s="157"/>
      <c r="DU75" s="157"/>
      <c r="DV75" s="157"/>
      <c r="DW75" s="157"/>
      <c r="DX75" s="157"/>
      <c r="DY75" s="157"/>
      <c r="DZ75" s="157"/>
      <c r="EA75" s="157"/>
      <c r="EB75" s="157"/>
      <c r="EC75" s="157"/>
      <c r="ED75" s="157"/>
      <c r="EE75" s="157"/>
      <c r="EF75" s="157"/>
      <c r="EG75" s="157"/>
      <c r="EH75" s="157"/>
      <c r="EI75" s="157"/>
      <c r="EJ75" s="157"/>
      <c r="EK75" s="157"/>
      <c r="EL75" s="157"/>
      <c r="EM75" s="157"/>
      <c r="EN75" s="157"/>
      <c r="EO75" s="157"/>
      <c r="EP75" s="157"/>
      <c r="EQ75" s="157"/>
      <c r="ER75" s="157"/>
      <c r="ES75" s="157"/>
      <c r="ET75" s="157"/>
      <c r="EU75" s="157"/>
      <c r="EV75" s="157"/>
      <c r="EW75" s="157"/>
      <c r="EX75" s="157"/>
      <c r="EY75" s="157"/>
      <c r="EZ75" s="157"/>
      <c r="FA75" s="157"/>
      <c r="FB75" s="157"/>
      <c r="FC75" s="157"/>
      <c r="FD75" s="157"/>
      <c r="FE75" s="157"/>
      <c r="FF75" s="157"/>
      <c r="FG75" s="157"/>
      <c r="FH75" s="157"/>
      <c r="FI75" s="157"/>
      <c r="FJ75" s="157"/>
      <c r="FK75" s="157"/>
      <c r="FL75" s="157"/>
      <c r="FM75" s="157"/>
      <c r="FN75" s="157"/>
      <c r="FO75" s="157"/>
      <c r="FP75" s="157"/>
      <c r="FQ75" s="157"/>
      <c r="FR75" s="157"/>
      <c r="FS75" s="157"/>
      <c r="FT75" s="157"/>
      <c r="FU75" s="157"/>
      <c r="FV75" s="157"/>
      <c r="FW75" s="157"/>
      <c r="FX75" s="157"/>
      <c r="FY75" s="157"/>
      <c r="FZ75" s="157"/>
      <c r="GA75" s="157"/>
      <c r="GB75" s="157"/>
      <c r="GC75" s="157"/>
      <c r="GD75" s="157"/>
      <c r="GE75" s="157"/>
      <c r="GF75" s="157"/>
      <c r="GG75" s="157"/>
      <c r="GH75" s="157"/>
      <c r="GI75" s="157"/>
      <c r="GJ75" s="157"/>
      <c r="GK75" s="157"/>
      <c r="GL75" s="157"/>
      <c r="GM75" s="157"/>
      <c r="GN75" s="157"/>
      <c r="GO75" s="157"/>
      <c r="GP75" s="157"/>
      <c r="GQ75" s="157"/>
      <c r="GR75" s="157"/>
      <c r="GS75" s="157"/>
      <c r="GT75" s="157"/>
      <c r="GU75" s="157"/>
      <c r="GV75" s="157"/>
      <c r="GW75" s="157"/>
      <c r="GX75" s="157"/>
      <c r="GY75" s="157"/>
      <c r="GZ75" s="157"/>
      <c r="HA75" s="157"/>
      <c r="HB75" s="157"/>
      <c r="HC75" s="157"/>
      <c r="HD75" s="157"/>
      <c r="HE75" s="157"/>
      <c r="HF75" s="157"/>
      <c r="HG75" s="157"/>
      <c r="HH75" s="157"/>
      <c r="HI75" s="157"/>
      <c r="HJ75" s="157"/>
      <c r="HK75" s="157"/>
      <c r="HL75" s="157"/>
      <c r="HM75" s="157"/>
      <c r="HN75" s="157"/>
      <c r="HO75" s="157"/>
      <c r="HP75" s="157"/>
      <c r="HQ75" s="157"/>
      <c r="HR75" s="157"/>
      <c r="HS75" s="157"/>
      <c r="HT75" s="157"/>
      <c r="HU75" s="157"/>
      <c r="HV75" s="157"/>
      <c r="HW75" s="157"/>
      <c r="HX75" s="157"/>
      <c r="HY75" s="157"/>
      <c r="HZ75" s="157"/>
      <c r="IA75" s="157"/>
      <c r="IB75" s="157"/>
      <c r="IC75" s="157"/>
      <c r="ID75" s="157"/>
      <c r="IE75" s="157"/>
      <c r="IF75" s="157"/>
      <c r="IG75" s="157"/>
      <c r="IH75" s="157"/>
      <c r="II75" s="157"/>
      <c r="IJ75" s="157"/>
      <c r="IK75" s="157"/>
      <c r="IL75" s="157"/>
      <c r="IM75" s="157"/>
      <c r="IN75" s="157"/>
      <c r="IO75" s="157"/>
      <c r="IP75" s="157"/>
      <c r="IQ75" s="157"/>
      <c r="IR75" s="157"/>
      <c r="IS75" s="157"/>
      <c r="IT75" s="157"/>
      <c r="IU75" s="157"/>
      <c r="IV75" s="157"/>
      <c r="IW75" s="157"/>
      <c r="IX75" s="157"/>
      <c r="IY75" s="157"/>
      <c r="IZ75" s="157"/>
      <c r="JA75" s="157"/>
      <c r="JB75" s="157"/>
      <c r="JC75" s="157"/>
      <c r="JD75" s="157"/>
      <c r="JE75" s="157"/>
      <c r="JF75" s="157"/>
      <c r="JG75" s="157"/>
      <c r="JH75" s="157"/>
      <c r="JI75" s="157"/>
      <c r="JJ75" s="157"/>
      <c r="JK75" s="157"/>
      <c r="JL75" s="157"/>
      <c r="JM75" s="157"/>
      <c r="JN75" s="157"/>
      <c r="JO75" s="157"/>
      <c r="JP75" s="157"/>
      <c r="JQ75" s="157"/>
      <c r="JR75" s="157"/>
      <c r="JS75" s="157"/>
      <c r="JT75" s="157"/>
      <c r="JU75" s="157"/>
      <c r="JV75" s="157"/>
      <c r="JW75" s="157"/>
      <c r="JX75" s="157"/>
      <c r="JY75" s="157"/>
      <c r="JZ75" s="157"/>
      <c r="KA75" s="157"/>
      <c r="KB75" s="157"/>
      <c r="KC75" s="157"/>
      <c r="KD75" s="157"/>
      <c r="KE75" s="157"/>
      <c r="KF75" s="157"/>
      <c r="KG75" s="157"/>
      <c r="KH75" s="157"/>
      <c r="KI75" s="157"/>
      <c r="KJ75" s="157"/>
      <c r="KK75" s="157"/>
    </row>
    <row r="76" spans="1:297" ht="33" thickBot="1" x14ac:dyDescent="0.25">
      <c r="A76" s="435"/>
      <c r="B76" s="159"/>
      <c r="C76" s="159" t="s">
        <v>157</v>
      </c>
      <c r="D76" s="159" t="s">
        <v>144</v>
      </c>
      <c r="E76" s="159" t="s">
        <v>176</v>
      </c>
      <c r="F76" s="361">
        <v>1000</v>
      </c>
      <c r="G76" s="361">
        <v>1000</v>
      </c>
      <c r="H76" s="361">
        <v>1000</v>
      </c>
      <c r="I76" s="361">
        <v>1000</v>
      </c>
      <c r="J76" s="361">
        <v>1000</v>
      </c>
      <c r="K76" s="361">
        <v>1000</v>
      </c>
      <c r="L76" s="361">
        <v>1000</v>
      </c>
      <c r="M76" s="361">
        <v>1000</v>
      </c>
      <c r="N76" s="164" t="s">
        <v>209</v>
      </c>
      <c r="O76" s="154"/>
      <c r="P76" s="340" t="s">
        <v>208</v>
      </c>
      <c r="AM76" s="157"/>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c r="CE76" s="157"/>
      <c r="CF76" s="157"/>
      <c r="CG76" s="157"/>
      <c r="CH76" s="157"/>
      <c r="CI76" s="157"/>
      <c r="CJ76" s="157"/>
      <c r="CK76" s="157"/>
      <c r="CL76" s="157"/>
      <c r="CM76" s="157"/>
      <c r="CN76" s="157"/>
      <c r="CO76" s="157"/>
      <c r="CP76" s="157"/>
      <c r="CQ76" s="157"/>
      <c r="CR76" s="157"/>
      <c r="CS76" s="157"/>
      <c r="CT76" s="157"/>
      <c r="CU76" s="157"/>
      <c r="CV76" s="157"/>
      <c r="CW76" s="157"/>
      <c r="CX76" s="157"/>
      <c r="CY76" s="157"/>
      <c r="CZ76" s="157"/>
      <c r="DA76" s="157"/>
      <c r="DB76" s="157"/>
      <c r="DC76" s="157"/>
      <c r="DD76" s="157"/>
      <c r="DE76" s="157"/>
      <c r="DF76" s="157"/>
      <c r="DG76" s="157"/>
      <c r="DH76" s="157"/>
      <c r="DI76" s="157"/>
      <c r="DJ76" s="157"/>
      <c r="DK76" s="157"/>
      <c r="DL76" s="157"/>
      <c r="DM76" s="157"/>
      <c r="DN76" s="157"/>
      <c r="DO76" s="157"/>
      <c r="DP76" s="157"/>
      <c r="DQ76" s="157"/>
      <c r="DR76" s="157"/>
      <c r="DS76" s="157"/>
      <c r="DT76" s="157"/>
      <c r="DU76" s="157"/>
      <c r="DV76" s="157"/>
      <c r="DW76" s="157"/>
      <c r="DX76" s="157"/>
      <c r="DY76" s="157"/>
      <c r="DZ76" s="157"/>
      <c r="EA76" s="157"/>
      <c r="EB76" s="157"/>
      <c r="EC76" s="157"/>
      <c r="ED76" s="157"/>
      <c r="EE76" s="157"/>
      <c r="EF76" s="157"/>
      <c r="EG76" s="157"/>
      <c r="EH76" s="157"/>
      <c r="EI76" s="157"/>
      <c r="EJ76" s="157"/>
      <c r="EK76" s="157"/>
      <c r="EL76" s="157"/>
      <c r="EM76" s="157"/>
      <c r="EN76" s="157"/>
      <c r="EO76" s="157"/>
      <c r="EP76" s="157"/>
      <c r="EQ76" s="157"/>
      <c r="ER76" s="157"/>
      <c r="ES76" s="157"/>
      <c r="ET76" s="157"/>
      <c r="EU76" s="157"/>
      <c r="EV76" s="157"/>
      <c r="EW76" s="157"/>
      <c r="EX76" s="157"/>
      <c r="EY76" s="157"/>
      <c r="EZ76" s="157"/>
      <c r="FA76" s="157"/>
      <c r="FB76" s="157"/>
      <c r="FC76" s="157"/>
      <c r="FD76" s="157"/>
      <c r="FE76" s="157"/>
      <c r="FF76" s="157"/>
      <c r="FG76" s="157"/>
      <c r="FH76" s="157"/>
      <c r="FI76" s="157"/>
      <c r="FJ76" s="157"/>
      <c r="FK76" s="157"/>
      <c r="FL76" s="157"/>
      <c r="FM76" s="157"/>
      <c r="FN76" s="157"/>
      <c r="FO76" s="157"/>
      <c r="FP76" s="157"/>
      <c r="FQ76" s="157"/>
      <c r="FR76" s="157"/>
      <c r="FS76" s="157"/>
      <c r="FT76" s="157"/>
      <c r="FU76" s="157"/>
      <c r="FV76" s="157"/>
      <c r="FW76" s="157"/>
      <c r="FX76" s="157"/>
      <c r="FY76" s="157"/>
      <c r="FZ76" s="157"/>
      <c r="GA76" s="157"/>
      <c r="GB76" s="157"/>
      <c r="GC76" s="157"/>
      <c r="GD76" s="157"/>
      <c r="GE76" s="157"/>
      <c r="GF76" s="157"/>
      <c r="GG76" s="157"/>
      <c r="GH76" s="157"/>
      <c r="GI76" s="157"/>
      <c r="GJ76" s="157"/>
      <c r="GK76" s="157"/>
      <c r="GL76" s="157"/>
      <c r="GM76" s="157"/>
      <c r="GN76" s="157"/>
      <c r="GO76" s="157"/>
      <c r="GP76" s="157"/>
      <c r="GQ76" s="157"/>
      <c r="GR76" s="157"/>
      <c r="GS76" s="157"/>
      <c r="GT76" s="157"/>
      <c r="GU76" s="157"/>
      <c r="GV76" s="157"/>
      <c r="GW76" s="157"/>
      <c r="GX76" s="157"/>
      <c r="GY76" s="157"/>
      <c r="GZ76" s="157"/>
      <c r="HA76" s="157"/>
      <c r="HB76" s="157"/>
      <c r="HC76" s="157"/>
      <c r="HD76" s="157"/>
      <c r="HE76" s="157"/>
      <c r="HF76" s="157"/>
      <c r="HG76" s="157"/>
      <c r="HH76" s="157"/>
      <c r="HI76" s="157"/>
      <c r="HJ76" s="157"/>
      <c r="HK76" s="157"/>
      <c r="HL76" s="157"/>
      <c r="HM76" s="157"/>
      <c r="HN76" s="157"/>
      <c r="HO76" s="157"/>
      <c r="HP76" s="157"/>
      <c r="HQ76" s="157"/>
      <c r="HR76" s="157"/>
      <c r="HS76" s="157"/>
      <c r="HT76" s="157"/>
      <c r="HU76" s="157"/>
      <c r="HV76" s="157"/>
      <c r="HW76" s="157"/>
      <c r="HX76" s="157"/>
      <c r="HY76" s="157"/>
      <c r="HZ76" s="157"/>
      <c r="IA76" s="157"/>
      <c r="IB76" s="157"/>
      <c r="IC76" s="157"/>
      <c r="ID76" s="157"/>
      <c r="IE76" s="157"/>
      <c r="IF76" s="157"/>
      <c r="IG76" s="157"/>
      <c r="IH76" s="157"/>
      <c r="II76" s="157"/>
      <c r="IJ76" s="157"/>
      <c r="IK76" s="157"/>
      <c r="IL76" s="157"/>
      <c r="IM76" s="157"/>
      <c r="IN76" s="157"/>
      <c r="IO76" s="157"/>
      <c r="IP76" s="157"/>
      <c r="IQ76" s="157"/>
      <c r="IR76" s="157"/>
      <c r="IS76" s="157"/>
      <c r="IT76" s="157"/>
      <c r="IU76" s="157"/>
      <c r="IV76" s="157"/>
      <c r="IW76" s="157"/>
      <c r="IX76" s="157"/>
      <c r="IY76" s="157"/>
      <c r="IZ76" s="157"/>
      <c r="JA76" s="157"/>
      <c r="JB76" s="157"/>
      <c r="JC76" s="157"/>
      <c r="JD76" s="157"/>
      <c r="JE76" s="157"/>
      <c r="JF76" s="157"/>
      <c r="JG76" s="157"/>
      <c r="JH76" s="157"/>
      <c r="JI76" s="157"/>
      <c r="JJ76" s="157"/>
      <c r="JK76" s="157"/>
      <c r="JL76" s="157"/>
      <c r="JM76" s="157"/>
      <c r="JN76" s="157"/>
      <c r="JO76" s="157"/>
      <c r="JP76" s="157"/>
      <c r="JQ76" s="157"/>
      <c r="JR76" s="157"/>
      <c r="JS76" s="157"/>
      <c r="JT76" s="157"/>
      <c r="JU76" s="157"/>
      <c r="JV76" s="157"/>
      <c r="JW76" s="157"/>
      <c r="JX76" s="157"/>
      <c r="JY76" s="157"/>
      <c r="JZ76" s="157"/>
      <c r="KA76" s="157"/>
      <c r="KB76" s="157"/>
      <c r="KC76" s="157"/>
      <c r="KD76" s="157"/>
      <c r="KE76" s="157"/>
      <c r="KF76" s="157"/>
      <c r="KG76" s="157"/>
      <c r="KH76" s="157"/>
      <c r="KI76" s="157"/>
      <c r="KJ76" s="157"/>
      <c r="KK76" s="157"/>
    </row>
    <row r="77" spans="1:297" ht="49" thickBot="1" x14ac:dyDescent="0.25">
      <c r="A77" s="435"/>
      <c r="B77" s="181" t="s">
        <v>138</v>
      </c>
      <c r="C77" s="182"/>
      <c r="D77" s="160" t="s">
        <v>144</v>
      </c>
      <c r="E77" s="160"/>
      <c r="F77" s="358">
        <v>3.4031796809360047E-2</v>
      </c>
      <c r="G77" s="359">
        <v>1.9103841468312406E-2</v>
      </c>
      <c r="H77" s="358">
        <v>2.3721847660478475E-2</v>
      </c>
      <c r="I77" s="359">
        <v>2.6222440607289035E-2</v>
      </c>
      <c r="J77" s="358">
        <v>2.4446021421403796E-2</v>
      </c>
      <c r="K77" s="359">
        <v>2.0339743714686769E-2</v>
      </c>
      <c r="L77" s="358">
        <v>2.5425220200314375E-2</v>
      </c>
      <c r="M77" s="360">
        <v>2.3984869069064718E-2</v>
      </c>
      <c r="N77" s="164" t="s">
        <v>114</v>
      </c>
      <c r="O77" s="154" t="s">
        <v>14</v>
      </c>
      <c r="P77" s="339" t="s">
        <v>115</v>
      </c>
      <c r="AM77" s="157"/>
      <c r="AN77" s="157"/>
      <c r="AO77" s="157"/>
      <c r="AP77" s="157"/>
      <c r="AQ77" s="157"/>
      <c r="AR77" s="157"/>
      <c r="AS77" s="157"/>
      <c r="AT77" s="157"/>
      <c r="AU77" s="157"/>
      <c r="AV77" s="157"/>
      <c r="AW77" s="157"/>
      <c r="AX77" s="157"/>
      <c r="AY77" s="157"/>
      <c r="AZ77" s="157"/>
      <c r="BA77" s="157"/>
      <c r="BB77" s="157"/>
      <c r="BC77" s="157"/>
      <c r="BD77" s="157"/>
      <c r="BE77" s="157"/>
      <c r="BF77" s="157"/>
      <c r="BG77" s="157"/>
      <c r="BH77" s="157"/>
      <c r="BI77" s="157"/>
      <c r="BJ77" s="157"/>
      <c r="BK77" s="157"/>
      <c r="BL77" s="157"/>
      <c r="BM77" s="157"/>
      <c r="BN77" s="157"/>
      <c r="BO77" s="157"/>
      <c r="BP77" s="157"/>
      <c r="BQ77" s="157"/>
      <c r="BR77" s="157"/>
      <c r="BS77" s="157"/>
      <c r="BT77" s="157"/>
      <c r="BU77" s="157"/>
      <c r="BV77" s="157"/>
      <c r="BW77" s="157"/>
      <c r="BX77" s="157"/>
      <c r="BY77" s="157"/>
      <c r="BZ77" s="157"/>
      <c r="CA77" s="157"/>
      <c r="CB77" s="157"/>
      <c r="CC77" s="157"/>
      <c r="CD77" s="157"/>
      <c r="CE77" s="157"/>
      <c r="CF77" s="157"/>
      <c r="CG77" s="157"/>
      <c r="CH77" s="157"/>
      <c r="CI77" s="157"/>
      <c r="CJ77" s="157"/>
      <c r="CK77" s="157"/>
      <c r="CL77" s="157"/>
      <c r="CM77" s="157"/>
      <c r="CN77" s="157"/>
      <c r="CO77" s="157"/>
      <c r="CP77" s="157"/>
      <c r="CQ77" s="157"/>
      <c r="CR77" s="157"/>
      <c r="CS77" s="157"/>
      <c r="CT77" s="157"/>
      <c r="CU77" s="157"/>
      <c r="CV77" s="157"/>
      <c r="CW77" s="157"/>
      <c r="CX77" s="157"/>
      <c r="CY77" s="157"/>
      <c r="CZ77" s="157"/>
      <c r="DA77" s="157"/>
      <c r="DB77" s="157"/>
      <c r="DC77" s="157"/>
      <c r="DD77" s="157"/>
      <c r="DE77" s="157"/>
      <c r="DF77" s="157"/>
      <c r="DG77" s="157"/>
      <c r="DH77" s="157"/>
      <c r="DI77" s="157"/>
      <c r="DJ77" s="157"/>
      <c r="DK77" s="157"/>
      <c r="DL77" s="157"/>
      <c r="DM77" s="157"/>
      <c r="DN77" s="157"/>
      <c r="DO77" s="157"/>
      <c r="DP77" s="157"/>
      <c r="DQ77" s="157"/>
      <c r="DR77" s="157"/>
      <c r="DS77" s="157"/>
      <c r="DT77" s="157"/>
      <c r="DU77" s="157"/>
      <c r="DV77" s="157"/>
      <c r="DW77" s="157"/>
      <c r="DX77" s="157"/>
      <c r="DY77" s="157"/>
      <c r="DZ77" s="157"/>
      <c r="EA77" s="157"/>
      <c r="EB77" s="157"/>
      <c r="EC77" s="157"/>
      <c r="ED77" s="157"/>
      <c r="EE77" s="157"/>
      <c r="EF77" s="157"/>
      <c r="EG77" s="157"/>
      <c r="EH77" s="157"/>
      <c r="EI77" s="157"/>
      <c r="EJ77" s="157"/>
      <c r="EK77" s="157"/>
      <c r="EL77" s="157"/>
      <c r="EM77" s="157"/>
      <c r="EN77" s="157"/>
      <c r="EO77" s="157"/>
      <c r="EP77" s="157"/>
      <c r="EQ77" s="157"/>
      <c r="ER77" s="157"/>
      <c r="ES77" s="157"/>
      <c r="ET77" s="157"/>
      <c r="EU77" s="157"/>
      <c r="EV77" s="157"/>
      <c r="EW77" s="157"/>
      <c r="EX77" s="157"/>
      <c r="EY77" s="157"/>
      <c r="EZ77" s="157"/>
      <c r="FA77" s="157"/>
      <c r="FB77" s="157"/>
      <c r="FC77" s="157"/>
      <c r="FD77" s="157"/>
      <c r="FE77" s="157"/>
      <c r="FF77" s="157"/>
      <c r="FG77" s="157"/>
      <c r="FH77" s="157"/>
      <c r="FI77" s="157"/>
      <c r="FJ77" s="157"/>
      <c r="FK77" s="157"/>
      <c r="FL77" s="157"/>
      <c r="FM77" s="157"/>
      <c r="FN77" s="157"/>
      <c r="FO77" s="157"/>
      <c r="FP77" s="157"/>
      <c r="FQ77" s="157"/>
      <c r="FR77" s="157"/>
      <c r="FS77" s="157"/>
      <c r="FT77" s="157"/>
      <c r="FU77" s="157"/>
      <c r="FV77" s="157"/>
      <c r="FW77" s="157"/>
      <c r="FX77" s="157"/>
      <c r="FY77" s="157"/>
      <c r="FZ77" s="157"/>
      <c r="GA77" s="157"/>
      <c r="GB77" s="157"/>
      <c r="GC77" s="157"/>
      <c r="GD77" s="157"/>
      <c r="GE77" s="157"/>
      <c r="GF77" s="157"/>
      <c r="GG77" s="157"/>
      <c r="GH77" s="157"/>
      <c r="GI77" s="157"/>
      <c r="GJ77" s="157"/>
      <c r="GK77" s="157"/>
      <c r="GL77" s="157"/>
      <c r="GM77" s="157"/>
      <c r="GN77" s="157"/>
      <c r="GO77" s="157"/>
      <c r="GP77" s="157"/>
      <c r="GQ77" s="157"/>
      <c r="GR77" s="157"/>
      <c r="GS77" s="157"/>
      <c r="GT77" s="157"/>
      <c r="GU77" s="157"/>
      <c r="GV77" s="157"/>
      <c r="GW77" s="157"/>
      <c r="GX77" s="157"/>
      <c r="GY77" s="157"/>
      <c r="GZ77" s="157"/>
      <c r="HA77" s="157"/>
      <c r="HB77" s="157"/>
      <c r="HC77" s="157"/>
      <c r="HD77" s="157"/>
      <c r="HE77" s="157"/>
      <c r="HF77" s="157"/>
      <c r="HG77" s="157"/>
      <c r="HH77" s="157"/>
      <c r="HI77" s="157"/>
      <c r="HJ77" s="157"/>
      <c r="HK77" s="157"/>
      <c r="HL77" s="157"/>
      <c r="HM77" s="157"/>
      <c r="HN77" s="157"/>
      <c r="HO77" s="157"/>
      <c r="HP77" s="157"/>
      <c r="HQ77" s="157"/>
      <c r="HR77" s="157"/>
      <c r="HS77" s="157"/>
      <c r="HT77" s="157"/>
      <c r="HU77" s="157"/>
      <c r="HV77" s="157"/>
      <c r="HW77" s="157"/>
      <c r="HX77" s="157"/>
      <c r="HY77" s="157"/>
      <c r="HZ77" s="157"/>
      <c r="IA77" s="157"/>
      <c r="IB77" s="157"/>
      <c r="IC77" s="157"/>
      <c r="ID77" s="157"/>
      <c r="IE77" s="157"/>
      <c r="IF77" s="157"/>
      <c r="IG77" s="157"/>
      <c r="IH77" s="157"/>
      <c r="II77" s="157"/>
      <c r="IJ77" s="157"/>
      <c r="IK77" s="157"/>
      <c r="IL77" s="157"/>
      <c r="IM77" s="157"/>
      <c r="IN77" s="157"/>
      <c r="IO77" s="157"/>
      <c r="IP77" s="157"/>
      <c r="IQ77" s="157"/>
      <c r="IR77" s="157"/>
      <c r="IS77" s="157"/>
      <c r="IT77" s="157"/>
      <c r="IU77" s="157"/>
      <c r="IV77" s="157"/>
      <c r="IW77" s="157"/>
      <c r="IX77" s="157"/>
      <c r="IY77" s="157"/>
      <c r="IZ77" s="157"/>
      <c r="JA77" s="157"/>
      <c r="JB77" s="157"/>
      <c r="JC77" s="157"/>
      <c r="JD77" s="157"/>
      <c r="JE77" s="157"/>
      <c r="JF77" s="157"/>
      <c r="JG77" s="157"/>
      <c r="JH77" s="157"/>
      <c r="JI77" s="157"/>
      <c r="JJ77" s="157"/>
      <c r="JK77" s="157"/>
      <c r="JL77" s="157"/>
      <c r="JM77" s="157"/>
      <c r="JN77" s="157"/>
      <c r="JO77" s="157"/>
      <c r="JP77" s="157"/>
      <c r="JQ77" s="157"/>
      <c r="JR77" s="157"/>
      <c r="JS77" s="157"/>
      <c r="JT77" s="157"/>
      <c r="JU77" s="157"/>
      <c r="JV77" s="157"/>
      <c r="JW77" s="157"/>
      <c r="JX77" s="157"/>
      <c r="JY77" s="157"/>
      <c r="JZ77" s="157"/>
      <c r="KA77" s="157"/>
      <c r="KB77" s="157"/>
      <c r="KC77" s="157"/>
      <c r="KD77" s="157"/>
      <c r="KE77" s="157"/>
      <c r="KF77" s="157"/>
      <c r="KG77" s="157"/>
      <c r="KH77" s="157"/>
      <c r="KI77" s="157"/>
      <c r="KJ77" s="157"/>
      <c r="KK77" s="157"/>
    </row>
    <row r="78" spans="1:297" ht="49" thickBot="1" x14ac:dyDescent="0.25">
      <c r="A78" s="435"/>
      <c r="B78" s="181" t="s">
        <v>86</v>
      </c>
      <c r="C78" s="182"/>
      <c r="D78" s="160" t="s">
        <v>144</v>
      </c>
      <c r="E78" s="160"/>
      <c r="F78" s="358">
        <v>0.21596820319063995</v>
      </c>
      <c r="G78" s="359">
        <v>0.2308961585316876</v>
      </c>
      <c r="H78" s="358">
        <v>0.22627815233952153</v>
      </c>
      <c r="I78" s="359">
        <v>0.22377755939271096</v>
      </c>
      <c r="J78" s="358">
        <v>0.22555397857859621</v>
      </c>
      <c r="K78" s="359">
        <v>0.22966025628531322</v>
      </c>
      <c r="L78" s="358">
        <v>0.22457477979968563</v>
      </c>
      <c r="M78" s="360">
        <v>0.22601513093093528</v>
      </c>
      <c r="N78" s="164" t="s">
        <v>117</v>
      </c>
      <c r="O78" s="154" t="s">
        <v>14</v>
      </c>
      <c r="P78" s="339" t="s">
        <v>116</v>
      </c>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157"/>
      <c r="BT78" s="157"/>
      <c r="BU78" s="157"/>
      <c r="BV78" s="157"/>
      <c r="BW78" s="157"/>
      <c r="BX78" s="157"/>
      <c r="BY78" s="157"/>
      <c r="BZ78" s="157"/>
      <c r="CA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c r="CZ78" s="157"/>
      <c r="DA78" s="157"/>
      <c r="DB78" s="157"/>
      <c r="DC78" s="157"/>
      <c r="DD78" s="157"/>
      <c r="DE78" s="157"/>
      <c r="DF78" s="157"/>
      <c r="DG78" s="157"/>
      <c r="DH78" s="157"/>
      <c r="DI78" s="157"/>
      <c r="DJ78" s="157"/>
      <c r="DK78" s="157"/>
      <c r="DL78" s="157"/>
      <c r="DM78" s="157"/>
      <c r="DN78" s="157"/>
      <c r="DO78" s="157"/>
      <c r="DP78" s="157"/>
      <c r="DQ78" s="157"/>
      <c r="DR78" s="157"/>
      <c r="DS78" s="157"/>
      <c r="DT78" s="157"/>
      <c r="DU78" s="157"/>
      <c r="DV78" s="157"/>
      <c r="DW78" s="157"/>
      <c r="DX78" s="157"/>
      <c r="DY78" s="157"/>
      <c r="DZ78" s="157"/>
      <c r="EA78" s="157"/>
      <c r="EB78" s="157"/>
      <c r="EC78" s="157"/>
      <c r="ED78" s="157"/>
      <c r="EE78" s="157"/>
      <c r="EF78" s="157"/>
      <c r="EG78" s="157"/>
      <c r="EH78" s="157"/>
      <c r="EI78" s="157"/>
      <c r="EJ78" s="157"/>
      <c r="EK78" s="157"/>
      <c r="EL78" s="157"/>
      <c r="EM78" s="157"/>
      <c r="EN78" s="157"/>
      <c r="EO78" s="157"/>
      <c r="EP78" s="157"/>
      <c r="EQ78" s="157"/>
      <c r="ER78" s="157"/>
      <c r="ES78" s="157"/>
      <c r="ET78" s="157"/>
      <c r="EU78" s="157"/>
      <c r="EV78" s="157"/>
      <c r="EW78" s="157"/>
      <c r="EX78" s="157"/>
      <c r="EY78" s="157"/>
      <c r="EZ78" s="157"/>
      <c r="FA78" s="157"/>
      <c r="FB78" s="157"/>
      <c r="FC78" s="157"/>
      <c r="FD78" s="157"/>
      <c r="FE78" s="157"/>
      <c r="FF78" s="157"/>
      <c r="FG78" s="157"/>
      <c r="FH78" s="157"/>
      <c r="FI78" s="157"/>
      <c r="FJ78" s="157"/>
      <c r="FK78" s="157"/>
      <c r="FL78" s="157"/>
      <c r="FM78" s="157"/>
      <c r="FN78" s="157"/>
      <c r="FO78" s="157"/>
      <c r="FP78" s="157"/>
      <c r="FQ78" s="157"/>
      <c r="FR78" s="157"/>
      <c r="FS78" s="157"/>
      <c r="FT78" s="157"/>
      <c r="FU78" s="157"/>
      <c r="FV78" s="157"/>
      <c r="FW78" s="157"/>
      <c r="FX78" s="157"/>
      <c r="FY78" s="157"/>
      <c r="FZ78" s="157"/>
      <c r="GA78" s="157"/>
      <c r="GB78" s="157"/>
      <c r="GC78" s="157"/>
      <c r="GD78" s="157"/>
      <c r="GE78" s="157"/>
      <c r="GF78" s="157"/>
      <c r="GG78" s="157"/>
      <c r="GH78" s="157"/>
      <c r="GI78" s="157"/>
      <c r="GJ78" s="157"/>
      <c r="GK78" s="157"/>
      <c r="GL78" s="157"/>
      <c r="GM78" s="157"/>
      <c r="GN78" s="157"/>
      <c r="GO78" s="157"/>
      <c r="GP78" s="157"/>
      <c r="GQ78" s="157"/>
      <c r="GR78" s="157"/>
      <c r="GS78" s="157"/>
      <c r="GT78" s="157"/>
      <c r="GU78" s="157"/>
      <c r="GV78" s="157"/>
      <c r="GW78" s="157"/>
      <c r="GX78" s="157"/>
      <c r="GY78" s="157"/>
      <c r="GZ78" s="157"/>
      <c r="HA78" s="157"/>
      <c r="HB78" s="157"/>
      <c r="HC78" s="157"/>
      <c r="HD78" s="157"/>
      <c r="HE78" s="157"/>
      <c r="HF78" s="157"/>
      <c r="HG78" s="157"/>
      <c r="HH78" s="157"/>
      <c r="HI78" s="157"/>
      <c r="HJ78" s="157"/>
      <c r="HK78" s="157"/>
      <c r="HL78" s="157"/>
      <c r="HM78" s="157"/>
      <c r="HN78" s="157"/>
      <c r="HO78" s="157"/>
      <c r="HP78" s="157"/>
      <c r="HQ78" s="157"/>
      <c r="HR78" s="157"/>
      <c r="HS78" s="157"/>
      <c r="HT78" s="157"/>
      <c r="HU78" s="157"/>
      <c r="HV78" s="157"/>
      <c r="HW78" s="157"/>
      <c r="HX78" s="157"/>
      <c r="HY78" s="157"/>
      <c r="HZ78" s="157"/>
      <c r="IA78" s="157"/>
      <c r="IB78" s="157"/>
      <c r="IC78" s="157"/>
      <c r="ID78" s="157"/>
      <c r="IE78" s="157"/>
      <c r="IF78" s="157"/>
      <c r="IG78" s="157"/>
      <c r="IH78" s="157"/>
      <c r="II78" s="157"/>
      <c r="IJ78" s="157"/>
      <c r="IK78" s="157"/>
      <c r="IL78" s="157"/>
      <c r="IM78" s="157"/>
      <c r="IN78" s="157"/>
      <c r="IO78" s="157"/>
      <c r="IP78" s="157"/>
      <c r="IQ78" s="157"/>
      <c r="IR78" s="157"/>
      <c r="IS78" s="157"/>
      <c r="IT78" s="157"/>
      <c r="IU78" s="157"/>
      <c r="IV78" s="157"/>
      <c r="IW78" s="157"/>
      <c r="IX78" s="157"/>
      <c r="IY78" s="157"/>
      <c r="IZ78" s="157"/>
      <c r="JA78" s="157"/>
      <c r="JB78" s="157"/>
      <c r="JC78" s="157"/>
      <c r="JD78" s="157"/>
      <c r="JE78" s="157"/>
      <c r="JF78" s="157"/>
      <c r="JG78" s="157"/>
      <c r="JH78" s="157"/>
      <c r="JI78" s="157"/>
      <c r="JJ78" s="157"/>
      <c r="JK78" s="157"/>
      <c r="JL78" s="157"/>
      <c r="JM78" s="157"/>
      <c r="JN78" s="157"/>
      <c r="JO78" s="157"/>
      <c r="JP78" s="157"/>
      <c r="JQ78" s="157"/>
      <c r="JR78" s="157"/>
      <c r="JS78" s="157"/>
      <c r="JT78" s="157"/>
      <c r="JU78" s="157"/>
      <c r="JV78" s="157"/>
      <c r="JW78" s="157"/>
      <c r="JX78" s="157"/>
      <c r="JY78" s="157"/>
      <c r="JZ78" s="157"/>
      <c r="KA78" s="157"/>
      <c r="KB78" s="157"/>
      <c r="KC78" s="157"/>
      <c r="KD78" s="157"/>
      <c r="KE78" s="157"/>
      <c r="KF78" s="157"/>
      <c r="KG78" s="157"/>
      <c r="KH78" s="157"/>
      <c r="KI78" s="157"/>
      <c r="KJ78" s="157"/>
      <c r="KK78" s="157"/>
    </row>
    <row r="79" spans="1:297" ht="17" thickBot="1" x14ac:dyDescent="0.25">
      <c r="A79" s="435"/>
      <c r="B79" s="183"/>
      <c r="C79" s="189" t="s">
        <v>179</v>
      </c>
      <c r="D79" s="177" t="s">
        <v>144</v>
      </c>
      <c r="E79" s="177"/>
      <c r="F79" s="358">
        <v>0.25</v>
      </c>
      <c r="G79" s="359">
        <v>0.25</v>
      </c>
      <c r="H79" s="358">
        <v>0.25</v>
      </c>
      <c r="I79" s="359">
        <v>0.25</v>
      </c>
      <c r="J79" s="358">
        <v>0.25</v>
      </c>
      <c r="K79" s="359">
        <v>0.25</v>
      </c>
      <c r="L79" s="358">
        <v>0.25</v>
      </c>
      <c r="M79" s="360">
        <v>0.25</v>
      </c>
      <c r="N79" s="164" t="s">
        <v>180</v>
      </c>
      <c r="O79" s="154" t="s">
        <v>14</v>
      </c>
      <c r="P79" s="339" t="s">
        <v>101</v>
      </c>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157"/>
      <c r="BS79" s="157"/>
      <c r="BT79" s="157"/>
      <c r="BU79" s="157"/>
      <c r="BV79" s="157"/>
      <c r="BW79" s="157"/>
      <c r="BX79" s="157"/>
      <c r="BY79" s="157"/>
      <c r="BZ79" s="157"/>
      <c r="CA79" s="15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c r="CZ79" s="157"/>
      <c r="DA79" s="157"/>
      <c r="DB79" s="157"/>
      <c r="DC79" s="157"/>
      <c r="DD79" s="157"/>
      <c r="DE79" s="157"/>
      <c r="DF79" s="157"/>
      <c r="DG79" s="157"/>
      <c r="DH79" s="157"/>
      <c r="DI79" s="157"/>
      <c r="DJ79" s="157"/>
      <c r="DK79" s="157"/>
      <c r="DL79" s="157"/>
      <c r="DM79" s="157"/>
      <c r="DN79" s="157"/>
      <c r="DO79" s="157"/>
      <c r="DP79" s="157"/>
      <c r="DQ79" s="157"/>
      <c r="DR79" s="157"/>
      <c r="DS79" s="157"/>
      <c r="DT79" s="157"/>
      <c r="DU79" s="157"/>
      <c r="DV79" s="157"/>
      <c r="DW79" s="157"/>
      <c r="DX79" s="157"/>
      <c r="DY79" s="157"/>
      <c r="DZ79" s="157"/>
      <c r="EA79" s="157"/>
      <c r="EB79" s="157"/>
      <c r="EC79" s="157"/>
      <c r="ED79" s="157"/>
      <c r="EE79" s="157"/>
      <c r="EF79" s="157"/>
      <c r="EG79" s="157"/>
      <c r="EH79" s="157"/>
      <c r="EI79" s="157"/>
      <c r="EJ79" s="157"/>
      <c r="EK79" s="157"/>
      <c r="EL79" s="157"/>
      <c r="EM79" s="157"/>
      <c r="EN79" s="157"/>
      <c r="EO79" s="157"/>
      <c r="EP79" s="157"/>
      <c r="EQ79" s="157"/>
      <c r="ER79" s="157"/>
      <c r="ES79" s="157"/>
      <c r="ET79" s="157"/>
      <c r="EU79" s="157"/>
      <c r="EV79" s="157"/>
      <c r="EW79" s="157"/>
      <c r="EX79" s="157"/>
      <c r="EY79" s="157"/>
      <c r="EZ79" s="157"/>
      <c r="FA79" s="157"/>
      <c r="FB79" s="157"/>
      <c r="FC79" s="157"/>
      <c r="FD79" s="157"/>
      <c r="FE79" s="157"/>
      <c r="FF79" s="157"/>
      <c r="FG79" s="157"/>
      <c r="FH79" s="157"/>
      <c r="FI79" s="157"/>
      <c r="FJ79" s="157"/>
      <c r="FK79" s="157"/>
      <c r="FL79" s="157"/>
      <c r="FM79" s="157"/>
      <c r="FN79" s="157"/>
      <c r="FO79" s="157"/>
      <c r="FP79" s="157"/>
      <c r="FQ79" s="157"/>
      <c r="FR79" s="157"/>
      <c r="FS79" s="157"/>
      <c r="FT79" s="157"/>
      <c r="FU79" s="157"/>
      <c r="FV79" s="157"/>
      <c r="FW79" s="157"/>
      <c r="FX79" s="157"/>
      <c r="FY79" s="157"/>
      <c r="FZ79" s="157"/>
      <c r="GA79" s="157"/>
      <c r="GB79" s="157"/>
      <c r="GC79" s="157"/>
      <c r="GD79" s="157"/>
      <c r="GE79" s="157"/>
      <c r="GF79" s="157"/>
      <c r="GG79" s="157"/>
      <c r="GH79" s="157"/>
      <c r="GI79" s="157"/>
      <c r="GJ79" s="157"/>
      <c r="GK79" s="157"/>
      <c r="GL79" s="157"/>
      <c r="GM79" s="157"/>
      <c r="GN79" s="157"/>
      <c r="GO79" s="157"/>
      <c r="GP79" s="157"/>
      <c r="GQ79" s="157"/>
      <c r="GR79" s="157"/>
      <c r="GS79" s="157"/>
      <c r="GT79" s="157"/>
      <c r="GU79" s="157"/>
      <c r="GV79" s="157"/>
      <c r="GW79" s="157"/>
      <c r="GX79" s="157"/>
      <c r="GY79" s="157"/>
      <c r="GZ79" s="157"/>
      <c r="HA79" s="157"/>
      <c r="HB79" s="157"/>
      <c r="HC79" s="157"/>
      <c r="HD79" s="157"/>
      <c r="HE79" s="157"/>
      <c r="HF79" s="157"/>
      <c r="HG79" s="157"/>
      <c r="HH79" s="157"/>
      <c r="HI79" s="157"/>
      <c r="HJ79" s="157"/>
      <c r="HK79" s="157"/>
      <c r="HL79" s="157"/>
      <c r="HM79" s="157"/>
      <c r="HN79" s="157"/>
      <c r="HO79" s="157"/>
      <c r="HP79" s="157"/>
      <c r="HQ79" s="157"/>
      <c r="HR79" s="157"/>
      <c r="HS79" s="157"/>
      <c r="HT79" s="157"/>
      <c r="HU79" s="157"/>
      <c r="HV79" s="157"/>
      <c r="HW79" s="157"/>
      <c r="HX79" s="157"/>
      <c r="HY79" s="157"/>
      <c r="HZ79" s="157"/>
      <c r="IA79" s="157"/>
      <c r="IB79" s="157"/>
      <c r="IC79" s="157"/>
      <c r="ID79" s="157"/>
      <c r="IE79" s="157"/>
      <c r="IF79" s="157"/>
      <c r="IG79" s="157"/>
      <c r="IH79" s="157"/>
      <c r="II79" s="157"/>
      <c r="IJ79" s="157"/>
      <c r="IK79" s="157"/>
      <c r="IL79" s="157"/>
      <c r="IM79" s="157"/>
      <c r="IN79" s="157"/>
      <c r="IO79" s="157"/>
      <c r="IP79" s="157"/>
      <c r="IQ79" s="157"/>
      <c r="IR79" s="157"/>
      <c r="IS79" s="157"/>
      <c r="IT79" s="157"/>
      <c r="IU79" s="157"/>
      <c r="IV79" s="157"/>
      <c r="IW79" s="157"/>
      <c r="IX79" s="157"/>
      <c r="IY79" s="157"/>
      <c r="IZ79" s="157"/>
      <c r="JA79" s="157"/>
      <c r="JB79" s="157"/>
      <c r="JC79" s="157"/>
      <c r="JD79" s="157"/>
      <c r="JE79" s="157"/>
      <c r="JF79" s="157"/>
      <c r="JG79" s="157"/>
      <c r="JH79" s="157"/>
      <c r="JI79" s="157"/>
      <c r="JJ79" s="157"/>
      <c r="JK79" s="157"/>
      <c r="JL79" s="157"/>
      <c r="JM79" s="157"/>
      <c r="JN79" s="157"/>
      <c r="JO79" s="157"/>
      <c r="JP79" s="157"/>
      <c r="JQ79" s="157"/>
      <c r="JR79" s="157"/>
      <c r="JS79" s="157"/>
      <c r="JT79" s="157"/>
      <c r="JU79" s="157"/>
      <c r="JV79" s="157"/>
      <c r="JW79" s="157"/>
      <c r="JX79" s="157"/>
      <c r="JY79" s="157"/>
      <c r="JZ79" s="157"/>
      <c r="KA79" s="157"/>
      <c r="KB79" s="157"/>
      <c r="KC79" s="157"/>
      <c r="KD79" s="157"/>
      <c r="KE79" s="157"/>
      <c r="KF79" s="157"/>
      <c r="KG79" s="157"/>
      <c r="KH79" s="157"/>
      <c r="KI79" s="157"/>
      <c r="KJ79" s="157"/>
      <c r="KK79" s="157"/>
    </row>
    <row r="80" spans="1:297" ht="17" thickBot="1" x14ac:dyDescent="0.25">
      <c r="A80" s="435"/>
      <c r="B80" s="181" t="s">
        <v>87</v>
      </c>
      <c r="C80" s="183" t="s">
        <v>159</v>
      </c>
      <c r="D80" s="185" t="s">
        <v>144</v>
      </c>
      <c r="E80" s="185"/>
      <c r="F80" s="358">
        <v>0.25</v>
      </c>
      <c r="G80" s="359">
        <v>0.25</v>
      </c>
      <c r="H80" s="358">
        <v>0.25</v>
      </c>
      <c r="I80" s="359">
        <v>0.25</v>
      </c>
      <c r="J80" s="358">
        <v>0.25</v>
      </c>
      <c r="K80" s="359">
        <v>0.25</v>
      </c>
      <c r="L80" s="358">
        <v>0.25</v>
      </c>
      <c r="M80" s="360">
        <v>0.25</v>
      </c>
      <c r="N80" s="164" t="s">
        <v>118</v>
      </c>
      <c r="O80" s="154" t="s">
        <v>14</v>
      </c>
      <c r="P80" s="197" t="s">
        <v>101</v>
      </c>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c r="CZ80" s="157"/>
      <c r="DA80" s="157"/>
      <c r="DB80" s="157"/>
      <c r="DC80" s="157"/>
      <c r="DD80" s="157"/>
      <c r="DE80" s="157"/>
      <c r="DF80" s="157"/>
      <c r="DG80" s="157"/>
      <c r="DH80" s="157"/>
      <c r="DI80" s="157"/>
      <c r="DJ80" s="157"/>
      <c r="DK80" s="157"/>
      <c r="DL80" s="157"/>
      <c r="DM80" s="157"/>
      <c r="DN80" s="157"/>
      <c r="DO80" s="157"/>
      <c r="DP80" s="157"/>
      <c r="DQ80" s="157"/>
      <c r="DR80" s="157"/>
      <c r="DS80" s="157"/>
      <c r="DT80" s="157"/>
      <c r="DU80" s="157"/>
      <c r="DV80" s="157"/>
      <c r="DW80" s="157"/>
      <c r="DX80" s="157"/>
      <c r="DY80" s="157"/>
      <c r="DZ80" s="157"/>
      <c r="EA80" s="157"/>
      <c r="EB80" s="157"/>
      <c r="EC80" s="157"/>
      <c r="ED80" s="157"/>
      <c r="EE80" s="157"/>
      <c r="EF80" s="157"/>
      <c r="EG80" s="157"/>
      <c r="EH80" s="157"/>
      <c r="EI80" s="157"/>
      <c r="EJ80" s="157"/>
      <c r="EK80" s="157"/>
      <c r="EL80" s="157"/>
      <c r="EM80" s="157"/>
      <c r="EN80" s="157"/>
      <c r="EO80" s="157"/>
      <c r="EP80" s="157"/>
      <c r="EQ80" s="157"/>
      <c r="ER80" s="157"/>
      <c r="ES80" s="157"/>
      <c r="ET80" s="157"/>
      <c r="EU80" s="157"/>
      <c r="EV80" s="157"/>
      <c r="EW80" s="157"/>
      <c r="EX80" s="157"/>
      <c r="EY80" s="157"/>
      <c r="EZ80" s="157"/>
      <c r="FA80" s="157"/>
      <c r="FB80" s="157"/>
      <c r="FC80" s="157"/>
      <c r="FD80" s="157"/>
      <c r="FE80" s="157"/>
      <c r="FF80" s="157"/>
      <c r="FG80" s="157"/>
      <c r="FH80" s="157"/>
      <c r="FI80" s="157"/>
      <c r="FJ80" s="157"/>
      <c r="FK80" s="157"/>
      <c r="FL80" s="157"/>
      <c r="FM80" s="157"/>
      <c r="FN80" s="157"/>
      <c r="FO80" s="157"/>
      <c r="FP80" s="157"/>
      <c r="FQ80" s="157"/>
      <c r="FR80" s="157"/>
      <c r="FS80" s="157"/>
      <c r="FT80" s="157"/>
      <c r="FU80" s="157"/>
      <c r="FV80" s="157"/>
      <c r="FW80" s="157"/>
      <c r="FX80" s="157"/>
      <c r="FY80" s="157"/>
      <c r="FZ80" s="157"/>
      <c r="GA80" s="157"/>
      <c r="GB80" s="157"/>
      <c r="GC80" s="157"/>
      <c r="GD80" s="157"/>
      <c r="GE80" s="157"/>
      <c r="GF80" s="157"/>
      <c r="GG80" s="157"/>
      <c r="GH80" s="157"/>
      <c r="GI80" s="157"/>
      <c r="GJ80" s="157"/>
      <c r="GK80" s="157"/>
      <c r="GL80" s="157"/>
      <c r="GM80" s="157"/>
      <c r="GN80" s="157"/>
      <c r="GO80" s="157"/>
      <c r="GP80" s="157"/>
      <c r="GQ80" s="157"/>
      <c r="GR80" s="157"/>
      <c r="GS80" s="157"/>
      <c r="GT80" s="157"/>
      <c r="GU80" s="157"/>
      <c r="GV80" s="157"/>
      <c r="GW80" s="157"/>
      <c r="GX80" s="157"/>
      <c r="GY80" s="157"/>
      <c r="GZ80" s="157"/>
      <c r="HA80" s="157"/>
      <c r="HB80" s="157"/>
      <c r="HC80" s="157"/>
      <c r="HD80" s="157"/>
      <c r="HE80" s="157"/>
      <c r="HF80" s="157"/>
      <c r="HG80" s="157"/>
      <c r="HH80" s="157"/>
      <c r="HI80" s="157"/>
      <c r="HJ80" s="157"/>
      <c r="HK80" s="157"/>
      <c r="HL80" s="157"/>
      <c r="HM80" s="157"/>
      <c r="HN80" s="157"/>
      <c r="HO80" s="157"/>
      <c r="HP80" s="157"/>
      <c r="HQ80" s="157"/>
      <c r="HR80" s="157"/>
      <c r="HS80" s="157"/>
      <c r="HT80" s="157"/>
      <c r="HU80" s="157"/>
      <c r="HV80" s="157"/>
      <c r="HW80" s="157"/>
      <c r="HX80" s="157"/>
      <c r="HY80" s="157"/>
      <c r="HZ80" s="157"/>
      <c r="IA80" s="157"/>
      <c r="IB80" s="157"/>
      <c r="IC80" s="157"/>
      <c r="ID80" s="157"/>
      <c r="IE80" s="157"/>
      <c r="IF80" s="157"/>
      <c r="IG80" s="157"/>
      <c r="IH80" s="157"/>
      <c r="II80" s="157"/>
      <c r="IJ80" s="157"/>
      <c r="IK80" s="157"/>
      <c r="IL80" s="157"/>
      <c r="IM80" s="157"/>
      <c r="IN80" s="157"/>
      <c r="IO80" s="157"/>
      <c r="IP80" s="157"/>
      <c r="IQ80" s="157"/>
      <c r="IR80" s="157"/>
      <c r="IS80" s="157"/>
      <c r="IT80" s="157"/>
      <c r="IU80" s="157"/>
      <c r="IV80" s="157"/>
      <c r="IW80" s="157"/>
      <c r="IX80" s="157"/>
      <c r="IY80" s="157"/>
      <c r="IZ80" s="157"/>
      <c r="JA80" s="157"/>
      <c r="JB80" s="157"/>
      <c r="JC80" s="157"/>
      <c r="JD80" s="157"/>
      <c r="JE80" s="157"/>
      <c r="JF80" s="157"/>
      <c r="JG80" s="157"/>
      <c r="JH80" s="157"/>
      <c r="JI80" s="157"/>
      <c r="JJ80" s="157"/>
      <c r="JK80" s="157"/>
      <c r="JL80" s="157"/>
      <c r="JM80" s="157"/>
      <c r="JN80" s="157"/>
      <c r="JO80" s="157"/>
      <c r="JP80" s="157"/>
      <c r="JQ80" s="157"/>
      <c r="JR80" s="157"/>
      <c r="JS80" s="157"/>
      <c r="JT80" s="157"/>
      <c r="JU80" s="157"/>
      <c r="JV80" s="157"/>
      <c r="JW80" s="157"/>
      <c r="JX80" s="157"/>
      <c r="JY80" s="157"/>
      <c r="JZ80" s="157"/>
      <c r="KA80" s="157"/>
      <c r="KB80" s="157"/>
      <c r="KC80" s="157"/>
      <c r="KD80" s="157"/>
      <c r="KE80" s="157"/>
      <c r="KF80" s="157"/>
      <c r="KG80" s="157"/>
      <c r="KH80" s="157"/>
      <c r="KI80" s="157"/>
      <c r="KJ80" s="157"/>
      <c r="KK80" s="157"/>
    </row>
    <row r="81" spans="1:297" ht="17" thickBot="1" x14ac:dyDescent="0.25">
      <c r="A81" s="435"/>
      <c r="B81" s="181" t="s">
        <v>88</v>
      </c>
      <c r="C81" s="181"/>
      <c r="D81" s="185" t="s">
        <v>144</v>
      </c>
      <c r="E81" s="185"/>
      <c r="F81" s="358">
        <v>9.5129375951293754E-13</v>
      </c>
      <c r="G81" s="359">
        <v>9.5129375951293754E-13</v>
      </c>
      <c r="H81" s="358">
        <v>9.5129375951293754E-13</v>
      </c>
      <c r="I81" s="359">
        <v>9.5129375951293754E-13</v>
      </c>
      <c r="J81" s="358">
        <v>9.5129375951293754E-13</v>
      </c>
      <c r="K81" s="359">
        <v>9.5129375951293754E-13</v>
      </c>
      <c r="L81" s="358">
        <v>9.5129375951293754E-13</v>
      </c>
      <c r="M81" s="360">
        <v>9.5129375951293754E-13</v>
      </c>
      <c r="N81" s="164" t="s">
        <v>121</v>
      </c>
      <c r="O81" s="154" t="s">
        <v>108</v>
      </c>
      <c r="P81" s="197" t="s">
        <v>101</v>
      </c>
      <c r="Q81" s="155" t="s">
        <v>160</v>
      </c>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c r="CZ81" s="157"/>
      <c r="DA81" s="157"/>
      <c r="DB81" s="157"/>
      <c r="DC81" s="157"/>
      <c r="DD81" s="157"/>
      <c r="DE81" s="157"/>
      <c r="DF81" s="157"/>
      <c r="DG81" s="157"/>
      <c r="DH81" s="157"/>
      <c r="DI81" s="157"/>
      <c r="DJ81" s="157"/>
      <c r="DK81" s="157"/>
      <c r="DL81" s="157"/>
      <c r="DM81" s="157"/>
      <c r="DN81" s="157"/>
      <c r="DO81" s="157"/>
      <c r="DP81" s="157"/>
      <c r="DQ81" s="157"/>
      <c r="DR81" s="157"/>
      <c r="DS81" s="157"/>
      <c r="DT81" s="157"/>
      <c r="DU81" s="157"/>
      <c r="DV81" s="157"/>
      <c r="DW81" s="157"/>
      <c r="DX81" s="157"/>
      <c r="DY81" s="157"/>
      <c r="DZ81" s="157"/>
      <c r="EA81" s="157"/>
      <c r="EB81" s="157"/>
      <c r="EC81" s="157"/>
      <c r="ED81" s="157"/>
      <c r="EE81" s="157"/>
      <c r="EF81" s="157"/>
      <c r="EG81" s="157"/>
      <c r="EH81" s="157"/>
      <c r="EI81" s="157"/>
      <c r="EJ81" s="157"/>
      <c r="EK81" s="157"/>
      <c r="EL81" s="157"/>
      <c r="EM81" s="157"/>
      <c r="EN81" s="157"/>
      <c r="EO81" s="157"/>
      <c r="EP81" s="157"/>
      <c r="EQ81" s="157"/>
      <c r="ER81" s="157"/>
      <c r="ES81" s="157"/>
      <c r="ET81" s="157"/>
      <c r="EU81" s="157"/>
      <c r="EV81" s="157"/>
      <c r="EW81" s="157"/>
      <c r="EX81" s="157"/>
      <c r="EY81" s="157"/>
      <c r="EZ81" s="157"/>
      <c r="FA81" s="157"/>
      <c r="FB81" s="157"/>
      <c r="FC81" s="157"/>
      <c r="FD81" s="157"/>
      <c r="FE81" s="157"/>
      <c r="FF81" s="157"/>
      <c r="FG81" s="157"/>
      <c r="FH81" s="157"/>
      <c r="FI81" s="157"/>
      <c r="FJ81" s="157"/>
      <c r="FK81" s="157"/>
      <c r="FL81" s="157"/>
      <c r="FM81" s="157"/>
      <c r="FN81" s="157"/>
      <c r="FO81" s="157"/>
      <c r="FP81" s="157"/>
      <c r="FQ81" s="157"/>
      <c r="FR81" s="157"/>
      <c r="FS81" s="157"/>
      <c r="FT81" s="157"/>
      <c r="FU81" s="157"/>
      <c r="FV81" s="157"/>
      <c r="FW81" s="157"/>
      <c r="FX81" s="157"/>
      <c r="FY81" s="157"/>
      <c r="FZ81" s="157"/>
      <c r="GA81" s="157"/>
      <c r="GB81" s="157"/>
      <c r="GC81" s="157"/>
      <c r="GD81" s="157"/>
      <c r="GE81" s="157"/>
      <c r="GF81" s="157"/>
      <c r="GG81" s="157"/>
      <c r="GH81" s="157"/>
      <c r="GI81" s="157"/>
      <c r="GJ81" s="157"/>
      <c r="GK81" s="157"/>
      <c r="GL81" s="157"/>
      <c r="GM81" s="157"/>
      <c r="GN81" s="157"/>
      <c r="GO81" s="157"/>
      <c r="GP81" s="157"/>
      <c r="GQ81" s="157"/>
      <c r="GR81" s="157"/>
      <c r="GS81" s="157"/>
      <c r="GT81" s="157"/>
      <c r="GU81" s="157"/>
      <c r="GV81" s="157"/>
      <c r="GW81" s="157"/>
      <c r="GX81" s="157"/>
      <c r="GY81" s="157"/>
      <c r="GZ81" s="157"/>
      <c r="HA81" s="157"/>
      <c r="HB81" s="157"/>
      <c r="HC81" s="157"/>
      <c r="HD81" s="157"/>
      <c r="HE81" s="157"/>
      <c r="HF81" s="157"/>
      <c r="HG81" s="157"/>
      <c r="HH81" s="157"/>
      <c r="HI81" s="157"/>
      <c r="HJ81" s="157"/>
      <c r="HK81" s="157"/>
      <c r="HL81" s="157"/>
      <c r="HM81" s="157"/>
      <c r="HN81" s="157"/>
      <c r="HO81" s="157"/>
      <c r="HP81" s="157"/>
      <c r="HQ81" s="157"/>
      <c r="HR81" s="157"/>
      <c r="HS81" s="157"/>
      <c r="HT81" s="157"/>
      <c r="HU81" s="157"/>
      <c r="HV81" s="157"/>
      <c r="HW81" s="157"/>
      <c r="HX81" s="157"/>
      <c r="HY81" s="157"/>
      <c r="HZ81" s="157"/>
      <c r="IA81" s="157"/>
      <c r="IB81" s="157"/>
      <c r="IC81" s="157"/>
      <c r="ID81" s="157"/>
      <c r="IE81" s="157"/>
      <c r="IF81" s="157"/>
      <c r="IG81" s="157"/>
      <c r="IH81" s="157"/>
      <c r="II81" s="157"/>
      <c r="IJ81" s="157"/>
      <c r="IK81" s="157"/>
      <c r="IL81" s="157"/>
      <c r="IM81" s="157"/>
      <c r="IN81" s="157"/>
      <c r="IO81" s="157"/>
      <c r="IP81" s="157"/>
      <c r="IQ81" s="157"/>
      <c r="IR81" s="157"/>
      <c r="IS81" s="157"/>
      <c r="IT81" s="157"/>
      <c r="IU81" s="157"/>
      <c r="IV81" s="157"/>
      <c r="IW81" s="157"/>
      <c r="IX81" s="157"/>
      <c r="IY81" s="157"/>
      <c r="IZ81" s="157"/>
      <c r="JA81" s="157"/>
      <c r="JB81" s="157"/>
      <c r="JC81" s="157"/>
      <c r="JD81" s="157"/>
      <c r="JE81" s="157"/>
      <c r="JF81" s="157"/>
      <c r="JG81" s="157"/>
      <c r="JH81" s="157"/>
      <c r="JI81" s="157"/>
      <c r="JJ81" s="157"/>
      <c r="JK81" s="157"/>
      <c r="JL81" s="157"/>
      <c r="JM81" s="157"/>
      <c r="JN81" s="157"/>
      <c r="JO81" s="157"/>
      <c r="JP81" s="157"/>
      <c r="JQ81" s="157"/>
      <c r="JR81" s="157"/>
      <c r="JS81" s="157"/>
      <c r="JT81" s="157"/>
      <c r="JU81" s="157"/>
      <c r="JV81" s="157"/>
      <c r="JW81" s="157"/>
      <c r="JX81" s="157"/>
      <c r="JY81" s="157"/>
      <c r="JZ81" s="157"/>
      <c r="KA81" s="157"/>
      <c r="KB81" s="157"/>
      <c r="KC81" s="157"/>
      <c r="KD81" s="157"/>
      <c r="KE81" s="157"/>
      <c r="KF81" s="157"/>
      <c r="KG81" s="157"/>
      <c r="KH81" s="157"/>
      <c r="KI81" s="157"/>
      <c r="KJ81" s="157"/>
      <c r="KK81" s="157"/>
    </row>
    <row r="82" spans="1:297" ht="17" thickBot="1" x14ac:dyDescent="0.25">
      <c r="A82" s="435"/>
      <c r="B82" s="190" t="s">
        <v>89</v>
      </c>
      <c r="C82" s="190"/>
      <c r="D82" s="185" t="s">
        <v>144</v>
      </c>
      <c r="E82" s="191"/>
      <c r="F82" s="372">
        <v>2722000000000</v>
      </c>
      <c r="G82" s="373">
        <v>2722000000000</v>
      </c>
      <c r="H82" s="372">
        <v>2722000000000</v>
      </c>
      <c r="I82" s="373">
        <v>2722000000000</v>
      </c>
      <c r="J82" s="372">
        <v>2722000000000</v>
      </c>
      <c r="K82" s="373">
        <v>2722000000000</v>
      </c>
      <c r="L82" s="372">
        <v>2722000000000</v>
      </c>
      <c r="M82" s="374">
        <v>2722000000000</v>
      </c>
      <c r="N82" s="195" t="s">
        <v>122</v>
      </c>
      <c r="O82" s="196" t="s">
        <v>123</v>
      </c>
      <c r="P82" s="197" t="s">
        <v>101</v>
      </c>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c r="CZ82" s="157"/>
      <c r="DA82" s="157"/>
      <c r="DB82" s="157"/>
      <c r="DC82" s="157"/>
      <c r="DD82" s="157"/>
      <c r="DE82" s="157"/>
      <c r="DF82" s="157"/>
      <c r="DG82" s="157"/>
      <c r="DH82" s="157"/>
      <c r="DI82" s="157"/>
      <c r="DJ82" s="157"/>
      <c r="DK82" s="157"/>
      <c r="DL82" s="157"/>
      <c r="DM82" s="157"/>
      <c r="DN82" s="157"/>
      <c r="DO82" s="157"/>
      <c r="DP82" s="157"/>
      <c r="DQ82" s="157"/>
      <c r="DR82" s="157"/>
      <c r="DS82" s="157"/>
      <c r="DT82" s="157"/>
      <c r="DU82" s="157"/>
      <c r="DV82" s="157"/>
      <c r="DW82" s="157"/>
      <c r="DX82" s="157"/>
      <c r="DY82" s="157"/>
      <c r="DZ82" s="157"/>
      <c r="EA82" s="157"/>
      <c r="EB82" s="157"/>
      <c r="EC82" s="157"/>
      <c r="ED82" s="157"/>
      <c r="EE82" s="157"/>
      <c r="EF82" s="157"/>
      <c r="EG82" s="157"/>
      <c r="EH82" s="157"/>
      <c r="EI82" s="157"/>
      <c r="EJ82" s="157"/>
      <c r="EK82" s="157"/>
      <c r="EL82" s="157"/>
      <c r="EM82" s="157"/>
      <c r="EN82" s="157"/>
      <c r="EO82" s="157"/>
      <c r="EP82" s="157"/>
      <c r="EQ82" s="157"/>
      <c r="ER82" s="157"/>
      <c r="ES82" s="157"/>
      <c r="ET82" s="157"/>
      <c r="EU82" s="157"/>
      <c r="EV82" s="157"/>
      <c r="EW82" s="157"/>
      <c r="EX82" s="157"/>
      <c r="EY82" s="157"/>
      <c r="EZ82" s="157"/>
      <c r="FA82" s="157"/>
      <c r="FB82" s="157"/>
      <c r="FC82" s="157"/>
      <c r="FD82" s="157"/>
      <c r="FE82" s="157"/>
      <c r="FF82" s="157"/>
      <c r="FG82" s="157"/>
      <c r="FH82" s="157"/>
      <c r="FI82" s="157"/>
      <c r="FJ82" s="157"/>
      <c r="FK82" s="157"/>
      <c r="FL82" s="157"/>
      <c r="FM82" s="157"/>
      <c r="FN82" s="157"/>
      <c r="FO82" s="157"/>
      <c r="FP82" s="157"/>
      <c r="FQ82" s="157"/>
      <c r="FR82" s="157"/>
      <c r="FS82" s="157"/>
      <c r="FT82" s="157"/>
      <c r="FU82" s="157"/>
      <c r="FV82" s="157"/>
      <c r="FW82" s="157"/>
      <c r="FX82" s="157"/>
      <c r="FY82" s="157"/>
      <c r="FZ82" s="157"/>
      <c r="GA82" s="157"/>
      <c r="GB82" s="157"/>
      <c r="GC82" s="157"/>
      <c r="GD82" s="157"/>
      <c r="GE82" s="157"/>
      <c r="GF82" s="157"/>
      <c r="GG82" s="157"/>
      <c r="GH82" s="157"/>
      <c r="GI82" s="157"/>
      <c r="GJ82" s="157"/>
      <c r="GK82" s="157"/>
      <c r="GL82" s="157"/>
      <c r="GM82" s="157"/>
      <c r="GN82" s="157"/>
      <c r="GO82" s="157"/>
      <c r="GP82" s="157"/>
      <c r="GQ82" s="157"/>
      <c r="GR82" s="157"/>
      <c r="GS82" s="157"/>
      <c r="GT82" s="157"/>
      <c r="GU82" s="157"/>
      <c r="GV82" s="157"/>
      <c r="GW82" s="157"/>
      <c r="GX82" s="157"/>
      <c r="GY82" s="157"/>
      <c r="GZ82" s="157"/>
      <c r="HA82" s="157"/>
      <c r="HB82" s="157"/>
      <c r="HC82" s="157"/>
      <c r="HD82" s="157"/>
      <c r="HE82" s="157"/>
      <c r="HF82" s="157"/>
      <c r="HG82" s="157"/>
      <c r="HH82" s="157"/>
      <c r="HI82" s="157"/>
      <c r="HJ82" s="157"/>
      <c r="HK82" s="157"/>
      <c r="HL82" s="157"/>
      <c r="HM82" s="157"/>
      <c r="HN82" s="157"/>
      <c r="HO82" s="157"/>
      <c r="HP82" s="157"/>
      <c r="HQ82" s="157"/>
      <c r="HR82" s="157"/>
      <c r="HS82" s="157"/>
      <c r="HT82" s="157"/>
      <c r="HU82" s="157"/>
      <c r="HV82" s="157"/>
      <c r="HW82" s="157"/>
      <c r="HX82" s="157"/>
      <c r="HY82" s="157"/>
      <c r="HZ82" s="157"/>
      <c r="IA82" s="157"/>
      <c r="IB82" s="157"/>
      <c r="IC82" s="157"/>
      <c r="ID82" s="157"/>
      <c r="IE82" s="157"/>
      <c r="IF82" s="157"/>
      <c r="IG82" s="157"/>
      <c r="IH82" s="157"/>
      <c r="II82" s="157"/>
      <c r="IJ82" s="157"/>
      <c r="IK82" s="157"/>
      <c r="IL82" s="157"/>
      <c r="IM82" s="157"/>
      <c r="IN82" s="157"/>
      <c r="IO82" s="157"/>
      <c r="IP82" s="157"/>
      <c r="IQ82" s="157"/>
      <c r="IR82" s="157"/>
      <c r="IS82" s="157"/>
      <c r="IT82" s="157"/>
      <c r="IU82" s="157"/>
      <c r="IV82" s="157"/>
      <c r="IW82" s="157"/>
      <c r="IX82" s="157"/>
      <c r="IY82" s="157"/>
      <c r="IZ82" s="157"/>
      <c r="JA82" s="157"/>
      <c r="JB82" s="157"/>
      <c r="JC82" s="157"/>
      <c r="JD82" s="157"/>
      <c r="JE82" s="157"/>
      <c r="JF82" s="157"/>
      <c r="JG82" s="157"/>
      <c r="JH82" s="157"/>
      <c r="JI82" s="157"/>
      <c r="JJ82" s="157"/>
      <c r="JK82" s="157"/>
      <c r="JL82" s="157"/>
      <c r="JM82" s="157"/>
      <c r="JN82" s="157"/>
      <c r="JO82" s="157"/>
      <c r="JP82" s="157"/>
      <c r="JQ82" s="157"/>
      <c r="JR82" s="157"/>
      <c r="JS82" s="157"/>
      <c r="JT82" s="157"/>
      <c r="JU82" s="157"/>
      <c r="JV82" s="157"/>
      <c r="JW82" s="157"/>
      <c r="JX82" s="157"/>
      <c r="JY82" s="157"/>
      <c r="JZ82" s="157"/>
      <c r="KA82" s="157"/>
      <c r="KB82" s="157"/>
      <c r="KC82" s="157"/>
      <c r="KD82" s="157"/>
      <c r="KE82" s="157"/>
      <c r="KF82" s="157"/>
      <c r="KG82" s="157"/>
      <c r="KH82" s="157"/>
      <c r="KI82" s="157"/>
      <c r="KJ82" s="157"/>
      <c r="KK82" s="157"/>
    </row>
    <row r="83" spans="1:297" ht="16" thickBot="1" x14ac:dyDescent="0.25">
      <c r="A83" s="435"/>
      <c r="B83" s="341" t="s">
        <v>202</v>
      </c>
      <c r="C83" s="341" t="s">
        <v>202</v>
      </c>
      <c r="D83" s="154"/>
      <c r="E83" s="154"/>
      <c r="F83" s="375">
        <v>0.92500000000000004</v>
      </c>
      <c r="G83" s="375">
        <v>0.70109999999999995</v>
      </c>
      <c r="H83" s="375">
        <v>0.89780000000000004</v>
      </c>
      <c r="I83" s="375">
        <v>0.7732</v>
      </c>
      <c r="J83" s="375">
        <v>0.87749999999999995</v>
      </c>
      <c r="K83" s="375">
        <v>0.71199999999999997</v>
      </c>
      <c r="L83" s="375">
        <v>0.94299999999999995</v>
      </c>
      <c r="M83" s="375">
        <v>0.91080000000000005</v>
      </c>
      <c r="N83" s="342"/>
      <c r="O83" s="343"/>
      <c r="P83" s="197" t="s">
        <v>207</v>
      </c>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c r="CZ83" s="157"/>
      <c r="DA83" s="157"/>
      <c r="DB83" s="157"/>
      <c r="DC83" s="157"/>
      <c r="DD83" s="157"/>
      <c r="DE83" s="157"/>
      <c r="DF83" s="157"/>
      <c r="DG83" s="157"/>
      <c r="DH83" s="157"/>
      <c r="DI83" s="157"/>
      <c r="DJ83" s="157"/>
      <c r="DK83" s="157"/>
      <c r="DL83" s="157"/>
      <c r="DM83" s="157"/>
      <c r="DN83" s="157"/>
      <c r="DO83" s="157"/>
      <c r="DP83" s="157"/>
      <c r="DQ83" s="157"/>
      <c r="DR83" s="157"/>
      <c r="DS83" s="157"/>
      <c r="DT83" s="157"/>
      <c r="DU83" s="157"/>
      <c r="DV83" s="157"/>
      <c r="DW83" s="157"/>
      <c r="DX83" s="157"/>
      <c r="DY83" s="157"/>
      <c r="DZ83" s="157"/>
      <c r="EA83" s="157"/>
      <c r="EB83" s="157"/>
      <c r="EC83" s="157"/>
      <c r="ED83" s="157"/>
      <c r="EE83" s="157"/>
      <c r="EF83" s="157"/>
      <c r="EG83" s="157"/>
      <c r="EH83" s="157"/>
      <c r="EI83" s="157"/>
      <c r="EJ83" s="157"/>
      <c r="EK83" s="157"/>
      <c r="EL83" s="157"/>
      <c r="EM83" s="157"/>
      <c r="EN83" s="157"/>
      <c r="EO83" s="157"/>
      <c r="EP83" s="157"/>
      <c r="EQ83" s="157"/>
      <c r="ER83" s="157"/>
      <c r="ES83" s="157"/>
      <c r="ET83" s="157"/>
      <c r="EU83" s="157"/>
      <c r="EV83" s="157"/>
      <c r="EW83" s="157"/>
      <c r="EX83" s="157"/>
      <c r="EY83" s="157"/>
      <c r="EZ83" s="157"/>
      <c r="FA83" s="157"/>
      <c r="FB83" s="157"/>
      <c r="FC83" s="157"/>
      <c r="FD83" s="157"/>
      <c r="FE83" s="157"/>
      <c r="FF83" s="157"/>
      <c r="FG83" s="157"/>
      <c r="FH83" s="157"/>
      <c r="FI83" s="157"/>
      <c r="FJ83" s="157"/>
      <c r="FK83" s="157"/>
      <c r="FL83" s="157"/>
      <c r="FM83" s="157"/>
      <c r="FN83" s="157"/>
      <c r="FO83" s="157"/>
      <c r="FP83" s="157"/>
      <c r="FQ83" s="157"/>
      <c r="FR83" s="157"/>
      <c r="FS83" s="157"/>
      <c r="FT83" s="157"/>
      <c r="FU83" s="157"/>
      <c r="FV83" s="157"/>
      <c r="FW83" s="157"/>
      <c r="FX83" s="157"/>
      <c r="FY83" s="157"/>
      <c r="FZ83" s="157"/>
      <c r="GA83" s="157"/>
      <c r="GB83" s="157"/>
      <c r="GC83" s="157"/>
      <c r="GD83" s="157"/>
      <c r="GE83" s="157"/>
      <c r="GF83" s="157"/>
      <c r="GG83" s="157"/>
      <c r="GH83" s="157"/>
      <c r="GI83" s="157"/>
      <c r="GJ83" s="157"/>
      <c r="GK83" s="157"/>
      <c r="GL83" s="157"/>
      <c r="GM83" s="157"/>
      <c r="GN83" s="157"/>
      <c r="GO83" s="157"/>
      <c r="GP83" s="157"/>
      <c r="GQ83" s="157"/>
      <c r="GR83" s="157"/>
      <c r="GS83" s="157"/>
      <c r="GT83" s="157"/>
      <c r="GU83" s="157"/>
      <c r="GV83" s="157"/>
      <c r="GW83" s="157"/>
      <c r="GX83" s="157"/>
      <c r="GY83" s="157"/>
      <c r="GZ83" s="157"/>
      <c r="HA83" s="157"/>
      <c r="HB83" s="157"/>
      <c r="HC83" s="157"/>
      <c r="HD83" s="157"/>
      <c r="HE83" s="157"/>
      <c r="HF83" s="157"/>
      <c r="HG83" s="157"/>
      <c r="HH83" s="157"/>
      <c r="HI83" s="157"/>
      <c r="HJ83" s="157"/>
      <c r="HK83" s="157"/>
      <c r="HL83" s="157"/>
      <c r="HM83" s="157"/>
      <c r="HN83" s="157"/>
      <c r="HO83" s="157"/>
      <c r="HP83" s="157"/>
      <c r="HQ83" s="157"/>
      <c r="HR83" s="157"/>
      <c r="HS83" s="157"/>
      <c r="HT83" s="157"/>
      <c r="HU83" s="157"/>
      <c r="HV83" s="157"/>
      <c r="HW83" s="157"/>
      <c r="HX83" s="157"/>
      <c r="HY83" s="157"/>
      <c r="HZ83" s="157"/>
      <c r="IA83" s="157"/>
      <c r="IB83" s="157"/>
      <c r="IC83" s="157"/>
      <c r="ID83" s="157"/>
      <c r="IE83" s="157"/>
      <c r="IF83" s="157"/>
      <c r="IG83" s="157"/>
      <c r="IH83" s="157"/>
      <c r="II83" s="157"/>
      <c r="IJ83" s="157"/>
      <c r="IK83" s="157"/>
      <c r="IL83" s="157"/>
      <c r="IM83" s="157"/>
      <c r="IN83" s="157"/>
      <c r="IO83" s="157"/>
      <c r="IP83" s="157"/>
      <c r="IQ83" s="157"/>
      <c r="IR83" s="157"/>
      <c r="IS83" s="157"/>
      <c r="IT83" s="157"/>
      <c r="IU83" s="157"/>
      <c r="IV83" s="157"/>
      <c r="IW83" s="157"/>
      <c r="IX83" s="157"/>
      <c r="IY83" s="157"/>
      <c r="IZ83" s="157"/>
      <c r="JA83" s="157"/>
      <c r="JB83" s="157"/>
      <c r="JC83" s="157"/>
      <c r="JD83" s="157"/>
      <c r="JE83" s="157"/>
      <c r="JF83" s="157"/>
      <c r="JG83" s="157"/>
      <c r="JH83" s="157"/>
      <c r="JI83" s="157"/>
      <c r="JJ83" s="157"/>
      <c r="JK83" s="157"/>
      <c r="JL83" s="157"/>
      <c r="JM83" s="157"/>
      <c r="JN83" s="157"/>
      <c r="JO83" s="157"/>
      <c r="JP83" s="157"/>
      <c r="JQ83" s="157"/>
      <c r="JR83" s="157"/>
      <c r="JS83" s="157"/>
      <c r="JT83" s="157"/>
      <c r="JU83" s="157"/>
      <c r="JV83" s="157"/>
      <c r="JW83" s="157"/>
      <c r="JX83" s="157"/>
      <c r="JY83" s="157"/>
      <c r="JZ83" s="157"/>
      <c r="KA83" s="157"/>
      <c r="KB83" s="157"/>
      <c r="KC83" s="157"/>
      <c r="KD83" s="157"/>
      <c r="KE83" s="157"/>
      <c r="KF83" s="157"/>
      <c r="KG83" s="157"/>
      <c r="KH83" s="157"/>
      <c r="KI83" s="157"/>
      <c r="KJ83" s="157"/>
      <c r="KK83" s="157"/>
    </row>
    <row r="84" spans="1:297" ht="16" thickBot="1" x14ac:dyDescent="0.25">
      <c r="A84" s="435"/>
      <c r="B84" s="341" t="s">
        <v>204</v>
      </c>
      <c r="C84" s="341" t="s">
        <v>204</v>
      </c>
      <c r="D84" s="343"/>
      <c r="E84" s="343"/>
      <c r="F84" s="375">
        <v>0.29669774233404472</v>
      </c>
      <c r="G84" s="375">
        <v>0.29669774233404472</v>
      </c>
      <c r="H84" s="375">
        <v>0.29669774233404472</v>
      </c>
      <c r="I84" s="375">
        <v>0.29669774233404472</v>
      </c>
      <c r="J84" s="375">
        <v>0.29669774233404472</v>
      </c>
      <c r="K84" s="375">
        <v>0.29669774233404472</v>
      </c>
      <c r="L84" s="375">
        <v>0.29669774233404472</v>
      </c>
      <c r="M84" s="375">
        <v>0.29669774233404472</v>
      </c>
      <c r="N84" s="342"/>
      <c r="O84" s="343"/>
      <c r="P84" s="197" t="s">
        <v>207</v>
      </c>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7"/>
      <c r="BQ84" s="157"/>
      <c r="BR84" s="157"/>
      <c r="BS84" s="157"/>
      <c r="BT84" s="157"/>
      <c r="BU84" s="157"/>
      <c r="BV84" s="157"/>
      <c r="BW84" s="157"/>
      <c r="BX84" s="157"/>
      <c r="BY84" s="157"/>
      <c r="BZ84" s="157"/>
      <c r="CA84" s="157"/>
      <c r="CB84" s="157"/>
      <c r="CC84" s="157"/>
      <c r="CD84" s="157"/>
      <c r="CE84" s="157"/>
      <c r="CF84" s="157"/>
      <c r="CG84" s="157"/>
      <c r="CH84" s="157"/>
      <c r="CI84" s="157"/>
      <c r="CJ84" s="157"/>
      <c r="CK84" s="157"/>
      <c r="CL84" s="157"/>
      <c r="CM84" s="157"/>
      <c r="CN84" s="157"/>
      <c r="CO84" s="157"/>
      <c r="CP84" s="157"/>
      <c r="CQ84" s="157"/>
      <c r="CR84" s="157"/>
      <c r="CS84" s="157"/>
      <c r="CT84" s="157"/>
      <c r="CU84" s="157"/>
      <c r="CV84" s="157"/>
      <c r="CW84" s="157"/>
      <c r="CX84" s="157"/>
      <c r="CY84" s="157"/>
      <c r="CZ84" s="157"/>
      <c r="DA84" s="157"/>
      <c r="DB84" s="157"/>
      <c r="DC84" s="157"/>
      <c r="DD84" s="157"/>
      <c r="DE84" s="157"/>
      <c r="DF84" s="157"/>
      <c r="DG84" s="157"/>
      <c r="DH84" s="157"/>
      <c r="DI84" s="157"/>
      <c r="DJ84" s="157"/>
      <c r="DK84" s="157"/>
      <c r="DL84" s="157"/>
      <c r="DM84" s="157"/>
      <c r="DN84" s="157"/>
      <c r="DO84" s="157"/>
      <c r="DP84" s="157"/>
      <c r="DQ84" s="157"/>
      <c r="DR84" s="157"/>
      <c r="DS84" s="157"/>
      <c r="DT84" s="157"/>
      <c r="DU84" s="157"/>
      <c r="DV84" s="157"/>
      <c r="DW84" s="157"/>
      <c r="DX84" s="157"/>
      <c r="DY84" s="157"/>
      <c r="DZ84" s="157"/>
      <c r="EA84" s="157"/>
      <c r="EB84" s="157"/>
      <c r="EC84" s="157"/>
      <c r="ED84" s="157"/>
      <c r="EE84" s="157"/>
      <c r="EF84" s="157"/>
      <c r="EG84" s="157"/>
      <c r="EH84" s="157"/>
      <c r="EI84" s="157"/>
      <c r="EJ84" s="157"/>
      <c r="EK84" s="157"/>
      <c r="EL84" s="157"/>
      <c r="EM84" s="157"/>
      <c r="EN84" s="157"/>
      <c r="EO84" s="157"/>
      <c r="EP84" s="157"/>
      <c r="EQ84" s="157"/>
      <c r="ER84" s="157"/>
      <c r="ES84" s="157"/>
      <c r="ET84" s="157"/>
      <c r="EU84" s="157"/>
      <c r="EV84" s="157"/>
      <c r="EW84" s="157"/>
      <c r="EX84" s="157"/>
      <c r="EY84" s="157"/>
      <c r="EZ84" s="157"/>
      <c r="FA84" s="157"/>
      <c r="FB84" s="157"/>
      <c r="FC84" s="157"/>
      <c r="FD84" s="157"/>
      <c r="FE84" s="157"/>
      <c r="FF84" s="157"/>
      <c r="FG84" s="157"/>
      <c r="FH84" s="157"/>
      <c r="FI84" s="157"/>
      <c r="FJ84" s="157"/>
      <c r="FK84" s="157"/>
      <c r="FL84" s="157"/>
      <c r="FM84" s="157"/>
      <c r="FN84" s="157"/>
      <c r="FO84" s="157"/>
      <c r="FP84" s="157"/>
      <c r="FQ84" s="157"/>
      <c r="FR84" s="157"/>
      <c r="FS84" s="157"/>
      <c r="FT84" s="157"/>
      <c r="FU84" s="157"/>
      <c r="FV84" s="157"/>
      <c r="FW84" s="157"/>
      <c r="FX84" s="157"/>
      <c r="FY84" s="157"/>
      <c r="FZ84" s="157"/>
      <c r="GA84" s="157"/>
      <c r="GB84" s="157"/>
      <c r="GC84" s="157"/>
      <c r="GD84" s="157"/>
      <c r="GE84" s="157"/>
      <c r="GF84" s="157"/>
      <c r="GG84" s="157"/>
      <c r="GH84" s="157"/>
      <c r="GI84" s="157"/>
      <c r="GJ84" s="157"/>
      <c r="GK84" s="157"/>
      <c r="GL84" s="157"/>
      <c r="GM84" s="157"/>
      <c r="GN84" s="157"/>
      <c r="GO84" s="157"/>
      <c r="GP84" s="157"/>
      <c r="GQ84" s="157"/>
      <c r="GR84" s="157"/>
      <c r="GS84" s="157"/>
      <c r="GT84" s="157"/>
      <c r="GU84" s="157"/>
      <c r="GV84" s="157"/>
      <c r="GW84" s="157"/>
      <c r="GX84" s="157"/>
      <c r="GY84" s="157"/>
      <c r="GZ84" s="157"/>
      <c r="HA84" s="157"/>
      <c r="HB84" s="157"/>
      <c r="HC84" s="157"/>
      <c r="HD84" s="157"/>
      <c r="HE84" s="157"/>
      <c r="HF84" s="157"/>
      <c r="HG84" s="157"/>
      <c r="HH84" s="157"/>
      <c r="HI84" s="157"/>
      <c r="HJ84" s="157"/>
      <c r="HK84" s="157"/>
      <c r="HL84" s="157"/>
      <c r="HM84" s="157"/>
      <c r="HN84" s="157"/>
      <c r="HO84" s="157"/>
      <c r="HP84" s="157"/>
      <c r="HQ84" s="157"/>
      <c r="HR84" s="157"/>
      <c r="HS84" s="157"/>
      <c r="HT84" s="157"/>
      <c r="HU84" s="157"/>
      <c r="HV84" s="157"/>
      <c r="HW84" s="157"/>
      <c r="HX84" s="157"/>
      <c r="HY84" s="157"/>
      <c r="HZ84" s="157"/>
      <c r="IA84" s="157"/>
      <c r="IB84" s="157"/>
      <c r="IC84" s="157"/>
      <c r="ID84" s="157"/>
      <c r="IE84" s="157"/>
      <c r="IF84" s="157"/>
      <c r="IG84" s="157"/>
      <c r="IH84" s="157"/>
      <c r="II84" s="157"/>
      <c r="IJ84" s="157"/>
      <c r="IK84" s="157"/>
      <c r="IL84" s="157"/>
      <c r="IM84" s="157"/>
      <c r="IN84" s="157"/>
      <c r="IO84" s="157"/>
      <c r="IP84" s="157"/>
      <c r="IQ84" s="157"/>
      <c r="IR84" s="157"/>
      <c r="IS84" s="157"/>
      <c r="IT84" s="157"/>
      <c r="IU84" s="157"/>
      <c r="IV84" s="157"/>
      <c r="IW84" s="157"/>
      <c r="IX84" s="157"/>
      <c r="IY84" s="157"/>
      <c r="IZ84" s="157"/>
      <c r="JA84" s="157"/>
      <c r="JB84" s="157"/>
      <c r="JC84" s="157"/>
      <c r="JD84" s="157"/>
      <c r="JE84" s="157"/>
      <c r="JF84" s="157"/>
      <c r="JG84" s="157"/>
      <c r="JH84" s="157"/>
      <c r="JI84" s="157"/>
      <c r="JJ84" s="157"/>
      <c r="JK84" s="157"/>
      <c r="JL84" s="157"/>
      <c r="JM84" s="157"/>
      <c r="JN84" s="157"/>
      <c r="JO84" s="157"/>
      <c r="JP84" s="157"/>
      <c r="JQ84" s="157"/>
      <c r="JR84" s="157"/>
      <c r="JS84" s="157"/>
      <c r="JT84" s="157"/>
      <c r="JU84" s="157"/>
      <c r="JV84" s="157"/>
      <c r="JW84" s="157"/>
      <c r="JX84" s="157"/>
      <c r="JY84" s="157"/>
      <c r="JZ84" s="157"/>
      <c r="KA84" s="157"/>
      <c r="KB84" s="157"/>
      <c r="KC84" s="157"/>
      <c r="KD84" s="157"/>
      <c r="KE84" s="157"/>
      <c r="KF84" s="157"/>
      <c r="KG84" s="157"/>
      <c r="KH84" s="157"/>
      <c r="KI84" s="157"/>
      <c r="KJ84" s="157"/>
      <c r="KK84" s="157"/>
    </row>
    <row r="85" spans="1:297" ht="16" thickBot="1" x14ac:dyDescent="0.25">
      <c r="A85" s="435"/>
      <c r="B85" s="341" t="s">
        <v>206</v>
      </c>
      <c r="C85" s="341" t="s">
        <v>206</v>
      </c>
      <c r="D85" s="343"/>
      <c r="E85" s="343"/>
      <c r="F85" s="375">
        <v>0.96760000000000002</v>
      </c>
      <c r="G85" s="375">
        <v>0.65669999999999995</v>
      </c>
      <c r="H85" s="375">
        <v>0.91690000000000005</v>
      </c>
      <c r="I85" s="375">
        <v>0.77170000000000005</v>
      </c>
      <c r="J85" s="375">
        <v>0.92400000000000004</v>
      </c>
      <c r="K85" s="375">
        <v>0.7702</v>
      </c>
      <c r="L85" s="375">
        <v>0.97860000000000003</v>
      </c>
      <c r="M85" s="375">
        <v>0.86899999999999999</v>
      </c>
      <c r="N85" s="342"/>
      <c r="O85" s="343"/>
      <c r="P85" s="197" t="s">
        <v>207</v>
      </c>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7"/>
      <c r="BQ85" s="157"/>
      <c r="BR85" s="157"/>
      <c r="BS85" s="157"/>
      <c r="BT85" s="157"/>
      <c r="BU85" s="157"/>
      <c r="BV85" s="157"/>
      <c r="BW85" s="157"/>
      <c r="BX85" s="157"/>
      <c r="BY85" s="157"/>
      <c r="BZ85" s="157"/>
      <c r="CA85" s="157"/>
      <c r="CB85" s="157"/>
      <c r="CC85" s="157"/>
      <c r="CD85" s="157"/>
      <c r="CE85" s="157"/>
      <c r="CF85" s="157"/>
      <c r="CG85" s="157"/>
      <c r="CH85" s="157"/>
      <c r="CI85" s="157"/>
      <c r="CJ85" s="157"/>
      <c r="CK85" s="157"/>
      <c r="CL85" s="157"/>
      <c r="CM85" s="157"/>
      <c r="CN85" s="157"/>
      <c r="CO85" s="157"/>
      <c r="CP85" s="157"/>
      <c r="CQ85" s="157"/>
      <c r="CR85" s="157"/>
      <c r="CS85" s="157"/>
      <c r="CT85" s="157"/>
      <c r="CU85" s="157"/>
      <c r="CV85" s="157"/>
      <c r="CW85" s="157"/>
      <c r="CX85" s="157"/>
      <c r="CY85" s="157"/>
      <c r="CZ85" s="157"/>
      <c r="DA85" s="157"/>
      <c r="DB85" s="157"/>
      <c r="DC85" s="157"/>
      <c r="DD85" s="157"/>
      <c r="DE85" s="157"/>
      <c r="DF85" s="157"/>
      <c r="DG85" s="157"/>
      <c r="DH85" s="157"/>
      <c r="DI85" s="157"/>
      <c r="DJ85" s="157"/>
      <c r="DK85" s="157"/>
      <c r="DL85" s="157"/>
      <c r="DM85" s="157"/>
      <c r="DN85" s="157"/>
      <c r="DO85" s="157"/>
      <c r="DP85" s="157"/>
      <c r="DQ85" s="157"/>
      <c r="DR85" s="157"/>
      <c r="DS85" s="157"/>
      <c r="DT85" s="157"/>
      <c r="DU85" s="157"/>
      <c r="DV85" s="157"/>
      <c r="DW85" s="157"/>
      <c r="DX85" s="157"/>
      <c r="DY85" s="157"/>
      <c r="DZ85" s="157"/>
      <c r="EA85" s="157"/>
      <c r="EB85" s="157"/>
      <c r="EC85" s="157"/>
      <c r="ED85" s="157"/>
      <c r="EE85" s="157"/>
      <c r="EF85" s="157"/>
      <c r="EG85" s="157"/>
      <c r="EH85" s="157"/>
      <c r="EI85" s="157"/>
      <c r="EJ85" s="157"/>
      <c r="EK85" s="157"/>
      <c r="EL85" s="157"/>
      <c r="EM85" s="157"/>
      <c r="EN85" s="157"/>
      <c r="EO85" s="157"/>
      <c r="EP85" s="157"/>
      <c r="EQ85" s="157"/>
      <c r="ER85" s="157"/>
      <c r="ES85" s="157"/>
      <c r="ET85" s="157"/>
      <c r="EU85" s="157"/>
      <c r="EV85" s="157"/>
      <c r="EW85" s="157"/>
      <c r="EX85" s="157"/>
      <c r="EY85" s="157"/>
      <c r="EZ85" s="157"/>
      <c r="FA85" s="157"/>
      <c r="FB85" s="157"/>
      <c r="FC85" s="157"/>
      <c r="FD85" s="157"/>
      <c r="FE85" s="157"/>
      <c r="FF85" s="157"/>
      <c r="FG85" s="157"/>
      <c r="FH85" s="157"/>
      <c r="FI85" s="157"/>
      <c r="FJ85" s="157"/>
      <c r="FK85" s="157"/>
      <c r="FL85" s="157"/>
      <c r="FM85" s="157"/>
      <c r="FN85" s="157"/>
      <c r="FO85" s="157"/>
      <c r="FP85" s="157"/>
      <c r="FQ85" s="157"/>
      <c r="FR85" s="157"/>
      <c r="FS85" s="157"/>
      <c r="FT85" s="157"/>
      <c r="FU85" s="157"/>
      <c r="FV85" s="157"/>
      <c r="FW85" s="157"/>
      <c r="FX85" s="157"/>
      <c r="FY85" s="157"/>
      <c r="FZ85" s="157"/>
      <c r="GA85" s="157"/>
      <c r="GB85" s="157"/>
      <c r="GC85" s="157"/>
      <c r="GD85" s="157"/>
      <c r="GE85" s="157"/>
      <c r="GF85" s="157"/>
      <c r="GG85" s="157"/>
      <c r="GH85" s="157"/>
      <c r="GI85" s="157"/>
      <c r="GJ85" s="157"/>
      <c r="GK85" s="157"/>
      <c r="GL85" s="157"/>
      <c r="GM85" s="157"/>
      <c r="GN85" s="157"/>
      <c r="GO85" s="157"/>
      <c r="GP85" s="157"/>
      <c r="GQ85" s="157"/>
      <c r="GR85" s="157"/>
      <c r="GS85" s="157"/>
      <c r="GT85" s="157"/>
      <c r="GU85" s="157"/>
      <c r="GV85" s="157"/>
      <c r="GW85" s="157"/>
      <c r="GX85" s="157"/>
      <c r="GY85" s="157"/>
      <c r="GZ85" s="157"/>
      <c r="HA85" s="157"/>
      <c r="HB85" s="157"/>
      <c r="HC85" s="157"/>
      <c r="HD85" s="157"/>
      <c r="HE85" s="157"/>
      <c r="HF85" s="157"/>
      <c r="HG85" s="157"/>
      <c r="HH85" s="157"/>
      <c r="HI85" s="157"/>
      <c r="HJ85" s="157"/>
      <c r="HK85" s="157"/>
      <c r="HL85" s="157"/>
      <c r="HM85" s="157"/>
      <c r="HN85" s="157"/>
      <c r="HO85" s="157"/>
      <c r="HP85" s="157"/>
      <c r="HQ85" s="157"/>
      <c r="HR85" s="157"/>
      <c r="HS85" s="157"/>
      <c r="HT85" s="157"/>
      <c r="HU85" s="157"/>
      <c r="HV85" s="157"/>
      <c r="HW85" s="157"/>
      <c r="HX85" s="157"/>
      <c r="HY85" s="157"/>
      <c r="HZ85" s="157"/>
      <c r="IA85" s="157"/>
      <c r="IB85" s="157"/>
      <c r="IC85" s="157"/>
      <c r="ID85" s="157"/>
      <c r="IE85" s="157"/>
      <c r="IF85" s="157"/>
      <c r="IG85" s="157"/>
      <c r="IH85" s="157"/>
      <c r="II85" s="157"/>
      <c r="IJ85" s="157"/>
      <c r="IK85" s="157"/>
      <c r="IL85" s="157"/>
      <c r="IM85" s="157"/>
      <c r="IN85" s="157"/>
      <c r="IO85" s="157"/>
      <c r="IP85" s="157"/>
      <c r="IQ85" s="157"/>
      <c r="IR85" s="157"/>
      <c r="IS85" s="157"/>
      <c r="IT85" s="157"/>
      <c r="IU85" s="157"/>
      <c r="IV85" s="157"/>
      <c r="IW85" s="157"/>
      <c r="IX85" s="157"/>
      <c r="IY85" s="157"/>
      <c r="IZ85" s="157"/>
      <c r="JA85" s="157"/>
      <c r="JB85" s="157"/>
      <c r="JC85" s="157"/>
      <c r="JD85" s="157"/>
      <c r="JE85" s="157"/>
      <c r="JF85" s="157"/>
      <c r="JG85" s="157"/>
      <c r="JH85" s="157"/>
      <c r="JI85" s="157"/>
      <c r="JJ85" s="157"/>
      <c r="JK85" s="157"/>
      <c r="JL85" s="157"/>
      <c r="JM85" s="157"/>
      <c r="JN85" s="157"/>
      <c r="JO85" s="157"/>
      <c r="JP85" s="157"/>
      <c r="JQ85" s="157"/>
      <c r="JR85" s="157"/>
      <c r="JS85" s="157"/>
      <c r="JT85" s="157"/>
      <c r="JU85" s="157"/>
      <c r="JV85" s="157"/>
      <c r="JW85" s="157"/>
      <c r="JX85" s="157"/>
      <c r="JY85" s="157"/>
      <c r="JZ85" s="157"/>
      <c r="KA85" s="157"/>
      <c r="KB85" s="157"/>
      <c r="KC85" s="157"/>
      <c r="KD85" s="157"/>
      <c r="KE85" s="157"/>
      <c r="KF85" s="157"/>
      <c r="KG85" s="157"/>
      <c r="KH85" s="157"/>
      <c r="KI85" s="157"/>
      <c r="KJ85" s="157"/>
      <c r="KK85" s="157"/>
    </row>
    <row r="86" spans="1:297" x14ac:dyDescent="0.2">
      <c r="A86" s="435"/>
      <c r="B86" s="343"/>
      <c r="C86" s="216" t="s">
        <v>210</v>
      </c>
      <c r="D86" s="216" t="s">
        <v>144</v>
      </c>
      <c r="E86" s="216" t="s">
        <v>151</v>
      </c>
      <c r="F86" s="364">
        <f>_xlfn.XLOOKUP($E86,UVintensity!$L$3:$L$14,UVintensity!$U$3:$U$14)</f>
        <v>0</v>
      </c>
      <c r="G86" s="364">
        <f>_xlfn.XLOOKUP($E86,UVintensity!$L$3:$L$14,UVintensity!$U$3:$U$14)</f>
        <v>0</v>
      </c>
      <c r="H86" s="364">
        <f>_xlfn.XLOOKUP($E86,UVintensity!$L$3:$L$14,UVintensity!$U$3:$U$14)</f>
        <v>0</v>
      </c>
      <c r="I86" s="364">
        <f>_xlfn.XLOOKUP($E86,UVintensity!$L$3:$L$14,UVintensity!$U$3:$U$14)</f>
        <v>0</v>
      </c>
      <c r="J86" s="364">
        <f>_xlfn.XLOOKUP($E86,UVintensity!$L$3:$L$14,UVintensity!$U$3:$U$14)</f>
        <v>0</v>
      </c>
      <c r="K86" s="364">
        <f>_xlfn.XLOOKUP($E86,UVintensity!$L$3:$L$14,UVintensity!$U$3:$U$14)</f>
        <v>0</v>
      </c>
      <c r="L86" s="364">
        <f>_xlfn.XLOOKUP($E86,UVintensity!$L$3:$L$14,UVintensity!$U$3:$U$14)</f>
        <v>0</v>
      </c>
      <c r="M86" s="364">
        <f>_xlfn.XLOOKUP($E86,UVintensity!$L$3:$L$14,UVintensity!$U$3:$U$14)</f>
        <v>0</v>
      </c>
      <c r="N86" s="342"/>
      <c r="O86" s="154" t="s">
        <v>258</v>
      </c>
      <c r="P86" s="344" t="s">
        <v>257</v>
      </c>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7"/>
      <c r="BQ86" s="157"/>
      <c r="BR86" s="157"/>
      <c r="BS86" s="157"/>
      <c r="BT86" s="157"/>
      <c r="BU86" s="157"/>
      <c r="BV86" s="157"/>
      <c r="BW86" s="157"/>
      <c r="BX86" s="157"/>
      <c r="BY86" s="157"/>
      <c r="BZ86" s="157"/>
      <c r="CA86" s="157"/>
      <c r="CB86" s="157"/>
      <c r="CC86" s="157"/>
      <c r="CD86" s="157"/>
      <c r="CE86" s="157"/>
      <c r="CF86" s="157"/>
      <c r="CG86" s="157"/>
      <c r="CH86" s="157"/>
      <c r="CI86" s="157"/>
      <c r="CJ86" s="157"/>
      <c r="CK86" s="157"/>
      <c r="CL86" s="157"/>
      <c r="CM86" s="157"/>
      <c r="CN86" s="157"/>
      <c r="CO86" s="157"/>
      <c r="CP86" s="157"/>
      <c r="CQ86" s="157"/>
      <c r="CR86" s="157"/>
      <c r="CS86" s="157"/>
      <c r="CT86" s="157"/>
      <c r="CU86" s="157"/>
      <c r="CV86" s="157"/>
      <c r="CW86" s="157"/>
      <c r="CX86" s="157"/>
      <c r="CY86" s="157"/>
      <c r="CZ86" s="157"/>
      <c r="DA86" s="157"/>
      <c r="DB86" s="157"/>
      <c r="DC86" s="157"/>
      <c r="DD86" s="157"/>
      <c r="DE86" s="157"/>
      <c r="DF86" s="157"/>
      <c r="DG86" s="157"/>
      <c r="DH86" s="157"/>
      <c r="DI86" s="157"/>
      <c r="DJ86" s="157"/>
      <c r="DK86" s="157"/>
      <c r="DL86" s="157"/>
      <c r="DM86" s="157"/>
      <c r="DN86" s="157"/>
      <c r="DO86" s="157"/>
      <c r="DP86" s="157"/>
      <c r="DQ86" s="157"/>
      <c r="DR86" s="157"/>
      <c r="DS86" s="157"/>
      <c r="DT86" s="157"/>
      <c r="DU86" s="157"/>
      <c r="DV86" s="157"/>
      <c r="DW86" s="157"/>
      <c r="DX86" s="157"/>
      <c r="DY86" s="157"/>
      <c r="DZ86" s="157"/>
      <c r="EA86" s="157"/>
      <c r="EB86" s="157"/>
      <c r="EC86" s="157"/>
      <c r="ED86" s="157"/>
      <c r="EE86" s="157"/>
      <c r="EF86" s="157"/>
      <c r="EG86" s="157"/>
      <c r="EH86" s="157"/>
      <c r="EI86" s="157"/>
      <c r="EJ86" s="157"/>
      <c r="EK86" s="157"/>
      <c r="EL86" s="157"/>
      <c r="EM86" s="157"/>
      <c r="EN86" s="157"/>
      <c r="EO86" s="157"/>
      <c r="EP86" s="157"/>
      <c r="EQ86" s="157"/>
      <c r="ER86" s="157"/>
      <c r="ES86" s="157"/>
      <c r="ET86" s="157"/>
      <c r="EU86" s="157"/>
      <c r="EV86" s="157"/>
      <c r="EW86" s="157"/>
      <c r="EX86" s="157"/>
      <c r="EY86" s="157"/>
      <c r="EZ86" s="157"/>
      <c r="FA86" s="157"/>
      <c r="FB86" s="157"/>
      <c r="FC86" s="157"/>
      <c r="FD86" s="157"/>
      <c r="FE86" s="157"/>
      <c r="FF86" s="157"/>
      <c r="FG86" s="157"/>
      <c r="FH86" s="157"/>
      <c r="FI86" s="157"/>
      <c r="FJ86" s="157"/>
      <c r="FK86" s="157"/>
      <c r="FL86" s="157"/>
      <c r="FM86" s="157"/>
      <c r="FN86" s="157"/>
      <c r="FO86" s="157"/>
      <c r="FP86" s="157"/>
      <c r="FQ86" s="157"/>
      <c r="FR86" s="157"/>
      <c r="FS86" s="157"/>
      <c r="FT86" s="157"/>
      <c r="FU86" s="157"/>
      <c r="FV86" s="157"/>
      <c r="FW86" s="157"/>
      <c r="FX86" s="157"/>
      <c r="FY86" s="157"/>
      <c r="FZ86" s="157"/>
      <c r="GA86" s="157"/>
      <c r="GB86" s="157"/>
      <c r="GC86" s="157"/>
      <c r="GD86" s="157"/>
      <c r="GE86" s="157"/>
      <c r="GF86" s="157"/>
      <c r="GG86" s="157"/>
      <c r="GH86" s="157"/>
      <c r="GI86" s="157"/>
      <c r="GJ86" s="157"/>
      <c r="GK86" s="157"/>
      <c r="GL86" s="157"/>
      <c r="GM86" s="157"/>
      <c r="GN86" s="157"/>
      <c r="GO86" s="157"/>
      <c r="GP86" s="157"/>
      <c r="GQ86" s="157"/>
      <c r="GR86" s="157"/>
      <c r="GS86" s="157"/>
      <c r="GT86" s="157"/>
      <c r="GU86" s="157"/>
      <c r="GV86" s="157"/>
      <c r="GW86" s="157"/>
      <c r="GX86" s="157"/>
      <c r="GY86" s="157"/>
      <c r="GZ86" s="157"/>
      <c r="HA86" s="157"/>
      <c r="HB86" s="157"/>
      <c r="HC86" s="157"/>
      <c r="HD86" s="157"/>
      <c r="HE86" s="157"/>
      <c r="HF86" s="157"/>
      <c r="HG86" s="157"/>
      <c r="HH86" s="157"/>
      <c r="HI86" s="157"/>
      <c r="HJ86" s="157"/>
      <c r="HK86" s="157"/>
      <c r="HL86" s="157"/>
      <c r="HM86" s="157"/>
      <c r="HN86" s="157"/>
      <c r="HO86" s="157"/>
      <c r="HP86" s="157"/>
      <c r="HQ86" s="157"/>
      <c r="HR86" s="157"/>
      <c r="HS86" s="157"/>
      <c r="HT86" s="157"/>
      <c r="HU86" s="157"/>
      <c r="HV86" s="157"/>
      <c r="HW86" s="157"/>
      <c r="HX86" s="157"/>
      <c r="HY86" s="157"/>
      <c r="HZ86" s="157"/>
      <c r="IA86" s="157"/>
      <c r="IB86" s="157"/>
      <c r="IC86" s="157"/>
      <c r="ID86" s="157"/>
      <c r="IE86" s="157"/>
      <c r="IF86" s="157"/>
      <c r="IG86" s="157"/>
      <c r="IH86" s="157"/>
      <c r="II86" s="157"/>
      <c r="IJ86" s="157"/>
      <c r="IK86" s="157"/>
      <c r="IL86" s="157"/>
      <c r="IM86" s="157"/>
      <c r="IN86" s="157"/>
      <c r="IO86" s="157"/>
      <c r="IP86" s="157"/>
      <c r="IQ86" s="157"/>
      <c r="IR86" s="157"/>
      <c r="IS86" s="157"/>
      <c r="IT86" s="157"/>
      <c r="IU86" s="157"/>
      <c r="IV86" s="157"/>
      <c r="IW86" s="157"/>
      <c r="IX86" s="157"/>
      <c r="IY86" s="157"/>
      <c r="IZ86" s="157"/>
      <c r="JA86" s="157"/>
      <c r="JB86" s="157"/>
      <c r="JC86" s="157"/>
      <c r="JD86" s="157"/>
      <c r="JE86" s="157"/>
      <c r="JF86" s="157"/>
      <c r="JG86" s="157"/>
      <c r="JH86" s="157"/>
      <c r="JI86" s="157"/>
      <c r="JJ86" s="157"/>
      <c r="JK86" s="157"/>
      <c r="JL86" s="157"/>
      <c r="JM86" s="157"/>
      <c r="JN86" s="157"/>
      <c r="JO86" s="157"/>
      <c r="JP86" s="157"/>
      <c r="JQ86" s="157"/>
      <c r="JR86" s="157"/>
      <c r="JS86" s="157"/>
      <c r="JT86" s="157"/>
      <c r="JU86" s="157"/>
      <c r="JV86" s="157"/>
      <c r="JW86" s="157"/>
      <c r="JX86" s="157"/>
      <c r="JY86" s="157"/>
      <c r="JZ86" s="157"/>
      <c r="KA86" s="157"/>
      <c r="KB86" s="157"/>
      <c r="KC86" s="157"/>
      <c r="KD86" s="157"/>
      <c r="KE86" s="157"/>
      <c r="KF86" s="157"/>
      <c r="KG86" s="157"/>
      <c r="KH86" s="157"/>
      <c r="KI86" s="157"/>
      <c r="KJ86" s="157"/>
      <c r="KK86" s="157"/>
    </row>
    <row r="87" spans="1:297" x14ac:dyDescent="0.2">
      <c r="A87" s="435"/>
      <c r="B87" s="343"/>
      <c r="C87" s="216" t="s">
        <v>210</v>
      </c>
      <c r="D87" s="216" t="s">
        <v>144</v>
      </c>
      <c r="E87" s="216" t="s">
        <v>130</v>
      </c>
      <c r="F87" s="364">
        <f>_xlfn.XLOOKUP($E87,UVintensity!$L$3:$L$14,UVintensity!$U$3:$U$14)</f>
        <v>10</v>
      </c>
      <c r="G87" s="364">
        <f>_xlfn.XLOOKUP($E87,UVintensity!$L$3:$L$14,UVintensity!$U$3:$U$14)</f>
        <v>10</v>
      </c>
      <c r="H87" s="364">
        <f>_xlfn.XLOOKUP($E87,UVintensity!$L$3:$L$14,UVintensity!$U$3:$U$14)</f>
        <v>10</v>
      </c>
      <c r="I87" s="364">
        <f>_xlfn.XLOOKUP($E87,UVintensity!$L$3:$L$14,UVintensity!$U$3:$U$14)</f>
        <v>10</v>
      </c>
      <c r="J87" s="364">
        <f>_xlfn.XLOOKUP($E87,UVintensity!$L$3:$L$14,UVintensity!$U$3:$U$14)</f>
        <v>10</v>
      </c>
      <c r="K87" s="364">
        <f>_xlfn.XLOOKUP($E87,UVintensity!$L$3:$L$14,UVintensity!$U$3:$U$14)</f>
        <v>10</v>
      </c>
      <c r="L87" s="364">
        <f>_xlfn.XLOOKUP($E87,UVintensity!$L$3:$L$14,UVintensity!$U$3:$U$14)</f>
        <v>10</v>
      </c>
      <c r="M87" s="364">
        <f>_xlfn.XLOOKUP($E87,UVintensity!$L$3:$L$14,UVintensity!$U$3:$U$14)</f>
        <v>10</v>
      </c>
      <c r="N87" s="342"/>
      <c r="O87" s="154" t="s">
        <v>258</v>
      </c>
      <c r="P87" s="344" t="s">
        <v>257</v>
      </c>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7"/>
      <c r="BQ87" s="157"/>
      <c r="BR87" s="157"/>
      <c r="BS87" s="157"/>
      <c r="BT87" s="157"/>
      <c r="BU87" s="157"/>
      <c r="BV87" s="157"/>
      <c r="BW87" s="157"/>
      <c r="BX87" s="157"/>
      <c r="BY87" s="157"/>
      <c r="BZ87" s="157"/>
      <c r="CA87" s="157"/>
      <c r="CB87" s="157"/>
      <c r="CC87" s="157"/>
      <c r="CD87" s="157"/>
      <c r="CE87" s="157"/>
      <c r="CF87" s="157"/>
      <c r="CG87" s="157"/>
      <c r="CH87" s="157"/>
      <c r="CI87" s="157"/>
      <c r="CJ87" s="157"/>
      <c r="CK87" s="157"/>
      <c r="CL87" s="157"/>
      <c r="CM87" s="157"/>
      <c r="CN87" s="157"/>
      <c r="CO87" s="157"/>
      <c r="CP87" s="157"/>
      <c r="CQ87" s="157"/>
      <c r="CR87" s="157"/>
      <c r="CS87" s="157"/>
      <c r="CT87" s="157"/>
      <c r="CU87" s="157"/>
      <c r="CV87" s="157"/>
      <c r="CW87" s="157"/>
      <c r="CX87" s="157"/>
      <c r="CY87" s="157"/>
      <c r="CZ87" s="157"/>
      <c r="DA87" s="157"/>
      <c r="DB87" s="157"/>
      <c r="DC87" s="157"/>
      <c r="DD87" s="157"/>
      <c r="DE87" s="157"/>
      <c r="DF87" s="157"/>
      <c r="DG87" s="157"/>
      <c r="DH87" s="157"/>
      <c r="DI87" s="157"/>
      <c r="DJ87" s="157"/>
      <c r="DK87" s="157"/>
      <c r="DL87" s="157"/>
      <c r="DM87" s="157"/>
      <c r="DN87" s="157"/>
      <c r="DO87" s="157"/>
      <c r="DP87" s="157"/>
      <c r="DQ87" s="157"/>
      <c r="DR87" s="157"/>
      <c r="DS87" s="157"/>
      <c r="DT87" s="157"/>
      <c r="DU87" s="157"/>
      <c r="DV87" s="157"/>
      <c r="DW87" s="157"/>
      <c r="DX87" s="157"/>
      <c r="DY87" s="157"/>
      <c r="DZ87" s="157"/>
      <c r="EA87" s="157"/>
      <c r="EB87" s="157"/>
      <c r="EC87" s="157"/>
      <c r="ED87" s="157"/>
      <c r="EE87" s="157"/>
      <c r="EF87" s="157"/>
      <c r="EG87" s="157"/>
      <c r="EH87" s="157"/>
      <c r="EI87" s="157"/>
      <c r="EJ87" s="157"/>
      <c r="EK87" s="157"/>
      <c r="EL87" s="157"/>
      <c r="EM87" s="157"/>
      <c r="EN87" s="157"/>
      <c r="EO87" s="157"/>
      <c r="EP87" s="157"/>
      <c r="EQ87" s="157"/>
      <c r="ER87" s="157"/>
      <c r="ES87" s="157"/>
      <c r="ET87" s="157"/>
      <c r="EU87" s="157"/>
      <c r="EV87" s="157"/>
      <c r="EW87" s="157"/>
      <c r="EX87" s="157"/>
      <c r="EY87" s="157"/>
      <c r="EZ87" s="157"/>
      <c r="FA87" s="157"/>
      <c r="FB87" s="157"/>
      <c r="FC87" s="157"/>
      <c r="FD87" s="157"/>
      <c r="FE87" s="157"/>
      <c r="FF87" s="157"/>
      <c r="FG87" s="157"/>
      <c r="FH87" s="157"/>
      <c r="FI87" s="157"/>
      <c r="FJ87" s="157"/>
      <c r="FK87" s="157"/>
      <c r="FL87" s="157"/>
      <c r="FM87" s="157"/>
      <c r="FN87" s="157"/>
      <c r="FO87" s="157"/>
      <c r="FP87" s="157"/>
      <c r="FQ87" s="157"/>
      <c r="FR87" s="157"/>
      <c r="FS87" s="157"/>
      <c r="FT87" s="157"/>
      <c r="FU87" s="157"/>
      <c r="FV87" s="157"/>
      <c r="FW87" s="157"/>
      <c r="FX87" s="157"/>
      <c r="FY87" s="157"/>
      <c r="FZ87" s="157"/>
      <c r="GA87" s="157"/>
      <c r="GB87" s="157"/>
      <c r="GC87" s="157"/>
      <c r="GD87" s="157"/>
      <c r="GE87" s="157"/>
      <c r="GF87" s="157"/>
      <c r="GG87" s="157"/>
      <c r="GH87" s="157"/>
      <c r="GI87" s="157"/>
      <c r="GJ87" s="157"/>
      <c r="GK87" s="157"/>
      <c r="GL87" s="157"/>
      <c r="GM87" s="157"/>
      <c r="GN87" s="157"/>
      <c r="GO87" s="157"/>
      <c r="GP87" s="157"/>
      <c r="GQ87" s="157"/>
      <c r="GR87" s="157"/>
      <c r="GS87" s="157"/>
      <c r="GT87" s="157"/>
      <c r="GU87" s="157"/>
      <c r="GV87" s="157"/>
      <c r="GW87" s="157"/>
      <c r="GX87" s="157"/>
      <c r="GY87" s="157"/>
      <c r="GZ87" s="157"/>
      <c r="HA87" s="157"/>
      <c r="HB87" s="157"/>
      <c r="HC87" s="157"/>
      <c r="HD87" s="157"/>
      <c r="HE87" s="157"/>
      <c r="HF87" s="157"/>
      <c r="HG87" s="157"/>
      <c r="HH87" s="157"/>
      <c r="HI87" s="157"/>
      <c r="HJ87" s="157"/>
      <c r="HK87" s="157"/>
      <c r="HL87" s="157"/>
      <c r="HM87" s="157"/>
      <c r="HN87" s="157"/>
      <c r="HO87" s="157"/>
      <c r="HP87" s="157"/>
      <c r="HQ87" s="157"/>
      <c r="HR87" s="157"/>
      <c r="HS87" s="157"/>
      <c r="HT87" s="157"/>
      <c r="HU87" s="157"/>
      <c r="HV87" s="157"/>
      <c r="HW87" s="157"/>
      <c r="HX87" s="157"/>
      <c r="HY87" s="157"/>
      <c r="HZ87" s="157"/>
      <c r="IA87" s="157"/>
      <c r="IB87" s="157"/>
      <c r="IC87" s="157"/>
      <c r="ID87" s="157"/>
      <c r="IE87" s="157"/>
      <c r="IF87" s="157"/>
      <c r="IG87" s="157"/>
      <c r="IH87" s="157"/>
      <c r="II87" s="157"/>
      <c r="IJ87" s="157"/>
      <c r="IK87" s="157"/>
      <c r="IL87" s="157"/>
      <c r="IM87" s="157"/>
      <c r="IN87" s="157"/>
      <c r="IO87" s="157"/>
      <c r="IP87" s="157"/>
      <c r="IQ87" s="157"/>
      <c r="IR87" s="157"/>
      <c r="IS87" s="157"/>
      <c r="IT87" s="157"/>
      <c r="IU87" s="157"/>
      <c r="IV87" s="157"/>
      <c r="IW87" s="157"/>
      <c r="IX87" s="157"/>
      <c r="IY87" s="157"/>
      <c r="IZ87" s="157"/>
      <c r="JA87" s="157"/>
      <c r="JB87" s="157"/>
      <c r="JC87" s="157"/>
      <c r="JD87" s="157"/>
      <c r="JE87" s="157"/>
      <c r="JF87" s="157"/>
      <c r="JG87" s="157"/>
      <c r="JH87" s="157"/>
      <c r="JI87" s="157"/>
      <c r="JJ87" s="157"/>
      <c r="JK87" s="157"/>
      <c r="JL87" s="157"/>
      <c r="JM87" s="157"/>
      <c r="JN87" s="157"/>
      <c r="JO87" s="157"/>
      <c r="JP87" s="157"/>
      <c r="JQ87" s="157"/>
      <c r="JR87" s="157"/>
      <c r="JS87" s="157"/>
      <c r="JT87" s="157"/>
      <c r="JU87" s="157"/>
      <c r="JV87" s="157"/>
      <c r="JW87" s="157"/>
      <c r="JX87" s="157"/>
      <c r="JY87" s="157"/>
      <c r="JZ87" s="157"/>
      <c r="KA87" s="157"/>
      <c r="KB87" s="157"/>
      <c r="KC87" s="157"/>
      <c r="KD87" s="157"/>
      <c r="KE87" s="157"/>
      <c r="KF87" s="157"/>
      <c r="KG87" s="157"/>
      <c r="KH87" s="157"/>
      <c r="KI87" s="157"/>
      <c r="KJ87" s="157"/>
      <c r="KK87" s="157"/>
    </row>
    <row r="88" spans="1:297" x14ac:dyDescent="0.2">
      <c r="A88" s="435"/>
      <c r="B88" s="343"/>
      <c r="C88" s="216" t="s">
        <v>210</v>
      </c>
      <c r="D88" s="216" t="s">
        <v>144</v>
      </c>
      <c r="E88" s="216" t="s">
        <v>213</v>
      </c>
      <c r="F88" s="364">
        <f>_xlfn.XLOOKUP($E88,UVintensity!$L$3:$L$14,UVintensity!$U$3:$U$14)</f>
        <v>10</v>
      </c>
      <c r="G88" s="364">
        <f>_xlfn.XLOOKUP($E88,UVintensity!$L$3:$L$14,UVintensity!$U$3:$U$14)</f>
        <v>10</v>
      </c>
      <c r="H88" s="364">
        <f>_xlfn.XLOOKUP($E88,UVintensity!$L$3:$L$14,UVintensity!$U$3:$U$14)</f>
        <v>10</v>
      </c>
      <c r="I88" s="364">
        <f>_xlfn.XLOOKUP($E88,UVintensity!$L$3:$L$14,UVintensity!$U$3:$U$14)</f>
        <v>10</v>
      </c>
      <c r="J88" s="364">
        <f>_xlfn.XLOOKUP($E88,UVintensity!$L$3:$L$14,UVintensity!$U$3:$U$14)</f>
        <v>10</v>
      </c>
      <c r="K88" s="364">
        <f>_xlfn.XLOOKUP($E88,UVintensity!$L$3:$L$14,UVintensity!$U$3:$U$14)</f>
        <v>10</v>
      </c>
      <c r="L88" s="364">
        <f>_xlfn.XLOOKUP($E88,UVintensity!$L$3:$L$14,UVintensity!$U$3:$U$14)</f>
        <v>10</v>
      </c>
      <c r="M88" s="364">
        <f>_xlfn.XLOOKUP($E88,UVintensity!$L$3:$L$14,UVintensity!$U$3:$U$14)</f>
        <v>10</v>
      </c>
      <c r="N88" s="342"/>
      <c r="O88" s="154" t="s">
        <v>258</v>
      </c>
      <c r="P88" s="344" t="s">
        <v>257</v>
      </c>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7"/>
      <c r="BQ88" s="157"/>
      <c r="BR88" s="157"/>
      <c r="BS88" s="157"/>
      <c r="BT88" s="157"/>
      <c r="BU88" s="157"/>
      <c r="BV88" s="157"/>
      <c r="BW88" s="157"/>
      <c r="BX88" s="157"/>
      <c r="BY88" s="157"/>
      <c r="BZ88" s="157"/>
      <c r="CA88" s="157"/>
      <c r="CB88" s="157"/>
      <c r="CC88" s="157"/>
      <c r="CD88" s="157"/>
      <c r="CE88" s="157"/>
      <c r="CF88" s="157"/>
      <c r="CG88" s="157"/>
      <c r="CH88" s="157"/>
      <c r="CI88" s="157"/>
      <c r="CJ88" s="157"/>
      <c r="CK88" s="157"/>
      <c r="CL88" s="157"/>
      <c r="CM88" s="157"/>
      <c r="CN88" s="157"/>
      <c r="CO88" s="157"/>
      <c r="CP88" s="157"/>
      <c r="CQ88" s="157"/>
      <c r="CR88" s="157"/>
      <c r="CS88" s="157"/>
      <c r="CT88" s="157"/>
      <c r="CU88" s="157"/>
      <c r="CV88" s="157"/>
      <c r="CW88" s="157"/>
      <c r="CX88" s="157"/>
      <c r="CY88" s="157"/>
      <c r="CZ88" s="157"/>
      <c r="DA88" s="157"/>
      <c r="DB88" s="157"/>
      <c r="DC88" s="157"/>
      <c r="DD88" s="157"/>
      <c r="DE88" s="157"/>
      <c r="DF88" s="157"/>
      <c r="DG88" s="157"/>
      <c r="DH88" s="157"/>
      <c r="DI88" s="157"/>
      <c r="DJ88" s="157"/>
      <c r="DK88" s="157"/>
      <c r="DL88" s="157"/>
      <c r="DM88" s="157"/>
      <c r="DN88" s="157"/>
      <c r="DO88" s="157"/>
      <c r="DP88" s="157"/>
      <c r="DQ88" s="157"/>
      <c r="DR88" s="157"/>
      <c r="DS88" s="157"/>
      <c r="DT88" s="157"/>
      <c r="DU88" s="157"/>
      <c r="DV88" s="157"/>
      <c r="DW88" s="157"/>
      <c r="DX88" s="157"/>
      <c r="DY88" s="157"/>
      <c r="DZ88" s="157"/>
      <c r="EA88" s="157"/>
      <c r="EB88" s="157"/>
      <c r="EC88" s="157"/>
      <c r="ED88" s="157"/>
      <c r="EE88" s="157"/>
      <c r="EF88" s="157"/>
      <c r="EG88" s="157"/>
      <c r="EH88" s="157"/>
      <c r="EI88" s="157"/>
      <c r="EJ88" s="157"/>
      <c r="EK88" s="157"/>
      <c r="EL88" s="157"/>
      <c r="EM88" s="157"/>
      <c r="EN88" s="157"/>
      <c r="EO88" s="157"/>
      <c r="EP88" s="157"/>
      <c r="EQ88" s="157"/>
      <c r="ER88" s="157"/>
      <c r="ES88" s="157"/>
      <c r="ET88" s="157"/>
      <c r="EU88" s="157"/>
      <c r="EV88" s="157"/>
      <c r="EW88" s="157"/>
      <c r="EX88" s="157"/>
      <c r="EY88" s="157"/>
      <c r="EZ88" s="157"/>
      <c r="FA88" s="157"/>
      <c r="FB88" s="157"/>
      <c r="FC88" s="157"/>
      <c r="FD88" s="157"/>
      <c r="FE88" s="157"/>
      <c r="FF88" s="157"/>
      <c r="FG88" s="157"/>
      <c r="FH88" s="157"/>
      <c r="FI88" s="157"/>
      <c r="FJ88" s="157"/>
      <c r="FK88" s="157"/>
      <c r="FL88" s="157"/>
      <c r="FM88" s="157"/>
      <c r="FN88" s="157"/>
      <c r="FO88" s="157"/>
      <c r="FP88" s="157"/>
      <c r="FQ88" s="157"/>
      <c r="FR88" s="157"/>
      <c r="FS88" s="157"/>
      <c r="FT88" s="157"/>
      <c r="FU88" s="157"/>
      <c r="FV88" s="157"/>
      <c r="FW88" s="157"/>
      <c r="FX88" s="157"/>
      <c r="FY88" s="157"/>
      <c r="FZ88" s="157"/>
      <c r="GA88" s="157"/>
      <c r="GB88" s="157"/>
      <c r="GC88" s="157"/>
      <c r="GD88" s="157"/>
      <c r="GE88" s="157"/>
      <c r="GF88" s="157"/>
      <c r="GG88" s="157"/>
      <c r="GH88" s="157"/>
      <c r="GI88" s="157"/>
      <c r="GJ88" s="157"/>
      <c r="GK88" s="157"/>
      <c r="GL88" s="157"/>
      <c r="GM88" s="157"/>
      <c r="GN88" s="157"/>
      <c r="GO88" s="157"/>
      <c r="GP88" s="157"/>
      <c r="GQ88" s="157"/>
      <c r="GR88" s="157"/>
      <c r="GS88" s="157"/>
      <c r="GT88" s="157"/>
      <c r="GU88" s="157"/>
      <c r="GV88" s="157"/>
      <c r="GW88" s="157"/>
      <c r="GX88" s="157"/>
      <c r="GY88" s="157"/>
      <c r="GZ88" s="157"/>
      <c r="HA88" s="157"/>
      <c r="HB88" s="157"/>
      <c r="HC88" s="157"/>
      <c r="HD88" s="157"/>
      <c r="HE88" s="157"/>
      <c r="HF88" s="157"/>
      <c r="HG88" s="157"/>
      <c r="HH88" s="157"/>
      <c r="HI88" s="157"/>
      <c r="HJ88" s="157"/>
      <c r="HK88" s="157"/>
      <c r="HL88" s="157"/>
      <c r="HM88" s="157"/>
      <c r="HN88" s="157"/>
      <c r="HO88" s="157"/>
      <c r="HP88" s="157"/>
      <c r="HQ88" s="157"/>
      <c r="HR88" s="157"/>
      <c r="HS88" s="157"/>
      <c r="HT88" s="157"/>
      <c r="HU88" s="157"/>
      <c r="HV88" s="157"/>
      <c r="HW88" s="157"/>
      <c r="HX88" s="157"/>
      <c r="HY88" s="157"/>
      <c r="HZ88" s="157"/>
      <c r="IA88" s="157"/>
      <c r="IB88" s="157"/>
      <c r="IC88" s="157"/>
      <c r="ID88" s="157"/>
      <c r="IE88" s="157"/>
      <c r="IF88" s="157"/>
      <c r="IG88" s="157"/>
      <c r="IH88" s="157"/>
      <c r="II88" s="157"/>
      <c r="IJ88" s="157"/>
      <c r="IK88" s="157"/>
      <c r="IL88" s="157"/>
      <c r="IM88" s="157"/>
      <c r="IN88" s="157"/>
      <c r="IO88" s="157"/>
      <c r="IP88" s="157"/>
      <c r="IQ88" s="157"/>
      <c r="IR88" s="157"/>
      <c r="IS88" s="157"/>
      <c r="IT88" s="157"/>
      <c r="IU88" s="157"/>
      <c r="IV88" s="157"/>
      <c r="IW88" s="157"/>
      <c r="IX88" s="157"/>
      <c r="IY88" s="157"/>
      <c r="IZ88" s="157"/>
      <c r="JA88" s="157"/>
      <c r="JB88" s="157"/>
      <c r="JC88" s="157"/>
      <c r="JD88" s="157"/>
      <c r="JE88" s="157"/>
      <c r="JF88" s="157"/>
      <c r="JG88" s="157"/>
      <c r="JH88" s="157"/>
      <c r="JI88" s="157"/>
      <c r="JJ88" s="157"/>
      <c r="JK88" s="157"/>
      <c r="JL88" s="157"/>
      <c r="JM88" s="157"/>
      <c r="JN88" s="157"/>
      <c r="JO88" s="157"/>
      <c r="JP88" s="157"/>
      <c r="JQ88" s="157"/>
      <c r="JR88" s="157"/>
      <c r="JS88" s="157"/>
      <c r="JT88" s="157"/>
      <c r="JU88" s="157"/>
      <c r="JV88" s="157"/>
      <c r="JW88" s="157"/>
      <c r="JX88" s="157"/>
      <c r="JY88" s="157"/>
      <c r="JZ88" s="157"/>
      <c r="KA88" s="157"/>
      <c r="KB88" s="157"/>
      <c r="KC88" s="157"/>
      <c r="KD88" s="157"/>
      <c r="KE88" s="157"/>
      <c r="KF88" s="157"/>
      <c r="KG88" s="157"/>
      <c r="KH88" s="157"/>
      <c r="KI88" s="157"/>
      <c r="KJ88" s="157"/>
      <c r="KK88" s="157"/>
    </row>
    <row r="89" spans="1:297" x14ac:dyDescent="0.2">
      <c r="A89" s="435"/>
      <c r="B89" s="343"/>
      <c r="C89" s="216" t="s">
        <v>210</v>
      </c>
      <c r="D89" s="216" t="s">
        <v>144</v>
      </c>
      <c r="E89" s="216" t="s">
        <v>174</v>
      </c>
      <c r="F89" s="364">
        <f>_xlfn.XLOOKUP($E89,UVintensity!$L$3:$L$14,UVintensity!$U$3:$U$14)</f>
        <v>0</v>
      </c>
      <c r="G89" s="364">
        <f>_xlfn.XLOOKUP($E89,UVintensity!$L$3:$L$14,UVintensity!$U$3:$U$14)</f>
        <v>0</v>
      </c>
      <c r="H89" s="364">
        <f>_xlfn.XLOOKUP($E89,UVintensity!$L$3:$L$14,UVintensity!$U$3:$U$14)</f>
        <v>0</v>
      </c>
      <c r="I89" s="364">
        <f>_xlfn.XLOOKUP($E89,UVintensity!$L$3:$L$14,UVintensity!$U$3:$U$14)</f>
        <v>0</v>
      </c>
      <c r="J89" s="364">
        <f>_xlfn.XLOOKUP($E89,UVintensity!$L$3:$L$14,UVintensity!$U$3:$U$14)</f>
        <v>0</v>
      </c>
      <c r="K89" s="364">
        <f>_xlfn.XLOOKUP($E89,UVintensity!$L$3:$L$14,UVintensity!$U$3:$U$14)</f>
        <v>0</v>
      </c>
      <c r="L89" s="364">
        <f>_xlfn.XLOOKUP($E89,UVintensity!$L$3:$L$14,UVintensity!$U$3:$U$14)</f>
        <v>0</v>
      </c>
      <c r="M89" s="364">
        <f>_xlfn.XLOOKUP($E89,UVintensity!$L$3:$L$14,UVintensity!$U$3:$U$14)</f>
        <v>0</v>
      </c>
      <c r="N89" s="342"/>
      <c r="O89" s="154" t="s">
        <v>258</v>
      </c>
      <c r="P89" s="344" t="s">
        <v>257</v>
      </c>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7"/>
      <c r="BQ89" s="157"/>
      <c r="BR89" s="157"/>
      <c r="BS89" s="157"/>
      <c r="BT89" s="157"/>
      <c r="BU89" s="157"/>
      <c r="BV89" s="157"/>
      <c r="BW89" s="157"/>
      <c r="BX89" s="157"/>
      <c r="BY89" s="157"/>
      <c r="BZ89" s="157"/>
      <c r="CA89" s="157"/>
      <c r="CB89" s="157"/>
      <c r="CC89" s="157"/>
      <c r="CD89" s="157"/>
      <c r="CE89" s="157"/>
      <c r="CF89" s="157"/>
      <c r="CG89" s="157"/>
      <c r="CH89" s="157"/>
      <c r="CI89" s="157"/>
      <c r="CJ89" s="157"/>
      <c r="CK89" s="157"/>
      <c r="CL89" s="157"/>
      <c r="CM89" s="157"/>
      <c r="CN89" s="157"/>
      <c r="CO89" s="157"/>
      <c r="CP89" s="157"/>
      <c r="CQ89" s="157"/>
      <c r="CR89" s="157"/>
      <c r="CS89" s="157"/>
      <c r="CT89" s="157"/>
      <c r="CU89" s="157"/>
      <c r="CV89" s="157"/>
      <c r="CW89" s="157"/>
      <c r="CX89" s="157"/>
      <c r="CY89" s="157"/>
      <c r="CZ89" s="157"/>
      <c r="DA89" s="157"/>
      <c r="DB89" s="157"/>
      <c r="DC89" s="157"/>
      <c r="DD89" s="157"/>
      <c r="DE89" s="157"/>
      <c r="DF89" s="157"/>
      <c r="DG89" s="157"/>
      <c r="DH89" s="157"/>
      <c r="DI89" s="157"/>
      <c r="DJ89" s="157"/>
      <c r="DK89" s="157"/>
      <c r="DL89" s="157"/>
      <c r="DM89" s="157"/>
      <c r="DN89" s="157"/>
      <c r="DO89" s="157"/>
      <c r="DP89" s="157"/>
      <c r="DQ89" s="157"/>
      <c r="DR89" s="157"/>
      <c r="DS89" s="157"/>
      <c r="DT89" s="157"/>
      <c r="DU89" s="157"/>
      <c r="DV89" s="157"/>
      <c r="DW89" s="157"/>
      <c r="DX89" s="157"/>
      <c r="DY89" s="157"/>
      <c r="DZ89" s="157"/>
      <c r="EA89" s="157"/>
      <c r="EB89" s="157"/>
      <c r="EC89" s="157"/>
      <c r="ED89" s="157"/>
      <c r="EE89" s="157"/>
      <c r="EF89" s="157"/>
      <c r="EG89" s="157"/>
      <c r="EH89" s="157"/>
      <c r="EI89" s="157"/>
      <c r="EJ89" s="157"/>
      <c r="EK89" s="157"/>
      <c r="EL89" s="157"/>
      <c r="EM89" s="157"/>
      <c r="EN89" s="157"/>
      <c r="EO89" s="157"/>
      <c r="EP89" s="157"/>
      <c r="EQ89" s="157"/>
      <c r="ER89" s="157"/>
      <c r="ES89" s="157"/>
      <c r="ET89" s="157"/>
      <c r="EU89" s="157"/>
      <c r="EV89" s="157"/>
      <c r="EW89" s="157"/>
      <c r="EX89" s="157"/>
      <c r="EY89" s="157"/>
      <c r="EZ89" s="157"/>
      <c r="FA89" s="157"/>
      <c r="FB89" s="157"/>
      <c r="FC89" s="157"/>
      <c r="FD89" s="157"/>
      <c r="FE89" s="157"/>
      <c r="FF89" s="157"/>
      <c r="FG89" s="157"/>
      <c r="FH89" s="157"/>
      <c r="FI89" s="157"/>
      <c r="FJ89" s="157"/>
      <c r="FK89" s="157"/>
      <c r="FL89" s="157"/>
      <c r="FM89" s="157"/>
      <c r="FN89" s="157"/>
      <c r="FO89" s="157"/>
      <c r="FP89" s="157"/>
      <c r="FQ89" s="157"/>
      <c r="FR89" s="157"/>
      <c r="FS89" s="157"/>
      <c r="FT89" s="157"/>
      <c r="FU89" s="157"/>
      <c r="FV89" s="157"/>
      <c r="FW89" s="157"/>
      <c r="FX89" s="157"/>
      <c r="FY89" s="157"/>
      <c r="FZ89" s="157"/>
      <c r="GA89" s="157"/>
      <c r="GB89" s="157"/>
      <c r="GC89" s="157"/>
      <c r="GD89" s="157"/>
      <c r="GE89" s="157"/>
      <c r="GF89" s="157"/>
      <c r="GG89" s="157"/>
      <c r="GH89" s="157"/>
      <c r="GI89" s="157"/>
      <c r="GJ89" s="157"/>
      <c r="GK89" s="157"/>
      <c r="GL89" s="157"/>
      <c r="GM89" s="157"/>
      <c r="GN89" s="157"/>
      <c r="GO89" s="157"/>
      <c r="GP89" s="157"/>
      <c r="GQ89" s="157"/>
      <c r="GR89" s="157"/>
      <c r="GS89" s="157"/>
      <c r="GT89" s="157"/>
      <c r="GU89" s="157"/>
      <c r="GV89" s="157"/>
      <c r="GW89" s="157"/>
      <c r="GX89" s="157"/>
      <c r="GY89" s="157"/>
      <c r="GZ89" s="157"/>
      <c r="HA89" s="157"/>
      <c r="HB89" s="157"/>
      <c r="HC89" s="157"/>
      <c r="HD89" s="157"/>
      <c r="HE89" s="157"/>
      <c r="HF89" s="157"/>
      <c r="HG89" s="157"/>
      <c r="HH89" s="157"/>
      <c r="HI89" s="157"/>
      <c r="HJ89" s="157"/>
      <c r="HK89" s="157"/>
      <c r="HL89" s="157"/>
      <c r="HM89" s="157"/>
      <c r="HN89" s="157"/>
      <c r="HO89" s="157"/>
      <c r="HP89" s="157"/>
      <c r="HQ89" s="157"/>
      <c r="HR89" s="157"/>
      <c r="HS89" s="157"/>
      <c r="HT89" s="157"/>
      <c r="HU89" s="157"/>
      <c r="HV89" s="157"/>
      <c r="HW89" s="157"/>
      <c r="HX89" s="157"/>
      <c r="HY89" s="157"/>
      <c r="HZ89" s="157"/>
      <c r="IA89" s="157"/>
      <c r="IB89" s="157"/>
      <c r="IC89" s="157"/>
      <c r="ID89" s="157"/>
      <c r="IE89" s="157"/>
      <c r="IF89" s="157"/>
      <c r="IG89" s="157"/>
      <c r="IH89" s="157"/>
      <c r="II89" s="157"/>
      <c r="IJ89" s="157"/>
      <c r="IK89" s="157"/>
      <c r="IL89" s="157"/>
      <c r="IM89" s="157"/>
      <c r="IN89" s="157"/>
      <c r="IO89" s="157"/>
      <c r="IP89" s="157"/>
      <c r="IQ89" s="157"/>
      <c r="IR89" s="157"/>
      <c r="IS89" s="157"/>
      <c r="IT89" s="157"/>
      <c r="IU89" s="157"/>
      <c r="IV89" s="157"/>
      <c r="IW89" s="157"/>
      <c r="IX89" s="157"/>
      <c r="IY89" s="157"/>
      <c r="IZ89" s="157"/>
      <c r="JA89" s="157"/>
      <c r="JB89" s="157"/>
      <c r="JC89" s="157"/>
      <c r="JD89" s="157"/>
      <c r="JE89" s="157"/>
      <c r="JF89" s="157"/>
      <c r="JG89" s="157"/>
      <c r="JH89" s="157"/>
      <c r="JI89" s="157"/>
      <c r="JJ89" s="157"/>
      <c r="JK89" s="157"/>
      <c r="JL89" s="157"/>
      <c r="JM89" s="157"/>
      <c r="JN89" s="157"/>
      <c r="JO89" s="157"/>
      <c r="JP89" s="157"/>
      <c r="JQ89" s="157"/>
      <c r="JR89" s="157"/>
      <c r="JS89" s="157"/>
      <c r="JT89" s="157"/>
      <c r="JU89" s="157"/>
      <c r="JV89" s="157"/>
      <c r="JW89" s="157"/>
      <c r="JX89" s="157"/>
      <c r="JY89" s="157"/>
      <c r="JZ89" s="157"/>
      <c r="KA89" s="157"/>
      <c r="KB89" s="157"/>
      <c r="KC89" s="157"/>
      <c r="KD89" s="157"/>
      <c r="KE89" s="157"/>
      <c r="KF89" s="157"/>
      <c r="KG89" s="157"/>
      <c r="KH89" s="157"/>
      <c r="KI89" s="157"/>
      <c r="KJ89" s="157"/>
      <c r="KK89" s="157"/>
    </row>
    <row r="90" spans="1:297" x14ac:dyDescent="0.2">
      <c r="A90" s="435"/>
      <c r="B90" s="343"/>
      <c r="C90" s="216" t="s">
        <v>210</v>
      </c>
      <c r="D90" s="216" t="s">
        <v>144</v>
      </c>
      <c r="E90" s="216" t="s">
        <v>149</v>
      </c>
      <c r="F90" s="364">
        <f>_xlfn.XLOOKUP($E90,UVintensity!$L$3:$L$14,UVintensity!$U$3:$U$14)</f>
        <v>0.10539548901284368</v>
      </c>
      <c r="G90" s="364">
        <f>_xlfn.XLOOKUP($E90,UVintensity!$L$3:$L$14,UVintensity!$U$3:$U$14)</f>
        <v>0.10539548901284368</v>
      </c>
      <c r="H90" s="364">
        <f>_xlfn.XLOOKUP($E90,UVintensity!$L$3:$L$14,UVintensity!$U$3:$U$14)</f>
        <v>0.10539548901284368</v>
      </c>
      <c r="I90" s="364">
        <f>_xlfn.XLOOKUP($E90,UVintensity!$L$3:$L$14,UVintensity!$U$3:$U$14)</f>
        <v>0.10539548901284368</v>
      </c>
      <c r="J90" s="364">
        <f>_xlfn.XLOOKUP($E90,UVintensity!$L$3:$L$14,UVintensity!$U$3:$U$14)</f>
        <v>0.10539548901284368</v>
      </c>
      <c r="K90" s="364">
        <f>_xlfn.XLOOKUP($E90,UVintensity!$L$3:$L$14,UVintensity!$U$3:$U$14)</f>
        <v>0.10539548901284368</v>
      </c>
      <c r="L90" s="364">
        <f>_xlfn.XLOOKUP($E90,UVintensity!$L$3:$L$14,UVintensity!$U$3:$U$14)</f>
        <v>0.10539548901284368</v>
      </c>
      <c r="M90" s="364">
        <f>_xlfn.XLOOKUP($E90,UVintensity!$L$3:$L$14,UVintensity!$U$3:$U$14)</f>
        <v>0.10539548901284368</v>
      </c>
      <c r="N90" s="342"/>
      <c r="O90" s="154" t="s">
        <v>258</v>
      </c>
      <c r="P90" s="344" t="s">
        <v>257</v>
      </c>
      <c r="AM90" s="157"/>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c r="BP90" s="157"/>
      <c r="BQ90" s="157"/>
      <c r="BR90" s="157"/>
      <c r="BS90" s="157"/>
      <c r="BT90" s="157"/>
      <c r="BU90" s="157"/>
      <c r="BV90" s="157"/>
      <c r="BW90" s="157"/>
      <c r="BX90" s="157"/>
      <c r="BY90" s="157"/>
      <c r="BZ90" s="157"/>
      <c r="CA90" s="157"/>
      <c r="CB90" s="157"/>
      <c r="CC90" s="157"/>
      <c r="CD90" s="157"/>
      <c r="CE90" s="157"/>
      <c r="CF90" s="157"/>
      <c r="CG90" s="157"/>
      <c r="CH90" s="157"/>
      <c r="CI90" s="157"/>
      <c r="CJ90" s="157"/>
      <c r="CK90" s="157"/>
      <c r="CL90" s="157"/>
      <c r="CM90" s="157"/>
      <c r="CN90" s="157"/>
      <c r="CO90" s="157"/>
      <c r="CP90" s="157"/>
      <c r="CQ90" s="157"/>
      <c r="CR90" s="157"/>
      <c r="CS90" s="157"/>
      <c r="CT90" s="157"/>
      <c r="CU90" s="157"/>
      <c r="CV90" s="157"/>
      <c r="CW90" s="157"/>
      <c r="CX90" s="157"/>
      <c r="CY90" s="157"/>
      <c r="CZ90" s="157"/>
      <c r="DA90" s="157"/>
      <c r="DB90" s="157"/>
      <c r="DC90" s="157"/>
      <c r="DD90" s="157"/>
      <c r="DE90" s="157"/>
      <c r="DF90" s="157"/>
      <c r="DG90" s="157"/>
      <c r="DH90" s="157"/>
      <c r="DI90" s="157"/>
      <c r="DJ90" s="157"/>
      <c r="DK90" s="157"/>
      <c r="DL90" s="157"/>
      <c r="DM90" s="157"/>
      <c r="DN90" s="157"/>
      <c r="DO90" s="157"/>
      <c r="DP90" s="157"/>
      <c r="DQ90" s="157"/>
      <c r="DR90" s="157"/>
      <c r="DS90" s="157"/>
      <c r="DT90" s="157"/>
      <c r="DU90" s="157"/>
      <c r="DV90" s="157"/>
      <c r="DW90" s="157"/>
      <c r="DX90" s="157"/>
      <c r="DY90" s="157"/>
      <c r="DZ90" s="157"/>
      <c r="EA90" s="157"/>
      <c r="EB90" s="157"/>
      <c r="EC90" s="157"/>
      <c r="ED90" s="157"/>
      <c r="EE90" s="157"/>
      <c r="EF90" s="157"/>
      <c r="EG90" s="157"/>
      <c r="EH90" s="157"/>
      <c r="EI90" s="157"/>
      <c r="EJ90" s="157"/>
      <c r="EK90" s="157"/>
      <c r="EL90" s="157"/>
      <c r="EM90" s="157"/>
      <c r="EN90" s="157"/>
      <c r="EO90" s="157"/>
      <c r="EP90" s="157"/>
      <c r="EQ90" s="157"/>
      <c r="ER90" s="157"/>
      <c r="ES90" s="157"/>
      <c r="ET90" s="157"/>
      <c r="EU90" s="157"/>
      <c r="EV90" s="157"/>
      <c r="EW90" s="157"/>
      <c r="EX90" s="157"/>
      <c r="EY90" s="157"/>
      <c r="EZ90" s="157"/>
      <c r="FA90" s="157"/>
      <c r="FB90" s="157"/>
      <c r="FC90" s="157"/>
      <c r="FD90" s="157"/>
      <c r="FE90" s="157"/>
      <c r="FF90" s="157"/>
      <c r="FG90" s="157"/>
      <c r="FH90" s="157"/>
      <c r="FI90" s="157"/>
      <c r="FJ90" s="157"/>
      <c r="FK90" s="157"/>
      <c r="FL90" s="157"/>
      <c r="FM90" s="157"/>
      <c r="FN90" s="157"/>
      <c r="FO90" s="157"/>
      <c r="FP90" s="157"/>
      <c r="FQ90" s="157"/>
      <c r="FR90" s="157"/>
      <c r="FS90" s="157"/>
      <c r="FT90" s="157"/>
      <c r="FU90" s="157"/>
      <c r="FV90" s="157"/>
      <c r="FW90" s="157"/>
      <c r="FX90" s="157"/>
      <c r="FY90" s="157"/>
      <c r="FZ90" s="157"/>
      <c r="GA90" s="157"/>
      <c r="GB90" s="157"/>
      <c r="GC90" s="157"/>
      <c r="GD90" s="157"/>
      <c r="GE90" s="157"/>
      <c r="GF90" s="157"/>
      <c r="GG90" s="157"/>
      <c r="GH90" s="157"/>
      <c r="GI90" s="157"/>
      <c r="GJ90" s="157"/>
      <c r="GK90" s="157"/>
      <c r="GL90" s="157"/>
      <c r="GM90" s="157"/>
      <c r="GN90" s="157"/>
      <c r="GO90" s="157"/>
      <c r="GP90" s="157"/>
      <c r="GQ90" s="157"/>
      <c r="GR90" s="157"/>
      <c r="GS90" s="157"/>
      <c r="GT90" s="157"/>
      <c r="GU90" s="157"/>
      <c r="GV90" s="157"/>
      <c r="GW90" s="157"/>
      <c r="GX90" s="157"/>
      <c r="GY90" s="157"/>
      <c r="GZ90" s="157"/>
      <c r="HA90" s="157"/>
      <c r="HB90" s="157"/>
      <c r="HC90" s="157"/>
      <c r="HD90" s="157"/>
      <c r="HE90" s="157"/>
      <c r="HF90" s="157"/>
      <c r="HG90" s="157"/>
      <c r="HH90" s="157"/>
      <c r="HI90" s="157"/>
      <c r="HJ90" s="157"/>
      <c r="HK90" s="157"/>
      <c r="HL90" s="157"/>
      <c r="HM90" s="157"/>
      <c r="HN90" s="157"/>
      <c r="HO90" s="157"/>
      <c r="HP90" s="157"/>
      <c r="HQ90" s="157"/>
      <c r="HR90" s="157"/>
      <c r="HS90" s="157"/>
      <c r="HT90" s="157"/>
      <c r="HU90" s="157"/>
      <c r="HV90" s="157"/>
      <c r="HW90" s="157"/>
      <c r="HX90" s="157"/>
      <c r="HY90" s="157"/>
      <c r="HZ90" s="157"/>
      <c r="IA90" s="157"/>
      <c r="IB90" s="157"/>
      <c r="IC90" s="157"/>
      <c r="ID90" s="157"/>
      <c r="IE90" s="157"/>
      <c r="IF90" s="157"/>
      <c r="IG90" s="157"/>
      <c r="IH90" s="157"/>
      <c r="II90" s="157"/>
      <c r="IJ90" s="157"/>
      <c r="IK90" s="157"/>
      <c r="IL90" s="157"/>
      <c r="IM90" s="157"/>
      <c r="IN90" s="157"/>
      <c r="IO90" s="157"/>
      <c r="IP90" s="157"/>
      <c r="IQ90" s="157"/>
      <c r="IR90" s="157"/>
      <c r="IS90" s="157"/>
      <c r="IT90" s="157"/>
      <c r="IU90" s="157"/>
      <c r="IV90" s="157"/>
      <c r="IW90" s="157"/>
      <c r="IX90" s="157"/>
      <c r="IY90" s="157"/>
      <c r="IZ90" s="157"/>
      <c r="JA90" s="157"/>
      <c r="JB90" s="157"/>
      <c r="JC90" s="157"/>
      <c r="JD90" s="157"/>
      <c r="JE90" s="157"/>
      <c r="JF90" s="157"/>
      <c r="JG90" s="157"/>
      <c r="JH90" s="157"/>
      <c r="JI90" s="157"/>
      <c r="JJ90" s="157"/>
      <c r="JK90" s="157"/>
      <c r="JL90" s="157"/>
      <c r="JM90" s="157"/>
      <c r="JN90" s="157"/>
      <c r="JO90" s="157"/>
      <c r="JP90" s="157"/>
      <c r="JQ90" s="157"/>
      <c r="JR90" s="157"/>
      <c r="JS90" s="157"/>
      <c r="JT90" s="157"/>
      <c r="JU90" s="157"/>
      <c r="JV90" s="157"/>
      <c r="JW90" s="157"/>
      <c r="JX90" s="157"/>
      <c r="JY90" s="157"/>
      <c r="JZ90" s="157"/>
      <c r="KA90" s="157"/>
      <c r="KB90" s="157"/>
      <c r="KC90" s="157"/>
      <c r="KD90" s="157"/>
      <c r="KE90" s="157"/>
      <c r="KF90" s="157"/>
      <c r="KG90" s="157"/>
      <c r="KH90" s="157"/>
      <c r="KI90" s="157"/>
      <c r="KJ90" s="157"/>
      <c r="KK90" s="157"/>
    </row>
    <row r="91" spans="1:297" x14ac:dyDescent="0.2">
      <c r="A91" s="435"/>
      <c r="B91" s="343"/>
      <c r="C91" s="216" t="s">
        <v>210</v>
      </c>
      <c r="D91" s="216" t="s">
        <v>144</v>
      </c>
      <c r="E91" s="216" t="s">
        <v>175</v>
      </c>
      <c r="F91" s="364">
        <f>_xlfn.XLOOKUP($E91,UVintensity!$L$3:$L$14,UVintensity!$U$3:$U$14)</f>
        <v>0</v>
      </c>
      <c r="G91" s="364">
        <f>_xlfn.XLOOKUP($E91,UVintensity!$L$3:$L$14,UVintensity!$U$3:$U$14)</f>
        <v>0</v>
      </c>
      <c r="H91" s="364">
        <f>_xlfn.XLOOKUP($E91,UVintensity!$L$3:$L$14,UVintensity!$U$3:$U$14)</f>
        <v>0</v>
      </c>
      <c r="I91" s="364">
        <f>_xlfn.XLOOKUP($E91,UVintensity!$L$3:$L$14,UVintensity!$U$3:$U$14)</f>
        <v>0</v>
      </c>
      <c r="J91" s="364">
        <f>_xlfn.XLOOKUP($E91,UVintensity!$L$3:$L$14,UVintensity!$U$3:$U$14)</f>
        <v>0</v>
      </c>
      <c r="K91" s="364">
        <f>_xlfn.XLOOKUP($E91,UVintensity!$L$3:$L$14,UVintensity!$U$3:$U$14)</f>
        <v>0</v>
      </c>
      <c r="L91" s="364">
        <f>_xlfn.XLOOKUP($E91,UVintensity!$L$3:$L$14,UVintensity!$U$3:$U$14)</f>
        <v>0</v>
      </c>
      <c r="M91" s="364">
        <f>_xlfn.XLOOKUP($E91,UVintensity!$L$3:$L$14,UVintensity!$U$3:$U$14)</f>
        <v>0</v>
      </c>
      <c r="N91" s="342"/>
      <c r="O91" s="154" t="s">
        <v>258</v>
      </c>
      <c r="P91" s="344" t="s">
        <v>257</v>
      </c>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7"/>
      <c r="BQ91" s="157"/>
      <c r="BR91" s="157"/>
      <c r="BS91" s="157"/>
      <c r="BT91" s="157"/>
      <c r="BU91" s="157"/>
      <c r="BV91" s="157"/>
      <c r="BW91" s="157"/>
      <c r="BX91" s="157"/>
      <c r="BY91" s="157"/>
      <c r="BZ91" s="157"/>
      <c r="CA91" s="157"/>
      <c r="CB91" s="157"/>
      <c r="CC91" s="157"/>
      <c r="CD91" s="157"/>
      <c r="CE91" s="157"/>
      <c r="CF91" s="157"/>
      <c r="CG91" s="157"/>
      <c r="CH91" s="157"/>
      <c r="CI91" s="157"/>
      <c r="CJ91" s="157"/>
      <c r="CK91" s="157"/>
      <c r="CL91" s="157"/>
      <c r="CM91" s="157"/>
      <c r="CN91" s="157"/>
      <c r="CO91" s="157"/>
      <c r="CP91" s="157"/>
      <c r="CQ91" s="157"/>
      <c r="CR91" s="157"/>
      <c r="CS91" s="157"/>
      <c r="CT91" s="157"/>
      <c r="CU91" s="157"/>
      <c r="CV91" s="157"/>
      <c r="CW91" s="157"/>
      <c r="CX91" s="157"/>
      <c r="CY91" s="157"/>
      <c r="CZ91" s="157"/>
      <c r="DA91" s="157"/>
      <c r="DB91" s="157"/>
      <c r="DC91" s="157"/>
      <c r="DD91" s="157"/>
      <c r="DE91" s="157"/>
      <c r="DF91" s="157"/>
      <c r="DG91" s="157"/>
      <c r="DH91" s="157"/>
      <c r="DI91" s="157"/>
      <c r="DJ91" s="157"/>
      <c r="DK91" s="157"/>
      <c r="DL91" s="157"/>
      <c r="DM91" s="157"/>
      <c r="DN91" s="157"/>
      <c r="DO91" s="157"/>
      <c r="DP91" s="157"/>
      <c r="DQ91" s="157"/>
      <c r="DR91" s="157"/>
      <c r="DS91" s="157"/>
      <c r="DT91" s="157"/>
      <c r="DU91" s="157"/>
      <c r="DV91" s="157"/>
      <c r="DW91" s="157"/>
      <c r="DX91" s="157"/>
      <c r="DY91" s="157"/>
      <c r="DZ91" s="157"/>
      <c r="EA91" s="157"/>
      <c r="EB91" s="157"/>
      <c r="EC91" s="157"/>
      <c r="ED91" s="157"/>
      <c r="EE91" s="157"/>
      <c r="EF91" s="157"/>
      <c r="EG91" s="157"/>
      <c r="EH91" s="157"/>
      <c r="EI91" s="157"/>
      <c r="EJ91" s="157"/>
      <c r="EK91" s="157"/>
      <c r="EL91" s="157"/>
      <c r="EM91" s="157"/>
      <c r="EN91" s="157"/>
      <c r="EO91" s="157"/>
      <c r="EP91" s="157"/>
      <c r="EQ91" s="157"/>
      <c r="ER91" s="157"/>
      <c r="ES91" s="157"/>
      <c r="ET91" s="157"/>
      <c r="EU91" s="157"/>
      <c r="EV91" s="157"/>
      <c r="EW91" s="157"/>
      <c r="EX91" s="157"/>
      <c r="EY91" s="157"/>
      <c r="EZ91" s="157"/>
      <c r="FA91" s="157"/>
      <c r="FB91" s="157"/>
      <c r="FC91" s="157"/>
      <c r="FD91" s="157"/>
      <c r="FE91" s="157"/>
      <c r="FF91" s="157"/>
      <c r="FG91" s="157"/>
      <c r="FH91" s="157"/>
      <c r="FI91" s="157"/>
      <c r="FJ91" s="157"/>
      <c r="FK91" s="157"/>
      <c r="FL91" s="157"/>
      <c r="FM91" s="157"/>
      <c r="FN91" s="157"/>
      <c r="FO91" s="157"/>
      <c r="FP91" s="157"/>
      <c r="FQ91" s="157"/>
      <c r="FR91" s="157"/>
      <c r="FS91" s="157"/>
      <c r="FT91" s="157"/>
      <c r="FU91" s="157"/>
      <c r="FV91" s="157"/>
      <c r="FW91" s="157"/>
      <c r="FX91" s="157"/>
      <c r="FY91" s="157"/>
      <c r="FZ91" s="157"/>
      <c r="GA91" s="157"/>
      <c r="GB91" s="157"/>
      <c r="GC91" s="157"/>
      <c r="GD91" s="157"/>
      <c r="GE91" s="157"/>
      <c r="GF91" s="157"/>
      <c r="GG91" s="157"/>
      <c r="GH91" s="157"/>
      <c r="GI91" s="157"/>
      <c r="GJ91" s="157"/>
      <c r="GK91" s="157"/>
      <c r="GL91" s="157"/>
      <c r="GM91" s="157"/>
      <c r="GN91" s="157"/>
      <c r="GO91" s="157"/>
      <c r="GP91" s="157"/>
      <c r="GQ91" s="157"/>
      <c r="GR91" s="157"/>
      <c r="GS91" s="157"/>
      <c r="GT91" s="157"/>
      <c r="GU91" s="157"/>
      <c r="GV91" s="157"/>
      <c r="GW91" s="157"/>
      <c r="GX91" s="157"/>
      <c r="GY91" s="157"/>
      <c r="GZ91" s="157"/>
      <c r="HA91" s="157"/>
      <c r="HB91" s="157"/>
      <c r="HC91" s="157"/>
      <c r="HD91" s="157"/>
      <c r="HE91" s="157"/>
      <c r="HF91" s="157"/>
      <c r="HG91" s="157"/>
      <c r="HH91" s="157"/>
      <c r="HI91" s="157"/>
      <c r="HJ91" s="157"/>
      <c r="HK91" s="157"/>
      <c r="HL91" s="157"/>
      <c r="HM91" s="157"/>
      <c r="HN91" s="157"/>
      <c r="HO91" s="157"/>
      <c r="HP91" s="157"/>
      <c r="HQ91" s="157"/>
      <c r="HR91" s="157"/>
      <c r="HS91" s="157"/>
      <c r="HT91" s="157"/>
      <c r="HU91" s="157"/>
      <c r="HV91" s="157"/>
      <c r="HW91" s="157"/>
      <c r="HX91" s="157"/>
      <c r="HY91" s="157"/>
      <c r="HZ91" s="157"/>
      <c r="IA91" s="157"/>
      <c r="IB91" s="157"/>
      <c r="IC91" s="157"/>
      <c r="ID91" s="157"/>
      <c r="IE91" s="157"/>
      <c r="IF91" s="157"/>
      <c r="IG91" s="157"/>
      <c r="IH91" s="157"/>
      <c r="II91" s="157"/>
      <c r="IJ91" s="157"/>
      <c r="IK91" s="157"/>
      <c r="IL91" s="157"/>
      <c r="IM91" s="157"/>
      <c r="IN91" s="157"/>
      <c r="IO91" s="157"/>
      <c r="IP91" s="157"/>
      <c r="IQ91" s="157"/>
      <c r="IR91" s="157"/>
      <c r="IS91" s="157"/>
      <c r="IT91" s="157"/>
      <c r="IU91" s="157"/>
      <c r="IV91" s="157"/>
      <c r="IW91" s="157"/>
      <c r="IX91" s="157"/>
      <c r="IY91" s="157"/>
      <c r="IZ91" s="157"/>
      <c r="JA91" s="157"/>
      <c r="JB91" s="157"/>
      <c r="JC91" s="157"/>
      <c r="JD91" s="157"/>
      <c r="JE91" s="157"/>
      <c r="JF91" s="157"/>
      <c r="JG91" s="157"/>
      <c r="JH91" s="157"/>
      <c r="JI91" s="157"/>
      <c r="JJ91" s="157"/>
      <c r="JK91" s="157"/>
      <c r="JL91" s="157"/>
      <c r="JM91" s="157"/>
      <c r="JN91" s="157"/>
      <c r="JO91" s="157"/>
      <c r="JP91" s="157"/>
      <c r="JQ91" s="157"/>
      <c r="JR91" s="157"/>
      <c r="JS91" s="157"/>
      <c r="JT91" s="157"/>
      <c r="JU91" s="157"/>
      <c r="JV91" s="157"/>
      <c r="JW91" s="157"/>
      <c r="JX91" s="157"/>
      <c r="JY91" s="157"/>
      <c r="JZ91" s="157"/>
      <c r="KA91" s="157"/>
      <c r="KB91" s="157"/>
      <c r="KC91" s="157"/>
      <c r="KD91" s="157"/>
      <c r="KE91" s="157"/>
      <c r="KF91" s="157"/>
      <c r="KG91" s="157"/>
      <c r="KH91" s="157"/>
      <c r="KI91" s="157"/>
      <c r="KJ91" s="157"/>
      <c r="KK91" s="157"/>
    </row>
    <row r="92" spans="1:297" x14ac:dyDescent="0.2">
      <c r="A92" s="435"/>
      <c r="B92" s="343"/>
      <c r="C92" s="216" t="s">
        <v>210</v>
      </c>
      <c r="D92" s="216" t="s">
        <v>144</v>
      </c>
      <c r="E92" s="216" t="s">
        <v>173</v>
      </c>
      <c r="F92" s="364">
        <f>_xlfn.XLOOKUP($E92,UVintensity!$L$3:$L$14,UVintensity!$U$3:$U$14)</f>
        <v>0</v>
      </c>
      <c r="G92" s="364">
        <f>_xlfn.XLOOKUP($E92,UVintensity!$L$3:$L$14,UVintensity!$U$3:$U$14)</f>
        <v>0</v>
      </c>
      <c r="H92" s="364">
        <f>_xlfn.XLOOKUP($E92,UVintensity!$L$3:$L$14,UVintensity!$U$3:$U$14)</f>
        <v>0</v>
      </c>
      <c r="I92" s="364">
        <f>_xlfn.XLOOKUP($E92,UVintensity!$L$3:$L$14,UVintensity!$U$3:$U$14)</f>
        <v>0</v>
      </c>
      <c r="J92" s="364">
        <f>_xlfn.XLOOKUP($E92,UVintensity!$L$3:$L$14,UVintensity!$U$3:$U$14)</f>
        <v>0</v>
      </c>
      <c r="K92" s="364">
        <f>_xlfn.XLOOKUP($E92,UVintensity!$L$3:$L$14,UVintensity!$U$3:$U$14)</f>
        <v>0</v>
      </c>
      <c r="L92" s="364">
        <f>_xlfn.XLOOKUP($E92,UVintensity!$L$3:$L$14,UVintensity!$U$3:$U$14)</f>
        <v>0</v>
      </c>
      <c r="M92" s="364">
        <f>_xlfn.XLOOKUP($E92,UVintensity!$L$3:$L$14,UVintensity!$U$3:$U$14)</f>
        <v>0</v>
      </c>
      <c r="N92" s="342"/>
      <c r="O92" s="154" t="s">
        <v>258</v>
      </c>
      <c r="P92" s="344" t="s">
        <v>257</v>
      </c>
      <c r="AM92" s="157"/>
      <c r="AN92" s="157"/>
      <c r="AO92" s="157"/>
      <c r="AP92" s="157"/>
      <c r="AQ92" s="157"/>
      <c r="AR92" s="157"/>
      <c r="AS92" s="157"/>
      <c r="AT92" s="157"/>
      <c r="AU92" s="157"/>
      <c r="AV92" s="157"/>
      <c r="AW92" s="157"/>
      <c r="AX92" s="157"/>
      <c r="AY92" s="157"/>
      <c r="AZ92" s="157"/>
      <c r="BA92" s="157"/>
      <c r="BB92" s="157"/>
      <c r="BC92" s="157"/>
      <c r="BD92" s="157"/>
      <c r="BE92" s="157"/>
      <c r="BF92" s="157"/>
      <c r="BG92" s="157"/>
      <c r="BH92" s="157"/>
      <c r="BI92" s="157"/>
      <c r="BJ92" s="157"/>
      <c r="BK92" s="157"/>
      <c r="BL92" s="157"/>
      <c r="BM92" s="157"/>
      <c r="BN92" s="157"/>
      <c r="BO92" s="157"/>
      <c r="BP92" s="157"/>
      <c r="BQ92" s="157"/>
      <c r="BR92" s="157"/>
      <c r="BS92" s="157"/>
      <c r="BT92" s="157"/>
      <c r="BU92" s="157"/>
      <c r="BV92" s="157"/>
      <c r="BW92" s="157"/>
      <c r="BX92" s="157"/>
      <c r="BY92" s="157"/>
      <c r="BZ92" s="157"/>
      <c r="CA92" s="157"/>
      <c r="CB92" s="157"/>
      <c r="CC92" s="157"/>
      <c r="CD92" s="157"/>
      <c r="CE92" s="157"/>
      <c r="CF92" s="157"/>
      <c r="CG92" s="157"/>
      <c r="CH92" s="157"/>
      <c r="CI92" s="157"/>
      <c r="CJ92" s="157"/>
      <c r="CK92" s="157"/>
      <c r="CL92" s="157"/>
      <c r="CM92" s="157"/>
      <c r="CN92" s="157"/>
      <c r="CO92" s="157"/>
      <c r="CP92" s="157"/>
      <c r="CQ92" s="157"/>
      <c r="CR92" s="157"/>
      <c r="CS92" s="157"/>
      <c r="CT92" s="157"/>
      <c r="CU92" s="157"/>
      <c r="CV92" s="157"/>
      <c r="CW92" s="157"/>
      <c r="CX92" s="157"/>
      <c r="CY92" s="157"/>
      <c r="CZ92" s="157"/>
      <c r="DA92" s="157"/>
      <c r="DB92" s="157"/>
      <c r="DC92" s="157"/>
      <c r="DD92" s="157"/>
      <c r="DE92" s="157"/>
      <c r="DF92" s="157"/>
      <c r="DG92" s="157"/>
      <c r="DH92" s="157"/>
      <c r="DI92" s="157"/>
      <c r="DJ92" s="157"/>
      <c r="DK92" s="157"/>
      <c r="DL92" s="157"/>
      <c r="DM92" s="157"/>
      <c r="DN92" s="157"/>
      <c r="DO92" s="157"/>
      <c r="DP92" s="157"/>
      <c r="DQ92" s="157"/>
      <c r="DR92" s="157"/>
      <c r="DS92" s="157"/>
      <c r="DT92" s="157"/>
      <c r="DU92" s="157"/>
      <c r="DV92" s="157"/>
      <c r="DW92" s="157"/>
      <c r="DX92" s="157"/>
      <c r="DY92" s="157"/>
      <c r="DZ92" s="157"/>
      <c r="EA92" s="157"/>
      <c r="EB92" s="157"/>
      <c r="EC92" s="157"/>
      <c r="ED92" s="157"/>
      <c r="EE92" s="157"/>
      <c r="EF92" s="157"/>
      <c r="EG92" s="157"/>
      <c r="EH92" s="157"/>
      <c r="EI92" s="157"/>
      <c r="EJ92" s="157"/>
      <c r="EK92" s="157"/>
      <c r="EL92" s="157"/>
      <c r="EM92" s="157"/>
      <c r="EN92" s="157"/>
      <c r="EO92" s="157"/>
      <c r="EP92" s="157"/>
      <c r="EQ92" s="157"/>
      <c r="ER92" s="157"/>
      <c r="ES92" s="157"/>
      <c r="ET92" s="157"/>
      <c r="EU92" s="157"/>
      <c r="EV92" s="157"/>
      <c r="EW92" s="157"/>
      <c r="EX92" s="157"/>
      <c r="EY92" s="157"/>
      <c r="EZ92" s="157"/>
      <c r="FA92" s="157"/>
      <c r="FB92" s="157"/>
      <c r="FC92" s="157"/>
      <c r="FD92" s="157"/>
      <c r="FE92" s="157"/>
      <c r="FF92" s="157"/>
      <c r="FG92" s="157"/>
      <c r="FH92" s="157"/>
      <c r="FI92" s="157"/>
      <c r="FJ92" s="157"/>
      <c r="FK92" s="157"/>
      <c r="FL92" s="157"/>
      <c r="FM92" s="157"/>
      <c r="FN92" s="157"/>
      <c r="FO92" s="157"/>
      <c r="FP92" s="157"/>
      <c r="FQ92" s="157"/>
      <c r="FR92" s="157"/>
      <c r="FS92" s="157"/>
      <c r="FT92" s="157"/>
      <c r="FU92" s="157"/>
      <c r="FV92" s="157"/>
      <c r="FW92" s="157"/>
      <c r="FX92" s="157"/>
      <c r="FY92" s="157"/>
      <c r="FZ92" s="157"/>
      <c r="GA92" s="157"/>
      <c r="GB92" s="157"/>
      <c r="GC92" s="157"/>
      <c r="GD92" s="157"/>
      <c r="GE92" s="157"/>
      <c r="GF92" s="157"/>
      <c r="GG92" s="157"/>
      <c r="GH92" s="157"/>
      <c r="GI92" s="157"/>
      <c r="GJ92" s="157"/>
      <c r="GK92" s="157"/>
      <c r="GL92" s="157"/>
      <c r="GM92" s="157"/>
      <c r="GN92" s="157"/>
      <c r="GO92" s="157"/>
      <c r="GP92" s="157"/>
      <c r="GQ92" s="157"/>
      <c r="GR92" s="157"/>
      <c r="GS92" s="157"/>
      <c r="GT92" s="157"/>
      <c r="GU92" s="157"/>
      <c r="GV92" s="157"/>
      <c r="GW92" s="157"/>
      <c r="GX92" s="157"/>
      <c r="GY92" s="157"/>
      <c r="GZ92" s="157"/>
      <c r="HA92" s="157"/>
      <c r="HB92" s="157"/>
      <c r="HC92" s="157"/>
      <c r="HD92" s="157"/>
      <c r="HE92" s="157"/>
      <c r="HF92" s="157"/>
      <c r="HG92" s="157"/>
      <c r="HH92" s="157"/>
      <c r="HI92" s="157"/>
      <c r="HJ92" s="157"/>
      <c r="HK92" s="157"/>
      <c r="HL92" s="157"/>
      <c r="HM92" s="157"/>
      <c r="HN92" s="157"/>
      <c r="HO92" s="157"/>
      <c r="HP92" s="157"/>
      <c r="HQ92" s="157"/>
      <c r="HR92" s="157"/>
      <c r="HS92" s="157"/>
      <c r="HT92" s="157"/>
      <c r="HU92" s="157"/>
      <c r="HV92" s="157"/>
      <c r="HW92" s="157"/>
      <c r="HX92" s="157"/>
      <c r="HY92" s="157"/>
      <c r="HZ92" s="157"/>
      <c r="IA92" s="157"/>
      <c r="IB92" s="157"/>
      <c r="IC92" s="157"/>
      <c r="ID92" s="157"/>
      <c r="IE92" s="157"/>
      <c r="IF92" s="157"/>
      <c r="IG92" s="157"/>
      <c r="IH92" s="157"/>
      <c r="II92" s="157"/>
      <c r="IJ92" s="157"/>
      <c r="IK92" s="157"/>
      <c r="IL92" s="157"/>
      <c r="IM92" s="157"/>
      <c r="IN92" s="157"/>
      <c r="IO92" s="157"/>
      <c r="IP92" s="157"/>
      <c r="IQ92" s="157"/>
      <c r="IR92" s="157"/>
      <c r="IS92" s="157"/>
      <c r="IT92" s="157"/>
      <c r="IU92" s="157"/>
      <c r="IV92" s="157"/>
      <c r="IW92" s="157"/>
      <c r="IX92" s="157"/>
      <c r="IY92" s="157"/>
      <c r="IZ92" s="157"/>
      <c r="JA92" s="157"/>
      <c r="JB92" s="157"/>
      <c r="JC92" s="157"/>
      <c r="JD92" s="157"/>
      <c r="JE92" s="157"/>
      <c r="JF92" s="157"/>
      <c r="JG92" s="157"/>
      <c r="JH92" s="157"/>
      <c r="JI92" s="157"/>
      <c r="JJ92" s="157"/>
      <c r="JK92" s="157"/>
      <c r="JL92" s="157"/>
      <c r="JM92" s="157"/>
      <c r="JN92" s="157"/>
      <c r="JO92" s="157"/>
      <c r="JP92" s="157"/>
      <c r="JQ92" s="157"/>
      <c r="JR92" s="157"/>
      <c r="JS92" s="157"/>
      <c r="JT92" s="157"/>
      <c r="JU92" s="157"/>
      <c r="JV92" s="157"/>
      <c r="JW92" s="157"/>
      <c r="JX92" s="157"/>
      <c r="JY92" s="157"/>
      <c r="JZ92" s="157"/>
      <c r="KA92" s="157"/>
      <c r="KB92" s="157"/>
      <c r="KC92" s="157"/>
      <c r="KD92" s="157"/>
      <c r="KE92" s="157"/>
      <c r="KF92" s="157"/>
      <c r="KG92" s="157"/>
      <c r="KH92" s="157"/>
      <c r="KI92" s="157"/>
      <c r="KJ92" s="157"/>
      <c r="KK92" s="157"/>
    </row>
    <row r="93" spans="1:297" x14ac:dyDescent="0.2">
      <c r="A93" s="435"/>
      <c r="B93" s="343"/>
      <c r="C93" s="216" t="s">
        <v>210</v>
      </c>
      <c r="D93" s="216" t="s">
        <v>144</v>
      </c>
      <c r="E93" s="216" t="s">
        <v>150</v>
      </c>
      <c r="F93" s="364">
        <f>_xlfn.XLOOKUP($E93,UVintensity!$L$3:$L$14,UVintensity!$U$3:$U$14)</f>
        <v>0</v>
      </c>
      <c r="G93" s="364">
        <f>_xlfn.XLOOKUP($E93,UVintensity!$L$3:$L$14,UVintensity!$U$3:$U$14)</f>
        <v>0</v>
      </c>
      <c r="H93" s="364">
        <f>_xlfn.XLOOKUP($E93,UVintensity!$L$3:$L$14,UVintensity!$U$3:$U$14)</f>
        <v>0</v>
      </c>
      <c r="I93" s="364">
        <f>_xlfn.XLOOKUP($E93,UVintensity!$L$3:$L$14,UVintensity!$U$3:$U$14)</f>
        <v>0</v>
      </c>
      <c r="J93" s="364">
        <f>_xlfn.XLOOKUP($E93,UVintensity!$L$3:$L$14,UVintensity!$U$3:$U$14)</f>
        <v>0</v>
      </c>
      <c r="K93" s="364">
        <f>_xlfn.XLOOKUP($E93,UVintensity!$L$3:$L$14,UVintensity!$U$3:$U$14)</f>
        <v>0</v>
      </c>
      <c r="L93" s="364">
        <f>_xlfn.XLOOKUP($E93,UVintensity!$L$3:$L$14,UVintensity!$U$3:$U$14)</f>
        <v>0</v>
      </c>
      <c r="M93" s="364">
        <f>_xlfn.XLOOKUP($E93,UVintensity!$L$3:$L$14,UVintensity!$U$3:$U$14)</f>
        <v>0</v>
      </c>
      <c r="N93" s="342"/>
      <c r="O93" s="154" t="s">
        <v>258</v>
      </c>
      <c r="P93" s="344" t="s">
        <v>257</v>
      </c>
      <c r="AM93" s="157"/>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c r="CZ93" s="157"/>
      <c r="DA93" s="157"/>
      <c r="DB93" s="157"/>
      <c r="DC93" s="157"/>
      <c r="DD93" s="157"/>
      <c r="DE93" s="157"/>
      <c r="DF93" s="157"/>
      <c r="DG93" s="157"/>
      <c r="DH93" s="157"/>
      <c r="DI93" s="157"/>
      <c r="DJ93" s="157"/>
      <c r="DK93" s="157"/>
      <c r="DL93" s="157"/>
      <c r="DM93" s="157"/>
      <c r="DN93" s="157"/>
      <c r="DO93" s="157"/>
      <c r="DP93" s="157"/>
      <c r="DQ93" s="157"/>
      <c r="DR93" s="157"/>
      <c r="DS93" s="157"/>
      <c r="DT93" s="157"/>
      <c r="DU93" s="157"/>
      <c r="DV93" s="157"/>
      <c r="DW93" s="157"/>
      <c r="DX93" s="157"/>
      <c r="DY93" s="157"/>
      <c r="DZ93" s="157"/>
      <c r="EA93" s="157"/>
      <c r="EB93" s="157"/>
      <c r="EC93" s="157"/>
      <c r="ED93" s="157"/>
      <c r="EE93" s="157"/>
      <c r="EF93" s="157"/>
      <c r="EG93" s="157"/>
      <c r="EH93" s="157"/>
      <c r="EI93" s="157"/>
      <c r="EJ93" s="157"/>
      <c r="EK93" s="157"/>
      <c r="EL93" s="157"/>
      <c r="EM93" s="157"/>
      <c r="EN93" s="157"/>
      <c r="EO93" s="157"/>
      <c r="EP93" s="157"/>
      <c r="EQ93" s="157"/>
      <c r="ER93" s="157"/>
      <c r="ES93" s="157"/>
      <c r="ET93" s="157"/>
      <c r="EU93" s="157"/>
      <c r="EV93" s="157"/>
      <c r="EW93" s="157"/>
      <c r="EX93" s="157"/>
      <c r="EY93" s="157"/>
      <c r="EZ93" s="157"/>
      <c r="FA93" s="157"/>
      <c r="FB93" s="157"/>
      <c r="FC93" s="157"/>
      <c r="FD93" s="157"/>
      <c r="FE93" s="157"/>
      <c r="FF93" s="157"/>
      <c r="FG93" s="157"/>
      <c r="FH93" s="157"/>
      <c r="FI93" s="157"/>
      <c r="FJ93" s="157"/>
      <c r="FK93" s="157"/>
      <c r="FL93" s="157"/>
      <c r="FM93" s="157"/>
      <c r="FN93" s="157"/>
      <c r="FO93" s="157"/>
      <c r="FP93" s="157"/>
      <c r="FQ93" s="157"/>
      <c r="FR93" s="157"/>
      <c r="FS93" s="157"/>
      <c r="FT93" s="157"/>
      <c r="FU93" s="157"/>
      <c r="FV93" s="157"/>
      <c r="FW93" s="157"/>
      <c r="FX93" s="157"/>
      <c r="FY93" s="157"/>
      <c r="FZ93" s="157"/>
      <c r="GA93" s="157"/>
      <c r="GB93" s="157"/>
      <c r="GC93" s="157"/>
      <c r="GD93" s="157"/>
      <c r="GE93" s="157"/>
      <c r="GF93" s="157"/>
      <c r="GG93" s="157"/>
      <c r="GH93" s="157"/>
      <c r="GI93" s="157"/>
      <c r="GJ93" s="157"/>
      <c r="GK93" s="157"/>
      <c r="GL93" s="157"/>
      <c r="GM93" s="157"/>
      <c r="GN93" s="157"/>
      <c r="GO93" s="157"/>
      <c r="GP93" s="157"/>
      <c r="GQ93" s="157"/>
      <c r="GR93" s="157"/>
      <c r="GS93" s="157"/>
      <c r="GT93" s="157"/>
      <c r="GU93" s="157"/>
      <c r="GV93" s="157"/>
      <c r="GW93" s="157"/>
      <c r="GX93" s="157"/>
      <c r="GY93" s="157"/>
      <c r="GZ93" s="157"/>
      <c r="HA93" s="157"/>
      <c r="HB93" s="157"/>
      <c r="HC93" s="157"/>
      <c r="HD93" s="157"/>
      <c r="HE93" s="157"/>
      <c r="HF93" s="157"/>
      <c r="HG93" s="157"/>
      <c r="HH93" s="157"/>
      <c r="HI93" s="157"/>
      <c r="HJ93" s="157"/>
      <c r="HK93" s="157"/>
      <c r="HL93" s="157"/>
      <c r="HM93" s="157"/>
      <c r="HN93" s="157"/>
      <c r="HO93" s="157"/>
      <c r="HP93" s="157"/>
      <c r="HQ93" s="157"/>
      <c r="HR93" s="157"/>
      <c r="HS93" s="157"/>
      <c r="HT93" s="157"/>
      <c r="HU93" s="157"/>
      <c r="HV93" s="157"/>
      <c r="HW93" s="157"/>
      <c r="HX93" s="157"/>
      <c r="HY93" s="157"/>
      <c r="HZ93" s="157"/>
      <c r="IA93" s="157"/>
      <c r="IB93" s="157"/>
      <c r="IC93" s="157"/>
      <c r="ID93" s="157"/>
      <c r="IE93" s="157"/>
      <c r="IF93" s="157"/>
      <c r="IG93" s="157"/>
      <c r="IH93" s="157"/>
      <c r="II93" s="157"/>
      <c r="IJ93" s="157"/>
      <c r="IK93" s="157"/>
      <c r="IL93" s="157"/>
      <c r="IM93" s="157"/>
      <c r="IN93" s="157"/>
      <c r="IO93" s="157"/>
      <c r="IP93" s="157"/>
      <c r="IQ93" s="157"/>
      <c r="IR93" s="157"/>
      <c r="IS93" s="157"/>
      <c r="IT93" s="157"/>
      <c r="IU93" s="157"/>
      <c r="IV93" s="157"/>
      <c r="IW93" s="157"/>
      <c r="IX93" s="157"/>
      <c r="IY93" s="157"/>
      <c r="IZ93" s="157"/>
      <c r="JA93" s="157"/>
      <c r="JB93" s="157"/>
      <c r="JC93" s="157"/>
      <c r="JD93" s="157"/>
      <c r="JE93" s="157"/>
      <c r="JF93" s="157"/>
      <c r="JG93" s="157"/>
      <c r="JH93" s="157"/>
      <c r="JI93" s="157"/>
      <c r="JJ93" s="157"/>
      <c r="JK93" s="157"/>
      <c r="JL93" s="157"/>
      <c r="JM93" s="157"/>
      <c r="JN93" s="157"/>
      <c r="JO93" s="157"/>
      <c r="JP93" s="157"/>
      <c r="JQ93" s="157"/>
      <c r="JR93" s="157"/>
      <c r="JS93" s="157"/>
      <c r="JT93" s="157"/>
      <c r="JU93" s="157"/>
      <c r="JV93" s="157"/>
      <c r="JW93" s="157"/>
      <c r="JX93" s="157"/>
      <c r="JY93" s="157"/>
      <c r="JZ93" s="157"/>
      <c r="KA93" s="157"/>
      <c r="KB93" s="157"/>
      <c r="KC93" s="157"/>
      <c r="KD93" s="157"/>
      <c r="KE93" s="157"/>
      <c r="KF93" s="157"/>
      <c r="KG93" s="157"/>
      <c r="KH93" s="157"/>
      <c r="KI93" s="157"/>
      <c r="KJ93" s="157"/>
      <c r="KK93" s="157"/>
    </row>
    <row r="94" spans="1:297" x14ac:dyDescent="0.2">
      <c r="A94" s="435"/>
      <c r="B94" s="343"/>
      <c r="C94" s="216" t="s">
        <v>210</v>
      </c>
      <c r="D94" s="216" t="s">
        <v>144</v>
      </c>
      <c r="E94" s="233" t="s">
        <v>162</v>
      </c>
      <c r="F94" s="364">
        <f>_xlfn.XLOOKUP($E94,UVintensity!$L$3:$L$14,UVintensity!$U$3:$U$14)</f>
        <v>0</v>
      </c>
      <c r="G94" s="364">
        <f>_xlfn.XLOOKUP($E94,UVintensity!$L$3:$L$14,UVintensity!$U$3:$U$14)</f>
        <v>0</v>
      </c>
      <c r="H94" s="364">
        <f>_xlfn.XLOOKUP($E94,UVintensity!$L$3:$L$14,UVintensity!$U$3:$U$14)</f>
        <v>0</v>
      </c>
      <c r="I94" s="364">
        <f>_xlfn.XLOOKUP($E94,UVintensity!$L$3:$L$14,UVintensity!$U$3:$U$14)</f>
        <v>0</v>
      </c>
      <c r="J94" s="364">
        <f>_xlfn.XLOOKUP($E94,UVintensity!$L$3:$L$14,UVintensity!$U$3:$U$14)</f>
        <v>0</v>
      </c>
      <c r="K94" s="364">
        <f>_xlfn.XLOOKUP($E94,UVintensity!$L$3:$L$14,UVintensity!$U$3:$U$14)</f>
        <v>0</v>
      </c>
      <c r="L94" s="364">
        <f>_xlfn.XLOOKUP($E94,UVintensity!$L$3:$L$14,UVintensity!$U$3:$U$14)</f>
        <v>0</v>
      </c>
      <c r="M94" s="364">
        <f>_xlfn.XLOOKUP($E94,UVintensity!$L$3:$L$14,UVintensity!$U$3:$U$14)</f>
        <v>0</v>
      </c>
      <c r="N94" s="342"/>
      <c r="O94" s="154" t="s">
        <v>258</v>
      </c>
      <c r="P94" s="344" t="s">
        <v>257</v>
      </c>
      <c r="AM94" s="157"/>
      <c r="AN94" s="157"/>
      <c r="AO94" s="157"/>
      <c r="AP94" s="157"/>
      <c r="AQ94" s="157"/>
      <c r="AR94" s="157"/>
      <c r="AS94" s="157"/>
      <c r="AT94" s="157"/>
      <c r="AU94" s="157"/>
      <c r="AV94" s="157"/>
      <c r="AW94" s="157"/>
      <c r="AX94" s="157"/>
      <c r="AY94" s="157"/>
      <c r="AZ94" s="157"/>
      <c r="BA94" s="157"/>
      <c r="BB94" s="157"/>
      <c r="BC94" s="157"/>
      <c r="BD94" s="157"/>
      <c r="BE94" s="157"/>
      <c r="BF94" s="157"/>
      <c r="BG94" s="157"/>
      <c r="BH94" s="157"/>
      <c r="BI94" s="157"/>
      <c r="BJ94" s="157"/>
      <c r="BK94" s="157"/>
      <c r="BL94" s="157"/>
      <c r="BM94" s="157"/>
      <c r="BN94" s="157"/>
      <c r="BO94" s="157"/>
      <c r="BP94" s="157"/>
      <c r="BQ94" s="157"/>
      <c r="BR94" s="157"/>
      <c r="BS94" s="157"/>
      <c r="BT94" s="157"/>
      <c r="BU94" s="157"/>
      <c r="BV94" s="157"/>
      <c r="BW94" s="157"/>
      <c r="BX94" s="157"/>
      <c r="BY94" s="157"/>
      <c r="BZ94" s="157"/>
      <c r="CA94" s="157"/>
      <c r="CB94" s="157"/>
      <c r="CC94" s="157"/>
      <c r="CD94" s="157"/>
      <c r="CE94" s="157"/>
      <c r="CF94" s="157"/>
      <c r="CG94" s="157"/>
      <c r="CH94" s="157"/>
      <c r="CI94" s="157"/>
      <c r="CJ94" s="157"/>
      <c r="CK94" s="157"/>
      <c r="CL94" s="157"/>
      <c r="CM94" s="157"/>
      <c r="CN94" s="157"/>
      <c r="CO94" s="157"/>
      <c r="CP94" s="157"/>
      <c r="CQ94" s="157"/>
      <c r="CR94" s="157"/>
      <c r="CS94" s="157"/>
      <c r="CT94" s="157"/>
      <c r="CU94" s="157"/>
      <c r="CV94" s="157"/>
      <c r="CW94" s="157"/>
      <c r="CX94" s="157"/>
      <c r="CY94" s="157"/>
      <c r="CZ94" s="157"/>
      <c r="DA94" s="157"/>
      <c r="DB94" s="157"/>
      <c r="DC94" s="157"/>
      <c r="DD94" s="157"/>
      <c r="DE94" s="157"/>
      <c r="DF94" s="157"/>
      <c r="DG94" s="157"/>
      <c r="DH94" s="157"/>
      <c r="DI94" s="157"/>
      <c r="DJ94" s="157"/>
      <c r="DK94" s="157"/>
      <c r="DL94" s="157"/>
      <c r="DM94" s="157"/>
      <c r="DN94" s="157"/>
      <c r="DO94" s="157"/>
      <c r="DP94" s="157"/>
      <c r="DQ94" s="157"/>
      <c r="DR94" s="157"/>
      <c r="DS94" s="157"/>
      <c r="DT94" s="157"/>
      <c r="DU94" s="157"/>
      <c r="DV94" s="157"/>
      <c r="DW94" s="157"/>
      <c r="DX94" s="157"/>
      <c r="DY94" s="157"/>
      <c r="DZ94" s="157"/>
      <c r="EA94" s="157"/>
      <c r="EB94" s="157"/>
      <c r="EC94" s="157"/>
      <c r="ED94" s="157"/>
      <c r="EE94" s="157"/>
      <c r="EF94" s="157"/>
      <c r="EG94" s="157"/>
      <c r="EH94" s="157"/>
      <c r="EI94" s="157"/>
      <c r="EJ94" s="157"/>
      <c r="EK94" s="157"/>
      <c r="EL94" s="157"/>
      <c r="EM94" s="157"/>
      <c r="EN94" s="157"/>
      <c r="EO94" s="157"/>
      <c r="EP94" s="157"/>
      <c r="EQ94" s="157"/>
      <c r="ER94" s="157"/>
      <c r="ES94" s="157"/>
      <c r="ET94" s="157"/>
      <c r="EU94" s="157"/>
      <c r="EV94" s="157"/>
      <c r="EW94" s="157"/>
      <c r="EX94" s="157"/>
      <c r="EY94" s="157"/>
      <c r="EZ94" s="157"/>
      <c r="FA94" s="157"/>
      <c r="FB94" s="157"/>
      <c r="FC94" s="157"/>
      <c r="FD94" s="157"/>
      <c r="FE94" s="157"/>
      <c r="FF94" s="157"/>
      <c r="FG94" s="157"/>
      <c r="FH94" s="157"/>
      <c r="FI94" s="157"/>
      <c r="FJ94" s="157"/>
      <c r="FK94" s="157"/>
      <c r="FL94" s="157"/>
      <c r="FM94" s="157"/>
      <c r="FN94" s="157"/>
      <c r="FO94" s="157"/>
      <c r="FP94" s="157"/>
      <c r="FQ94" s="157"/>
      <c r="FR94" s="157"/>
      <c r="FS94" s="157"/>
      <c r="FT94" s="157"/>
      <c r="FU94" s="157"/>
      <c r="FV94" s="157"/>
      <c r="FW94" s="157"/>
      <c r="FX94" s="157"/>
      <c r="FY94" s="157"/>
      <c r="FZ94" s="157"/>
      <c r="GA94" s="157"/>
      <c r="GB94" s="157"/>
      <c r="GC94" s="157"/>
      <c r="GD94" s="157"/>
      <c r="GE94" s="157"/>
      <c r="GF94" s="157"/>
      <c r="GG94" s="157"/>
      <c r="GH94" s="157"/>
      <c r="GI94" s="157"/>
      <c r="GJ94" s="157"/>
      <c r="GK94" s="157"/>
      <c r="GL94" s="157"/>
      <c r="GM94" s="157"/>
      <c r="GN94" s="157"/>
      <c r="GO94" s="157"/>
      <c r="GP94" s="157"/>
      <c r="GQ94" s="157"/>
      <c r="GR94" s="157"/>
      <c r="GS94" s="157"/>
      <c r="GT94" s="157"/>
      <c r="GU94" s="157"/>
      <c r="GV94" s="157"/>
      <c r="GW94" s="157"/>
      <c r="GX94" s="157"/>
      <c r="GY94" s="157"/>
      <c r="GZ94" s="157"/>
      <c r="HA94" s="157"/>
      <c r="HB94" s="157"/>
      <c r="HC94" s="157"/>
      <c r="HD94" s="157"/>
      <c r="HE94" s="157"/>
      <c r="HF94" s="157"/>
      <c r="HG94" s="157"/>
      <c r="HH94" s="157"/>
      <c r="HI94" s="157"/>
      <c r="HJ94" s="157"/>
      <c r="HK94" s="157"/>
      <c r="HL94" s="157"/>
      <c r="HM94" s="157"/>
      <c r="HN94" s="157"/>
      <c r="HO94" s="157"/>
      <c r="HP94" s="157"/>
      <c r="HQ94" s="157"/>
      <c r="HR94" s="157"/>
      <c r="HS94" s="157"/>
      <c r="HT94" s="157"/>
      <c r="HU94" s="157"/>
      <c r="HV94" s="157"/>
      <c r="HW94" s="157"/>
      <c r="HX94" s="157"/>
      <c r="HY94" s="157"/>
      <c r="HZ94" s="157"/>
      <c r="IA94" s="157"/>
      <c r="IB94" s="157"/>
      <c r="IC94" s="157"/>
      <c r="ID94" s="157"/>
      <c r="IE94" s="157"/>
      <c r="IF94" s="157"/>
      <c r="IG94" s="157"/>
      <c r="IH94" s="157"/>
      <c r="II94" s="157"/>
      <c r="IJ94" s="157"/>
      <c r="IK94" s="157"/>
      <c r="IL94" s="157"/>
      <c r="IM94" s="157"/>
      <c r="IN94" s="157"/>
      <c r="IO94" s="157"/>
      <c r="IP94" s="157"/>
      <c r="IQ94" s="157"/>
      <c r="IR94" s="157"/>
      <c r="IS94" s="157"/>
      <c r="IT94" s="157"/>
      <c r="IU94" s="157"/>
      <c r="IV94" s="157"/>
      <c r="IW94" s="157"/>
      <c r="IX94" s="157"/>
      <c r="IY94" s="157"/>
      <c r="IZ94" s="157"/>
      <c r="JA94" s="157"/>
      <c r="JB94" s="157"/>
      <c r="JC94" s="157"/>
      <c r="JD94" s="157"/>
      <c r="JE94" s="157"/>
      <c r="JF94" s="157"/>
      <c r="JG94" s="157"/>
      <c r="JH94" s="157"/>
      <c r="JI94" s="157"/>
      <c r="JJ94" s="157"/>
      <c r="JK94" s="157"/>
      <c r="JL94" s="157"/>
      <c r="JM94" s="157"/>
      <c r="JN94" s="157"/>
      <c r="JO94" s="157"/>
      <c r="JP94" s="157"/>
      <c r="JQ94" s="157"/>
      <c r="JR94" s="157"/>
      <c r="JS94" s="157"/>
      <c r="JT94" s="157"/>
      <c r="JU94" s="157"/>
      <c r="JV94" s="157"/>
      <c r="JW94" s="157"/>
      <c r="JX94" s="157"/>
      <c r="JY94" s="157"/>
      <c r="JZ94" s="157"/>
      <c r="KA94" s="157"/>
      <c r="KB94" s="157"/>
      <c r="KC94" s="157"/>
      <c r="KD94" s="157"/>
      <c r="KE94" s="157"/>
      <c r="KF94" s="157"/>
      <c r="KG94" s="157"/>
      <c r="KH94" s="157"/>
      <c r="KI94" s="157"/>
      <c r="KJ94" s="157"/>
      <c r="KK94" s="157"/>
    </row>
    <row r="95" spans="1:297" x14ac:dyDescent="0.2">
      <c r="A95" s="435"/>
      <c r="B95" s="343"/>
      <c r="C95" s="216" t="s">
        <v>210</v>
      </c>
      <c r="D95" s="216" t="s">
        <v>144</v>
      </c>
      <c r="E95" s="233" t="s">
        <v>148</v>
      </c>
      <c r="F95" s="364">
        <f>_xlfn.XLOOKUP($E95,UVintensity!$L$3:$L$14,UVintensity!$U$3:$U$14)</f>
        <v>0.42624574908283974</v>
      </c>
      <c r="G95" s="364">
        <f>_xlfn.XLOOKUP($E95,UVintensity!$L$3:$L$14,UVintensity!$U$3:$U$14)</f>
        <v>0.42624574908283974</v>
      </c>
      <c r="H95" s="364">
        <f>_xlfn.XLOOKUP($E95,UVintensity!$L$3:$L$14,UVintensity!$U$3:$U$14)</f>
        <v>0.42624574908283974</v>
      </c>
      <c r="I95" s="364">
        <f>_xlfn.XLOOKUP($E95,UVintensity!$L$3:$L$14,UVintensity!$U$3:$U$14)</f>
        <v>0.42624574908283974</v>
      </c>
      <c r="J95" s="364">
        <f>_xlfn.XLOOKUP($E95,UVintensity!$L$3:$L$14,UVintensity!$U$3:$U$14)</f>
        <v>0.42624574908283974</v>
      </c>
      <c r="K95" s="364">
        <f>_xlfn.XLOOKUP($E95,UVintensity!$L$3:$L$14,UVintensity!$U$3:$U$14)</f>
        <v>0.42624574908283974</v>
      </c>
      <c r="L95" s="364">
        <f>_xlfn.XLOOKUP($E95,UVintensity!$L$3:$L$14,UVintensity!$U$3:$U$14)</f>
        <v>0.42624574908283974</v>
      </c>
      <c r="M95" s="364">
        <f>_xlfn.XLOOKUP($E95,UVintensity!$L$3:$L$14,UVintensity!$U$3:$U$14)</f>
        <v>0.42624574908283974</v>
      </c>
      <c r="N95" s="342"/>
      <c r="O95" s="154" t="s">
        <v>258</v>
      </c>
      <c r="P95" s="344" t="s">
        <v>257</v>
      </c>
      <c r="AM95" s="157"/>
      <c r="AN95" s="157"/>
      <c r="AO95" s="157"/>
      <c r="AP95" s="157"/>
      <c r="AQ95" s="157"/>
      <c r="AR95" s="157"/>
      <c r="AS95" s="157"/>
      <c r="AT95" s="157"/>
      <c r="AU95" s="157"/>
      <c r="AV95" s="157"/>
      <c r="AW95" s="157"/>
      <c r="AX95" s="157"/>
      <c r="AY95" s="157"/>
      <c r="AZ95" s="157"/>
      <c r="BA95" s="157"/>
      <c r="BB95" s="157"/>
      <c r="BC95" s="157"/>
      <c r="BD95" s="157"/>
      <c r="BE95" s="157"/>
      <c r="BF95" s="157"/>
      <c r="BG95" s="157"/>
      <c r="BH95" s="157"/>
      <c r="BI95" s="157"/>
      <c r="BJ95" s="157"/>
      <c r="BK95" s="157"/>
      <c r="BL95" s="157"/>
      <c r="BM95" s="157"/>
      <c r="BN95" s="157"/>
      <c r="BO95" s="157"/>
      <c r="BP95" s="157"/>
      <c r="BQ95" s="157"/>
      <c r="BR95" s="157"/>
      <c r="BS95" s="157"/>
      <c r="BT95" s="157"/>
      <c r="BU95" s="157"/>
      <c r="BV95" s="157"/>
      <c r="BW95" s="157"/>
      <c r="BX95" s="157"/>
      <c r="BY95" s="157"/>
      <c r="BZ95" s="157"/>
      <c r="CA95" s="157"/>
      <c r="CB95" s="157"/>
      <c r="CC95" s="157"/>
      <c r="CD95" s="157"/>
      <c r="CE95" s="157"/>
      <c r="CF95" s="157"/>
      <c r="CG95" s="157"/>
      <c r="CH95" s="157"/>
      <c r="CI95" s="157"/>
      <c r="CJ95" s="157"/>
      <c r="CK95" s="157"/>
      <c r="CL95" s="157"/>
      <c r="CM95" s="157"/>
      <c r="CN95" s="157"/>
      <c r="CO95" s="157"/>
      <c r="CP95" s="157"/>
      <c r="CQ95" s="157"/>
      <c r="CR95" s="157"/>
      <c r="CS95" s="157"/>
      <c r="CT95" s="157"/>
      <c r="CU95" s="157"/>
      <c r="CV95" s="157"/>
      <c r="CW95" s="157"/>
      <c r="CX95" s="157"/>
      <c r="CY95" s="157"/>
      <c r="CZ95" s="157"/>
      <c r="DA95" s="157"/>
      <c r="DB95" s="157"/>
      <c r="DC95" s="157"/>
      <c r="DD95" s="157"/>
      <c r="DE95" s="157"/>
      <c r="DF95" s="157"/>
      <c r="DG95" s="157"/>
      <c r="DH95" s="157"/>
      <c r="DI95" s="157"/>
      <c r="DJ95" s="157"/>
      <c r="DK95" s="157"/>
      <c r="DL95" s="157"/>
      <c r="DM95" s="157"/>
      <c r="DN95" s="157"/>
      <c r="DO95" s="157"/>
      <c r="DP95" s="157"/>
      <c r="DQ95" s="157"/>
      <c r="DR95" s="157"/>
      <c r="DS95" s="157"/>
      <c r="DT95" s="157"/>
      <c r="DU95" s="157"/>
      <c r="DV95" s="157"/>
      <c r="DW95" s="157"/>
      <c r="DX95" s="157"/>
      <c r="DY95" s="157"/>
      <c r="DZ95" s="157"/>
      <c r="EA95" s="157"/>
      <c r="EB95" s="157"/>
      <c r="EC95" s="157"/>
      <c r="ED95" s="157"/>
      <c r="EE95" s="157"/>
      <c r="EF95" s="157"/>
      <c r="EG95" s="157"/>
      <c r="EH95" s="157"/>
      <c r="EI95" s="157"/>
      <c r="EJ95" s="157"/>
      <c r="EK95" s="157"/>
      <c r="EL95" s="157"/>
      <c r="EM95" s="157"/>
      <c r="EN95" s="157"/>
      <c r="EO95" s="157"/>
      <c r="EP95" s="157"/>
      <c r="EQ95" s="157"/>
      <c r="ER95" s="157"/>
      <c r="ES95" s="157"/>
      <c r="ET95" s="157"/>
      <c r="EU95" s="157"/>
      <c r="EV95" s="157"/>
      <c r="EW95" s="157"/>
      <c r="EX95" s="157"/>
      <c r="EY95" s="157"/>
      <c r="EZ95" s="157"/>
      <c r="FA95" s="157"/>
      <c r="FB95" s="157"/>
      <c r="FC95" s="157"/>
      <c r="FD95" s="157"/>
      <c r="FE95" s="157"/>
      <c r="FF95" s="157"/>
      <c r="FG95" s="157"/>
      <c r="FH95" s="157"/>
      <c r="FI95" s="157"/>
      <c r="FJ95" s="157"/>
      <c r="FK95" s="157"/>
      <c r="FL95" s="157"/>
      <c r="FM95" s="157"/>
      <c r="FN95" s="157"/>
      <c r="FO95" s="157"/>
      <c r="FP95" s="157"/>
      <c r="FQ95" s="157"/>
      <c r="FR95" s="157"/>
      <c r="FS95" s="157"/>
      <c r="FT95" s="157"/>
      <c r="FU95" s="157"/>
      <c r="FV95" s="157"/>
      <c r="FW95" s="157"/>
      <c r="FX95" s="157"/>
      <c r="FY95" s="157"/>
      <c r="FZ95" s="157"/>
      <c r="GA95" s="157"/>
      <c r="GB95" s="157"/>
      <c r="GC95" s="157"/>
      <c r="GD95" s="157"/>
      <c r="GE95" s="157"/>
      <c r="GF95" s="157"/>
      <c r="GG95" s="157"/>
      <c r="GH95" s="157"/>
      <c r="GI95" s="157"/>
      <c r="GJ95" s="157"/>
      <c r="GK95" s="157"/>
      <c r="GL95" s="157"/>
      <c r="GM95" s="157"/>
      <c r="GN95" s="157"/>
      <c r="GO95" s="157"/>
      <c r="GP95" s="157"/>
      <c r="GQ95" s="157"/>
      <c r="GR95" s="157"/>
      <c r="GS95" s="157"/>
      <c r="GT95" s="157"/>
      <c r="GU95" s="157"/>
      <c r="GV95" s="157"/>
      <c r="GW95" s="157"/>
      <c r="GX95" s="157"/>
      <c r="GY95" s="157"/>
      <c r="GZ95" s="157"/>
      <c r="HA95" s="157"/>
      <c r="HB95" s="157"/>
      <c r="HC95" s="157"/>
      <c r="HD95" s="157"/>
      <c r="HE95" s="157"/>
      <c r="HF95" s="157"/>
      <c r="HG95" s="157"/>
      <c r="HH95" s="157"/>
      <c r="HI95" s="157"/>
      <c r="HJ95" s="157"/>
      <c r="HK95" s="157"/>
      <c r="HL95" s="157"/>
      <c r="HM95" s="157"/>
      <c r="HN95" s="157"/>
      <c r="HO95" s="157"/>
      <c r="HP95" s="157"/>
      <c r="HQ95" s="157"/>
      <c r="HR95" s="157"/>
      <c r="HS95" s="157"/>
      <c r="HT95" s="157"/>
      <c r="HU95" s="157"/>
      <c r="HV95" s="157"/>
      <c r="HW95" s="157"/>
      <c r="HX95" s="157"/>
      <c r="HY95" s="157"/>
      <c r="HZ95" s="157"/>
      <c r="IA95" s="157"/>
      <c r="IB95" s="157"/>
      <c r="IC95" s="157"/>
      <c r="ID95" s="157"/>
      <c r="IE95" s="157"/>
      <c r="IF95" s="157"/>
      <c r="IG95" s="157"/>
      <c r="IH95" s="157"/>
      <c r="II95" s="157"/>
      <c r="IJ95" s="157"/>
      <c r="IK95" s="157"/>
      <c r="IL95" s="157"/>
      <c r="IM95" s="157"/>
      <c r="IN95" s="157"/>
      <c r="IO95" s="157"/>
      <c r="IP95" s="157"/>
      <c r="IQ95" s="157"/>
      <c r="IR95" s="157"/>
      <c r="IS95" s="157"/>
      <c r="IT95" s="157"/>
      <c r="IU95" s="157"/>
      <c r="IV95" s="157"/>
      <c r="IW95" s="157"/>
      <c r="IX95" s="157"/>
      <c r="IY95" s="157"/>
      <c r="IZ95" s="157"/>
      <c r="JA95" s="157"/>
      <c r="JB95" s="157"/>
      <c r="JC95" s="157"/>
      <c r="JD95" s="157"/>
      <c r="JE95" s="157"/>
      <c r="JF95" s="157"/>
      <c r="JG95" s="157"/>
      <c r="JH95" s="157"/>
      <c r="JI95" s="157"/>
      <c r="JJ95" s="157"/>
      <c r="JK95" s="157"/>
      <c r="JL95" s="157"/>
      <c r="JM95" s="157"/>
      <c r="JN95" s="157"/>
      <c r="JO95" s="157"/>
      <c r="JP95" s="157"/>
      <c r="JQ95" s="157"/>
      <c r="JR95" s="157"/>
      <c r="JS95" s="157"/>
      <c r="JT95" s="157"/>
      <c r="JU95" s="157"/>
      <c r="JV95" s="157"/>
      <c r="JW95" s="157"/>
      <c r="JX95" s="157"/>
      <c r="JY95" s="157"/>
      <c r="JZ95" s="157"/>
      <c r="KA95" s="157"/>
      <c r="KB95" s="157"/>
      <c r="KC95" s="157"/>
      <c r="KD95" s="157"/>
      <c r="KE95" s="157"/>
      <c r="KF95" s="157"/>
      <c r="KG95" s="157"/>
      <c r="KH95" s="157"/>
      <c r="KI95" s="157"/>
      <c r="KJ95" s="157"/>
      <c r="KK95" s="157"/>
    </row>
    <row r="96" spans="1:297" x14ac:dyDescent="0.2">
      <c r="A96" s="435"/>
      <c r="B96" s="321"/>
      <c r="C96" s="216" t="s">
        <v>210</v>
      </c>
      <c r="D96" s="216" t="s">
        <v>144</v>
      </c>
      <c r="E96" s="233" t="s">
        <v>176</v>
      </c>
      <c r="F96" s="364">
        <f>_xlfn.XLOOKUP($E96,UVintensity!$L$3:$L$14,UVintensity!$U$3:$U$14)</f>
        <v>0</v>
      </c>
      <c r="G96" s="364">
        <f>_xlfn.XLOOKUP($E96,UVintensity!$L$3:$L$14,UVintensity!$U$3:$U$14)</f>
        <v>0</v>
      </c>
      <c r="H96" s="364">
        <f>_xlfn.XLOOKUP($E96,UVintensity!$L$3:$L$14,UVintensity!$U$3:$U$14)</f>
        <v>0</v>
      </c>
      <c r="I96" s="364">
        <f>_xlfn.XLOOKUP($E96,UVintensity!$L$3:$L$14,UVintensity!$U$3:$U$14)</f>
        <v>0</v>
      </c>
      <c r="J96" s="364">
        <f>_xlfn.XLOOKUP($E96,UVintensity!$L$3:$L$14,UVintensity!$U$3:$U$14)</f>
        <v>0</v>
      </c>
      <c r="K96" s="364">
        <f>_xlfn.XLOOKUP($E96,UVintensity!$L$3:$L$14,UVintensity!$U$3:$U$14)</f>
        <v>0</v>
      </c>
      <c r="L96" s="364">
        <f>_xlfn.XLOOKUP($E96,UVintensity!$L$3:$L$14,UVintensity!$U$3:$U$14)</f>
        <v>0</v>
      </c>
      <c r="M96" s="364">
        <f>_xlfn.XLOOKUP($E96,UVintensity!$L$3:$L$14,UVintensity!$U$3:$U$14)</f>
        <v>0</v>
      </c>
      <c r="N96" s="164"/>
      <c r="O96" s="154" t="s">
        <v>258</v>
      </c>
      <c r="P96" s="344" t="s">
        <v>257</v>
      </c>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7"/>
      <c r="CH96" s="157"/>
      <c r="CI96" s="157"/>
      <c r="CJ96" s="157"/>
      <c r="CK96" s="157"/>
      <c r="CL96" s="157"/>
      <c r="CM96" s="157"/>
      <c r="CN96" s="157"/>
      <c r="CO96" s="157"/>
      <c r="CP96" s="157"/>
      <c r="CQ96" s="157"/>
      <c r="CR96" s="157"/>
      <c r="CS96" s="157"/>
      <c r="CT96" s="157"/>
      <c r="CU96" s="157"/>
      <c r="CV96" s="157"/>
      <c r="CW96" s="157"/>
      <c r="CX96" s="157"/>
      <c r="CY96" s="157"/>
      <c r="CZ96" s="157"/>
      <c r="DA96" s="157"/>
      <c r="DB96" s="157"/>
      <c r="DC96" s="157"/>
      <c r="DD96" s="157"/>
      <c r="DE96" s="157"/>
      <c r="DF96" s="157"/>
      <c r="DG96" s="157"/>
      <c r="DH96" s="157"/>
      <c r="DI96" s="157"/>
      <c r="DJ96" s="157"/>
      <c r="DK96" s="157"/>
      <c r="DL96" s="157"/>
      <c r="DM96" s="157"/>
      <c r="DN96" s="157"/>
      <c r="DO96" s="157"/>
      <c r="DP96" s="157"/>
      <c r="DQ96" s="157"/>
      <c r="DR96" s="157"/>
      <c r="DS96" s="157"/>
      <c r="DT96" s="157"/>
      <c r="DU96" s="157"/>
      <c r="DV96" s="157"/>
      <c r="DW96" s="157"/>
      <c r="DX96" s="157"/>
      <c r="DY96" s="157"/>
      <c r="DZ96" s="157"/>
      <c r="EA96" s="157"/>
      <c r="EB96" s="157"/>
      <c r="EC96" s="157"/>
      <c r="ED96" s="157"/>
      <c r="EE96" s="157"/>
      <c r="EF96" s="157"/>
      <c r="EG96" s="157"/>
      <c r="EH96" s="157"/>
      <c r="EI96" s="157"/>
      <c r="EJ96" s="157"/>
      <c r="EK96" s="157"/>
      <c r="EL96" s="157"/>
      <c r="EM96" s="157"/>
      <c r="EN96" s="157"/>
      <c r="EO96" s="157"/>
      <c r="EP96" s="157"/>
      <c r="EQ96" s="157"/>
      <c r="ER96" s="157"/>
      <c r="ES96" s="157"/>
      <c r="ET96" s="157"/>
      <c r="EU96" s="157"/>
      <c r="EV96" s="157"/>
      <c r="EW96" s="157"/>
      <c r="EX96" s="157"/>
      <c r="EY96" s="157"/>
      <c r="EZ96" s="157"/>
      <c r="FA96" s="157"/>
      <c r="FB96" s="157"/>
      <c r="FC96" s="157"/>
      <c r="FD96" s="157"/>
      <c r="FE96" s="157"/>
      <c r="FF96" s="157"/>
      <c r="FG96" s="157"/>
      <c r="FH96" s="157"/>
      <c r="FI96" s="157"/>
      <c r="FJ96" s="157"/>
      <c r="FK96" s="157"/>
      <c r="FL96" s="157"/>
      <c r="FM96" s="157"/>
      <c r="FN96" s="157"/>
      <c r="FO96" s="157"/>
      <c r="FP96" s="157"/>
      <c r="FQ96" s="157"/>
      <c r="FR96" s="157"/>
      <c r="FS96" s="157"/>
      <c r="FT96" s="157"/>
      <c r="FU96" s="157"/>
      <c r="FV96" s="157"/>
      <c r="FW96" s="157"/>
      <c r="FX96" s="157"/>
      <c r="FY96" s="157"/>
      <c r="FZ96" s="157"/>
      <c r="GA96" s="157"/>
      <c r="GB96" s="157"/>
      <c r="GC96" s="157"/>
      <c r="GD96" s="157"/>
      <c r="GE96" s="157"/>
      <c r="GF96" s="157"/>
      <c r="GG96" s="157"/>
      <c r="GH96" s="157"/>
      <c r="GI96" s="157"/>
      <c r="GJ96" s="157"/>
      <c r="GK96" s="157"/>
      <c r="GL96" s="157"/>
      <c r="GM96" s="157"/>
      <c r="GN96" s="157"/>
      <c r="GO96" s="157"/>
      <c r="GP96" s="157"/>
      <c r="GQ96" s="157"/>
      <c r="GR96" s="157"/>
      <c r="GS96" s="157"/>
      <c r="GT96" s="157"/>
      <c r="GU96" s="157"/>
      <c r="GV96" s="157"/>
      <c r="GW96" s="157"/>
      <c r="GX96" s="157"/>
      <c r="GY96" s="157"/>
      <c r="GZ96" s="157"/>
      <c r="HA96" s="157"/>
      <c r="HB96" s="157"/>
      <c r="HC96" s="157"/>
      <c r="HD96" s="157"/>
      <c r="HE96" s="157"/>
      <c r="HF96" s="157"/>
      <c r="HG96" s="157"/>
      <c r="HH96" s="157"/>
      <c r="HI96" s="157"/>
      <c r="HJ96" s="157"/>
      <c r="HK96" s="157"/>
      <c r="HL96" s="157"/>
      <c r="HM96" s="157"/>
      <c r="HN96" s="157"/>
      <c r="HO96" s="157"/>
      <c r="HP96" s="157"/>
      <c r="HQ96" s="157"/>
      <c r="HR96" s="157"/>
      <c r="HS96" s="157"/>
      <c r="HT96" s="157"/>
      <c r="HU96" s="157"/>
      <c r="HV96" s="157"/>
      <c r="HW96" s="157"/>
      <c r="HX96" s="157"/>
      <c r="HY96" s="157"/>
      <c r="HZ96" s="157"/>
      <c r="IA96" s="157"/>
      <c r="IB96" s="157"/>
      <c r="IC96" s="157"/>
      <c r="ID96" s="157"/>
      <c r="IE96" s="157"/>
      <c r="IF96" s="157"/>
      <c r="IG96" s="157"/>
      <c r="IH96" s="157"/>
      <c r="II96" s="157"/>
      <c r="IJ96" s="157"/>
      <c r="IK96" s="157"/>
      <c r="IL96" s="157"/>
      <c r="IM96" s="157"/>
      <c r="IN96" s="157"/>
      <c r="IO96" s="157"/>
      <c r="IP96" s="157"/>
      <c r="IQ96" s="157"/>
      <c r="IR96" s="157"/>
      <c r="IS96" s="157"/>
      <c r="IT96" s="157"/>
      <c r="IU96" s="157"/>
      <c r="IV96" s="157"/>
      <c r="IW96" s="157"/>
      <c r="IX96" s="157"/>
      <c r="IY96" s="157"/>
      <c r="IZ96" s="157"/>
      <c r="JA96" s="157"/>
      <c r="JB96" s="157"/>
      <c r="JC96" s="157"/>
      <c r="JD96" s="157"/>
      <c r="JE96" s="157"/>
      <c r="JF96" s="157"/>
      <c r="JG96" s="157"/>
      <c r="JH96" s="157"/>
      <c r="JI96" s="157"/>
      <c r="JJ96" s="157"/>
      <c r="JK96" s="157"/>
      <c r="JL96" s="157"/>
      <c r="JM96" s="157"/>
      <c r="JN96" s="157"/>
      <c r="JO96" s="157"/>
      <c r="JP96" s="157"/>
      <c r="JQ96" s="157"/>
      <c r="JR96" s="157"/>
      <c r="JS96" s="157"/>
      <c r="JT96" s="157"/>
      <c r="JU96" s="157"/>
      <c r="JV96" s="157"/>
      <c r="JW96" s="157"/>
      <c r="JX96" s="157"/>
      <c r="JY96" s="157"/>
      <c r="JZ96" s="157"/>
      <c r="KA96" s="157"/>
      <c r="KB96" s="157"/>
      <c r="KC96" s="157"/>
      <c r="KD96" s="157"/>
      <c r="KE96" s="157"/>
      <c r="KF96" s="157"/>
      <c r="KG96" s="157"/>
      <c r="KH96" s="157"/>
      <c r="KI96" s="157"/>
      <c r="KJ96" s="157"/>
      <c r="KK96" s="157"/>
    </row>
    <row r="97" spans="1:297" x14ac:dyDescent="0.2">
      <c r="A97" s="435"/>
      <c r="B97" s="343"/>
      <c r="C97" s="216" t="s">
        <v>210</v>
      </c>
      <c r="D97" s="216" t="s">
        <v>144</v>
      </c>
      <c r="E97" s="233" t="s">
        <v>158</v>
      </c>
      <c r="F97" s="364">
        <f>_xlfn.XLOOKUP($E97,UVintensity!$L$3:$L$14,UVintensity!$U$3:$U$14)</f>
        <v>3.9785385280075354</v>
      </c>
      <c r="G97" s="364">
        <f>_xlfn.XLOOKUP($E97,UVintensity!$L$3:$L$14,UVintensity!$U$3:$U$14)</f>
        <v>3.9785385280075354</v>
      </c>
      <c r="H97" s="364">
        <f>_xlfn.XLOOKUP($E97,UVintensity!$L$3:$L$14,UVintensity!$U$3:$U$14)</f>
        <v>3.9785385280075354</v>
      </c>
      <c r="I97" s="364">
        <f>_xlfn.XLOOKUP($E97,UVintensity!$L$3:$L$14,UVintensity!$U$3:$U$14)</f>
        <v>3.9785385280075354</v>
      </c>
      <c r="J97" s="364">
        <f>_xlfn.XLOOKUP($E97,UVintensity!$L$3:$L$14,UVintensity!$U$3:$U$14)</f>
        <v>3.9785385280075354</v>
      </c>
      <c r="K97" s="364">
        <f>_xlfn.XLOOKUP($E97,UVintensity!$L$3:$L$14,UVintensity!$U$3:$U$14)</f>
        <v>3.9785385280075354</v>
      </c>
      <c r="L97" s="364">
        <f>_xlfn.XLOOKUP($E97,UVintensity!$L$3:$L$14,UVintensity!$U$3:$U$14)</f>
        <v>3.9785385280075354</v>
      </c>
      <c r="M97" s="364">
        <f>_xlfn.XLOOKUP($E97,UVintensity!$L$3:$L$14,UVintensity!$U$3:$U$14)</f>
        <v>3.9785385280075354</v>
      </c>
      <c r="N97" s="342"/>
      <c r="O97" s="154" t="s">
        <v>258</v>
      </c>
      <c r="P97" s="344" t="s">
        <v>257</v>
      </c>
      <c r="AM97" s="157"/>
      <c r="AN97" s="157"/>
      <c r="AO97" s="157"/>
      <c r="AP97" s="157"/>
      <c r="AQ97" s="157"/>
      <c r="AR97" s="157"/>
      <c r="AS97" s="157"/>
      <c r="AT97" s="157"/>
      <c r="AU97" s="157"/>
      <c r="AV97" s="157"/>
      <c r="AW97" s="157"/>
      <c r="AX97" s="157"/>
      <c r="AY97" s="157"/>
      <c r="AZ97" s="157"/>
      <c r="BA97" s="157"/>
      <c r="BB97" s="157"/>
      <c r="BC97" s="157"/>
      <c r="BD97" s="157"/>
      <c r="BE97" s="157"/>
      <c r="BF97" s="157"/>
      <c r="BG97" s="157"/>
      <c r="BH97" s="157"/>
      <c r="BI97" s="157"/>
      <c r="BJ97" s="157"/>
      <c r="BK97" s="157"/>
      <c r="BL97" s="157"/>
      <c r="BM97" s="157"/>
      <c r="BN97" s="157"/>
      <c r="BO97" s="157"/>
      <c r="BP97" s="157"/>
      <c r="BQ97" s="157"/>
      <c r="BR97" s="157"/>
      <c r="BS97" s="157"/>
      <c r="BT97" s="157"/>
      <c r="BU97" s="157"/>
      <c r="BV97" s="157"/>
      <c r="BW97" s="157"/>
      <c r="BX97" s="157"/>
      <c r="BY97" s="157"/>
      <c r="BZ97" s="157"/>
      <c r="CA97" s="157"/>
      <c r="CB97" s="157"/>
      <c r="CC97" s="157"/>
      <c r="CD97" s="157"/>
      <c r="CE97" s="157"/>
      <c r="CF97" s="157"/>
      <c r="CG97" s="157"/>
      <c r="CH97" s="157"/>
      <c r="CI97" s="157"/>
      <c r="CJ97" s="157"/>
      <c r="CK97" s="157"/>
      <c r="CL97" s="157"/>
      <c r="CM97" s="157"/>
      <c r="CN97" s="157"/>
      <c r="CO97" s="157"/>
      <c r="CP97" s="157"/>
      <c r="CQ97" s="157"/>
      <c r="CR97" s="157"/>
      <c r="CS97" s="157"/>
      <c r="CT97" s="157"/>
      <c r="CU97" s="157"/>
      <c r="CV97" s="157"/>
      <c r="CW97" s="157"/>
      <c r="CX97" s="157"/>
      <c r="CY97" s="157"/>
      <c r="CZ97" s="157"/>
      <c r="DA97" s="157"/>
      <c r="DB97" s="157"/>
      <c r="DC97" s="157"/>
      <c r="DD97" s="157"/>
      <c r="DE97" s="157"/>
      <c r="DF97" s="157"/>
      <c r="DG97" s="157"/>
      <c r="DH97" s="157"/>
      <c r="DI97" s="157"/>
      <c r="DJ97" s="157"/>
      <c r="DK97" s="157"/>
      <c r="DL97" s="157"/>
      <c r="DM97" s="157"/>
      <c r="DN97" s="157"/>
      <c r="DO97" s="157"/>
      <c r="DP97" s="157"/>
      <c r="DQ97" s="157"/>
      <c r="DR97" s="157"/>
      <c r="DS97" s="157"/>
      <c r="DT97" s="157"/>
      <c r="DU97" s="157"/>
      <c r="DV97" s="157"/>
      <c r="DW97" s="157"/>
      <c r="DX97" s="157"/>
      <c r="DY97" s="157"/>
      <c r="DZ97" s="157"/>
      <c r="EA97" s="157"/>
      <c r="EB97" s="157"/>
      <c r="EC97" s="157"/>
      <c r="ED97" s="157"/>
      <c r="EE97" s="157"/>
      <c r="EF97" s="157"/>
      <c r="EG97" s="157"/>
      <c r="EH97" s="157"/>
      <c r="EI97" s="157"/>
      <c r="EJ97" s="157"/>
      <c r="EK97" s="157"/>
      <c r="EL97" s="157"/>
      <c r="EM97" s="157"/>
      <c r="EN97" s="157"/>
      <c r="EO97" s="157"/>
      <c r="EP97" s="157"/>
      <c r="EQ97" s="157"/>
      <c r="ER97" s="157"/>
      <c r="ES97" s="157"/>
      <c r="ET97" s="157"/>
      <c r="EU97" s="157"/>
      <c r="EV97" s="157"/>
      <c r="EW97" s="157"/>
      <c r="EX97" s="157"/>
      <c r="EY97" s="157"/>
      <c r="EZ97" s="157"/>
      <c r="FA97" s="157"/>
      <c r="FB97" s="157"/>
      <c r="FC97" s="157"/>
      <c r="FD97" s="157"/>
      <c r="FE97" s="157"/>
      <c r="FF97" s="157"/>
      <c r="FG97" s="157"/>
      <c r="FH97" s="157"/>
      <c r="FI97" s="157"/>
      <c r="FJ97" s="157"/>
      <c r="FK97" s="157"/>
      <c r="FL97" s="157"/>
      <c r="FM97" s="157"/>
      <c r="FN97" s="157"/>
      <c r="FO97" s="157"/>
      <c r="FP97" s="157"/>
      <c r="FQ97" s="157"/>
      <c r="FR97" s="157"/>
      <c r="FS97" s="157"/>
      <c r="FT97" s="157"/>
      <c r="FU97" s="157"/>
      <c r="FV97" s="157"/>
      <c r="FW97" s="157"/>
      <c r="FX97" s="157"/>
      <c r="FY97" s="157"/>
      <c r="FZ97" s="157"/>
      <c r="GA97" s="157"/>
      <c r="GB97" s="157"/>
      <c r="GC97" s="157"/>
      <c r="GD97" s="157"/>
      <c r="GE97" s="157"/>
      <c r="GF97" s="157"/>
      <c r="GG97" s="157"/>
      <c r="GH97" s="157"/>
      <c r="GI97" s="157"/>
      <c r="GJ97" s="157"/>
      <c r="GK97" s="157"/>
      <c r="GL97" s="157"/>
      <c r="GM97" s="157"/>
      <c r="GN97" s="157"/>
      <c r="GO97" s="157"/>
      <c r="GP97" s="157"/>
      <c r="GQ97" s="157"/>
      <c r="GR97" s="157"/>
      <c r="GS97" s="157"/>
      <c r="GT97" s="157"/>
      <c r="GU97" s="157"/>
      <c r="GV97" s="157"/>
      <c r="GW97" s="157"/>
      <c r="GX97" s="157"/>
      <c r="GY97" s="157"/>
      <c r="GZ97" s="157"/>
      <c r="HA97" s="157"/>
      <c r="HB97" s="157"/>
      <c r="HC97" s="157"/>
      <c r="HD97" s="157"/>
      <c r="HE97" s="157"/>
      <c r="HF97" s="157"/>
      <c r="HG97" s="157"/>
      <c r="HH97" s="157"/>
      <c r="HI97" s="157"/>
      <c r="HJ97" s="157"/>
      <c r="HK97" s="157"/>
      <c r="HL97" s="157"/>
      <c r="HM97" s="157"/>
      <c r="HN97" s="157"/>
      <c r="HO97" s="157"/>
      <c r="HP97" s="157"/>
      <c r="HQ97" s="157"/>
      <c r="HR97" s="157"/>
      <c r="HS97" s="157"/>
      <c r="HT97" s="157"/>
      <c r="HU97" s="157"/>
      <c r="HV97" s="157"/>
      <c r="HW97" s="157"/>
      <c r="HX97" s="157"/>
      <c r="HY97" s="157"/>
      <c r="HZ97" s="157"/>
      <c r="IA97" s="157"/>
      <c r="IB97" s="157"/>
      <c r="IC97" s="157"/>
      <c r="ID97" s="157"/>
      <c r="IE97" s="157"/>
      <c r="IF97" s="157"/>
      <c r="IG97" s="157"/>
      <c r="IH97" s="157"/>
      <c r="II97" s="157"/>
      <c r="IJ97" s="157"/>
      <c r="IK97" s="157"/>
      <c r="IL97" s="157"/>
      <c r="IM97" s="157"/>
      <c r="IN97" s="157"/>
      <c r="IO97" s="157"/>
      <c r="IP97" s="157"/>
      <c r="IQ97" s="157"/>
      <c r="IR97" s="157"/>
      <c r="IS97" s="157"/>
      <c r="IT97" s="157"/>
      <c r="IU97" s="157"/>
      <c r="IV97" s="157"/>
      <c r="IW97" s="157"/>
      <c r="IX97" s="157"/>
      <c r="IY97" s="157"/>
      <c r="IZ97" s="157"/>
      <c r="JA97" s="157"/>
      <c r="JB97" s="157"/>
      <c r="JC97" s="157"/>
      <c r="JD97" s="157"/>
      <c r="JE97" s="157"/>
      <c r="JF97" s="157"/>
      <c r="JG97" s="157"/>
      <c r="JH97" s="157"/>
      <c r="JI97" s="157"/>
      <c r="JJ97" s="157"/>
      <c r="JK97" s="157"/>
      <c r="JL97" s="157"/>
      <c r="JM97" s="157"/>
      <c r="JN97" s="157"/>
      <c r="JO97" s="157"/>
      <c r="JP97" s="157"/>
      <c r="JQ97" s="157"/>
      <c r="JR97" s="157"/>
      <c r="JS97" s="157"/>
      <c r="JT97" s="157"/>
      <c r="JU97" s="157"/>
      <c r="JV97" s="157"/>
      <c r="JW97" s="157"/>
      <c r="JX97" s="157"/>
      <c r="JY97" s="157"/>
      <c r="JZ97" s="157"/>
      <c r="KA97" s="157"/>
      <c r="KB97" s="157"/>
      <c r="KC97" s="157"/>
      <c r="KD97" s="157"/>
      <c r="KE97" s="157"/>
      <c r="KF97" s="157"/>
      <c r="KG97" s="157"/>
      <c r="KH97" s="157"/>
      <c r="KI97" s="157"/>
      <c r="KJ97" s="157"/>
      <c r="KK97" s="157"/>
    </row>
    <row r="98" spans="1:297" x14ac:dyDescent="0.2">
      <c r="A98" s="435"/>
      <c r="B98" s="343"/>
      <c r="C98" s="216" t="s">
        <v>211</v>
      </c>
      <c r="D98" s="216" t="s">
        <v>144</v>
      </c>
      <c r="E98" s="233" t="s">
        <v>151</v>
      </c>
      <c r="F98" s="364">
        <v>121000000</v>
      </c>
      <c r="G98" s="364">
        <v>121000000</v>
      </c>
      <c r="H98" s="364">
        <v>121000000</v>
      </c>
      <c r="I98" s="364">
        <v>121000000</v>
      </c>
      <c r="J98" s="364">
        <v>121000000</v>
      </c>
      <c r="K98" s="364">
        <v>121000000</v>
      </c>
      <c r="L98" s="364">
        <v>121000000</v>
      </c>
      <c r="M98" s="364">
        <v>121000000</v>
      </c>
      <c r="N98" s="164"/>
      <c r="O98" s="154" t="s">
        <v>260</v>
      </c>
      <c r="P98" s="344" t="s">
        <v>257</v>
      </c>
      <c r="AM98" s="157"/>
      <c r="AN98" s="157"/>
      <c r="AO98" s="157"/>
      <c r="AP98" s="157"/>
      <c r="AQ98" s="157"/>
      <c r="AR98" s="157"/>
      <c r="AS98" s="157"/>
      <c r="AT98" s="157"/>
      <c r="AU98" s="157"/>
      <c r="AV98" s="157"/>
      <c r="AW98" s="157"/>
      <c r="AX98" s="157"/>
      <c r="AY98" s="157"/>
      <c r="AZ98" s="157"/>
      <c r="BA98" s="157"/>
      <c r="BB98" s="157"/>
      <c r="BC98" s="157"/>
      <c r="BD98" s="157"/>
      <c r="BE98" s="157"/>
      <c r="BF98" s="157"/>
      <c r="BG98" s="157"/>
      <c r="BH98" s="157"/>
      <c r="BI98" s="157"/>
      <c r="BJ98" s="157"/>
      <c r="BK98" s="157"/>
      <c r="BL98" s="157"/>
      <c r="BM98" s="157"/>
      <c r="BN98" s="157"/>
      <c r="BO98" s="157"/>
      <c r="BP98" s="157"/>
      <c r="BQ98" s="157"/>
      <c r="BR98" s="157"/>
      <c r="BS98" s="157"/>
      <c r="BT98" s="157"/>
      <c r="BU98" s="157"/>
      <c r="BV98" s="157"/>
      <c r="BW98" s="157"/>
      <c r="BX98" s="157"/>
      <c r="BY98" s="157"/>
      <c r="BZ98" s="157"/>
      <c r="CA98" s="157"/>
      <c r="CB98" s="157"/>
      <c r="CC98" s="157"/>
      <c r="CD98" s="157"/>
      <c r="CE98" s="157"/>
      <c r="CF98" s="157"/>
      <c r="CG98" s="157"/>
      <c r="CH98" s="157"/>
      <c r="CI98" s="157"/>
      <c r="CJ98" s="157"/>
      <c r="CK98" s="157"/>
      <c r="CL98" s="157"/>
      <c r="CM98" s="157"/>
      <c r="CN98" s="157"/>
      <c r="CO98" s="157"/>
      <c r="CP98" s="157"/>
      <c r="CQ98" s="157"/>
      <c r="CR98" s="157"/>
      <c r="CS98" s="157"/>
      <c r="CT98" s="157"/>
      <c r="CU98" s="157"/>
      <c r="CV98" s="157"/>
      <c r="CW98" s="157"/>
      <c r="CX98" s="157"/>
      <c r="CY98" s="157"/>
      <c r="CZ98" s="157"/>
      <c r="DA98" s="157"/>
      <c r="DB98" s="157"/>
      <c r="DC98" s="157"/>
      <c r="DD98" s="157"/>
      <c r="DE98" s="157"/>
      <c r="DF98" s="157"/>
      <c r="DG98" s="157"/>
      <c r="DH98" s="157"/>
      <c r="DI98" s="157"/>
      <c r="DJ98" s="157"/>
      <c r="DK98" s="157"/>
      <c r="DL98" s="157"/>
      <c r="DM98" s="157"/>
      <c r="DN98" s="157"/>
      <c r="DO98" s="157"/>
      <c r="DP98" s="157"/>
      <c r="DQ98" s="157"/>
      <c r="DR98" s="157"/>
      <c r="DS98" s="157"/>
      <c r="DT98" s="157"/>
      <c r="DU98" s="157"/>
      <c r="DV98" s="157"/>
      <c r="DW98" s="157"/>
      <c r="DX98" s="157"/>
      <c r="DY98" s="157"/>
      <c r="DZ98" s="157"/>
      <c r="EA98" s="157"/>
      <c r="EB98" s="157"/>
      <c r="EC98" s="157"/>
      <c r="ED98" s="157"/>
      <c r="EE98" s="157"/>
      <c r="EF98" s="157"/>
      <c r="EG98" s="157"/>
      <c r="EH98" s="157"/>
      <c r="EI98" s="157"/>
      <c r="EJ98" s="157"/>
      <c r="EK98" s="157"/>
      <c r="EL98" s="157"/>
      <c r="EM98" s="157"/>
      <c r="EN98" s="157"/>
      <c r="EO98" s="157"/>
      <c r="EP98" s="157"/>
      <c r="EQ98" s="157"/>
      <c r="ER98" s="157"/>
      <c r="ES98" s="157"/>
      <c r="ET98" s="157"/>
      <c r="EU98" s="157"/>
      <c r="EV98" s="157"/>
      <c r="EW98" s="157"/>
      <c r="EX98" s="157"/>
      <c r="EY98" s="157"/>
      <c r="EZ98" s="157"/>
      <c r="FA98" s="157"/>
      <c r="FB98" s="157"/>
      <c r="FC98" s="157"/>
      <c r="FD98" s="157"/>
      <c r="FE98" s="157"/>
      <c r="FF98" s="157"/>
      <c r="FG98" s="157"/>
      <c r="FH98" s="157"/>
      <c r="FI98" s="157"/>
      <c r="FJ98" s="157"/>
      <c r="FK98" s="157"/>
      <c r="FL98" s="157"/>
      <c r="FM98" s="157"/>
      <c r="FN98" s="157"/>
      <c r="FO98" s="157"/>
      <c r="FP98" s="157"/>
      <c r="FQ98" s="157"/>
      <c r="FR98" s="157"/>
      <c r="FS98" s="157"/>
      <c r="FT98" s="157"/>
      <c r="FU98" s="157"/>
      <c r="FV98" s="157"/>
      <c r="FW98" s="157"/>
      <c r="FX98" s="157"/>
      <c r="FY98" s="157"/>
      <c r="FZ98" s="157"/>
      <c r="GA98" s="157"/>
      <c r="GB98" s="157"/>
      <c r="GC98" s="157"/>
      <c r="GD98" s="157"/>
      <c r="GE98" s="157"/>
      <c r="GF98" s="157"/>
      <c r="GG98" s="157"/>
      <c r="GH98" s="157"/>
      <c r="GI98" s="157"/>
      <c r="GJ98" s="157"/>
      <c r="GK98" s="157"/>
      <c r="GL98" s="157"/>
      <c r="GM98" s="157"/>
      <c r="GN98" s="157"/>
      <c r="GO98" s="157"/>
      <c r="GP98" s="157"/>
      <c r="GQ98" s="157"/>
      <c r="GR98" s="157"/>
      <c r="GS98" s="157"/>
      <c r="GT98" s="157"/>
      <c r="GU98" s="157"/>
      <c r="GV98" s="157"/>
      <c r="GW98" s="157"/>
      <c r="GX98" s="157"/>
      <c r="GY98" s="157"/>
      <c r="GZ98" s="157"/>
      <c r="HA98" s="157"/>
      <c r="HB98" s="157"/>
      <c r="HC98" s="157"/>
      <c r="HD98" s="157"/>
      <c r="HE98" s="157"/>
      <c r="HF98" s="157"/>
      <c r="HG98" s="157"/>
      <c r="HH98" s="157"/>
      <c r="HI98" s="157"/>
      <c r="HJ98" s="157"/>
      <c r="HK98" s="157"/>
      <c r="HL98" s="157"/>
      <c r="HM98" s="157"/>
      <c r="HN98" s="157"/>
      <c r="HO98" s="157"/>
      <c r="HP98" s="157"/>
      <c r="HQ98" s="157"/>
      <c r="HR98" s="157"/>
      <c r="HS98" s="157"/>
      <c r="HT98" s="157"/>
      <c r="HU98" s="157"/>
      <c r="HV98" s="157"/>
      <c r="HW98" s="157"/>
      <c r="HX98" s="157"/>
      <c r="HY98" s="157"/>
      <c r="HZ98" s="157"/>
      <c r="IA98" s="157"/>
      <c r="IB98" s="157"/>
      <c r="IC98" s="157"/>
      <c r="ID98" s="157"/>
      <c r="IE98" s="157"/>
      <c r="IF98" s="157"/>
      <c r="IG98" s="157"/>
      <c r="IH98" s="157"/>
      <c r="II98" s="157"/>
      <c r="IJ98" s="157"/>
      <c r="IK98" s="157"/>
      <c r="IL98" s="157"/>
      <c r="IM98" s="157"/>
      <c r="IN98" s="157"/>
      <c r="IO98" s="157"/>
      <c r="IP98" s="157"/>
      <c r="IQ98" s="157"/>
      <c r="IR98" s="157"/>
      <c r="IS98" s="157"/>
      <c r="IT98" s="157"/>
      <c r="IU98" s="157"/>
      <c r="IV98" s="157"/>
      <c r="IW98" s="157"/>
      <c r="IX98" s="157"/>
      <c r="IY98" s="157"/>
      <c r="IZ98" s="157"/>
      <c r="JA98" s="157"/>
      <c r="JB98" s="157"/>
      <c r="JC98" s="157"/>
      <c r="JD98" s="157"/>
      <c r="JE98" s="157"/>
      <c r="JF98" s="157"/>
      <c r="JG98" s="157"/>
      <c r="JH98" s="157"/>
      <c r="JI98" s="157"/>
      <c r="JJ98" s="157"/>
      <c r="JK98" s="157"/>
      <c r="JL98" s="157"/>
      <c r="JM98" s="157"/>
      <c r="JN98" s="157"/>
      <c r="JO98" s="157"/>
      <c r="JP98" s="157"/>
      <c r="JQ98" s="157"/>
      <c r="JR98" s="157"/>
      <c r="JS98" s="157"/>
      <c r="JT98" s="157"/>
      <c r="JU98" s="157"/>
      <c r="JV98" s="157"/>
      <c r="JW98" s="157"/>
      <c r="JX98" s="157"/>
      <c r="JY98" s="157"/>
      <c r="JZ98" s="157"/>
      <c r="KA98" s="157"/>
      <c r="KB98" s="157"/>
      <c r="KC98" s="157"/>
      <c r="KD98" s="157"/>
      <c r="KE98" s="157"/>
      <c r="KF98" s="157"/>
      <c r="KG98" s="157"/>
      <c r="KH98" s="157"/>
      <c r="KI98" s="157"/>
      <c r="KJ98" s="157"/>
      <c r="KK98" s="157"/>
    </row>
    <row r="99" spans="1:297" x14ac:dyDescent="0.2">
      <c r="A99" s="435"/>
      <c r="B99" s="343"/>
      <c r="C99" s="216" t="s">
        <v>211</v>
      </c>
      <c r="D99" s="216" t="s">
        <v>144</v>
      </c>
      <c r="E99" s="233" t="s">
        <v>130</v>
      </c>
      <c r="F99" s="364">
        <v>0.5</v>
      </c>
      <c r="G99" s="364">
        <v>0.5</v>
      </c>
      <c r="H99" s="364">
        <v>0.5</v>
      </c>
      <c r="I99" s="364">
        <v>0.5</v>
      </c>
      <c r="J99" s="364">
        <v>0.5</v>
      </c>
      <c r="K99" s="364">
        <v>0.5</v>
      </c>
      <c r="L99" s="364">
        <v>0.5</v>
      </c>
      <c r="M99" s="364">
        <v>0.5</v>
      </c>
      <c r="N99" s="164"/>
      <c r="O99" s="154" t="s">
        <v>260</v>
      </c>
      <c r="P99" s="344" t="s">
        <v>257</v>
      </c>
      <c r="AM99" s="157"/>
      <c r="AN99" s="157"/>
      <c r="AO99" s="157"/>
      <c r="AP99" s="157"/>
      <c r="AQ99" s="157"/>
      <c r="AR99" s="157"/>
      <c r="AS99" s="157"/>
      <c r="AT99" s="157"/>
      <c r="AU99" s="157"/>
      <c r="AV99" s="157"/>
      <c r="AW99" s="157"/>
      <c r="AX99" s="157"/>
      <c r="AY99" s="157"/>
      <c r="AZ99" s="157"/>
      <c r="BA99" s="157"/>
      <c r="BB99" s="157"/>
      <c r="BC99" s="157"/>
      <c r="BD99" s="157"/>
      <c r="BE99" s="157"/>
      <c r="BF99" s="157"/>
      <c r="BG99" s="157"/>
      <c r="BH99" s="157"/>
      <c r="BI99" s="157"/>
      <c r="BJ99" s="157"/>
      <c r="BK99" s="157"/>
      <c r="BL99" s="157"/>
      <c r="BM99" s="157"/>
      <c r="BN99" s="157"/>
      <c r="BO99" s="157"/>
      <c r="BP99" s="157"/>
      <c r="BQ99" s="157"/>
      <c r="BR99" s="157"/>
      <c r="BS99" s="157"/>
      <c r="BT99" s="157"/>
      <c r="BU99" s="157"/>
      <c r="BV99" s="157"/>
      <c r="BW99" s="157"/>
      <c r="BX99" s="157"/>
      <c r="BY99" s="157"/>
      <c r="BZ99" s="157"/>
      <c r="CA99" s="157"/>
      <c r="CB99" s="157"/>
      <c r="CC99" s="157"/>
      <c r="CD99" s="157"/>
      <c r="CE99" s="157"/>
      <c r="CF99" s="157"/>
      <c r="CG99" s="157"/>
      <c r="CH99" s="157"/>
      <c r="CI99" s="157"/>
      <c r="CJ99" s="157"/>
      <c r="CK99" s="157"/>
      <c r="CL99" s="157"/>
      <c r="CM99" s="157"/>
      <c r="CN99" s="157"/>
      <c r="CO99" s="157"/>
      <c r="CP99" s="157"/>
      <c r="CQ99" s="157"/>
      <c r="CR99" s="157"/>
      <c r="CS99" s="157"/>
      <c r="CT99" s="157"/>
      <c r="CU99" s="157"/>
      <c r="CV99" s="157"/>
      <c r="CW99" s="157"/>
      <c r="CX99" s="157"/>
      <c r="CY99" s="157"/>
      <c r="CZ99" s="157"/>
      <c r="DA99" s="157"/>
      <c r="DB99" s="157"/>
      <c r="DC99" s="157"/>
      <c r="DD99" s="157"/>
      <c r="DE99" s="157"/>
      <c r="DF99" s="157"/>
      <c r="DG99" s="157"/>
      <c r="DH99" s="157"/>
      <c r="DI99" s="157"/>
      <c r="DJ99" s="157"/>
      <c r="DK99" s="157"/>
      <c r="DL99" s="157"/>
      <c r="DM99" s="157"/>
      <c r="DN99" s="157"/>
      <c r="DO99" s="157"/>
      <c r="DP99" s="157"/>
      <c r="DQ99" s="157"/>
      <c r="DR99" s="157"/>
      <c r="DS99" s="157"/>
      <c r="DT99" s="157"/>
      <c r="DU99" s="157"/>
      <c r="DV99" s="157"/>
      <c r="DW99" s="157"/>
      <c r="DX99" s="157"/>
      <c r="DY99" s="157"/>
      <c r="DZ99" s="157"/>
      <c r="EA99" s="157"/>
      <c r="EB99" s="157"/>
      <c r="EC99" s="157"/>
      <c r="ED99" s="157"/>
      <c r="EE99" s="157"/>
      <c r="EF99" s="157"/>
      <c r="EG99" s="157"/>
      <c r="EH99" s="157"/>
      <c r="EI99" s="157"/>
      <c r="EJ99" s="157"/>
      <c r="EK99" s="157"/>
      <c r="EL99" s="157"/>
      <c r="EM99" s="157"/>
      <c r="EN99" s="157"/>
      <c r="EO99" s="157"/>
      <c r="EP99" s="157"/>
      <c r="EQ99" s="157"/>
      <c r="ER99" s="157"/>
      <c r="ES99" s="157"/>
      <c r="ET99" s="157"/>
      <c r="EU99" s="157"/>
      <c r="EV99" s="157"/>
      <c r="EW99" s="157"/>
      <c r="EX99" s="157"/>
      <c r="EY99" s="157"/>
      <c r="EZ99" s="157"/>
      <c r="FA99" s="157"/>
      <c r="FB99" s="157"/>
      <c r="FC99" s="157"/>
      <c r="FD99" s="157"/>
      <c r="FE99" s="157"/>
      <c r="FF99" s="157"/>
      <c r="FG99" s="157"/>
      <c r="FH99" s="157"/>
      <c r="FI99" s="157"/>
      <c r="FJ99" s="157"/>
      <c r="FK99" s="157"/>
      <c r="FL99" s="157"/>
      <c r="FM99" s="157"/>
      <c r="FN99" s="157"/>
      <c r="FO99" s="157"/>
      <c r="FP99" s="157"/>
      <c r="FQ99" s="157"/>
      <c r="FR99" s="157"/>
      <c r="FS99" s="157"/>
      <c r="FT99" s="157"/>
      <c r="FU99" s="157"/>
      <c r="FV99" s="157"/>
      <c r="FW99" s="157"/>
      <c r="FX99" s="157"/>
      <c r="FY99" s="157"/>
      <c r="FZ99" s="157"/>
      <c r="GA99" s="157"/>
      <c r="GB99" s="157"/>
      <c r="GC99" s="157"/>
      <c r="GD99" s="157"/>
      <c r="GE99" s="157"/>
      <c r="GF99" s="157"/>
      <c r="GG99" s="157"/>
      <c r="GH99" s="157"/>
      <c r="GI99" s="157"/>
      <c r="GJ99" s="157"/>
      <c r="GK99" s="157"/>
      <c r="GL99" s="157"/>
      <c r="GM99" s="157"/>
      <c r="GN99" s="157"/>
      <c r="GO99" s="157"/>
      <c r="GP99" s="157"/>
      <c r="GQ99" s="157"/>
      <c r="GR99" s="157"/>
      <c r="GS99" s="157"/>
      <c r="GT99" s="157"/>
      <c r="GU99" s="157"/>
      <c r="GV99" s="157"/>
      <c r="GW99" s="157"/>
      <c r="GX99" s="157"/>
      <c r="GY99" s="157"/>
      <c r="GZ99" s="157"/>
      <c r="HA99" s="157"/>
      <c r="HB99" s="157"/>
      <c r="HC99" s="157"/>
      <c r="HD99" s="157"/>
      <c r="HE99" s="157"/>
      <c r="HF99" s="157"/>
      <c r="HG99" s="157"/>
      <c r="HH99" s="157"/>
      <c r="HI99" s="157"/>
      <c r="HJ99" s="157"/>
      <c r="HK99" s="157"/>
      <c r="HL99" s="157"/>
      <c r="HM99" s="157"/>
      <c r="HN99" s="157"/>
      <c r="HO99" s="157"/>
      <c r="HP99" s="157"/>
      <c r="HQ99" s="157"/>
      <c r="HR99" s="157"/>
      <c r="HS99" s="157"/>
      <c r="HT99" s="157"/>
      <c r="HU99" s="157"/>
      <c r="HV99" s="157"/>
      <c r="HW99" s="157"/>
      <c r="HX99" s="157"/>
      <c r="HY99" s="157"/>
      <c r="HZ99" s="157"/>
      <c r="IA99" s="157"/>
      <c r="IB99" s="157"/>
      <c r="IC99" s="157"/>
      <c r="ID99" s="157"/>
      <c r="IE99" s="157"/>
      <c r="IF99" s="157"/>
      <c r="IG99" s="157"/>
      <c r="IH99" s="157"/>
      <c r="II99" s="157"/>
      <c r="IJ99" s="157"/>
      <c r="IK99" s="157"/>
      <c r="IL99" s="157"/>
      <c r="IM99" s="157"/>
      <c r="IN99" s="157"/>
      <c r="IO99" s="157"/>
      <c r="IP99" s="157"/>
      <c r="IQ99" s="157"/>
      <c r="IR99" s="157"/>
      <c r="IS99" s="157"/>
      <c r="IT99" s="157"/>
      <c r="IU99" s="157"/>
      <c r="IV99" s="157"/>
      <c r="IW99" s="157"/>
      <c r="IX99" s="157"/>
      <c r="IY99" s="157"/>
      <c r="IZ99" s="157"/>
      <c r="JA99" s="157"/>
      <c r="JB99" s="157"/>
      <c r="JC99" s="157"/>
      <c r="JD99" s="157"/>
      <c r="JE99" s="157"/>
      <c r="JF99" s="157"/>
      <c r="JG99" s="157"/>
      <c r="JH99" s="157"/>
      <c r="JI99" s="157"/>
      <c r="JJ99" s="157"/>
      <c r="JK99" s="157"/>
      <c r="JL99" s="157"/>
      <c r="JM99" s="157"/>
      <c r="JN99" s="157"/>
      <c r="JO99" s="157"/>
      <c r="JP99" s="157"/>
      <c r="JQ99" s="157"/>
      <c r="JR99" s="157"/>
      <c r="JS99" s="157"/>
      <c r="JT99" s="157"/>
      <c r="JU99" s="157"/>
      <c r="JV99" s="157"/>
      <c r="JW99" s="157"/>
      <c r="JX99" s="157"/>
      <c r="JY99" s="157"/>
      <c r="JZ99" s="157"/>
      <c r="KA99" s="157"/>
      <c r="KB99" s="157"/>
      <c r="KC99" s="157"/>
      <c r="KD99" s="157"/>
      <c r="KE99" s="157"/>
      <c r="KF99" s="157"/>
      <c r="KG99" s="157"/>
      <c r="KH99" s="157"/>
      <c r="KI99" s="157"/>
      <c r="KJ99" s="157"/>
      <c r="KK99" s="157"/>
    </row>
    <row r="100" spans="1:297" x14ac:dyDescent="0.2">
      <c r="A100" s="435"/>
      <c r="B100" s="343"/>
      <c r="C100" s="216" t="s">
        <v>211</v>
      </c>
      <c r="D100" s="216" t="s">
        <v>144</v>
      </c>
      <c r="E100" s="216" t="s">
        <v>213</v>
      </c>
      <c r="F100" s="364">
        <v>0.5</v>
      </c>
      <c r="G100" s="364">
        <v>0.5</v>
      </c>
      <c r="H100" s="364">
        <v>0.5</v>
      </c>
      <c r="I100" s="364">
        <v>0.5</v>
      </c>
      <c r="J100" s="364">
        <v>0.5</v>
      </c>
      <c r="K100" s="364">
        <v>0.5</v>
      </c>
      <c r="L100" s="364">
        <v>0.5</v>
      </c>
      <c r="M100" s="364">
        <v>0.5</v>
      </c>
      <c r="N100" s="164"/>
      <c r="O100" s="154" t="s">
        <v>260</v>
      </c>
      <c r="P100" s="344" t="s">
        <v>257</v>
      </c>
      <c r="AM100" s="157"/>
      <c r="AN100" s="157"/>
      <c r="AO100" s="157"/>
      <c r="AP100" s="157"/>
      <c r="AQ100" s="157"/>
      <c r="AR100" s="157"/>
      <c r="AS100" s="157"/>
      <c r="AT100" s="157"/>
      <c r="AU100" s="157"/>
      <c r="AV100" s="157"/>
      <c r="AW100" s="157"/>
      <c r="AX100" s="157"/>
      <c r="AY100" s="157"/>
      <c r="AZ100" s="157"/>
      <c r="BA100" s="157"/>
      <c r="BB100" s="157"/>
      <c r="BC100" s="157"/>
      <c r="BD100" s="157"/>
      <c r="BE100" s="157"/>
      <c r="BF100" s="157"/>
      <c r="BG100" s="157"/>
      <c r="BH100" s="157"/>
      <c r="BI100" s="157"/>
      <c r="BJ100" s="157"/>
      <c r="BK100" s="157"/>
      <c r="BL100" s="157"/>
      <c r="BM100" s="157"/>
      <c r="BN100" s="157"/>
      <c r="BO100" s="157"/>
      <c r="BP100" s="157"/>
      <c r="BQ100" s="157"/>
      <c r="BR100" s="157"/>
      <c r="BS100" s="157"/>
      <c r="BT100" s="157"/>
      <c r="BU100" s="157"/>
      <c r="BV100" s="157"/>
      <c r="BW100" s="157"/>
      <c r="BX100" s="157"/>
      <c r="BY100" s="157"/>
      <c r="BZ100" s="157"/>
      <c r="CA100" s="157"/>
      <c r="CB100" s="157"/>
      <c r="CC100" s="157"/>
      <c r="CD100" s="157"/>
      <c r="CE100" s="157"/>
      <c r="CF100" s="157"/>
      <c r="CG100" s="157"/>
      <c r="CH100" s="157"/>
      <c r="CI100" s="157"/>
      <c r="CJ100" s="157"/>
      <c r="CK100" s="157"/>
      <c r="CL100" s="157"/>
      <c r="CM100" s="157"/>
      <c r="CN100" s="157"/>
      <c r="CO100" s="157"/>
      <c r="CP100" s="157"/>
      <c r="CQ100" s="157"/>
      <c r="CR100" s="157"/>
      <c r="CS100" s="157"/>
      <c r="CT100" s="157"/>
      <c r="CU100" s="157"/>
      <c r="CV100" s="157"/>
      <c r="CW100" s="157"/>
      <c r="CX100" s="157"/>
      <c r="CY100" s="157"/>
      <c r="CZ100" s="157"/>
      <c r="DA100" s="157"/>
      <c r="DB100" s="157"/>
      <c r="DC100" s="157"/>
      <c r="DD100" s="157"/>
      <c r="DE100" s="157"/>
      <c r="DF100" s="157"/>
      <c r="DG100" s="157"/>
      <c r="DH100" s="157"/>
      <c r="DI100" s="157"/>
      <c r="DJ100" s="157"/>
      <c r="DK100" s="157"/>
      <c r="DL100" s="157"/>
      <c r="DM100" s="157"/>
      <c r="DN100" s="157"/>
      <c r="DO100" s="157"/>
      <c r="DP100" s="157"/>
      <c r="DQ100" s="157"/>
      <c r="DR100" s="157"/>
      <c r="DS100" s="157"/>
      <c r="DT100" s="157"/>
      <c r="DU100" s="157"/>
      <c r="DV100" s="157"/>
      <c r="DW100" s="157"/>
      <c r="DX100" s="157"/>
      <c r="DY100" s="157"/>
      <c r="DZ100" s="157"/>
      <c r="EA100" s="157"/>
      <c r="EB100" s="157"/>
      <c r="EC100" s="157"/>
      <c r="ED100" s="157"/>
      <c r="EE100" s="157"/>
      <c r="EF100" s="157"/>
      <c r="EG100" s="157"/>
      <c r="EH100" s="157"/>
      <c r="EI100" s="157"/>
      <c r="EJ100" s="157"/>
      <c r="EK100" s="157"/>
      <c r="EL100" s="157"/>
      <c r="EM100" s="157"/>
      <c r="EN100" s="157"/>
      <c r="EO100" s="157"/>
      <c r="EP100" s="157"/>
      <c r="EQ100" s="157"/>
      <c r="ER100" s="157"/>
      <c r="ES100" s="157"/>
      <c r="ET100" s="157"/>
      <c r="EU100" s="157"/>
      <c r="EV100" s="157"/>
      <c r="EW100" s="157"/>
      <c r="EX100" s="157"/>
      <c r="EY100" s="157"/>
      <c r="EZ100" s="157"/>
      <c r="FA100" s="157"/>
      <c r="FB100" s="157"/>
      <c r="FC100" s="157"/>
      <c r="FD100" s="157"/>
      <c r="FE100" s="157"/>
      <c r="FF100" s="157"/>
      <c r="FG100" s="157"/>
      <c r="FH100" s="157"/>
      <c r="FI100" s="157"/>
      <c r="FJ100" s="157"/>
      <c r="FK100" s="157"/>
      <c r="FL100" s="157"/>
      <c r="FM100" s="157"/>
      <c r="FN100" s="157"/>
      <c r="FO100" s="157"/>
      <c r="FP100" s="157"/>
      <c r="FQ100" s="157"/>
      <c r="FR100" s="157"/>
      <c r="FS100" s="157"/>
      <c r="FT100" s="157"/>
      <c r="FU100" s="157"/>
      <c r="FV100" s="157"/>
      <c r="FW100" s="157"/>
      <c r="FX100" s="157"/>
      <c r="FY100" s="157"/>
      <c r="FZ100" s="157"/>
      <c r="GA100" s="157"/>
      <c r="GB100" s="157"/>
      <c r="GC100" s="157"/>
      <c r="GD100" s="157"/>
      <c r="GE100" s="157"/>
      <c r="GF100" s="157"/>
      <c r="GG100" s="157"/>
      <c r="GH100" s="157"/>
      <c r="GI100" s="157"/>
      <c r="GJ100" s="157"/>
      <c r="GK100" s="157"/>
      <c r="GL100" s="157"/>
      <c r="GM100" s="157"/>
      <c r="GN100" s="157"/>
      <c r="GO100" s="157"/>
      <c r="GP100" s="157"/>
      <c r="GQ100" s="157"/>
      <c r="GR100" s="157"/>
      <c r="GS100" s="157"/>
      <c r="GT100" s="157"/>
      <c r="GU100" s="157"/>
      <c r="GV100" s="157"/>
      <c r="GW100" s="157"/>
      <c r="GX100" s="157"/>
      <c r="GY100" s="157"/>
      <c r="GZ100" s="157"/>
      <c r="HA100" s="157"/>
      <c r="HB100" s="157"/>
      <c r="HC100" s="157"/>
      <c r="HD100" s="157"/>
      <c r="HE100" s="157"/>
      <c r="HF100" s="157"/>
      <c r="HG100" s="157"/>
      <c r="HH100" s="157"/>
      <c r="HI100" s="157"/>
      <c r="HJ100" s="157"/>
      <c r="HK100" s="157"/>
      <c r="HL100" s="157"/>
      <c r="HM100" s="157"/>
      <c r="HN100" s="157"/>
      <c r="HO100" s="157"/>
      <c r="HP100" s="157"/>
      <c r="HQ100" s="157"/>
      <c r="HR100" s="157"/>
      <c r="HS100" s="157"/>
      <c r="HT100" s="157"/>
      <c r="HU100" s="157"/>
      <c r="HV100" s="157"/>
      <c r="HW100" s="157"/>
      <c r="HX100" s="157"/>
      <c r="HY100" s="157"/>
      <c r="HZ100" s="157"/>
      <c r="IA100" s="157"/>
      <c r="IB100" s="157"/>
      <c r="IC100" s="157"/>
      <c r="ID100" s="157"/>
      <c r="IE100" s="157"/>
      <c r="IF100" s="157"/>
      <c r="IG100" s="157"/>
      <c r="IH100" s="157"/>
      <c r="II100" s="157"/>
      <c r="IJ100" s="157"/>
      <c r="IK100" s="157"/>
      <c r="IL100" s="157"/>
      <c r="IM100" s="157"/>
      <c r="IN100" s="157"/>
      <c r="IO100" s="157"/>
      <c r="IP100" s="157"/>
      <c r="IQ100" s="157"/>
      <c r="IR100" s="157"/>
      <c r="IS100" s="157"/>
      <c r="IT100" s="157"/>
      <c r="IU100" s="157"/>
      <c r="IV100" s="157"/>
      <c r="IW100" s="157"/>
      <c r="IX100" s="157"/>
      <c r="IY100" s="157"/>
      <c r="IZ100" s="157"/>
      <c r="JA100" s="157"/>
      <c r="JB100" s="157"/>
      <c r="JC100" s="157"/>
      <c r="JD100" s="157"/>
      <c r="JE100" s="157"/>
      <c r="JF100" s="157"/>
      <c r="JG100" s="157"/>
      <c r="JH100" s="157"/>
      <c r="JI100" s="157"/>
      <c r="JJ100" s="157"/>
      <c r="JK100" s="157"/>
      <c r="JL100" s="157"/>
      <c r="JM100" s="157"/>
      <c r="JN100" s="157"/>
      <c r="JO100" s="157"/>
      <c r="JP100" s="157"/>
      <c r="JQ100" s="157"/>
      <c r="JR100" s="157"/>
      <c r="JS100" s="157"/>
      <c r="JT100" s="157"/>
      <c r="JU100" s="157"/>
      <c r="JV100" s="157"/>
      <c r="JW100" s="157"/>
      <c r="JX100" s="157"/>
      <c r="JY100" s="157"/>
      <c r="JZ100" s="157"/>
      <c r="KA100" s="157"/>
      <c r="KB100" s="157"/>
      <c r="KC100" s="157"/>
      <c r="KD100" s="157"/>
      <c r="KE100" s="157"/>
      <c r="KF100" s="157"/>
      <c r="KG100" s="157"/>
      <c r="KH100" s="157"/>
      <c r="KI100" s="157"/>
      <c r="KJ100" s="157"/>
      <c r="KK100" s="157"/>
    </row>
    <row r="101" spans="1:297" x14ac:dyDescent="0.2">
      <c r="A101" s="435"/>
      <c r="B101" s="343"/>
      <c r="C101" s="216" t="s">
        <v>211</v>
      </c>
      <c r="D101" s="216" t="s">
        <v>144</v>
      </c>
      <c r="E101" s="216" t="s">
        <v>174</v>
      </c>
      <c r="F101" s="364">
        <v>482000</v>
      </c>
      <c r="G101" s="364">
        <v>482000</v>
      </c>
      <c r="H101" s="364">
        <v>482000</v>
      </c>
      <c r="I101" s="364">
        <v>482000</v>
      </c>
      <c r="J101" s="364">
        <v>482000</v>
      </c>
      <c r="K101" s="364">
        <v>482000</v>
      </c>
      <c r="L101" s="364">
        <v>482000</v>
      </c>
      <c r="M101" s="364">
        <v>482000</v>
      </c>
      <c r="N101" s="164"/>
      <c r="O101" s="154" t="s">
        <v>260</v>
      </c>
      <c r="P101" s="344" t="s">
        <v>257</v>
      </c>
      <c r="AM101" s="157"/>
      <c r="AN101" s="157"/>
      <c r="AO101" s="157"/>
      <c r="AP101" s="157"/>
      <c r="AQ101" s="157"/>
      <c r="AR101" s="157"/>
      <c r="AS101" s="157"/>
      <c r="AT101" s="157"/>
      <c r="AU101" s="157"/>
      <c r="AV101" s="157"/>
      <c r="AW101" s="157"/>
      <c r="AX101" s="157"/>
      <c r="AY101" s="157"/>
      <c r="AZ101" s="157"/>
      <c r="BA101" s="157"/>
      <c r="BB101" s="157"/>
      <c r="BC101" s="157"/>
      <c r="BD101" s="157"/>
      <c r="BE101" s="157"/>
      <c r="BF101" s="157"/>
      <c r="BG101" s="157"/>
      <c r="BH101" s="157"/>
      <c r="BI101" s="157"/>
      <c r="BJ101" s="157"/>
      <c r="BK101" s="157"/>
      <c r="BL101" s="157"/>
      <c r="BM101" s="157"/>
      <c r="BN101" s="157"/>
      <c r="BO101" s="157"/>
      <c r="BP101" s="157"/>
      <c r="BQ101" s="157"/>
      <c r="BR101" s="157"/>
      <c r="BS101" s="157"/>
      <c r="BT101" s="157"/>
      <c r="BU101" s="157"/>
      <c r="BV101" s="157"/>
      <c r="BW101" s="157"/>
      <c r="BX101" s="157"/>
      <c r="BY101" s="157"/>
      <c r="BZ101" s="157"/>
      <c r="CA101" s="157"/>
      <c r="CB101" s="157"/>
      <c r="CC101" s="157"/>
      <c r="CD101" s="157"/>
      <c r="CE101" s="157"/>
      <c r="CF101" s="157"/>
      <c r="CG101" s="157"/>
      <c r="CH101" s="157"/>
      <c r="CI101" s="157"/>
      <c r="CJ101" s="157"/>
      <c r="CK101" s="157"/>
      <c r="CL101" s="157"/>
      <c r="CM101" s="157"/>
      <c r="CN101" s="157"/>
      <c r="CO101" s="157"/>
      <c r="CP101" s="157"/>
      <c r="CQ101" s="157"/>
      <c r="CR101" s="157"/>
      <c r="CS101" s="157"/>
      <c r="CT101" s="157"/>
      <c r="CU101" s="157"/>
      <c r="CV101" s="157"/>
      <c r="CW101" s="157"/>
      <c r="CX101" s="157"/>
      <c r="CY101" s="157"/>
      <c r="CZ101" s="157"/>
      <c r="DA101" s="157"/>
      <c r="DB101" s="157"/>
      <c r="DC101" s="157"/>
      <c r="DD101" s="157"/>
      <c r="DE101" s="157"/>
      <c r="DF101" s="157"/>
      <c r="DG101" s="157"/>
      <c r="DH101" s="157"/>
      <c r="DI101" s="157"/>
      <c r="DJ101" s="157"/>
      <c r="DK101" s="157"/>
      <c r="DL101" s="157"/>
      <c r="DM101" s="157"/>
      <c r="DN101" s="157"/>
      <c r="DO101" s="157"/>
      <c r="DP101" s="157"/>
      <c r="DQ101" s="157"/>
      <c r="DR101" s="157"/>
      <c r="DS101" s="157"/>
      <c r="DT101" s="157"/>
      <c r="DU101" s="157"/>
      <c r="DV101" s="157"/>
      <c r="DW101" s="157"/>
      <c r="DX101" s="157"/>
      <c r="DY101" s="157"/>
      <c r="DZ101" s="157"/>
      <c r="EA101" s="157"/>
      <c r="EB101" s="157"/>
      <c r="EC101" s="157"/>
      <c r="ED101" s="157"/>
      <c r="EE101" s="157"/>
      <c r="EF101" s="157"/>
      <c r="EG101" s="157"/>
      <c r="EH101" s="157"/>
      <c r="EI101" s="157"/>
      <c r="EJ101" s="157"/>
      <c r="EK101" s="157"/>
      <c r="EL101" s="157"/>
      <c r="EM101" s="157"/>
      <c r="EN101" s="157"/>
      <c r="EO101" s="157"/>
      <c r="EP101" s="157"/>
      <c r="EQ101" s="157"/>
      <c r="ER101" s="157"/>
      <c r="ES101" s="157"/>
      <c r="ET101" s="157"/>
      <c r="EU101" s="157"/>
      <c r="EV101" s="157"/>
      <c r="EW101" s="157"/>
      <c r="EX101" s="157"/>
      <c r="EY101" s="157"/>
      <c r="EZ101" s="157"/>
      <c r="FA101" s="157"/>
      <c r="FB101" s="157"/>
      <c r="FC101" s="157"/>
      <c r="FD101" s="157"/>
      <c r="FE101" s="157"/>
      <c r="FF101" s="157"/>
      <c r="FG101" s="157"/>
      <c r="FH101" s="157"/>
      <c r="FI101" s="157"/>
      <c r="FJ101" s="157"/>
      <c r="FK101" s="157"/>
      <c r="FL101" s="157"/>
      <c r="FM101" s="157"/>
      <c r="FN101" s="157"/>
      <c r="FO101" s="157"/>
      <c r="FP101" s="157"/>
      <c r="FQ101" s="157"/>
      <c r="FR101" s="157"/>
      <c r="FS101" s="157"/>
      <c r="FT101" s="157"/>
      <c r="FU101" s="157"/>
      <c r="FV101" s="157"/>
      <c r="FW101" s="157"/>
      <c r="FX101" s="157"/>
      <c r="FY101" s="157"/>
      <c r="FZ101" s="157"/>
      <c r="GA101" s="157"/>
      <c r="GB101" s="157"/>
      <c r="GC101" s="157"/>
      <c r="GD101" s="157"/>
      <c r="GE101" s="157"/>
      <c r="GF101" s="157"/>
      <c r="GG101" s="157"/>
      <c r="GH101" s="157"/>
      <c r="GI101" s="157"/>
      <c r="GJ101" s="157"/>
      <c r="GK101" s="157"/>
      <c r="GL101" s="157"/>
      <c r="GM101" s="157"/>
      <c r="GN101" s="157"/>
      <c r="GO101" s="157"/>
      <c r="GP101" s="157"/>
      <c r="GQ101" s="157"/>
      <c r="GR101" s="157"/>
      <c r="GS101" s="157"/>
      <c r="GT101" s="157"/>
      <c r="GU101" s="157"/>
      <c r="GV101" s="157"/>
      <c r="GW101" s="157"/>
      <c r="GX101" s="157"/>
      <c r="GY101" s="157"/>
      <c r="GZ101" s="157"/>
      <c r="HA101" s="157"/>
      <c r="HB101" s="157"/>
      <c r="HC101" s="157"/>
      <c r="HD101" s="157"/>
      <c r="HE101" s="157"/>
      <c r="HF101" s="157"/>
      <c r="HG101" s="157"/>
      <c r="HH101" s="157"/>
      <c r="HI101" s="157"/>
      <c r="HJ101" s="157"/>
      <c r="HK101" s="157"/>
      <c r="HL101" s="157"/>
      <c r="HM101" s="157"/>
      <c r="HN101" s="157"/>
      <c r="HO101" s="157"/>
      <c r="HP101" s="157"/>
      <c r="HQ101" s="157"/>
      <c r="HR101" s="157"/>
      <c r="HS101" s="157"/>
      <c r="HT101" s="157"/>
      <c r="HU101" s="157"/>
      <c r="HV101" s="157"/>
      <c r="HW101" s="157"/>
      <c r="HX101" s="157"/>
      <c r="HY101" s="157"/>
      <c r="HZ101" s="157"/>
      <c r="IA101" s="157"/>
      <c r="IB101" s="157"/>
      <c r="IC101" s="157"/>
      <c r="ID101" s="157"/>
      <c r="IE101" s="157"/>
      <c r="IF101" s="157"/>
      <c r="IG101" s="157"/>
      <c r="IH101" s="157"/>
      <c r="II101" s="157"/>
      <c r="IJ101" s="157"/>
      <c r="IK101" s="157"/>
      <c r="IL101" s="157"/>
      <c r="IM101" s="157"/>
      <c r="IN101" s="157"/>
      <c r="IO101" s="157"/>
      <c r="IP101" s="157"/>
      <c r="IQ101" s="157"/>
      <c r="IR101" s="157"/>
      <c r="IS101" s="157"/>
      <c r="IT101" s="157"/>
      <c r="IU101" s="157"/>
      <c r="IV101" s="157"/>
      <c r="IW101" s="157"/>
      <c r="IX101" s="157"/>
      <c r="IY101" s="157"/>
      <c r="IZ101" s="157"/>
      <c r="JA101" s="157"/>
      <c r="JB101" s="157"/>
      <c r="JC101" s="157"/>
      <c r="JD101" s="157"/>
      <c r="JE101" s="157"/>
      <c r="JF101" s="157"/>
      <c r="JG101" s="157"/>
      <c r="JH101" s="157"/>
      <c r="JI101" s="157"/>
      <c r="JJ101" s="157"/>
      <c r="JK101" s="157"/>
      <c r="JL101" s="157"/>
      <c r="JM101" s="157"/>
      <c r="JN101" s="157"/>
      <c r="JO101" s="157"/>
      <c r="JP101" s="157"/>
      <c r="JQ101" s="157"/>
      <c r="JR101" s="157"/>
      <c r="JS101" s="157"/>
      <c r="JT101" s="157"/>
      <c r="JU101" s="157"/>
      <c r="JV101" s="157"/>
      <c r="JW101" s="157"/>
      <c r="JX101" s="157"/>
      <c r="JY101" s="157"/>
      <c r="JZ101" s="157"/>
      <c r="KA101" s="157"/>
      <c r="KB101" s="157"/>
      <c r="KC101" s="157"/>
      <c r="KD101" s="157"/>
      <c r="KE101" s="157"/>
      <c r="KF101" s="157"/>
      <c r="KG101" s="157"/>
      <c r="KH101" s="157"/>
      <c r="KI101" s="157"/>
      <c r="KJ101" s="157"/>
      <c r="KK101" s="157"/>
    </row>
    <row r="102" spans="1:297" x14ac:dyDescent="0.2">
      <c r="A102" s="435"/>
      <c r="B102" s="343"/>
      <c r="C102" s="216" t="s">
        <v>211</v>
      </c>
      <c r="D102" s="216" t="s">
        <v>144</v>
      </c>
      <c r="E102" s="216" t="s">
        <v>149</v>
      </c>
      <c r="F102" s="364">
        <v>250000</v>
      </c>
      <c r="G102" s="364">
        <v>250000</v>
      </c>
      <c r="H102" s="364">
        <v>250000</v>
      </c>
      <c r="I102" s="364">
        <v>250000</v>
      </c>
      <c r="J102" s="364">
        <v>250000</v>
      </c>
      <c r="K102" s="364">
        <v>250000</v>
      </c>
      <c r="L102" s="364">
        <v>250000</v>
      </c>
      <c r="M102" s="364">
        <v>250000</v>
      </c>
      <c r="N102" s="164"/>
      <c r="O102" s="154" t="s">
        <v>260</v>
      </c>
      <c r="P102" s="344" t="s">
        <v>257</v>
      </c>
      <c r="AM102" s="157"/>
      <c r="AN102" s="157"/>
      <c r="AO102" s="157"/>
      <c r="AP102" s="157"/>
      <c r="AQ102" s="157"/>
      <c r="AR102" s="157"/>
      <c r="AS102" s="157"/>
      <c r="AT102" s="157"/>
      <c r="AU102" s="157"/>
      <c r="AV102" s="157"/>
      <c r="AW102" s="157"/>
      <c r="AX102" s="157"/>
      <c r="AY102" s="157"/>
      <c r="AZ102" s="157"/>
      <c r="BA102" s="157"/>
      <c r="BB102" s="157"/>
      <c r="BC102" s="157"/>
      <c r="BD102" s="157"/>
      <c r="BE102" s="157"/>
      <c r="BF102" s="157"/>
      <c r="BG102" s="157"/>
      <c r="BH102" s="157"/>
      <c r="BI102" s="157"/>
      <c r="BJ102" s="157"/>
      <c r="BK102" s="157"/>
      <c r="BL102" s="157"/>
      <c r="BM102" s="157"/>
      <c r="BN102" s="157"/>
      <c r="BO102" s="157"/>
      <c r="BP102" s="157"/>
      <c r="BQ102" s="157"/>
      <c r="BR102" s="157"/>
      <c r="BS102" s="157"/>
      <c r="BT102" s="157"/>
      <c r="BU102" s="157"/>
      <c r="BV102" s="157"/>
      <c r="BW102" s="157"/>
      <c r="BX102" s="157"/>
      <c r="BY102" s="157"/>
      <c r="BZ102" s="157"/>
      <c r="CA102" s="157"/>
      <c r="CB102" s="157"/>
      <c r="CC102" s="157"/>
      <c r="CD102" s="157"/>
      <c r="CE102" s="157"/>
      <c r="CF102" s="157"/>
      <c r="CG102" s="157"/>
      <c r="CH102" s="157"/>
      <c r="CI102" s="157"/>
      <c r="CJ102" s="157"/>
      <c r="CK102" s="157"/>
      <c r="CL102" s="157"/>
      <c r="CM102" s="157"/>
      <c r="CN102" s="157"/>
      <c r="CO102" s="157"/>
      <c r="CP102" s="157"/>
      <c r="CQ102" s="157"/>
      <c r="CR102" s="157"/>
      <c r="CS102" s="157"/>
      <c r="CT102" s="157"/>
      <c r="CU102" s="157"/>
      <c r="CV102" s="157"/>
      <c r="CW102" s="157"/>
      <c r="CX102" s="157"/>
      <c r="CY102" s="157"/>
      <c r="CZ102" s="157"/>
      <c r="DA102" s="157"/>
      <c r="DB102" s="157"/>
      <c r="DC102" s="157"/>
      <c r="DD102" s="157"/>
      <c r="DE102" s="157"/>
      <c r="DF102" s="157"/>
      <c r="DG102" s="157"/>
      <c r="DH102" s="157"/>
      <c r="DI102" s="157"/>
      <c r="DJ102" s="157"/>
      <c r="DK102" s="157"/>
      <c r="DL102" s="157"/>
      <c r="DM102" s="157"/>
      <c r="DN102" s="157"/>
      <c r="DO102" s="157"/>
      <c r="DP102" s="157"/>
      <c r="DQ102" s="157"/>
      <c r="DR102" s="157"/>
      <c r="DS102" s="157"/>
      <c r="DT102" s="157"/>
      <c r="DU102" s="157"/>
      <c r="DV102" s="157"/>
      <c r="DW102" s="157"/>
      <c r="DX102" s="157"/>
      <c r="DY102" s="157"/>
      <c r="DZ102" s="157"/>
      <c r="EA102" s="157"/>
      <c r="EB102" s="157"/>
      <c r="EC102" s="157"/>
      <c r="ED102" s="157"/>
      <c r="EE102" s="157"/>
      <c r="EF102" s="157"/>
      <c r="EG102" s="157"/>
      <c r="EH102" s="157"/>
      <c r="EI102" s="157"/>
      <c r="EJ102" s="157"/>
      <c r="EK102" s="157"/>
      <c r="EL102" s="157"/>
      <c r="EM102" s="157"/>
      <c r="EN102" s="157"/>
      <c r="EO102" s="157"/>
      <c r="EP102" s="157"/>
      <c r="EQ102" s="157"/>
      <c r="ER102" s="157"/>
      <c r="ES102" s="157"/>
      <c r="ET102" s="157"/>
      <c r="EU102" s="157"/>
      <c r="EV102" s="157"/>
      <c r="EW102" s="157"/>
      <c r="EX102" s="157"/>
      <c r="EY102" s="157"/>
      <c r="EZ102" s="157"/>
      <c r="FA102" s="157"/>
      <c r="FB102" s="157"/>
      <c r="FC102" s="157"/>
      <c r="FD102" s="157"/>
      <c r="FE102" s="157"/>
      <c r="FF102" s="157"/>
      <c r="FG102" s="157"/>
      <c r="FH102" s="157"/>
      <c r="FI102" s="157"/>
      <c r="FJ102" s="157"/>
      <c r="FK102" s="157"/>
      <c r="FL102" s="157"/>
      <c r="FM102" s="157"/>
      <c r="FN102" s="157"/>
      <c r="FO102" s="157"/>
      <c r="FP102" s="157"/>
      <c r="FQ102" s="157"/>
      <c r="FR102" s="157"/>
      <c r="FS102" s="157"/>
      <c r="FT102" s="157"/>
      <c r="FU102" s="157"/>
      <c r="FV102" s="157"/>
      <c r="FW102" s="157"/>
      <c r="FX102" s="157"/>
      <c r="FY102" s="157"/>
      <c r="FZ102" s="157"/>
      <c r="GA102" s="157"/>
      <c r="GB102" s="157"/>
      <c r="GC102" s="157"/>
      <c r="GD102" s="157"/>
      <c r="GE102" s="157"/>
      <c r="GF102" s="157"/>
      <c r="GG102" s="157"/>
      <c r="GH102" s="157"/>
      <c r="GI102" s="157"/>
      <c r="GJ102" s="157"/>
      <c r="GK102" s="157"/>
      <c r="GL102" s="157"/>
      <c r="GM102" s="157"/>
      <c r="GN102" s="157"/>
      <c r="GO102" s="157"/>
      <c r="GP102" s="157"/>
      <c r="GQ102" s="157"/>
      <c r="GR102" s="157"/>
      <c r="GS102" s="157"/>
      <c r="GT102" s="157"/>
      <c r="GU102" s="157"/>
      <c r="GV102" s="157"/>
      <c r="GW102" s="157"/>
      <c r="GX102" s="157"/>
      <c r="GY102" s="157"/>
      <c r="GZ102" s="157"/>
      <c r="HA102" s="157"/>
      <c r="HB102" s="157"/>
      <c r="HC102" s="157"/>
      <c r="HD102" s="157"/>
      <c r="HE102" s="157"/>
      <c r="HF102" s="157"/>
      <c r="HG102" s="157"/>
      <c r="HH102" s="157"/>
      <c r="HI102" s="157"/>
      <c r="HJ102" s="157"/>
      <c r="HK102" s="157"/>
      <c r="HL102" s="157"/>
      <c r="HM102" s="157"/>
      <c r="HN102" s="157"/>
      <c r="HO102" s="157"/>
      <c r="HP102" s="157"/>
      <c r="HQ102" s="157"/>
      <c r="HR102" s="157"/>
      <c r="HS102" s="157"/>
      <c r="HT102" s="157"/>
      <c r="HU102" s="157"/>
      <c r="HV102" s="157"/>
      <c r="HW102" s="157"/>
      <c r="HX102" s="157"/>
      <c r="HY102" s="157"/>
      <c r="HZ102" s="157"/>
      <c r="IA102" s="157"/>
      <c r="IB102" s="157"/>
      <c r="IC102" s="157"/>
      <c r="ID102" s="157"/>
      <c r="IE102" s="157"/>
      <c r="IF102" s="157"/>
      <c r="IG102" s="157"/>
      <c r="IH102" s="157"/>
      <c r="II102" s="157"/>
      <c r="IJ102" s="157"/>
      <c r="IK102" s="157"/>
      <c r="IL102" s="157"/>
      <c r="IM102" s="157"/>
      <c r="IN102" s="157"/>
      <c r="IO102" s="157"/>
      <c r="IP102" s="157"/>
      <c r="IQ102" s="157"/>
      <c r="IR102" s="157"/>
      <c r="IS102" s="157"/>
      <c r="IT102" s="157"/>
      <c r="IU102" s="157"/>
      <c r="IV102" s="157"/>
      <c r="IW102" s="157"/>
      <c r="IX102" s="157"/>
      <c r="IY102" s="157"/>
      <c r="IZ102" s="157"/>
      <c r="JA102" s="157"/>
      <c r="JB102" s="157"/>
      <c r="JC102" s="157"/>
      <c r="JD102" s="157"/>
      <c r="JE102" s="157"/>
      <c r="JF102" s="157"/>
      <c r="JG102" s="157"/>
      <c r="JH102" s="157"/>
      <c r="JI102" s="157"/>
      <c r="JJ102" s="157"/>
      <c r="JK102" s="157"/>
      <c r="JL102" s="157"/>
      <c r="JM102" s="157"/>
      <c r="JN102" s="157"/>
      <c r="JO102" s="157"/>
      <c r="JP102" s="157"/>
      <c r="JQ102" s="157"/>
      <c r="JR102" s="157"/>
      <c r="JS102" s="157"/>
      <c r="JT102" s="157"/>
      <c r="JU102" s="157"/>
      <c r="JV102" s="157"/>
      <c r="JW102" s="157"/>
      <c r="JX102" s="157"/>
      <c r="JY102" s="157"/>
      <c r="JZ102" s="157"/>
      <c r="KA102" s="157"/>
      <c r="KB102" s="157"/>
      <c r="KC102" s="157"/>
      <c r="KD102" s="157"/>
      <c r="KE102" s="157"/>
      <c r="KF102" s="157"/>
      <c r="KG102" s="157"/>
      <c r="KH102" s="157"/>
      <c r="KI102" s="157"/>
      <c r="KJ102" s="157"/>
      <c r="KK102" s="157"/>
    </row>
    <row r="103" spans="1:297" x14ac:dyDescent="0.2">
      <c r="A103" s="435"/>
      <c r="B103" s="343"/>
      <c r="C103" s="216" t="s">
        <v>211</v>
      </c>
      <c r="D103" s="216" t="s">
        <v>144</v>
      </c>
      <c r="E103" s="216" t="s">
        <v>175</v>
      </c>
      <c r="F103" s="364">
        <v>482000</v>
      </c>
      <c r="G103" s="364">
        <v>482000</v>
      </c>
      <c r="H103" s="364">
        <v>482000</v>
      </c>
      <c r="I103" s="364">
        <v>482000</v>
      </c>
      <c r="J103" s="364">
        <v>482000</v>
      </c>
      <c r="K103" s="364">
        <v>482000</v>
      </c>
      <c r="L103" s="364">
        <v>482000</v>
      </c>
      <c r="M103" s="364">
        <v>482000</v>
      </c>
      <c r="N103" s="164"/>
      <c r="O103" s="154" t="s">
        <v>260</v>
      </c>
      <c r="P103" s="344" t="s">
        <v>257</v>
      </c>
      <c r="AM103" s="157"/>
      <c r="AN103" s="157"/>
      <c r="AO103" s="157"/>
      <c r="AP103" s="157"/>
      <c r="AQ103" s="157"/>
      <c r="AR103" s="157"/>
      <c r="AS103" s="157"/>
      <c r="AT103" s="157"/>
      <c r="AU103" s="157"/>
      <c r="AV103" s="157"/>
      <c r="AW103" s="157"/>
      <c r="AX103" s="157"/>
      <c r="AY103" s="157"/>
      <c r="AZ103" s="157"/>
      <c r="BA103" s="157"/>
      <c r="BB103" s="157"/>
      <c r="BC103" s="157"/>
      <c r="BD103" s="157"/>
      <c r="BE103" s="157"/>
      <c r="BF103" s="157"/>
      <c r="BG103" s="157"/>
      <c r="BH103" s="157"/>
      <c r="BI103" s="157"/>
      <c r="BJ103" s="157"/>
      <c r="BK103" s="157"/>
      <c r="BL103" s="157"/>
      <c r="BM103" s="157"/>
      <c r="BN103" s="157"/>
      <c r="BO103" s="157"/>
      <c r="BP103" s="157"/>
      <c r="BQ103" s="157"/>
      <c r="BR103" s="157"/>
      <c r="BS103" s="157"/>
      <c r="BT103" s="157"/>
      <c r="BU103" s="157"/>
      <c r="BV103" s="157"/>
      <c r="BW103" s="157"/>
      <c r="BX103" s="157"/>
      <c r="BY103" s="157"/>
      <c r="BZ103" s="157"/>
      <c r="CA103" s="157"/>
      <c r="CB103" s="157"/>
      <c r="CC103" s="157"/>
      <c r="CD103" s="157"/>
      <c r="CE103" s="157"/>
      <c r="CF103" s="157"/>
      <c r="CG103" s="157"/>
      <c r="CH103" s="157"/>
      <c r="CI103" s="157"/>
      <c r="CJ103" s="157"/>
      <c r="CK103" s="157"/>
      <c r="CL103" s="157"/>
      <c r="CM103" s="157"/>
      <c r="CN103" s="157"/>
      <c r="CO103" s="157"/>
      <c r="CP103" s="157"/>
      <c r="CQ103" s="157"/>
      <c r="CR103" s="157"/>
      <c r="CS103" s="157"/>
      <c r="CT103" s="157"/>
      <c r="CU103" s="157"/>
      <c r="CV103" s="157"/>
      <c r="CW103" s="157"/>
      <c r="CX103" s="157"/>
      <c r="CY103" s="157"/>
      <c r="CZ103" s="157"/>
      <c r="DA103" s="157"/>
      <c r="DB103" s="157"/>
      <c r="DC103" s="157"/>
      <c r="DD103" s="157"/>
      <c r="DE103" s="157"/>
      <c r="DF103" s="157"/>
      <c r="DG103" s="157"/>
      <c r="DH103" s="157"/>
      <c r="DI103" s="157"/>
      <c r="DJ103" s="157"/>
      <c r="DK103" s="157"/>
      <c r="DL103" s="157"/>
      <c r="DM103" s="157"/>
      <c r="DN103" s="157"/>
      <c r="DO103" s="157"/>
      <c r="DP103" s="157"/>
      <c r="DQ103" s="157"/>
      <c r="DR103" s="157"/>
      <c r="DS103" s="157"/>
      <c r="DT103" s="157"/>
      <c r="DU103" s="157"/>
      <c r="DV103" s="157"/>
      <c r="DW103" s="157"/>
      <c r="DX103" s="157"/>
      <c r="DY103" s="157"/>
      <c r="DZ103" s="157"/>
      <c r="EA103" s="157"/>
      <c r="EB103" s="157"/>
      <c r="EC103" s="157"/>
      <c r="ED103" s="157"/>
      <c r="EE103" s="157"/>
      <c r="EF103" s="157"/>
      <c r="EG103" s="157"/>
      <c r="EH103" s="157"/>
      <c r="EI103" s="157"/>
      <c r="EJ103" s="157"/>
      <c r="EK103" s="157"/>
      <c r="EL103" s="157"/>
      <c r="EM103" s="157"/>
      <c r="EN103" s="157"/>
      <c r="EO103" s="157"/>
      <c r="EP103" s="157"/>
      <c r="EQ103" s="157"/>
      <c r="ER103" s="157"/>
      <c r="ES103" s="157"/>
      <c r="ET103" s="157"/>
      <c r="EU103" s="157"/>
      <c r="EV103" s="157"/>
      <c r="EW103" s="157"/>
      <c r="EX103" s="157"/>
      <c r="EY103" s="157"/>
      <c r="EZ103" s="157"/>
      <c r="FA103" s="157"/>
      <c r="FB103" s="157"/>
      <c r="FC103" s="157"/>
      <c r="FD103" s="157"/>
      <c r="FE103" s="157"/>
      <c r="FF103" s="157"/>
      <c r="FG103" s="157"/>
      <c r="FH103" s="157"/>
      <c r="FI103" s="157"/>
      <c r="FJ103" s="157"/>
      <c r="FK103" s="157"/>
      <c r="FL103" s="157"/>
      <c r="FM103" s="157"/>
      <c r="FN103" s="157"/>
      <c r="FO103" s="157"/>
      <c r="FP103" s="157"/>
      <c r="FQ103" s="157"/>
      <c r="FR103" s="157"/>
      <c r="FS103" s="157"/>
      <c r="FT103" s="157"/>
      <c r="FU103" s="157"/>
      <c r="FV103" s="157"/>
      <c r="FW103" s="157"/>
      <c r="FX103" s="157"/>
      <c r="FY103" s="157"/>
      <c r="FZ103" s="157"/>
      <c r="GA103" s="157"/>
      <c r="GB103" s="157"/>
      <c r="GC103" s="157"/>
      <c r="GD103" s="157"/>
      <c r="GE103" s="157"/>
      <c r="GF103" s="157"/>
      <c r="GG103" s="157"/>
      <c r="GH103" s="157"/>
      <c r="GI103" s="157"/>
      <c r="GJ103" s="157"/>
      <c r="GK103" s="157"/>
      <c r="GL103" s="157"/>
      <c r="GM103" s="157"/>
      <c r="GN103" s="157"/>
      <c r="GO103" s="157"/>
      <c r="GP103" s="157"/>
      <c r="GQ103" s="157"/>
      <c r="GR103" s="157"/>
      <c r="GS103" s="157"/>
      <c r="GT103" s="157"/>
      <c r="GU103" s="157"/>
      <c r="GV103" s="157"/>
      <c r="GW103" s="157"/>
      <c r="GX103" s="157"/>
      <c r="GY103" s="157"/>
      <c r="GZ103" s="157"/>
      <c r="HA103" s="157"/>
      <c r="HB103" s="157"/>
      <c r="HC103" s="157"/>
      <c r="HD103" s="157"/>
      <c r="HE103" s="157"/>
      <c r="HF103" s="157"/>
      <c r="HG103" s="157"/>
      <c r="HH103" s="157"/>
      <c r="HI103" s="157"/>
      <c r="HJ103" s="157"/>
      <c r="HK103" s="157"/>
      <c r="HL103" s="157"/>
      <c r="HM103" s="157"/>
      <c r="HN103" s="157"/>
      <c r="HO103" s="157"/>
      <c r="HP103" s="157"/>
      <c r="HQ103" s="157"/>
      <c r="HR103" s="157"/>
      <c r="HS103" s="157"/>
      <c r="HT103" s="157"/>
      <c r="HU103" s="157"/>
      <c r="HV103" s="157"/>
      <c r="HW103" s="157"/>
      <c r="HX103" s="157"/>
      <c r="HY103" s="157"/>
      <c r="HZ103" s="157"/>
      <c r="IA103" s="157"/>
      <c r="IB103" s="157"/>
      <c r="IC103" s="157"/>
      <c r="ID103" s="157"/>
      <c r="IE103" s="157"/>
      <c r="IF103" s="157"/>
      <c r="IG103" s="157"/>
      <c r="IH103" s="157"/>
      <c r="II103" s="157"/>
      <c r="IJ103" s="157"/>
      <c r="IK103" s="157"/>
      <c r="IL103" s="157"/>
      <c r="IM103" s="157"/>
      <c r="IN103" s="157"/>
      <c r="IO103" s="157"/>
      <c r="IP103" s="157"/>
      <c r="IQ103" s="157"/>
      <c r="IR103" s="157"/>
      <c r="IS103" s="157"/>
      <c r="IT103" s="157"/>
      <c r="IU103" s="157"/>
      <c r="IV103" s="157"/>
      <c r="IW103" s="157"/>
      <c r="IX103" s="157"/>
      <c r="IY103" s="157"/>
      <c r="IZ103" s="157"/>
      <c r="JA103" s="157"/>
      <c r="JB103" s="157"/>
      <c r="JC103" s="157"/>
      <c r="JD103" s="157"/>
      <c r="JE103" s="157"/>
      <c r="JF103" s="157"/>
      <c r="JG103" s="157"/>
      <c r="JH103" s="157"/>
      <c r="JI103" s="157"/>
      <c r="JJ103" s="157"/>
      <c r="JK103" s="157"/>
      <c r="JL103" s="157"/>
      <c r="JM103" s="157"/>
      <c r="JN103" s="157"/>
      <c r="JO103" s="157"/>
      <c r="JP103" s="157"/>
      <c r="JQ103" s="157"/>
      <c r="JR103" s="157"/>
      <c r="JS103" s="157"/>
      <c r="JT103" s="157"/>
      <c r="JU103" s="157"/>
      <c r="JV103" s="157"/>
      <c r="JW103" s="157"/>
      <c r="JX103" s="157"/>
      <c r="JY103" s="157"/>
      <c r="JZ103" s="157"/>
      <c r="KA103" s="157"/>
      <c r="KB103" s="157"/>
      <c r="KC103" s="157"/>
      <c r="KD103" s="157"/>
      <c r="KE103" s="157"/>
      <c r="KF103" s="157"/>
      <c r="KG103" s="157"/>
      <c r="KH103" s="157"/>
      <c r="KI103" s="157"/>
      <c r="KJ103" s="157"/>
      <c r="KK103" s="157"/>
    </row>
    <row r="104" spans="1:297" x14ac:dyDescent="0.2">
      <c r="A104" s="435"/>
      <c r="B104" s="343"/>
      <c r="C104" s="216" t="s">
        <v>211</v>
      </c>
      <c r="D104" s="216" t="s">
        <v>144</v>
      </c>
      <c r="E104" s="216" t="s">
        <v>173</v>
      </c>
      <c r="F104" s="364">
        <v>482000</v>
      </c>
      <c r="G104" s="364">
        <v>482000</v>
      </c>
      <c r="H104" s="364">
        <v>482000</v>
      </c>
      <c r="I104" s="364">
        <v>482000</v>
      </c>
      <c r="J104" s="364">
        <v>482000</v>
      </c>
      <c r="K104" s="364">
        <v>482000</v>
      </c>
      <c r="L104" s="364">
        <v>482000</v>
      </c>
      <c r="M104" s="364">
        <v>482000</v>
      </c>
      <c r="N104" s="164"/>
      <c r="O104" s="154" t="s">
        <v>260</v>
      </c>
      <c r="P104" s="344" t="s">
        <v>257</v>
      </c>
      <c r="AM104" s="157"/>
      <c r="AN104" s="157"/>
      <c r="AO104" s="157"/>
      <c r="AP104" s="157"/>
      <c r="AQ104" s="157"/>
      <c r="AR104" s="157"/>
      <c r="AS104" s="157"/>
      <c r="AT104" s="157"/>
      <c r="AU104" s="157"/>
      <c r="AV104" s="157"/>
      <c r="AW104" s="157"/>
      <c r="AX104" s="157"/>
      <c r="AY104" s="157"/>
      <c r="AZ104" s="157"/>
      <c r="BA104" s="157"/>
      <c r="BB104" s="157"/>
      <c r="BC104" s="157"/>
      <c r="BD104" s="157"/>
      <c r="BE104" s="157"/>
      <c r="BF104" s="157"/>
      <c r="BG104" s="157"/>
      <c r="BH104" s="157"/>
      <c r="BI104" s="157"/>
      <c r="BJ104" s="157"/>
      <c r="BK104" s="157"/>
      <c r="BL104" s="157"/>
      <c r="BM104" s="157"/>
      <c r="BN104" s="157"/>
      <c r="BO104" s="157"/>
      <c r="BP104" s="157"/>
      <c r="BQ104" s="157"/>
      <c r="BR104" s="157"/>
      <c r="BS104" s="157"/>
      <c r="BT104" s="157"/>
      <c r="BU104" s="157"/>
      <c r="BV104" s="157"/>
      <c r="BW104" s="157"/>
      <c r="BX104" s="157"/>
      <c r="BY104" s="157"/>
      <c r="BZ104" s="157"/>
      <c r="CA104" s="157"/>
      <c r="CB104" s="157"/>
      <c r="CC104" s="157"/>
      <c r="CD104" s="157"/>
      <c r="CE104" s="157"/>
      <c r="CF104" s="157"/>
      <c r="CG104" s="157"/>
      <c r="CH104" s="157"/>
      <c r="CI104" s="157"/>
      <c r="CJ104" s="157"/>
      <c r="CK104" s="157"/>
      <c r="CL104" s="157"/>
      <c r="CM104" s="157"/>
      <c r="CN104" s="157"/>
      <c r="CO104" s="157"/>
      <c r="CP104" s="157"/>
      <c r="CQ104" s="157"/>
      <c r="CR104" s="157"/>
      <c r="CS104" s="157"/>
      <c r="CT104" s="157"/>
      <c r="CU104" s="157"/>
      <c r="CV104" s="157"/>
      <c r="CW104" s="157"/>
      <c r="CX104" s="157"/>
      <c r="CY104" s="157"/>
      <c r="CZ104" s="157"/>
      <c r="DA104" s="157"/>
      <c r="DB104" s="157"/>
      <c r="DC104" s="157"/>
      <c r="DD104" s="157"/>
      <c r="DE104" s="157"/>
      <c r="DF104" s="157"/>
      <c r="DG104" s="157"/>
      <c r="DH104" s="157"/>
      <c r="DI104" s="157"/>
      <c r="DJ104" s="157"/>
      <c r="DK104" s="157"/>
      <c r="DL104" s="157"/>
      <c r="DM104" s="157"/>
      <c r="DN104" s="157"/>
      <c r="DO104" s="157"/>
      <c r="DP104" s="157"/>
      <c r="DQ104" s="157"/>
      <c r="DR104" s="157"/>
      <c r="DS104" s="157"/>
      <c r="DT104" s="157"/>
      <c r="DU104" s="157"/>
      <c r="DV104" s="157"/>
      <c r="DW104" s="157"/>
      <c r="DX104" s="157"/>
      <c r="DY104" s="157"/>
      <c r="DZ104" s="157"/>
      <c r="EA104" s="157"/>
      <c r="EB104" s="157"/>
      <c r="EC104" s="157"/>
      <c r="ED104" s="157"/>
      <c r="EE104" s="157"/>
      <c r="EF104" s="157"/>
      <c r="EG104" s="157"/>
      <c r="EH104" s="157"/>
      <c r="EI104" s="157"/>
      <c r="EJ104" s="157"/>
      <c r="EK104" s="157"/>
      <c r="EL104" s="157"/>
      <c r="EM104" s="157"/>
      <c r="EN104" s="157"/>
      <c r="EO104" s="157"/>
      <c r="EP104" s="157"/>
      <c r="EQ104" s="157"/>
      <c r="ER104" s="157"/>
      <c r="ES104" s="157"/>
      <c r="ET104" s="157"/>
      <c r="EU104" s="157"/>
      <c r="EV104" s="157"/>
      <c r="EW104" s="157"/>
      <c r="EX104" s="157"/>
      <c r="EY104" s="157"/>
      <c r="EZ104" s="157"/>
      <c r="FA104" s="157"/>
      <c r="FB104" s="157"/>
      <c r="FC104" s="157"/>
      <c r="FD104" s="157"/>
      <c r="FE104" s="157"/>
      <c r="FF104" s="157"/>
      <c r="FG104" s="157"/>
      <c r="FH104" s="157"/>
      <c r="FI104" s="157"/>
      <c r="FJ104" s="157"/>
      <c r="FK104" s="157"/>
      <c r="FL104" s="157"/>
      <c r="FM104" s="157"/>
      <c r="FN104" s="157"/>
      <c r="FO104" s="157"/>
      <c r="FP104" s="157"/>
      <c r="FQ104" s="157"/>
      <c r="FR104" s="157"/>
      <c r="FS104" s="157"/>
      <c r="FT104" s="157"/>
      <c r="FU104" s="157"/>
      <c r="FV104" s="157"/>
      <c r="FW104" s="157"/>
      <c r="FX104" s="157"/>
      <c r="FY104" s="157"/>
      <c r="FZ104" s="157"/>
      <c r="GA104" s="157"/>
      <c r="GB104" s="157"/>
      <c r="GC104" s="157"/>
      <c r="GD104" s="157"/>
      <c r="GE104" s="157"/>
      <c r="GF104" s="157"/>
      <c r="GG104" s="157"/>
      <c r="GH104" s="157"/>
      <c r="GI104" s="157"/>
      <c r="GJ104" s="157"/>
      <c r="GK104" s="157"/>
      <c r="GL104" s="157"/>
      <c r="GM104" s="157"/>
      <c r="GN104" s="157"/>
      <c r="GO104" s="157"/>
      <c r="GP104" s="157"/>
      <c r="GQ104" s="157"/>
      <c r="GR104" s="157"/>
      <c r="GS104" s="157"/>
      <c r="GT104" s="157"/>
      <c r="GU104" s="157"/>
      <c r="GV104" s="157"/>
      <c r="GW104" s="157"/>
      <c r="GX104" s="157"/>
      <c r="GY104" s="157"/>
      <c r="GZ104" s="157"/>
      <c r="HA104" s="157"/>
      <c r="HB104" s="157"/>
      <c r="HC104" s="157"/>
      <c r="HD104" s="157"/>
      <c r="HE104" s="157"/>
      <c r="HF104" s="157"/>
      <c r="HG104" s="157"/>
      <c r="HH104" s="157"/>
      <c r="HI104" s="157"/>
      <c r="HJ104" s="157"/>
      <c r="HK104" s="157"/>
      <c r="HL104" s="157"/>
      <c r="HM104" s="157"/>
      <c r="HN104" s="157"/>
      <c r="HO104" s="157"/>
      <c r="HP104" s="157"/>
      <c r="HQ104" s="157"/>
      <c r="HR104" s="157"/>
      <c r="HS104" s="157"/>
      <c r="HT104" s="157"/>
      <c r="HU104" s="157"/>
      <c r="HV104" s="157"/>
      <c r="HW104" s="157"/>
      <c r="HX104" s="157"/>
      <c r="HY104" s="157"/>
      <c r="HZ104" s="157"/>
      <c r="IA104" s="157"/>
      <c r="IB104" s="157"/>
      <c r="IC104" s="157"/>
      <c r="ID104" s="157"/>
      <c r="IE104" s="157"/>
      <c r="IF104" s="157"/>
      <c r="IG104" s="157"/>
      <c r="IH104" s="157"/>
      <c r="II104" s="157"/>
      <c r="IJ104" s="157"/>
      <c r="IK104" s="157"/>
      <c r="IL104" s="157"/>
      <c r="IM104" s="157"/>
      <c r="IN104" s="157"/>
      <c r="IO104" s="157"/>
      <c r="IP104" s="157"/>
      <c r="IQ104" s="157"/>
      <c r="IR104" s="157"/>
      <c r="IS104" s="157"/>
      <c r="IT104" s="157"/>
      <c r="IU104" s="157"/>
      <c r="IV104" s="157"/>
      <c r="IW104" s="157"/>
      <c r="IX104" s="157"/>
      <c r="IY104" s="157"/>
      <c r="IZ104" s="157"/>
      <c r="JA104" s="157"/>
      <c r="JB104" s="157"/>
      <c r="JC104" s="157"/>
      <c r="JD104" s="157"/>
      <c r="JE104" s="157"/>
      <c r="JF104" s="157"/>
      <c r="JG104" s="157"/>
      <c r="JH104" s="157"/>
      <c r="JI104" s="157"/>
      <c r="JJ104" s="157"/>
      <c r="JK104" s="157"/>
      <c r="JL104" s="157"/>
      <c r="JM104" s="157"/>
      <c r="JN104" s="157"/>
      <c r="JO104" s="157"/>
      <c r="JP104" s="157"/>
      <c r="JQ104" s="157"/>
      <c r="JR104" s="157"/>
      <c r="JS104" s="157"/>
      <c r="JT104" s="157"/>
      <c r="JU104" s="157"/>
      <c r="JV104" s="157"/>
      <c r="JW104" s="157"/>
      <c r="JX104" s="157"/>
      <c r="JY104" s="157"/>
      <c r="JZ104" s="157"/>
      <c r="KA104" s="157"/>
      <c r="KB104" s="157"/>
      <c r="KC104" s="157"/>
      <c r="KD104" s="157"/>
      <c r="KE104" s="157"/>
      <c r="KF104" s="157"/>
      <c r="KG104" s="157"/>
      <c r="KH104" s="157"/>
      <c r="KI104" s="157"/>
      <c r="KJ104" s="157"/>
      <c r="KK104" s="157"/>
    </row>
    <row r="105" spans="1:297" x14ac:dyDescent="0.2">
      <c r="A105" s="435"/>
      <c r="B105" s="343"/>
      <c r="C105" s="216" t="s">
        <v>211</v>
      </c>
      <c r="D105" s="216" t="s">
        <v>144</v>
      </c>
      <c r="E105" s="216" t="s">
        <v>150</v>
      </c>
      <c r="F105" s="364">
        <v>121000000</v>
      </c>
      <c r="G105" s="364">
        <v>121000000</v>
      </c>
      <c r="H105" s="364">
        <v>121000000</v>
      </c>
      <c r="I105" s="364">
        <v>121000000</v>
      </c>
      <c r="J105" s="364">
        <v>121000000</v>
      </c>
      <c r="K105" s="364">
        <v>121000000</v>
      </c>
      <c r="L105" s="364">
        <v>121000000</v>
      </c>
      <c r="M105" s="364">
        <v>121000000</v>
      </c>
      <c r="N105" s="164"/>
      <c r="O105" s="154" t="s">
        <v>260</v>
      </c>
      <c r="P105" s="344" t="s">
        <v>257</v>
      </c>
      <c r="AM105" s="157"/>
      <c r="AN105" s="157"/>
      <c r="AO105" s="157"/>
      <c r="AP105" s="157"/>
      <c r="AQ105" s="157"/>
      <c r="AR105" s="157"/>
      <c r="AS105" s="157"/>
      <c r="AT105" s="157"/>
      <c r="AU105" s="157"/>
      <c r="AV105" s="157"/>
      <c r="AW105" s="157"/>
      <c r="AX105" s="157"/>
      <c r="AY105" s="157"/>
      <c r="AZ105" s="157"/>
      <c r="BA105" s="157"/>
      <c r="BB105" s="157"/>
      <c r="BC105" s="157"/>
      <c r="BD105" s="157"/>
      <c r="BE105" s="157"/>
      <c r="BF105" s="157"/>
      <c r="BG105" s="157"/>
      <c r="BH105" s="157"/>
      <c r="BI105" s="157"/>
      <c r="BJ105" s="157"/>
      <c r="BK105" s="157"/>
      <c r="BL105" s="157"/>
      <c r="BM105" s="157"/>
      <c r="BN105" s="157"/>
      <c r="BO105" s="157"/>
      <c r="BP105" s="157"/>
      <c r="BQ105" s="157"/>
      <c r="BR105" s="157"/>
      <c r="BS105" s="157"/>
      <c r="BT105" s="157"/>
      <c r="BU105" s="157"/>
      <c r="BV105" s="157"/>
      <c r="BW105" s="157"/>
      <c r="BX105" s="157"/>
      <c r="BY105" s="157"/>
      <c r="BZ105" s="157"/>
      <c r="CA105" s="157"/>
      <c r="CB105" s="157"/>
      <c r="CC105" s="157"/>
      <c r="CD105" s="157"/>
      <c r="CE105" s="157"/>
      <c r="CF105" s="157"/>
      <c r="CG105" s="157"/>
      <c r="CH105" s="157"/>
      <c r="CI105" s="157"/>
      <c r="CJ105" s="157"/>
      <c r="CK105" s="157"/>
      <c r="CL105" s="157"/>
      <c r="CM105" s="157"/>
      <c r="CN105" s="157"/>
      <c r="CO105" s="157"/>
      <c r="CP105" s="157"/>
      <c r="CQ105" s="157"/>
      <c r="CR105" s="157"/>
      <c r="CS105" s="157"/>
      <c r="CT105" s="157"/>
      <c r="CU105" s="157"/>
      <c r="CV105" s="157"/>
      <c r="CW105" s="157"/>
      <c r="CX105" s="157"/>
      <c r="CY105" s="157"/>
      <c r="CZ105" s="157"/>
      <c r="DA105" s="157"/>
      <c r="DB105" s="157"/>
      <c r="DC105" s="157"/>
      <c r="DD105" s="157"/>
      <c r="DE105" s="157"/>
      <c r="DF105" s="157"/>
      <c r="DG105" s="157"/>
      <c r="DH105" s="157"/>
      <c r="DI105" s="157"/>
      <c r="DJ105" s="157"/>
      <c r="DK105" s="157"/>
      <c r="DL105" s="157"/>
      <c r="DM105" s="157"/>
      <c r="DN105" s="157"/>
      <c r="DO105" s="157"/>
      <c r="DP105" s="157"/>
      <c r="DQ105" s="157"/>
      <c r="DR105" s="157"/>
      <c r="DS105" s="157"/>
      <c r="DT105" s="157"/>
      <c r="DU105" s="157"/>
      <c r="DV105" s="157"/>
      <c r="DW105" s="157"/>
      <c r="DX105" s="157"/>
      <c r="DY105" s="157"/>
      <c r="DZ105" s="157"/>
      <c r="EA105" s="157"/>
      <c r="EB105" s="157"/>
      <c r="EC105" s="157"/>
      <c r="ED105" s="157"/>
      <c r="EE105" s="157"/>
      <c r="EF105" s="157"/>
      <c r="EG105" s="157"/>
      <c r="EH105" s="157"/>
      <c r="EI105" s="157"/>
      <c r="EJ105" s="157"/>
      <c r="EK105" s="157"/>
      <c r="EL105" s="157"/>
      <c r="EM105" s="157"/>
      <c r="EN105" s="157"/>
      <c r="EO105" s="157"/>
      <c r="EP105" s="157"/>
      <c r="EQ105" s="157"/>
      <c r="ER105" s="157"/>
      <c r="ES105" s="157"/>
      <c r="ET105" s="157"/>
      <c r="EU105" s="157"/>
      <c r="EV105" s="157"/>
      <c r="EW105" s="157"/>
      <c r="EX105" s="157"/>
      <c r="EY105" s="157"/>
      <c r="EZ105" s="157"/>
      <c r="FA105" s="157"/>
      <c r="FB105" s="157"/>
      <c r="FC105" s="157"/>
      <c r="FD105" s="157"/>
      <c r="FE105" s="157"/>
      <c r="FF105" s="157"/>
      <c r="FG105" s="157"/>
      <c r="FH105" s="157"/>
      <c r="FI105" s="157"/>
      <c r="FJ105" s="157"/>
      <c r="FK105" s="157"/>
      <c r="FL105" s="157"/>
      <c r="FM105" s="157"/>
      <c r="FN105" s="157"/>
      <c r="FO105" s="157"/>
      <c r="FP105" s="157"/>
      <c r="FQ105" s="157"/>
      <c r="FR105" s="157"/>
      <c r="FS105" s="157"/>
      <c r="FT105" s="157"/>
      <c r="FU105" s="157"/>
      <c r="FV105" s="157"/>
      <c r="FW105" s="157"/>
      <c r="FX105" s="157"/>
      <c r="FY105" s="157"/>
      <c r="FZ105" s="157"/>
      <c r="GA105" s="157"/>
      <c r="GB105" s="157"/>
      <c r="GC105" s="157"/>
      <c r="GD105" s="157"/>
      <c r="GE105" s="157"/>
      <c r="GF105" s="157"/>
      <c r="GG105" s="157"/>
      <c r="GH105" s="157"/>
      <c r="GI105" s="157"/>
      <c r="GJ105" s="157"/>
      <c r="GK105" s="157"/>
      <c r="GL105" s="157"/>
      <c r="GM105" s="157"/>
      <c r="GN105" s="157"/>
      <c r="GO105" s="157"/>
      <c r="GP105" s="157"/>
      <c r="GQ105" s="157"/>
      <c r="GR105" s="157"/>
      <c r="GS105" s="157"/>
      <c r="GT105" s="157"/>
      <c r="GU105" s="157"/>
      <c r="GV105" s="157"/>
      <c r="GW105" s="157"/>
      <c r="GX105" s="157"/>
      <c r="GY105" s="157"/>
      <c r="GZ105" s="157"/>
      <c r="HA105" s="157"/>
      <c r="HB105" s="157"/>
      <c r="HC105" s="157"/>
      <c r="HD105" s="157"/>
      <c r="HE105" s="157"/>
      <c r="HF105" s="157"/>
      <c r="HG105" s="157"/>
      <c r="HH105" s="157"/>
      <c r="HI105" s="157"/>
      <c r="HJ105" s="157"/>
      <c r="HK105" s="157"/>
      <c r="HL105" s="157"/>
      <c r="HM105" s="157"/>
      <c r="HN105" s="157"/>
      <c r="HO105" s="157"/>
      <c r="HP105" s="157"/>
      <c r="HQ105" s="157"/>
      <c r="HR105" s="157"/>
      <c r="HS105" s="157"/>
      <c r="HT105" s="157"/>
      <c r="HU105" s="157"/>
      <c r="HV105" s="157"/>
      <c r="HW105" s="157"/>
      <c r="HX105" s="157"/>
      <c r="HY105" s="157"/>
      <c r="HZ105" s="157"/>
      <c r="IA105" s="157"/>
      <c r="IB105" s="157"/>
      <c r="IC105" s="157"/>
      <c r="ID105" s="157"/>
      <c r="IE105" s="157"/>
      <c r="IF105" s="157"/>
      <c r="IG105" s="157"/>
      <c r="IH105" s="157"/>
      <c r="II105" s="157"/>
      <c r="IJ105" s="157"/>
      <c r="IK105" s="157"/>
      <c r="IL105" s="157"/>
      <c r="IM105" s="157"/>
      <c r="IN105" s="157"/>
      <c r="IO105" s="157"/>
      <c r="IP105" s="157"/>
      <c r="IQ105" s="157"/>
      <c r="IR105" s="157"/>
      <c r="IS105" s="157"/>
      <c r="IT105" s="157"/>
      <c r="IU105" s="157"/>
      <c r="IV105" s="157"/>
      <c r="IW105" s="157"/>
      <c r="IX105" s="157"/>
      <c r="IY105" s="157"/>
      <c r="IZ105" s="157"/>
      <c r="JA105" s="157"/>
      <c r="JB105" s="157"/>
      <c r="JC105" s="157"/>
      <c r="JD105" s="157"/>
      <c r="JE105" s="157"/>
      <c r="JF105" s="157"/>
      <c r="JG105" s="157"/>
      <c r="JH105" s="157"/>
      <c r="JI105" s="157"/>
      <c r="JJ105" s="157"/>
      <c r="JK105" s="157"/>
      <c r="JL105" s="157"/>
      <c r="JM105" s="157"/>
      <c r="JN105" s="157"/>
      <c r="JO105" s="157"/>
      <c r="JP105" s="157"/>
      <c r="JQ105" s="157"/>
      <c r="JR105" s="157"/>
      <c r="JS105" s="157"/>
      <c r="JT105" s="157"/>
      <c r="JU105" s="157"/>
      <c r="JV105" s="157"/>
      <c r="JW105" s="157"/>
      <c r="JX105" s="157"/>
      <c r="JY105" s="157"/>
      <c r="JZ105" s="157"/>
      <c r="KA105" s="157"/>
      <c r="KB105" s="157"/>
      <c r="KC105" s="157"/>
      <c r="KD105" s="157"/>
      <c r="KE105" s="157"/>
      <c r="KF105" s="157"/>
      <c r="KG105" s="157"/>
      <c r="KH105" s="157"/>
      <c r="KI105" s="157"/>
      <c r="KJ105" s="157"/>
      <c r="KK105" s="157"/>
    </row>
    <row r="106" spans="1:297" x14ac:dyDescent="0.2">
      <c r="A106" s="435"/>
      <c r="B106" s="343"/>
      <c r="C106" s="216" t="s">
        <v>211</v>
      </c>
      <c r="D106" s="216" t="s">
        <v>144</v>
      </c>
      <c r="E106" s="216" t="s">
        <v>162</v>
      </c>
      <c r="F106" s="364">
        <v>121000000</v>
      </c>
      <c r="G106" s="364">
        <v>121000000</v>
      </c>
      <c r="H106" s="364">
        <v>121000000</v>
      </c>
      <c r="I106" s="364">
        <v>121000000</v>
      </c>
      <c r="J106" s="364">
        <v>121000000</v>
      </c>
      <c r="K106" s="364">
        <v>121000000</v>
      </c>
      <c r="L106" s="364">
        <v>121000000</v>
      </c>
      <c r="M106" s="364">
        <v>121000000</v>
      </c>
      <c r="N106" s="164"/>
      <c r="O106" s="154" t="s">
        <v>260</v>
      </c>
      <c r="P106" s="344" t="s">
        <v>257</v>
      </c>
      <c r="AM106" s="157"/>
      <c r="AN106" s="157"/>
      <c r="AO106" s="157"/>
      <c r="AP106" s="157"/>
      <c r="AQ106" s="157"/>
      <c r="AR106" s="157"/>
      <c r="AS106" s="157"/>
      <c r="AT106" s="157"/>
      <c r="AU106" s="157"/>
      <c r="AV106" s="157"/>
      <c r="AW106" s="157"/>
      <c r="AX106" s="157"/>
      <c r="AY106" s="157"/>
      <c r="AZ106" s="157"/>
      <c r="BA106" s="157"/>
      <c r="BB106" s="157"/>
      <c r="BC106" s="157"/>
      <c r="BD106" s="157"/>
      <c r="BE106" s="157"/>
      <c r="BF106" s="157"/>
      <c r="BG106" s="157"/>
      <c r="BH106" s="157"/>
      <c r="BI106" s="157"/>
      <c r="BJ106" s="157"/>
      <c r="BK106" s="157"/>
      <c r="BL106" s="157"/>
      <c r="BM106" s="157"/>
      <c r="BN106" s="157"/>
      <c r="BO106" s="157"/>
      <c r="BP106" s="157"/>
      <c r="BQ106" s="157"/>
      <c r="BR106" s="157"/>
      <c r="BS106" s="157"/>
      <c r="BT106" s="157"/>
      <c r="BU106" s="157"/>
      <c r="BV106" s="157"/>
      <c r="BW106" s="157"/>
      <c r="BX106" s="157"/>
      <c r="BY106" s="157"/>
      <c r="BZ106" s="157"/>
      <c r="CA106" s="157"/>
      <c r="CB106" s="157"/>
      <c r="CC106" s="157"/>
      <c r="CD106" s="157"/>
      <c r="CE106" s="157"/>
      <c r="CF106" s="157"/>
      <c r="CG106" s="157"/>
      <c r="CH106" s="157"/>
      <c r="CI106" s="157"/>
      <c r="CJ106" s="157"/>
      <c r="CK106" s="157"/>
      <c r="CL106" s="157"/>
      <c r="CM106" s="157"/>
      <c r="CN106" s="157"/>
      <c r="CO106" s="157"/>
      <c r="CP106" s="157"/>
      <c r="CQ106" s="157"/>
      <c r="CR106" s="157"/>
      <c r="CS106" s="157"/>
      <c r="CT106" s="157"/>
      <c r="CU106" s="157"/>
      <c r="CV106" s="157"/>
      <c r="CW106" s="157"/>
      <c r="CX106" s="157"/>
      <c r="CY106" s="157"/>
      <c r="CZ106" s="157"/>
      <c r="DA106" s="157"/>
      <c r="DB106" s="157"/>
      <c r="DC106" s="157"/>
      <c r="DD106" s="157"/>
      <c r="DE106" s="157"/>
      <c r="DF106" s="157"/>
      <c r="DG106" s="157"/>
      <c r="DH106" s="157"/>
      <c r="DI106" s="157"/>
      <c r="DJ106" s="157"/>
      <c r="DK106" s="157"/>
      <c r="DL106" s="157"/>
      <c r="DM106" s="157"/>
      <c r="DN106" s="157"/>
      <c r="DO106" s="157"/>
      <c r="DP106" s="157"/>
      <c r="DQ106" s="157"/>
      <c r="DR106" s="157"/>
      <c r="DS106" s="157"/>
      <c r="DT106" s="157"/>
      <c r="DU106" s="157"/>
      <c r="DV106" s="157"/>
      <c r="DW106" s="157"/>
      <c r="DX106" s="157"/>
      <c r="DY106" s="157"/>
      <c r="DZ106" s="157"/>
      <c r="EA106" s="157"/>
      <c r="EB106" s="157"/>
      <c r="EC106" s="157"/>
      <c r="ED106" s="157"/>
      <c r="EE106" s="157"/>
      <c r="EF106" s="157"/>
      <c r="EG106" s="157"/>
      <c r="EH106" s="157"/>
      <c r="EI106" s="157"/>
      <c r="EJ106" s="157"/>
      <c r="EK106" s="157"/>
      <c r="EL106" s="157"/>
      <c r="EM106" s="157"/>
      <c r="EN106" s="157"/>
      <c r="EO106" s="157"/>
      <c r="EP106" s="157"/>
      <c r="EQ106" s="157"/>
      <c r="ER106" s="157"/>
      <c r="ES106" s="157"/>
      <c r="ET106" s="157"/>
      <c r="EU106" s="157"/>
      <c r="EV106" s="157"/>
      <c r="EW106" s="157"/>
      <c r="EX106" s="157"/>
      <c r="EY106" s="157"/>
      <c r="EZ106" s="157"/>
      <c r="FA106" s="157"/>
      <c r="FB106" s="157"/>
      <c r="FC106" s="157"/>
      <c r="FD106" s="157"/>
      <c r="FE106" s="157"/>
      <c r="FF106" s="157"/>
      <c r="FG106" s="157"/>
      <c r="FH106" s="157"/>
      <c r="FI106" s="157"/>
      <c r="FJ106" s="157"/>
      <c r="FK106" s="157"/>
      <c r="FL106" s="157"/>
      <c r="FM106" s="157"/>
      <c r="FN106" s="157"/>
      <c r="FO106" s="157"/>
      <c r="FP106" s="157"/>
      <c r="FQ106" s="157"/>
      <c r="FR106" s="157"/>
      <c r="FS106" s="157"/>
      <c r="FT106" s="157"/>
      <c r="FU106" s="157"/>
      <c r="FV106" s="157"/>
      <c r="FW106" s="157"/>
      <c r="FX106" s="157"/>
      <c r="FY106" s="157"/>
      <c r="FZ106" s="157"/>
      <c r="GA106" s="157"/>
      <c r="GB106" s="157"/>
      <c r="GC106" s="157"/>
      <c r="GD106" s="157"/>
      <c r="GE106" s="157"/>
      <c r="GF106" s="157"/>
      <c r="GG106" s="157"/>
      <c r="GH106" s="157"/>
      <c r="GI106" s="157"/>
      <c r="GJ106" s="157"/>
      <c r="GK106" s="157"/>
      <c r="GL106" s="157"/>
      <c r="GM106" s="157"/>
      <c r="GN106" s="157"/>
      <c r="GO106" s="157"/>
      <c r="GP106" s="157"/>
      <c r="GQ106" s="157"/>
      <c r="GR106" s="157"/>
      <c r="GS106" s="157"/>
      <c r="GT106" s="157"/>
      <c r="GU106" s="157"/>
      <c r="GV106" s="157"/>
      <c r="GW106" s="157"/>
      <c r="GX106" s="157"/>
      <c r="GY106" s="157"/>
      <c r="GZ106" s="157"/>
      <c r="HA106" s="157"/>
      <c r="HB106" s="157"/>
      <c r="HC106" s="157"/>
      <c r="HD106" s="157"/>
      <c r="HE106" s="157"/>
      <c r="HF106" s="157"/>
      <c r="HG106" s="157"/>
      <c r="HH106" s="157"/>
      <c r="HI106" s="157"/>
      <c r="HJ106" s="157"/>
      <c r="HK106" s="157"/>
      <c r="HL106" s="157"/>
      <c r="HM106" s="157"/>
      <c r="HN106" s="157"/>
      <c r="HO106" s="157"/>
      <c r="HP106" s="157"/>
      <c r="HQ106" s="157"/>
      <c r="HR106" s="157"/>
      <c r="HS106" s="157"/>
      <c r="HT106" s="157"/>
      <c r="HU106" s="157"/>
      <c r="HV106" s="157"/>
      <c r="HW106" s="157"/>
      <c r="HX106" s="157"/>
      <c r="HY106" s="157"/>
      <c r="HZ106" s="157"/>
      <c r="IA106" s="157"/>
      <c r="IB106" s="157"/>
      <c r="IC106" s="157"/>
      <c r="ID106" s="157"/>
      <c r="IE106" s="157"/>
      <c r="IF106" s="157"/>
      <c r="IG106" s="157"/>
      <c r="IH106" s="157"/>
      <c r="II106" s="157"/>
      <c r="IJ106" s="157"/>
      <c r="IK106" s="157"/>
      <c r="IL106" s="157"/>
      <c r="IM106" s="157"/>
      <c r="IN106" s="157"/>
      <c r="IO106" s="157"/>
      <c r="IP106" s="157"/>
      <c r="IQ106" s="157"/>
      <c r="IR106" s="157"/>
      <c r="IS106" s="157"/>
      <c r="IT106" s="157"/>
      <c r="IU106" s="157"/>
      <c r="IV106" s="157"/>
      <c r="IW106" s="157"/>
      <c r="IX106" s="157"/>
      <c r="IY106" s="157"/>
      <c r="IZ106" s="157"/>
      <c r="JA106" s="157"/>
      <c r="JB106" s="157"/>
      <c r="JC106" s="157"/>
      <c r="JD106" s="157"/>
      <c r="JE106" s="157"/>
      <c r="JF106" s="157"/>
      <c r="JG106" s="157"/>
      <c r="JH106" s="157"/>
      <c r="JI106" s="157"/>
      <c r="JJ106" s="157"/>
      <c r="JK106" s="157"/>
      <c r="JL106" s="157"/>
      <c r="JM106" s="157"/>
      <c r="JN106" s="157"/>
      <c r="JO106" s="157"/>
      <c r="JP106" s="157"/>
      <c r="JQ106" s="157"/>
      <c r="JR106" s="157"/>
      <c r="JS106" s="157"/>
      <c r="JT106" s="157"/>
      <c r="JU106" s="157"/>
      <c r="JV106" s="157"/>
      <c r="JW106" s="157"/>
      <c r="JX106" s="157"/>
      <c r="JY106" s="157"/>
      <c r="JZ106" s="157"/>
      <c r="KA106" s="157"/>
      <c r="KB106" s="157"/>
      <c r="KC106" s="157"/>
      <c r="KD106" s="157"/>
      <c r="KE106" s="157"/>
      <c r="KF106" s="157"/>
      <c r="KG106" s="157"/>
      <c r="KH106" s="157"/>
      <c r="KI106" s="157"/>
      <c r="KJ106" s="157"/>
      <c r="KK106" s="157"/>
    </row>
    <row r="107" spans="1:297" x14ac:dyDescent="0.2">
      <c r="A107" s="435"/>
      <c r="B107" s="343"/>
      <c r="C107" s="216" t="s">
        <v>211</v>
      </c>
      <c r="D107" s="216" t="s">
        <v>144</v>
      </c>
      <c r="E107" s="216" t="s">
        <v>148</v>
      </c>
      <c r="F107" s="364">
        <v>250000</v>
      </c>
      <c r="G107" s="364">
        <v>250000</v>
      </c>
      <c r="H107" s="364">
        <v>250000</v>
      </c>
      <c r="I107" s="364">
        <v>250000</v>
      </c>
      <c r="J107" s="364">
        <v>250000</v>
      </c>
      <c r="K107" s="364">
        <v>250000</v>
      </c>
      <c r="L107" s="364">
        <v>250000</v>
      </c>
      <c r="M107" s="364">
        <v>250000</v>
      </c>
      <c r="N107" s="164"/>
      <c r="O107" s="154" t="s">
        <v>260</v>
      </c>
      <c r="P107" s="344" t="s">
        <v>257</v>
      </c>
      <c r="AM107" s="157"/>
      <c r="AN107" s="157"/>
      <c r="AO107" s="157"/>
      <c r="AP107" s="157"/>
      <c r="AQ107" s="157"/>
      <c r="AR107" s="157"/>
      <c r="AS107" s="157"/>
      <c r="AT107" s="157"/>
      <c r="AU107" s="157"/>
      <c r="AV107" s="157"/>
      <c r="AW107" s="157"/>
      <c r="AX107" s="157"/>
      <c r="AY107" s="157"/>
      <c r="AZ107" s="157"/>
      <c r="BA107" s="157"/>
      <c r="BB107" s="157"/>
      <c r="BC107" s="157"/>
      <c r="BD107" s="157"/>
      <c r="BE107" s="157"/>
      <c r="BF107" s="157"/>
      <c r="BG107" s="157"/>
      <c r="BH107" s="157"/>
      <c r="BI107" s="157"/>
      <c r="BJ107" s="157"/>
      <c r="BK107" s="157"/>
      <c r="BL107" s="157"/>
      <c r="BM107" s="157"/>
      <c r="BN107" s="157"/>
      <c r="BO107" s="157"/>
      <c r="BP107" s="157"/>
      <c r="BQ107" s="157"/>
      <c r="BR107" s="157"/>
      <c r="BS107" s="157"/>
      <c r="BT107" s="157"/>
      <c r="BU107" s="157"/>
      <c r="BV107" s="157"/>
      <c r="BW107" s="157"/>
      <c r="BX107" s="157"/>
      <c r="BY107" s="157"/>
      <c r="BZ107" s="157"/>
      <c r="CA107" s="157"/>
      <c r="CB107" s="157"/>
      <c r="CC107" s="157"/>
      <c r="CD107" s="157"/>
      <c r="CE107" s="157"/>
      <c r="CF107" s="157"/>
      <c r="CG107" s="157"/>
      <c r="CH107" s="157"/>
      <c r="CI107" s="157"/>
      <c r="CJ107" s="157"/>
      <c r="CK107" s="157"/>
      <c r="CL107" s="157"/>
      <c r="CM107" s="157"/>
      <c r="CN107" s="157"/>
      <c r="CO107" s="157"/>
      <c r="CP107" s="157"/>
      <c r="CQ107" s="157"/>
      <c r="CR107" s="157"/>
      <c r="CS107" s="157"/>
      <c r="CT107" s="157"/>
      <c r="CU107" s="157"/>
      <c r="CV107" s="157"/>
      <c r="CW107" s="157"/>
      <c r="CX107" s="157"/>
      <c r="CY107" s="157"/>
      <c r="CZ107" s="157"/>
      <c r="DA107" s="157"/>
      <c r="DB107" s="157"/>
      <c r="DC107" s="157"/>
      <c r="DD107" s="157"/>
      <c r="DE107" s="157"/>
      <c r="DF107" s="157"/>
      <c r="DG107" s="157"/>
      <c r="DH107" s="157"/>
      <c r="DI107" s="157"/>
      <c r="DJ107" s="157"/>
      <c r="DK107" s="157"/>
      <c r="DL107" s="157"/>
      <c r="DM107" s="157"/>
      <c r="DN107" s="157"/>
      <c r="DO107" s="157"/>
      <c r="DP107" s="157"/>
      <c r="DQ107" s="157"/>
      <c r="DR107" s="157"/>
      <c r="DS107" s="157"/>
      <c r="DT107" s="157"/>
      <c r="DU107" s="157"/>
      <c r="DV107" s="157"/>
      <c r="DW107" s="157"/>
      <c r="DX107" s="157"/>
      <c r="DY107" s="157"/>
      <c r="DZ107" s="157"/>
      <c r="EA107" s="157"/>
      <c r="EB107" s="157"/>
      <c r="EC107" s="157"/>
      <c r="ED107" s="157"/>
      <c r="EE107" s="157"/>
      <c r="EF107" s="157"/>
      <c r="EG107" s="157"/>
      <c r="EH107" s="157"/>
      <c r="EI107" s="157"/>
      <c r="EJ107" s="157"/>
      <c r="EK107" s="157"/>
      <c r="EL107" s="157"/>
      <c r="EM107" s="157"/>
      <c r="EN107" s="157"/>
      <c r="EO107" s="157"/>
      <c r="EP107" s="157"/>
      <c r="EQ107" s="157"/>
      <c r="ER107" s="157"/>
      <c r="ES107" s="157"/>
      <c r="ET107" s="157"/>
      <c r="EU107" s="157"/>
      <c r="EV107" s="157"/>
      <c r="EW107" s="157"/>
      <c r="EX107" s="157"/>
      <c r="EY107" s="157"/>
      <c r="EZ107" s="157"/>
      <c r="FA107" s="157"/>
      <c r="FB107" s="157"/>
      <c r="FC107" s="157"/>
      <c r="FD107" s="157"/>
      <c r="FE107" s="157"/>
      <c r="FF107" s="157"/>
      <c r="FG107" s="157"/>
      <c r="FH107" s="157"/>
      <c r="FI107" s="157"/>
      <c r="FJ107" s="157"/>
      <c r="FK107" s="157"/>
      <c r="FL107" s="157"/>
      <c r="FM107" s="157"/>
      <c r="FN107" s="157"/>
      <c r="FO107" s="157"/>
      <c r="FP107" s="157"/>
      <c r="FQ107" s="157"/>
      <c r="FR107" s="157"/>
      <c r="FS107" s="157"/>
      <c r="FT107" s="157"/>
      <c r="FU107" s="157"/>
      <c r="FV107" s="157"/>
      <c r="FW107" s="157"/>
      <c r="FX107" s="157"/>
      <c r="FY107" s="157"/>
      <c r="FZ107" s="157"/>
      <c r="GA107" s="157"/>
      <c r="GB107" s="157"/>
      <c r="GC107" s="157"/>
      <c r="GD107" s="157"/>
      <c r="GE107" s="157"/>
      <c r="GF107" s="157"/>
      <c r="GG107" s="157"/>
      <c r="GH107" s="157"/>
      <c r="GI107" s="157"/>
      <c r="GJ107" s="157"/>
      <c r="GK107" s="157"/>
      <c r="GL107" s="157"/>
      <c r="GM107" s="157"/>
      <c r="GN107" s="157"/>
      <c r="GO107" s="157"/>
      <c r="GP107" s="157"/>
      <c r="GQ107" s="157"/>
      <c r="GR107" s="157"/>
      <c r="GS107" s="157"/>
      <c r="GT107" s="157"/>
      <c r="GU107" s="157"/>
      <c r="GV107" s="157"/>
      <c r="GW107" s="157"/>
      <c r="GX107" s="157"/>
      <c r="GY107" s="157"/>
      <c r="GZ107" s="157"/>
      <c r="HA107" s="157"/>
      <c r="HB107" s="157"/>
      <c r="HC107" s="157"/>
      <c r="HD107" s="157"/>
      <c r="HE107" s="157"/>
      <c r="HF107" s="157"/>
      <c r="HG107" s="157"/>
      <c r="HH107" s="157"/>
      <c r="HI107" s="157"/>
      <c r="HJ107" s="157"/>
      <c r="HK107" s="157"/>
      <c r="HL107" s="157"/>
      <c r="HM107" s="157"/>
      <c r="HN107" s="157"/>
      <c r="HO107" s="157"/>
      <c r="HP107" s="157"/>
      <c r="HQ107" s="157"/>
      <c r="HR107" s="157"/>
      <c r="HS107" s="157"/>
      <c r="HT107" s="157"/>
      <c r="HU107" s="157"/>
      <c r="HV107" s="157"/>
      <c r="HW107" s="157"/>
      <c r="HX107" s="157"/>
      <c r="HY107" s="157"/>
      <c r="HZ107" s="157"/>
      <c r="IA107" s="157"/>
      <c r="IB107" s="157"/>
      <c r="IC107" s="157"/>
      <c r="ID107" s="157"/>
      <c r="IE107" s="157"/>
      <c r="IF107" s="157"/>
      <c r="IG107" s="157"/>
      <c r="IH107" s="157"/>
      <c r="II107" s="157"/>
      <c r="IJ107" s="157"/>
      <c r="IK107" s="157"/>
      <c r="IL107" s="157"/>
      <c r="IM107" s="157"/>
      <c r="IN107" s="157"/>
      <c r="IO107" s="157"/>
      <c r="IP107" s="157"/>
      <c r="IQ107" s="157"/>
      <c r="IR107" s="157"/>
      <c r="IS107" s="157"/>
      <c r="IT107" s="157"/>
      <c r="IU107" s="157"/>
      <c r="IV107" s="157"/>
      <c r="IW107" s="157"/>
      <c r="IX107" s="157"/>
      <c r="IY107" s="157"/>
      <c r="IZ107" s="157"/>
      <c r="JA107" s="157"/>
      <c r="JB107" s="157"/>
      <c r="JC107" s="157"/>
      <c r="JD107" s="157"/>
      <c r="JE107" s="157"/>
      <c r="JF107" s="157"/>
      <c r="JG107" s="157"/>
      <c r="JH107" s="157"/>
      <c r="JI107" s="157"/>
      <c r="JJ107" s="157"/>
      <c r="JK107" s="157"/>
      <c r="JL107" s="157"/>
      <c r="JM107" s="157"/>
      <c r="JN107" s="157"/>
      <c r="JO107" s="157"/>
      <c r="JP107" s="157"/>
      <c r="JQ107" s="157"/>
      <c r="JR107" s="157"/>
      <c r="JS107" s="157"/>
      <c r="JT107" s="157"/>
      <c r="JU107" s="157"/>
      <c r="JV107" s="157"/>
      <c r="JW107" s="157"/>
      <c r="JX107" s="157"/>
      <c r="JY107" s="157"/>
      <c r="JZ107" s="157"/>
      <c r="KA107" s="157"/>
      <c r="KB107" s="157"/>
      <c r="KC107" s="157"/>
      <c r="KD107" s="157"/>
      <c r="KE107" s="157"/>
      <c r="KF107" s="157"/>
      <c r="KG107" s="157"/>
      <c r="KH107" s="157"/>
      <c r="KI107" s="157"/>
      <c r="KJ107" s="157"/>
      <c r="KK107" s="157"/>
    </row>
    <row r="108" spans="1:297" x14ac:dyDescent="0.2">
      <c r="A108" s="435"/>
      <c r="B108" s="321"/>
      <c r="C108" s="216" t="s">
        <v>211</v>
      </c>
      <c r="D108" s="216" t="s">
        <v>144</v>
      </c>
      <c r="E108" s="216" t="s">
        <v>176</v>
      </c>
      <c r="F108" s="364">
        <v>250000</v>
      </c>
      <c r="G108" s="364">
        <v>250000</v>
      </c>
      <c r="H108" s="364">
        <v>250000</v>
      </c>
      <c r="I108" s="364">
        <v>250000</v>
      </c>
      <c r="J108" s="364">
        <v>250000</v>
      </c>
      <c r="K108" s="364">
        <v>250000</v>
      </c>
      <c r="L108" s="364">
        <v>250000</v>
      </c>
      <c r="M108" s="364">
        <v>250000</v>
      </c>
      <c r="N108" s="164"/>
      <c r="O108" s="154" t="s">
        <v>260</v>
      </c>
      <c r="P108" s="344" t="s">
        <v>257</v>
      </c>
      <c r="AM108" s="157"/>
      <c r="AN108" s="157"/>
      <c r="AO108" s="157"/>
      <c r="AP108" s="157"/>
      <c r="AQ108" s="157"/>
      <c r="AR108" s="157"/>
      <c r="AS108" s="157"/>
      <c r="AT108" s="157"/>
      <c r="AU108" s="157"/>
      <c r="AV108" s="157"/>
      <c r="AW108" s="157"/>
      <c r="AX108" s="157"/>
      <c r="AY108" s="157"/>
      <c r="AZ108" s="157"/>
      <c r="BA108" s="157"/>
      <c r="BB108" s="157"/>
      <c r="BC108" s="157"/>
      <c r="BD108" s="157"/>
      <c r="BE108" s="157"/>
      <c r="BF108" s="157"/>
      <c r="BG108" s="157"/>
      <c r="BH108" s="157"/>
      <c r="BI108" s="157"/>
      <c r="BJ108" s="157"/>
      <c r="BK108" s="157"/>
      <c r="BL108" s="157"/>
      <c r="BM108" s="157"/>
      <c r="BN108" s="157"/>
      <c r="BO108" s="157"/>
      <c r="BP108" s="157"/>
      <c r="BQ108" s="157"/>
      <c r="BR108" s="157"/>
      <c r="BS108" s="157"/>
      <c r="BT108" s="157"/>
      <c r="BU108" s="157"/>
      <c r="BV108" s="157"/>
      <c r="BW108" s="157"/>
      <c r="BX108" s="157"/>
      <c r="BY108" s="157"/>
      <c r="BZ108" s="157"/>
      <c r="CA108" s="157"/>
      <c r="CB108" s="157"/>
      <c r="CC108" s="157"/>
      <c r="CD108" s="157"/>
      <c r="CE108" s="157"/>
      <c r="CF108" s="157"/>
      <c r="CG108" s="157"/>
      <c r="CH108" s="157"/>
      <c r="CI108" s="157"/>
      <c r="CJ108" s="157"/>
      <c r="CK108" s="157"/>
      <c r="CL108" s="157"/>
      <c r="CM108" s="157"/>
      <c r="CN108" s="157"/>
      <c r="CO108" s="157"/>
      <c r="CP108" s="157"/>
      <c r="CQ108" s="157"/>
      <c r="CR108" s="157"/>
      <c r="CS108" s="157"/>
      <c r="CT108" s="157"/>
      <c r="CU108" s="157"/>
      <c r="CV108" s="157"/>
      <c r="CW108" s="157"/>
      <c r="CX108" s="157"/>
      <c r="CY108" s="157"/>
      <c r="CZ108" s="157"/>
      <c r="DA108" s="157"/>
      <c r="DB108" s="157"/>
      <c r="DC108" s="157"/>
      <c r="DD108" s="157"/>
      <c r="DE108" s="157"/>
      <c r="DF108" s="157"/>
      <c r="DG108" s="157"/>
      <c r="DH108" s="157"/>
      <c r="DI108" s="157"/>
      <c r="DJ108" s="157"/>
      <c r="DK108" s="157"/>
      <c r="DL108" s="157"/>
      <c r="DM108" s="157"/>
      <c r="DN108" s="157"/>
      <c r="DO108" s="157"/>
      <c r="DP108" s="157"/>
      <c r="DQ108" s="157"/>
      <c r="DR108" s="157"/>
      <c r="DS108" s="157"/>
      <c r="DT108" s="157"/>
      <c r="DU108" s="157"/>
      <c r="DV108" s="157"/>
      <c r="DW108" s="157"/>
      <c r="DX108" s="157"/>
      <c r="DY108" s="157"/>
      <c r="DZ108" s="157"/>
      <c r="EA108" s="157"/>
      <c r="EB108" s="157"/>
      <c r="EC108" s="157"/>
      <c r="ED108" s="157"/>
      <c r="EE108" s="157"/>
      <c r="EF108" s="157"/>
      <c r="EG108" s="157"/>
      <c r="EH108" s="157"/>
      <c r="EI108" s="157"/>
      <c r="EJ108" s="157"/>
      <c r="EK108" s="157"/>
      <c r="EL108" s="157"/>
      <c r="EM108" s="157"/>
      <c r="EN108" s="157"/>
      <c r="EO108" s="157"/>
      <c r="EP108" s="157"/>
      <c r="EQ108" s="157"/>
      <c r="ER108" s="157"/>
      <c r="ES108" s="157"/>
      <c r="ET108" s="157"/>
      <c r="EU108" s="157"/>
      <c r="EV108" s="157"/>
      <c r="EW108" s="157"/>
      <c r="EX108" s="157"/>
      <c r="EY108" s="157"/>
      <c r="EZ108" s="157"/>
      <c r="FA108" s="157"/>
      <c r="FB108" s="157"/>
      <c r="FC108" s="157"/>
      <c r="FD108" s="157"/>
      <c r="FE108" s="157"/>
      <c r="FF108" s="157"/>
      <c r="FG108" s="157"/>
      <c r="FH108" s="157"/>
      <c r="FI108" s="157"/>
      <c r="FJ108" s="157"/>
      <c r="FK108" s="157"/>
      <c r="FL108" s="157"/>
      <c r="FM108" s="157"/>
      <c r="FN108" s="157"/>
      <c r="FO108" s="157"/>
      <c r="FP108" s="157"/>
      <c r="FQ108" s="157"/>
      <c r="FR108" s="157"/>
      <c r="FS108" s="157"/>
      <c r="FT108" s="157"/>
      <c r="FU108" s="157"/>
      <c r="FV108" s="157"/>
      <c r="FW108" s="157"/>
      <c r="FX108" s="157"/>
      <c r="FY108" s="157"/>
      <c r="FZ108" s="157"/>
      <c r="GA108" s="157"/>
      <c r="GB108" s="157"/>
      <c r="GC108" s="157"/>
      <c r="GD108" s="157"/>
      <c r="GE108" s="157"/>
      <c r="GF108" s="157"/>
      <c r="GG108" s="157"/>
      <c r="GH108" s="157"/>
      <c r="GI108" s="157"/>
      <c r="GJ108" s="157"/>
      <c r="GK108" s="157"/>
      <c r="GL108" s="157"/>
      <c r="GM108" s="157"/>
      <c r="GN108" s="157"/>
      <c r="GO108" s="157"/>
      <c r="GP108" s="157"/>
      <c r="GQ108" s="157"/>
      <c r="GR108" s="157"/>
      <c r="GS108" s="157"/>
      <c r="GT108" s="157"/>
      <c r="GU108" s="157"/>
      <c r="GV108" s="157"/>
      <c r="GW108" s="157"/>
      <c r="GX108" s="157"/>
      <c r="GY108" s="157"/>
      <c r="GZ108" s="157"/>
      <c r="HA108" s="157"/>
      <c r="HB108" s="157"/>
      <c r="HC108" s="157"/>
      <c r="HD108" s="157"/>
      <c r="HE108" s="157"/>
      <c r="HF108" s="157"/>
      <c r="HG108" s="157"/>
      <c r="HH108" s="157"/>
      <c r="HI108" s="157"/>
      <c r="HJ108" s="157"/>
      <c r="HK108" s="157"/>
      <c r="HL108" s="157"/>
      <c r="HM108" s="157"/>
      <c r="HN108" s="157"/>
      <c r="HO108" s="157"/>
      <c r="HP108" s="157"/>
      <c r="HQ108" s="157"/>
      <c r="HR108" s="157"/>
      <c r="HS108" s="157"/>
      <c r="HT108" s="157"/>
      <c r="HU108" s="157"/>
      <c r="HV108" s="157"/>
      <c r="HW108" s="157"/>
      <c r="HX108" s="157"/>
      <c r="HY108" s="157"/>
      <c r="HZ108" s="157"/>
      <c r="IA108" s="157"/>
      <c r="IB108" s="157"/>
      <c r="IC108" s="157"/>
      <c r="ID108" s="157"/>
      <c r="IE108" s="157"/>
      <c r="IF108" s="157"/>
      <c r="IG108" s="157"/>
      <c r="IH108" s="157"/>
      <c r="II108" s="157"/>
      <c r="IJ108" s="157"/>
      <c r="IK108" s="157"/>
      <c r="IL108" s="157"/>
      <c r="IM108" s="157"/>
      <c r="IN108" s="157"/>
      <c r="IO108" s="157"/>
      <c r="IP108" s="157"/>
      <c r="IQ108" s="157"/>
      <c r="IR108" s="157"/>
      <c r="IS108" s="157"/>
      <c r="IT108" s="157"/>
      <c r="IU108" s="157"/>
      <c r="IV108" s="157"/>
      <c r="IW108" s="157"/>
      <c r="IX108" s="157"/>
      <c r="IY108" s="157"/>
      <c r="IZ108" s="157"/>
      <c r="JA108" s="157"/>
      <c r="JB108" s="157"/>
      <c r="JC108" s="157"/>
      <c r="JD108" s="157"/>
      <c r="JE108" s="157"/>
      <c r="JF108" s="157"/>
      <c r="JG108" s="157"/>
      <c r="JH108" s="157"/>
      <c r="JI108" s="157"/>
      <c r="JJ108" s="157"/>
      <c r="JK108" s="157"/>
      <c r="JL108" s="157"/>
      <c r="JM108" s="157"/>
      <c r="JN108" s="157"/>
      <c r="JO108" s="157"/>
      <c r="JP108" s="157"/>
      <c r="JQ108" s="157"/>
      <c r="JR108" s="157"/>
      <c r="JS108" s="157"/>
      <c r="JT108" s="157"/>
      <c r="JU108" s="157"/>
      <c r="JV108" s="157"/>
      <c r="JW108" s="157"/>
      <c r="JX108" s="157"/>
      <c r="JY108" s="157"/>
      <c r="JZ108" s="157"/>
      <c r="KA108" s="157"/>
      <c r="KB108" s="157"/>
      <c r="KC108" s="157"/>
      <c r="KD108" s="157"/>
      <c r="KE108" s="157"/>
      <c r="KF108" s="157"/>
      <c r="KG108" s="157"/>
      <c r="KH108" s="157"/>
      <c r="KI108" s="157"/>
      <c r="KJ108" s="157"/>
      <c r="KK108" s="157"/>
    </row>
    <row r="109" spans="1:297" ht="16" thickBot="1" x14ac:dyDescent="0.25">
      <c r="A109" s="436"/>
      <c r="B109" s="345"/>
      <c r="C109" s="346" t="s">
        <v>211</v>
      </c>
      <c r="D109" s="346" t="s">
        <v>144</v>
      </c>
      <c r="E109" s="346" t="s">
        <v>158</v>
      </c>
      <c r="F109" s="376">
        <v>250000</v>
      </c>
      <c r="G109" s="376">
        <v>250000</v>
      </c>
      <c r="H109" s="376">
        <v>250000</v>
      </c>
      <c r="I109" s="376">
        <v>250000</v>
      </c>
      <c r="J109" s="376">
        <v>250000</v>
      </c>
      <c r="K109" s="376">
        <v>250000</v>
      </c>
      <c r="L109" s="376">
        <v>250000</v>
      </c>
      <c r="M109" s="376">
        <v>250000</v>
      </c>
      <c r="N109" s="167"/>
      <c r="O109" s="156" t="s">
        <v>260</v>
      </c>
      <c r="P109" s="347" t="s">
        <v>257</v>
      </c>
      <c r="AM109" s="157"/>
      <c r="AN109" s="157"/>
      <c r="AO109" s="157"/>
      <c r="AP109" s="157"/>
      <c r="AQ109" s="157"/>
      <c r="AR109" s="157"/>
      <c r="AS109" s="157"/>
      <c r="AT109" s="157"/>
      <c r="AU109" s="157"/>
      <c r="AV109" s="157"/>
      <c r="AW109" s="157"/>
      <c r="AX109" s="157"/>
      <c r="AY109" s="157"/>
      <c r="AZ109" s="157"/>
      <c r="BA109" s="157"/>
      <c r="BB109" s="157"/>
      <c r="BC109" s="157"/>
      <c r="BD109" s="157"/>
      <c r="BE109" s="157"/>
      <c r="BF109" s="157"/>
      <c r="BG109" s="157"/>
      <c r="BH109" s="157"/>
      <c r="BI109" s="157"/>
      <c r="BJ109" s="157"/>
      <c r="BK109" s="157"/>
      <c r="BL109" s="157"/>
      <c r="BM109" s="157"/>
      <c r="BN109" s="157"/>
      <c r="BO109" s="157"/>
      <c r="BP109" s="157"/>
      <c r="BQ109" s="157"/>
      <c r="BR109" s="157"/>
      <c r="BS109" s="157"/>
      <c r="BT109" s="157"/>
      <c r="BU109" s="157"/>
      <c r="BV109" s="157"/>
      <c r="BW109" s="157"/>
      <c r="BX109" s="157"/>
      <c r="BY109" s="157"/>
      <c r="BZ109" s="157"/>
      <c r="CA109" s="157"/>
      <c r="CB109" s="157"/>
      <c r="CC109" s="157"/>
      <c r="CD109" s="157"/>
      <c r="CE109" s="157"/>
      <c r="CF109" s="157"/>
      <c r="CG109" s="157"/>
      <c r="CH109" s="157"/>
      <c r="CI109" s="157"/>
      <c r="CJ109" s="157"/>
      <c r="CK109" s="157"/>
      <c r="CL109" s="157"/>
      <c r="CM109" s="157"/>
      <c r="CN109" s="157"/>
      <c r="CO109" s="157"/>
      <c r="CP109" s="157"/>
      <c r="CQ109" s="157"/>
      <c r="CR109" s="157"/>
      <c r="CS109" s="157"/>
      <c r="CT109" s="157"/>
      <c r="CU109" s="157"/>
      <c r="CV109" s="157"/>
      <c r="CW109" s="157"/>
      <c r="CX109" s="157"/>
      <c r="CY109" s="157"/>
      <c r="CZ109" s="157"/>
      <c r="DA109" s="157"/>
      <c r="DB109" s="157"/>
      <c r="DC109" s="157"/>
      <c r="DD109" s="157"/>
      <c r="DE109" s="157"/>
      <c r="DF109" s="157"/>
      <c r="DG109" s="157"/>
      <c r="DH109" s="157"/>
      <c r="DI109" s="157"/>
      <c r="DJ109" s="157"/>
      <c r="DK109" s="157"/>
      <c r="DL109" s="157"/>
      <c r="DM109" s="157"/>
      <c r="DN109" s="157"/>
      <c r="DO109" s="157"/>
      <c r="DP109" s="157"/>
      <c r="DQ109" s="157"/>
      <c r="DR109" s="157"/>
      <c r="DS109" s="157"/>
      <c r="DT109" s="157"/>
      <c r="DU109" s="157"/>
      <c r="DV109" s="157"/>
      <c r="DW109" s="157"/>
      <c r="DX109" s="157"/>
      <c r="DY109" s="157"/>
      <c r="DZ109" s="157"/>
      <c r="EA109" s="157"/>
      <c r="EB109" s="157"/>
      <c r="EC109" s="157"/>
      <c r="ED109" s="157"/>
      <c r="EE109" s="157"/>
      <c r="EF109" s="157"/>
      <c r="EG109" s="157"/>
      <c r="EH109" s="157"/>
      <c r="EI109" s="157"/>
      <c r="EJ109" s="157"/>
      <c r="EK109" s="157"/>
      <c r="EL109" s="157"/>
      <c r="EM109" s="157"/>
      <c r="EN109" s="157"/>
      <c r="EO109" s="157"/>
      <c r="EP109" s="157"/>
      <c r="EQ109" s="157"/>
      <c r="ER109" s="157"/>
      <c r="ES109" s="157"/>
      <c r="ET109" s="157"/>
      <c r="EU109" s="157"/>
      <c r="EV109" s="157"/>
      <c r="EW109" s="157"/>
      <c r="EX109" s="157"/>
      <c r="EY109" s="157"/>
      <c r="EZ109" s="157"/>
      <c r="FA109" s="157"/>
      <c r="FB109" s="157"/>
      <c r="FC109" s="157"/>
      <c r="FD109" s="157"/>
      <c r="FE109" s="157"/>
      <c r="FF109" s="157"/>
      <c r="FG109" s="157"/>
      <c r="FH109" s="157"/>
      <c r="FI109" s="157"/>
      <c r="FJ109" s="157"/>
      <c r="FK109" s="157"/>
      <c r="FL109" s="157"/>
      <c r="FM109" s="157"/>
      <c r="FN109" s="157"/>
      <c r="FO109" s="157"/>
      <c r="FP109" s="157"/>
      <c r="FQ109" s="157"/>
      <c r="FR109" s="157"/>
      <c r="FS109" s="157"/>
      <c r="FT109" s="157"/>
      <c r="FU109" s="157"/>
      <c r="FV109" s="157"/>
      <c r="FW109" s="157"/>
      <c r="FX109" s="157"/>
      <c r="FY109" s="157"/>
      <c r="FZ109" s="157"/>
      <c r="GA109" s="157"/>
      <c r="GB109" s="157"/>
      <c r="GC109" s="157"/>
      <c r="GD109" s="157"/>
      <c r="GE109" s="157"/>
      <c r="GF109" s="157"/>
      <c r="GG109" s="157"/>
      <c r="GH109" s="157"/>
      <c r="GI109" s="157"/>
      <c r="GJ109" s="157"/>
      <c r="GK109" s="157"/>
      <c r="GL109" s="157"/>
      <c r="GM109" s="157"/>
      <c r="GN109" s="157"/>
      <c r="GO109" s="157"/>
      <c r="GP109" s="157"/>
      <c r="GQ109" s="157"/>
      <c r="GR109" s="157"/>
      <c r="GS109" s="157"/>
      <c r="GT109" s="157"/>
      <c r="GU109" s="157"/>
      <c r="GV109" s="157"/>
      <c r="GW109" s="157"/>
      <c r="GX109" s="157"/>
      <c r="GY109" s="157"/>
      <c r="GZ109" s="157"/>
      <c r="HA109" s="157"/>
      <c r="HB109" s="157"/>
      <c r="HC109" s="157"/>
      <c r="HD109" s="157"/>
      <c r="HE109" s="157"/>
      <c r="HF109" s="157"/>
      <c r="HG109" s="157"/>
      <c r="HH109" s="157"/>
      <c r="HI109" s="157"/>
      <c r="HJ109" s="157"/>
      <c r="HK109" s="157"/>
      <c r="HL109" s="157"/>
      <c r="HM109" s="157"/>
      <c r="HN109" s="157"/>
      <c r="HO109" s="157"/>
      <c r="HP109" s="157"/>
      <c r="HQ109" s="157"/>
      <c r="HR109" s="157"/>
      <c r="HS109" s="157"/>
      <c r="HT109" s="157"/>
      <c r="HU109" s="157"/>
      <c r="HV109" s="157"/>
      <c r="HW109" s="157"/>
      <c r="HX109" s="157"/>
      <c r="HY109" s="157"/>
      <c r="HZ109" s="157"/>
      <c r="IA109" s="157"/>
      <c r="IB109" s="157"/>
      <c r="IC109" s="157"/>
      <c r="ID109" s="157"/>
      <c r="IE109" s="157"/>
      <c r="IF109" s="157"/>
      <c r="IG109" s="157"/>
      <c r="IH109" s="157"/>
      <c r="II109" s="157"/>
      <c r="IJ109" s="157"/>
      <c r="IK109" s="157"/>
      <c r="IL109" s="157"/>
      <c r="IM109" s="157"/>
      <c r="IN109" s="157"/>
      <c r="IO109" s="157"/>
      <c r="IP109" s="157"/>
      <c r="IQ109" s="157"/>
      <c r="IR109" s="157"/>
      <c r="IS109" s="157"/>
      <c r="IT109" s="157"/>
      <c r="IU109" s="157"/>
      <c r="IV109" s="157"/>
      <c r="IW109" s="157"/>
      <c r="IX109" s="157"/>
      <c r="IY109" s="157"/>
      <c r="IZ109" s="157"/>
      <c r="JA109" s="157"/>
      <c r="JB109" s="157"/>
      <c r="JC109" s="157"/>
      <c r="JD109" s="157"/>
      <c r="JE109" s="157"/>
      <c r="JF109" s="157"/>
      <c r="JG109" s="157"/>
      <c r="JH109" s="157"/>
      <c r="JI109" s="157"/>
      <c r="JJ109" s="157"/>
      <c r="JK109" s="157"/>
      <c r="JL109" s="157"/>
      <c r="JM109" s="157"/>
      <c r="JN109" s="157"/>
      <c r="JO109" s="157"/>
      <c r="JP109" s="157"/>
      <c r="JQ109" s="157"/>
      <c r="JR109" s="157"/>
      <c r="JS109" s="157"/>
      <c r="JT109" s="157"/>
      <c r="JU109" s="157"/>
      <c r="JV109" s="157"/>
      <c r="JW109" s="157"/>
      <c r="JX109" s="157"/>
      <c r="JY109" s="157"/>
      <c r="JZ109" s="157"/>
      <c r="KA109" s="157"/>
      <c r="KB109" s="157"/>
      <c r="KC109" s="157"/>
      <c r="KD109" s="157"/>
      <c r="KE109" s="157"/>
      <c r="KF109" s="157"/>
      <c r="KG109" s="157"/>
      <c r="KH109" s="157"/>
      <c r="KI109" s="157"/>
      <c r="KJ109" s="157"/>
      <c r="KK109" s="157"/>
    </row>
    <row r="110" spans="1:297" x14ac:dyDescent="0.2">
      <c r="A110" s="157"/>
      <c r="B110" s="157"/>
      <c r="C110" s="157"/>
      <c r="D110" s="157"/>
      <c r="E110" s="157"/>
      <c r="F110" s="157"/>
      <c r="G110" s="157"/>
      <c r="H110" s="157"/>
      <c r="I110" s="157"/>
      <c r="J110" s="157"/>
      <c r="K110" s="157"/>
      <c r="L110" s="157"/>
      <c r="M110" s="157"/>
      <c r="N110" s="198"/>
      <c r="O110" s="157"/>
      <c r="P110" s="157"/>
      <c r="AM110" s="157"/>
      <c r="AN110" s="157"/>
      <c r="AO110" s="157"/>
      <c r="AP110" s="157"/>
      <c r="AQ110" s="157"/>
      <c r="AR110" s="157"/>
      <c r="AS110" s="157"/>
      <c r="AT110" s="157"/>
      <c r="AU110" s="157"/>
      <c r="AV110" s="157"/>
      <c r="AW110" s="157"/>
      <c r="AX110" s="157"/>
      <c r="AY110" s="157"/>
      <c r="AZ110" s="157"/>
      <c r="BA110" s="157"/>
      <c r="BB110" s="157"/>
      <c r="BC110" s="157"/>
      <c r="BD110" s="157"/>
      <c r="BE110" s="157"/>
      <c r="BF110" s="157"/>
      <c r="BG110" s="157"/>
      <c r="BH110" s="157"/>
      <c r="BI110" s="157"/>
      <c r="BJ110" s="157"/>
      <c r="BK110" s="157"/>
      <c r="BL110" s="157"/>
      <c r="BM110" s="157"/>
      <c r="BN110" s="157"/>
      <c r="BO110" s="157"/>
      <c r="BP110" s="157"/>
      <c r="BQ110" s="157"/>
      <c r="BR110" s="157"/>
      <c r="BS110" s="157"/>
      <c r="BT110" s="157"/>
      <c r="BU110" s="157"/>
      <c r="BV110" s="157"/>
      <c r="BW110" s="157"/>
      <c r="BX110" s="157"/>
      <c r="BY110" s="157"/>
      <c r="BZ110" s="157"/>
      <c r="CA110" s="157"/>
      <c r="CB110" s="157"/>
      <c r="CC110" s="157"/>
      <c r="CD110" s="157"/>
      <c r="CE110" s="157"/>
      <c r="CF110" s="157"/>
      <c r="CG110" s="157"/>
      <c r="CH110" s="157"/>
      <c r="CI110" s="157"/>
      <c r="CJ110" s="157"/>
      <c r="CK110" s="157"/>
      <c r="CL110" s="157"/>
      <c r="CM110" s="157"/>
      <c r="CN110" s="157"/>
      <c r="CO110" s="157"/>
      <c r="CP110" s="157"/>
      <c r="CQ110" s="157"/>
      <c r="CR110" s="157"/>
      <c r="CS110" s="157"/>
      <c r="CT110" s="157"/>
      <c r="CU110" s="157"/>
      <c r="CV110" s="157"/>
      <c r="CW110" s="157"/>
      <c r="CX110" s="157"/>
      <c r="CY110" s="157"/>
      <c r="CZ110" s="157"/>
      <c r="DA110" s="157"/>
      <c r="DB110" s="157"/>
      <c r="DC110" s="157"/>
      <c r="DD110" s="157"/>
      <c r="DE110" s="157"/>
      <c r="DF110" s="157"/>
      <c r="DG110" s="157"/>
      <c r="DH110" s="157"/>
      <c r="DI110" s="157"/>
      <c r="DJ110" s="157"/>
      <c r="DK110" s="157"/>
      <c r="DL110" s="157"/>
      <c r="DM110" s="157"/>
      <c r="DN110" s="157"/>
      <c r="DO110" s="157"/>
      <c r="DP110" s="157"/>
      <c r="DQ110" s="157"/>
      <c r="DR110" s="157"/>
      <c r="DS110" s="157"/>
      <c r="DT110" s="157"/>
      <c r="DU110" s="157"/>
      <c r="DV110" s="157"/>
      <c r="DW110" s="157"/>
      <c r="DX110" s="157"/>
      <c r="DY110" s="157"/>
      <c r="DZ110" s="157"/>
      <c r="EA110" s="157"/>
      <c r="EB110" s="157"/>
      <c r="EC110" s="157"/>
      <c r="ED110" s="157"/>
      <c r="EE110" s="157"/>
      <c r="EF110" s="157"/>
      <c r="EG110" s="157"/>
      <c r="EH110" s="157"/>
      <c r="EI110" s="157"/>
      <c r="EJ110" s="157"/>
      <c r="EK110" s="157"/>
      <c r="EL110" s="157"/>
      <c r="EM110" s="157"/>
      <c r="EN110" s="157"/>
      <c r="EO110" s="157"/>
      <c r="EP110" s="157"/>
      <c r="EQ110" s="157"/>
      <c r="ER110" s="157"/>
      <c r="ES110" s="157"/>
      <c r="ET110" s="157"/>
      <c r="EU110" s="157"/>
      <c r="EV110" s="157"/>
      <c r="EW110" s="157"/>
      <c r="EX110" s="157"/>
      <c r="EY110" s="157"/>
      <c r="EZ110" s="157"/>
      <c r="FA110" s="157"/>
      <c r="FB110" s="157"/>
      <c r="FC110" s="157"/>
      <c r="FD110" s="157"/>
      <c r="FE110" s="157"/>
      <c r="FF110" s="157"/>
      <c r="FG110" s="157"/>
      <c r="FH110" s="157"/>
      <c r="FI110" s="157"/>
      <c r="FJ110" s="157"/>
      <c r="FK110" s="157"/>
      <c r="FL110" s="157"/>
      <c r="FM110" s="157"/>
      <c r="FN110" s="157"/>
      <c r="FO110" s="157"/>
      <c r="FP110" s="157"/>
      <c r="FQ110" s="157"/>
      <c r="FR110" s="157"/>
      <c r="FS110" s="157"/>
      <c r="FT110" s="157"/>
      <c r="FU110" s="157"/>
      <c r="FV110" s="157"/>
      <c r="FW110" s="157"/>
      <c r="FX110" s="157"/>
      <c r="FY110" s="157"/>
      <c r="FZ110" s="157"/>
      <c r="GA110" s="157"/>
      <c r="GB110" s="157"/>
      <c r="GC110" s="157"/>
      <c r="GD110" s="157"/>
      <c r="GE110" s="157"/>
      <c r="GF110" s="157"/>
      <c r="GG110" s="157"/>
      <c r="GH110" s="157"/>
      <c r="GI110" s="157"/>
      <c r="GJ110" s="157"/>
      <c r="GK110" s="157"/>
      <c r="GL110" s="157"/>
      <c r="GM110" s="157"/>
      <c r="GN110" s="157"/>
      <c r="GO110" s="157"/>
      <c r="GP110" s="157"/>
      <c r="GQ110" s="157"/>
      <c r="GR110" s="157"/>
      <c r="GS110" s="157"/>
      <c r="GT110" s="157"/>
      <c r="GU110" s="157"/>
      <c r="GV110" s="157"/>
      <c r="GW110" s="157"/>
      <c r="GX110" s="157"/>
      <c r="GY110" s="157"/>
      <c r="GZ110" s="157"/>
      <c r="HA110" s="157"/>
      <c r="HB110" s="157"/>
      <c r="HC110" s="157"/>
      <c r="HD110" s="157"/>
      <c r="HE110" s="157"/>
      <c r="HF110" s="157"/>
      <c r="HG110" s="157"/>
      <c r="HH110" s="157"/>
      <c r="HI110" s="157"/>
      <c r="HJ110" s="157"/>
      <c r="HK110" s="157"/>
      <c r="HL110" s="157"/>
      <c r="HM110" s="157"/>
      <c r="HN110" s="157"/>
      <c r="HO110" s="157"/>
      <c r="HP110" s="157"/>
      <c r="HQ110" s="157"/>
      <c r="HR110" s="157"/>
      <c r="HS110" s="157"/>
      <c r="HT110" s="157"/>
      <c r="HU110" s="157"/>
      <c r="HV110" s="157"/>
      <c r="HW110" s="157"/>
      <c r="HX110" s="157"/>
      <c r="HY110" s="157"/>
      <c r="HZ110" s="157"/>
      <c r="IA110" s="157"/>
      <c r="IB110" s="157"/>
      <c r="IC110" s="157"/>
      <c r="ID110" s="157"/>
      <c r="IE110" s="157"/>
      <c r="IF110" s="157"/>
      <c r="IG110" s="157"/>
      <c r="IH110" s="157"/>
      <c r="II110" s="157"/>
      <c r="IJ110" s="157"/>
      <c r="IK110" s="157"/>
      <c r="IL110" s="157"/>
      <c r="IM110" s="157"/>
      <c r="IN110" s="157"/>
      <c r="IO110" s="157"/>
      <c r="IP110" s="157"/>
      <c r="IQ110" s="157"/>
      <c r="IR110" s="157"/>
      <c r="IS110" s="157"/>
      <c r="IT110" s="157"/>
      <c r="IU110" s="157"/>
      <c r="IV110" s="157"/>
      <c r="IW110" s="157"/>
      <c r="IX110" s="157"/>
      <c r="IY110" s="157"/>
      <c r="IZ110" s="157"/>
      <c r="JA110" s="157"/>
      <c r="JB110" s="157"/>
      <c r="JC110" s="157"/>
      <c r="JD110" s="157"/>
      <c r="JE110" s="157"/>
      <c r="JF110" s="157"/>
      <c r="JG110" s="157"/>
      <c r="JH110" s="157"/>
      <c r="JI110" s="157"/>
      <c r="JJ110" s="157"/>
      <c r="JK110" s="157"/>
      <c r="JL110" s="157"/>
      <c r="JM110" s="157"/>
      <c r="JN110" s="157"/>
      <c r="JO110" s="157"/>
      <c r="JP110" s="157"/>
      <c r="JQ110" s="157"/>
      <c r="JR110" s="157"/>
      <c r="JS110" s="157"/>
      <c r="JT110" s="157"/>
      <c r="JU110" s="157"/>
      <c r="JV110" s="157"/>
      <c r="JW110" s="157"/>
      <c r="JX110" s="157"/>
      <c r="JY110" s="157"/>
      <c r="JZ110" s="157"/>
      <c r="KA110" s="157"/>
      <c r="KB110" s="157"/>
      <c r="KC110" s="157"/>
      <c r="KD110" s="157"/>
      <c r="KE110" s="157"/>
      <c r="KF110" s="157"/>
      <c r="KG110" s="157"/>
      <c r="KH110" s="157"/>
      <c r="KI110" s="157"/>
      <c r="KJ110" s="157"/>
      <c r="KK110" s="157"/>
    </row>
    <row r="111" spans="1:297" x14ac:dyDescent="0.2">
      <c r="A111" s="157"/>
      <c r="B111" s="157"/>
      <c r="C111" s="157"/>
      <c r="D111" s="157"/>
      <c r="E111" s="157"/>
      <c r="F111" s="157"/>
      <c r="G111" s="157"/>
      <c r="H111" s="157"/>
      <c r="I111" s="157"/>
      <c r="J111" s="157"/>
      <c r="K111" s="157"/>
      <c r="L111" s="157"/>
      <c r="M111" s="157"/>
      <c r="N111" s="198"/>
      <c r="O111" s="157"/>
      <c r="P111" s="157"/>
      <c r="AM111" s="157"/>
      <c r="AN111" s="157"/>
      <c r="AO111" s="157"/>
      <c r="AP111" s="157"/>
      <c r="AQ111" s="157"/>
      <c r="AR111" s="157"/>
      <c r="AS111" s="157"/>
      <c r="AT111" s="157"/>
      <c r="AU111" s="157"/>
      <c r="AV111" s="157"/>
      <c r="AW111" s="157"/>
      <c r="AX111" s="157"/>
      <c r="AY111" s="157"/>
      <c r="AZ111" s="157"/>
      <c r="BA111" s="157"/>
      <c r="BB111" s="157"/>
      <c r="BC111" s="157"/>
      <c r="BD111" s="157"/>
      <c r="BE111" s="157"/>
      <c r="BF111" s="157"/>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7"/>
      <c r="CB111" s="157"/>
      <c r="CC111" s="157"/>
      <c r="CD111" s="157"/>
      <c r="CE111" s="157"/>
      <c r="CF111" s="157"/>
      <c r="CG111" s="157"/>
      <c r="CH111" s="157"/>
      <c r="CI111" s="157"/>
      <c r="CJ111" s="157"/>
      <c r="CK111" s="157"/>
      <c r="CL111" s="157"/>
      <c r="CM111" s="157"/>
      <c r="CN111" s="157"/>
      <c r="CO111" s="157"/>
      <c r="CP111" s="157"/>
      <c r="CQ111" s="157"/>
      <c r="CR111" s="157"/>
      <c r="CS111" s="157"/>
      <c r="CT111" s="157"/>
      <c r="CU111" s="157"/>
      <c r="CV111" s="157"/>
      <c r="CW111" s="157"/>
      <c r="CX111" s="157"/>
      <c r="CY111" s="157"/>
      <c r="CZ111" s="157"/>
      <c r="DA111" s="157"/>
      <c r="DB111" s="157"/>
      <c r="DC111" s="157"/>
      <c r="DD111" s="157"/>
      <c r="DE111" s="157"/>
      <c r="DF111" s="157"/>
      <c r="DG111" s="157"/>
      <c r="DH111" s="157"/>
      <c r="DI111" s="157"/>
      <c r="DJ111" s="157"/>
      <c r="DK111" s="157"/>
      <c r="DL111" s="157"/>
      <c r="DM111" s="157"/>
      <c r="DN111" s="157"/>
      <c r="DO111" s="157"/>
      <c r="DP111" s="157"/>
      <c r="DQ111" s="157"/>
      <c r="DR111" s="157"/>
      <c r="DS111" s="157"/>
      <c r="DT111" s="157"/>
      <c r="DU111" s="157"/>
      <c r="DV111" s="157"/>
      <c r="DW111" s="157"/>
      <c r="DX111" s="157"/>
      <c r="DY111" s="157"/>
      <c r="DZ111" s="157"/>
      <c r="EA111" s="157"/>
      <c r="EB111" s="157"/>
      <c r="EC111" s="157"/>
      <c r="ED111" s="157"/>
      <c r="EE111" s="157"/>
      <c r="EF111" s="157"/>
      <c r="EG111" s="157"/>
      <c r="EH111" s="157"/>
      <c r="EI111" s="157"/>
      <c r="EJ111" s="157"/>
      <c r="EK111" s="157"/>
      <c r="EL111" s="157"/>
      <c r="EM111" s="157"/>
      <c r="EN111" s="157"/>
      <c r="EO111" s="157"/>
      <c r="EP111" s="157"/>
      <c r="EQ111" s="157"/>
      <c r="ER111" s="157"/>
      <c r="ES111" s="157"/>
      <c r="ET111" s="157"/>
      <c r="EU111" s="157"/>
      <c r="EV111" s="157"/>
      <c r="EW111" s="157"/>
      <c r="EX111" s="157"/>
      <c r="EY111" s="157"/>
      <c r="EZ111" s="157"/>
      <c r="FA111" s="157"/>
      <c r="FB111" s="157"/>
      <c r="FC111" s="157"/>
      <c r="FD111" s="157"/>
      <c r="FE111" s="157"/>
      <c r="FF111" s="157"/>
      <c r="FG111" s="157"/>
      <c r="FH111" s="157"/>
      <c r="FI111" s="157"/>
      <c r="FJ111" s="157"/>
      <c r="FK111" s="157"/>
      <c r="FL111" s="157"/>
      <c r="FM111" s="157"/>
      <c r="FN111" s="157"/>
      <c r="FO111" s="157"/>
      <c r="FP111" s="157"/>
      <c r="FQ111" s="157"/>
      <c r="FR111" s="157"/>
      <c r="FS111" s="157"/>
      <c r="FT111" s="157"/>
      <c r="FU111" s="157"/>
      <c r="FV111" s="157"/>
      <c r="FW111" s="157"/>
      <c r="FX111" s="157"/>
      <c r="FY111" s="157"/>
      <c r="FZ111" s="157"/>
      <c r="GA111" s="157"/>
      <c r="GB111" s="157"/>
      <c r="GC111" s="157"/>
      <c r="GD111" s="157"/>
      <c r="GE111" s="157"/>
      <c r="GF111" s="157"/>
      <c r="GG111" s="157"/>
      <c r="GH111" s="157"/>
      <c r="GI111" s="157"/>
      <c r="GJ111" s="157"/>
      <c r="GK111" s="157"/>
      <c r="GL111" s="157"/>
      <c r="GM111" s="157"/>
      <c r="GN111" s="157"/>
      <c r="GO111" s="157"/>
      <c r="GP111" s="157"/>
      <c r="GQ111" s="157"/>
      <c r="GR111" s="157"/>
      <c r="GS111" s="157"/>
      <c r="GT111" s="157"/>
      <c r="GU111" s="157"/>
      <c r="GV111" s="157"/>
      <c r="GW111" s="157"/>
      <c r="GX111" s="157"/>
      <c r="GY111" s="157"/>
      <c r="GZ111" s="157"/>
      <c r="HA111" s="157"/>
      <c r="HB111" s="157"/>
      <c r="HC111" s="157"/>
      <c r="HD111" s="157"/>
      <c r="HE111" s="157"/>
      <c r="HF111" s="157"/>
      <c r="HG111" s="157"/>
      <c r="HH111" s="157"/>
      <c r="HI111" s="157"/>
      <c r="HJ111" s="157"/>
      <c r="HK111" s="157"/>
      <c r="HL111" s="157"/>
      <c r="HM111" s="157"/>
      <c r="HN111" s="157"/>
      <c r="HO111" s="157"/>
      <c r="HP111" s="157"/>
      <c r="HQ111" s="157"/>
      <c r="HR111" s="157"/>
      <c r="HS111" s="157"/>
      <c r="HT111" s="157"/>
      <c r="HU111" s="157"/>
      <c r="HV111" s="157"/>
      <c r="HW111" s="157"/>
      <c r="HX111" s="157"/>
      <c r="HY111" s="157"/>
      <c r="HZ111" s="157"/>
      <c r="IA111" s="157"/>
      <c r="IB111" s="157"/>
      <c r="IC111" s="157"/>
      <c r="ID111" s="157"/>
      <c r="IE111" s="157"/>
      <c r="IF111" s="157"/>
      <c r="IG111" s="157"/>
      <c r="IH111" s="157"/>
      <c r="II111" s="157"/>
      <c r="IJ111" s="157"/>
      <c r="IK111" s="157"/>
      <c r="IL111" s="157"/>
      <c r="IM111" s="157"/>
      <c r="IN111" s="157"/>
      <c r="IO111" s="157"/>
      <c r="IP111" s="157"/>
      <c r="IQ111" s="157"/>
      <c r="IR111" s="157"/>
      <c r="IS111" s="157"/>
      <c r="IT111" s="157"/>
      <c r="IU111" s="157"/>
      <c r="IV111" s="157"/>
      <c r="IW111" s="157"/>
      <c r="IX111" s="157"/>
      <c r="IY111" s="157"/>
      <c r="IZ111" s="157"/>
      <c r="JA111" s="157"/>
      <c r="JB111" s="157"/>
      <c r="JC111" s="157"/>
      <c r="JD111" s="157"/>
      <c r="JE111" s="157"/>
      <c r="JF111" s="157"/>
      <c r="JG111" s="157"/>
      <c r="JH111" s="157"/>
      <c r="JI111" s="157"/>
      <c r="JJ111" s="157"/>
      <c r="JK111" s="157"/>
      <c r="JL111" s="157"/>
      <c r="JM111" s="157"/>
      <c r="JN111" s="157"/>
      <c r="JO111" s="157"/>
      <c r="JP111" s="157"/>
      <c r="JQ111" s="157"/>
      <c r="JR111" s="157"/>
      <c r="JS111" s="157"/>
      <c r="JT111" s="157"/>
      <c r="JU111" s="157"/>
      <c r="JV111" s="157"/>
      <c r="JW111" s="157"/>
      <c r="JX111" s="157"/>
      <c r="JY111" s="157"/>
      <c r="JZ111" s="157"/>
      <c r="KA111" s="157"/>
      <c r="KB111" s="157"/>
      <c r="KC111" s="157"/>
      <c r="KD111" s="157"/>
      <c r="KE111" s="157"/>
      <c r="KF111" s="157"/>
      <c r="KG111" s="157"/>
      <c r="KH111" s="157"/>
      <c r="KI111" s="157"/>
      <c r="KJ111" s="157"/>
      <c r="KK111" s="157"/>
    </row>
    <row r="112" spans="1:297" x14ac:dyDescent="0.2">
      <c r="A112" s="157"/>
      <c r="B112" s="157"/>
      <c r="C112" s="157"/>
      <c r="D112" s="157"/>
      <c r="E112" s="157"/>
      <c r="F112" s="157"/>
      <c r="G112" s="157"/>
      <c r="H112" s="157"/>
      <c r="I112" s="157"/>
      <c r="J112" s="157"/>
      <c r="K112" s="157"/>
      <c r="L112" s="157"/>
      <c r="M112" s="157"/>
      <c r="N112" s="198"/>
      <c r="O112" s="157"/>
      <c r="P112" s="157"/>
      <c r="AM112" s="157"/>
      <c r="AN112" s="157"/>
      <c r="AO112" s="157"/>
      <c r="AP112" s="157"/>
      <c r="AQ112" s="157"/>
      <c r="AR112" s="157"/>
      <c r="AS112" s="157"/>
      <c r="AT112" s="157"/>
      <c r="AU112" s="157"/>
      <c r="AV112" s="157"/>
      <c r="AW112" s="157"/>
      <c r="AX112" s="157"/>
      <c r="AY112" s="157"/>
      <c r="AZ112" s="157"/>
      <c r="BA112" s="157"/>
      <c r="BB112" s="157"/>
      <c r="BC112" s="157"/>
      <c r="BD112" s="157"/>
      <c r="BE112" s="157"/>
      <c r="BF112" s="157"/>
      <c r="BG112" s="157"/>
      <c r="BH112" s="157"/>
      <c r="BI112" s="157"/>
      <c r="BJ112" s="157"/>
      <c r="BK112" s="157"/>
      <c r="BL112" s="157"/>
      <c r="BM112" s="157"/>
      <c r="BN112" s="157"/>
      <c r="BO112" s="157"/>
      <c r="BP112" s="157"/>
      <c r="BQ112" s="157"/>
      <c r="BR112" s="157"/>
      <c r="BS112" s="157"/>
      <c r="BT112" s="157"/>
      <c r="BU112" s="157"/>
      <c r="BV112" s="157"/>
      <c r="BW112" s="157"/>
      <c r="BX112" s="157"/>
      <c r="BY112" s="157"/>
      <c r="BZ112" s="157"/>
      <c r="CA112" s="157"/>
      <c r="CB112" s="157"/>
      <c r="CC112" s="157"/>
      <c r="CD112" s="157"/>
      <c r="CE112" s="157"/>
      <c r="CF112" s="157"/>
      <c r="CG112" s="157"/>
      <c r="CH112" s="157"/>
      <c r="CI112" s="157"/>
      <c r="CJ112" s="157"/>
      <c r="CK112" s="157"/>
      <c r="CL112" s="157"/>
      <c r="CM112" s="157"/>
      <c r="CN112" s="157"/>
      <c r="CO112" s="157"/>
      <c r="CP112" s="157"/>
      <c r="CQ112" s="157"/>
      <c r="CR112" s="157"/>
      <c r="CS112" s="157"/>
      <c r="CT112" s="157"/>
      <c r="CU112" s="157"/>
      <c r="CV112" s="157"/>
      <c r="CW112" s="157"/>
      <c r="CX112" s="157"/>
      <c r="CY112" s="157"/>
      <c r="CZ112" s="157"/>
      <c r="DA112" s="157"/>
      <c r="DB112" s="157"/>
      <c r="DC112" s="157"/>
      <c r="DD112" s="157"/>
      <c r="DE112" s="157"/>
      <c r="DF112" s="157"/>
      <c r="DG112" s="157"/>
      <c r="DH112" s="157"/>
      <c r="DI112" s="157"/>
      <c r="DJ112" s="157"/>
      <c r="DK112" s="157"/>
      <c r="DL112" s="157"/>
      <c r="DM112" s="157"/>
      <c r="DN112" s="157"/>
      <c r="DO112" s="157"/>
      <c r="DP112" s="157"/>
      <c r="DQ112" s="157"/>
      <c r="DR112" s="157"/>
      <c r="DS112" s="157"/>
      <c r="DT112" s="157"/>
      <c r="DU112" s="157"/>
      <c r="DV112" s="157"/>
      <c r="DW112" s="157"/>
      <c r="DX112" s="157"/>
      <c r="DY112" s="157"/>
      <c r="DZ112" s="157"/>
      <c r="EA112" s="157"/>
      <c r="EB112" s="157"/>
      <c r="EC112" s="157"/>
      <c r="ED112" s="157"/>
      <c r="EE112" s="157"/>
      <c r="EF112" s="157"/>
      <c r="EG112" s="157"/>
      <c r="EH112" s="157"/>
      <c r="EI112" s="157"/>
      <c r="EJ112" s="157"/>
      <c r="EK112" s="157"/>
      <c r="EL112" s="157"/>
      <c r="EM112" s="157"/>
      <c r="EN112" s="157"/>
      <c r="EO112" s="157"/>
      <c r="EP112" s="157"/>
      <c r="EQ112" s="157"/>
      <c r="ER112" s="157"/>
      <c r="ES112" s="157"/>
      <c r="ET112" s="157"/>
      <c r="EU112" s="157"/>
      <c r="EV112" s="157"/>
      <c r="EW112" s="157"/>
      <c r="EX112" s="157"/>
      <c r="EY112" s="157"/>
      <c r="EZ112" s="157"/>
      <c r="FA112" s="157"/>
      <c r="FB112" s="157"/>
      <c r="FC112" s="157"/>
      <c r="FD112" s="157"/>
      <c r="FE112" s="157"/>
      <c r="FF112" s="157"/>
      <c r="FG112" s="157"/>
      <c r="FH112" s="157"/>
      <c r="FI112" s="157"/>
      <c r="FJ112" s="157"/>
      <c r="FK112" s="157"/>
      <c r="FL112" s="157"/>
      <c r="FM112" s="157"/>
      <c r="FN112" s="157"/>
      <c r="FO112" s="157"/>
      <c r="FP112" s="157"/>
      <c r="FQ112" s="157"/>
      <c r="FR112" s="157"/>
      <c r="FS112" s="157"/>
      <c r="FT112" s="157"/>
      <c r="FU112" s="157"/>
      <c r="FV112" s="157"/>
      <c r="FW112" s="157"/>
      <c r="FX112" s="157"/>
      <c r="FY112" s="157"/>
      <c r="FZ112" s="157"/>
      <c r="GA112" s="157"/>
      <c r="GB112" s="157"/>
      <c r="GC112" s="157"/>
      <c r="GD112" s="157"/>
      <c r="GE112" s="157"/>
      <c r="GF112" s="157"/>
      <c r="GG112" s="157"/>
      <c r="GH112" s="157"/>
      <c r="GI112" s="157"/>
      <c r="GJ112" s="157"/>
      <c r="GK112" s="157"/>
      <c r="GL112" s="157"/>
      <c r="GM112" s="157"/>
      <c r="GN112" s="157"/>
      <c r="GO112" s="157"/>
      <c r="GP112" s="157"/>
      <c r="GQ112" s="157"/>
      <c r="GR112" s="157"/>
      <c r="GS112" s="157"/>
      <c r="GT112" s="157"/>
      <c r="GU112" s="157"/>
      <c r="GV112" s="157"/>
      <c r="GW112" s="157"/>
      <c r="GX112" s="157"/>
      <c r="GY112" s="157"/>
      <c r="GZ112" s="157"/>
      <c r="HA112" s="157"/>
      <c r="HB112" s="157"/>
      <c r="HC112" s="157"/>
      <c r="HD112" s="157"/>
      <c r="HE112" s="157"/>
      <c r="HF112" s="157"/>
      <c r="HG112" s="157"/>
      <c r="HH112" s="157"/>
      <c r="HI112" s="157"/>
      <c r="HJ112" s="157"/>
      <c r="HK112" s="157"/>
      <c r="HL112" s="157"/>
      <c r="HM112" s="157"/>
      <c r="HN112" s="157"/>
      <c r="HO112" s="157"/>
      <c r="HP112" s="157"/>
      <c r="HQ112" s="157"/>
      <c r="HR112" s="157"/>
      <c r="HS112" s="157"/>
      <c r="HT112" s="157"/>
      <c r="HU112" s="157"/>
      <c r="HV112" s="157"/>
      <c r="HW112" s="157"/>
      <c r="HX112" s="157"/>
      <c r="HY112" s="157"/>
      <c r="HZ112" s="157"/>
      <c r="IA112" s="157"/>
      <c r="IB112" s="157"/>
      <c r="IC112" s="157"/>
      <c r="ID112" s="157"/>
      <c r="IE112" s="157"/>
      <c r="IF112" s="157"/>
      <c r="IG112" s="157"/>
      <c r="IH112" s="157"/>
      <c r="II112" s="157"/>
      <c r="IJ112" s="157"/>
      <c r="IK112" s="157"/>
      <c r="IL112" s="157"/>
      <c r="IM112" s="157"/>
      <c r="IN112" s="157"/>
      <c r="IO112" s="157"/>
      <c r="IP112" s="157"/>
      <c r="IQ112" s="157"/>
      <c r="IR112" s="157"/>
      <c r="IS112" s="157"/>
      <c r="IT112" s="157"/>
      <c r="IU112" s="157"/>
      <c r="IV112" s="157"/>
      <c r="IW112" s="157"/>
      <c r="IX112" s="157"/>
      <c r="IY112" s="157"/>
      <c r="IZ112" s="157"/>
      <c r="JA112" s="157"/>
      <c r="JB112" s="157"/>
      <c r="JC112" s="157"/>
      <c r="JD112" s="157"/>
      <c r="JE112" s="157"/>
      <c r="JF112" s="157"/>
      <c r="JG112" s="157"/>
      <c r="JH112" s="157"/>
      <c r="JI112" s="157"/>
      <c r="JJ112" s="157"/>
      <c r="JK112" s="157"/>
      <c r="JL112" s="157"/>
      <c r="JM112" s="157"/>
      <c r="JN112" s="157"/>
      <c r="JO112" s="157"/>
      <c r="JP112" s="157"/>
      <c r="JQ112" s="157"/>
      <c r="JR112" s="157"/>
      <c r="JS112" s="157"/>
      <c r="JT112" s="157"/>
      <c r="JU112" s="157"/>
      <c r="JV112" s="157"/>
      <c r="JW112" s="157"/>
      <c r="JX112" s="157"/>
      <c r="JY112" s="157"/>
      <c r="JZ112" s="157"/>
      <c r="KA112" s="157"/>
      <c r="KB112" s="157"/>
      <c r="KC112" s="157"/>
      <c r="KD112" s="157"/>
      <c r="KE112" s="157"/>
      <c r="KF112" s="157"/>
      <c r="KG112" s="157"/>
      <c r="KH112" s="157"/>
      <c r="KI112" s="157"/>
      <c r="KJ112" s="157"/>
      <c r="KK112" s="157"/>
    </row>
    <row r="113" spans="1:297" x14ac:dyDescent="0.2">
      <c r="A113" s="157"/>
      <c r="B113" s="157"/>
      <c r="C113" s="157"/>
      <c r="D113" s="157"/>
      <c r="E113" s="157"/>
      <c r="F113" s="157"/>
      <c r="G113" s="157"/>
      <c r="H113" s="157"/>
      <c r="I113" s="157"/>
      <c r="J113" s="157"/>
      <c r="K113" s="157"/>
      <c r="L113" s="157"/>
      <c r="M113" s="157"/>
      <c r="N113" s="198"/>
      <c r="O113" s="157"/>
      <c r="P113" s="157"/>
      <c r="AM113" s="157"/>
      <c r="AN113" s="157"/>
      <c r="AO113" s="157"/>
      <c r="AP113" s="157"/>
      <c r="AQ113" s="157"/>
      <c r="AR113" s="157"/>
      <c r="AS113" s="157"/>
      <c r="AT113" s="157"/>
      <c r="AU113" s="157"/>
      <c r="AV113" s="157"/>
      <c r="AW113" s="157"/>
      <c r="AX113" s="157"/>
      <c r="AY113" s="157"/>
      <c r="AZ113" s="157"/>
      <c r="BA113" s="157"/>
      <c r="BB113" s="157"/>
      <c r="BC113" s="157"/>
      <c r="BD113" s="157"/>
      <c r="BE113" s="157"/>
      <c r="BF113" s="157"/>
      <c r="BG113" s="157"/>
      <c r="BH113" s="157"/>
      <c r="BI113" s="157"/>
      <c r="BJ113" s="157"/>
      <c r="BK113" s="157"/>
      <c r="BL113" s="157"/>
      <c r="BM113" s="157"/>
      <c r="BN113" s="157"/>
      <c r="BO113" s="157"/>
      <c r="BP113" s="157"/>
      <c r="BQ113" s="157"/>
      <c r="BR113" s="157"/>
      <c r="BS113" s="157"/>
      <c r="BT113" s="157"/>
      <c r="BU113" s="157"/>
      <c r="BV113" s="157"/>
      <c r="BW113" s="157"/>
      <c r="BX113" s="157"/>
      <c r="BY113" s="157"/>
      <c r="BZ113" s="157"/>
      <c r="CA113" s="157"/>
      <c r="CB113" s="157"/>
      <c r="CC113" s="157"/>
      <c r="CD113" s="157"/>
      <c r="CE113" s="157"/>
      <c r="CF113" s="157"/>
      <c r="CG113" s="157"/>
      <c r="CH113" s="157"/>
      <c r="CI113" s="157"/>
      <c r="CJ113" s="157"/>
      <c r="CK113" s="157"/>
      <c r="CL113" s="157"/>
      <c r="CM113" s="157"/>
      <c r="CN113" s="157"/>
      <c r="CO113" s="157"/>
      <c r="CP113" s="157"/>
      <c r="CQ113" s="157"/>
      <c r="CR113" s="157"/>
      <c r="CS113" s="157"/>
      <c r="CT113" s="157"/>
      <c r="CU113" s="157"/>
      <c r="CV113" s="157"/>
      <c r="CW113" s="157"/>
      <c r="CX113" s="157"/>
      <c r="CY113" s="157"/>
      <c r="CZ113" s="157"/>
      <c r="DA113" s="157"/>
      <c r="DB113" s="157"/>
      <c r="DC113" s="157"/>
      <c r="DD113" s="157"/>
      <c r="DE113" s="157"/>
      <c r="DF113" s="157"/>
      <c r="DG113" s="157"/>
      <c r="DH113" s="157"/>
      <c r="DI113" s="157"/>
      <c r="DJ113" s="157"/>
      <c r="DK113" s="157"/>
      <c r="DL113" s="157"/>
      <c r="DM113" s="157"/>
      <c r="DN113" s="157"/>
      <c r="DO113" s="157"/>
      <c r="DP113" s="157"/>
      <c r="DQ113" s="157"/>
      <c r="DR113" s="157"/>
      <c r="DS113" s="157"/>
      <c r="DT113" s="157"/>
      <c r="DU113" s="157"/>
      <c r="DV113" s="157"/>
      <c r="DW113" s="157"/>
      <c r="DX113" s="157"/>
      <c r="DY113" s="157"/>
      <c r="DZ113" s="157"/>
      <c r="EA113" s="157"/>
      <c r="EB113" s="157"/>
      <c r="EC113" s="157"/>
      <c r="ED113" s="157"/>
      <c r="EE113" s="157"/>
      <c r="EF113" s="157"/>
      <c r="EG113" s="157"/>
      <c r="EH113" s="157"/>
      <c r="EI113" s="157"/>
      <c r="EJ113" s="157"/>
      <c r="EK113" s="157"/>
      <c r="EL113" s="157"/>
      <c r="EM113" s="157"/>
      <c r="EN113" s="157"/>
      <c r="EO113" s="157"/>
      <c r="EP113" s="157"/>
      <c r="EQ113" s="157"/>
      <c r="ER113" s="157"/>
      <c r="ES113" s="157"/>
      <c r="ET113" s="157"/>
      <c r="EU113" s="157"/>
      <c r="EV113" s="157"/>
      <c r="EW113" s="157"/>
      <c r="EX113" s="157"/>
      <c r="EY113" s="157"/>
      <c r="EZ113" s="157"/>
      <c r="FA113" s="157"/>
      <c r="FB113" s="157"/>
      <c r="FC113" s="157"/>
      <c r="FD113" s="157"/>
      <c r="FE113" s="157"/>
      <c r="FF113" s="157"/>
      <c r="FG113" s="157"/>
      <c r="FH113" s="157"/>
      <c r="FI113" s="157"/>
      <c r="FJ113" s="157"/>
      <c r="FK113" s="157"/>
      <c r="FL113" s="157"/>
      <c r="FM113" s="157"/>
      <c r="FN113" s="157"/>
      <c r="FO113" s="157"/>
      <c r="FP113" s="157"/>
      <c r="FQ113" s="157"/>
      <c r="FR113" s="157"/>
      <c r="FS113" s="157"/>
      <c r="FT113" s="157"/>
      <c r="FU113" s="157"/>
      <c r="FV113" s="157"/>
      <c r="FW113" s="157"/>
      <c r="FX113" s="157"/>
      <c r="FY113" s="157"/>
      <c r="FZ113" s="157"/>
      <c r="GA113" s="157"/>
      <c r="GB113" s="157"/>
      <c r="GC113" s="157"/>
      <c r="GD113" s="157"/>
      <c r="GE113" s="157"/>
      <c r="GF113" s="157"/>
      <c r="GG113" s="157"/>
      <c r="GH113" s="157"/>
      <c r="GI113" s="157"/>
      <c r="GJ113" s="157"/>
      <c r="GK113" s="157"/>
      <c r="GL113" s="157"/>
      <c r="GM113" s="157"/>
      <c r="GN113" s="157"/>
      <c r="GO113" s="157"/>
      <c r="GP113" s="157"/>
      <c r="GQ113" s="157"/>
      <c r="GR113" s="157"/>
      <c r="GS113" s="157"/>
      <c r="GT113" s="157"/>
      <c r="GU113" s="157"/>
      <c r="GV113" s="157"/>
      <c r="GW113" s="157"/>
      <c r="GX113" s="157"/>
      <c r="GY113" s="157"/>
      <c r="GZ113" s="157"/>
      <c r="HA113" s="157"/>
      <c r="HB113" s="157"/>
      <c r="HC113" s="157"/>
      <c r="HD113" s="157"/>
      <c r="HE113" s="157"/>
      <c r="HF113" s="157"/>
      <c r="HG113" s="157"/>
      <c r="HH113" s="157"/>
      <c r="HI113" s="157"/>
      <c r="HJ113" s="157"/>
      <c r="HK113" s="157"/>
      <c r="HL113" s="157"/>
      <c r="HM113" s="157"/>
      <c r="HN113" s="157"/>
      <c r="HO113" s="157"/>
      <c r="HP113" s="157"/>
      <c r="HQ113" s="157"/>
      <c r="HR113" s="157"/>
      <c r="HS113" s="157"/>
      <c r="HT113" s="157"/>
      <c r="HU113" s="157"/>
      <c r="HV113" s="157"/>
      <c r="HW113" s="157"/>
      <c r="HX113" s="157"/>
      <c r="HY113" s="157"/>
      <c r="HZ113" s="157"/>
      <c r="IA113" s="157"/>
      <c r="IB113" s="157"/>
      <c r="IC113" s="157"/>
      <c r="ID113" s="157"/>
      <c r="IE113" s="157"/>
      <c r="IF113" s="157"/>
      <c r="IG113" s="157"/>
      <c r="IH113" s="157"/>
      <c r="II113" s="157"/>
      <c r="IJ113" s="157"/>
      <c r="IK113" s="157"/>
      <c r="IL113" s="157"/>
      <c r="IM113" s="157"/>
      <c r="IN113" s="157"/>
      <c r="IO113" s="157"/>
      <c r="IP113" s="157"/>
      <c r="IQ113" s="157"/>
      <c r="IR113" s="157"/>
      <c r="IS113" s="157"/>
      <c r="IT113" s="157"/>
      <c r="IU113" s="157"/>
      <c r="IV113" s="157"/>
      <c r="IW113" s="157"/>
      <c r="IX113" s="157"/>
      <c r="IY113" s="157"/>
      <c r="IZ113" s="157"/>
      <c r="JA113" s="157"/>
      <c r="JB113" s="157"/>
      <c r="JC113" s="157"/>
      <c r="JD113" s="157"/>
      <c r="JE113" s="157"/>
      <c r="JF113" s="157"/>
      <c r="JG113" s="157"/>
      <c r="JH113" s="157"/>
      <c r="JI113" s="157"/>
      <c r="JJ113" s="157"/>
      <c r="JK113" s="157"/>
      <c r="JL113" s="157"/>
      <c r="JM113" s="157"/>
      <c r="JN113" s="157"/>
      <c r="JO113" s="157"/>
      <c r="JP113" s="157"/>
      <c r="JQ113" s="157"/>
      <c r="JR113" s="157"/>
      <c r="JS113" s="157"/>
      <c r="JT113" s="157"/>
      <c r="JU113" s="157"/>
      <c r="JV113" s="157"/>
      <c r="JW113" s="157"/>
      <c r="JX113" s="157"/>
      <c r="JY113" s="157"/>
      <c r="JZ113" s="157"/>
      <c r="KA113" s="157"/>
      <c r="KB113" s="157"/>
      <c r="KC113" s="157"/>
      <c r="KD113" s="157"/>
      <c r="KE113" s="157"/>
      <c r="KF113" s="157"/>
      <c r="KG113" s="157"/>
      <c r="KH113" s="157"/>
      <c r="KI113" s="157"/>
      <c r="KJ113" s="157"/>
      <c r="KK113" s="157"/>
    </row>
    <row r="114" spans="1:297" x14ac:dyDescent="0.2">
      <c r="A114" s="157"/>
      <c r="B114" s="157"/>
      <c r="C114" s="157"/>
      <c r="D114" s="157"/>
      <c r="E114" s="157"/>
      <c r="F114" s="157"/>
      <c r="G114" s="157"/>
      <c r="H114" s="157"/>
      <c r="I114" s="157"/>
      <c r="J114" s="157"/>
      <c r="K114" s="157"/>
      <c r="L114" s="157"/>
      <c r="M114" s="157"/>
      <c r="N114" s="198"/>
      <c r="O114" s="157"/>
      <c r="P114" s="157"/>
      <c r="AM114" s="157"/>
      <c r="AN114" s="157"/>
      <c r="AO114" s="157"/>
      <c r="AP114" s="157"/>
      <c r="AQ114" s="157"/>
      <c r="AR114" s="157"/>
      <c r="AS114" s="157"/>
      <c r="AT114" s="157"/>
      <c r="AU114" s="157"/>
      <c r="AV114" s="157"/>
      <c r="AW114" s="157"/>
      <c r="AX114" s="157"/>
      <c r="AY114" s="157"/>
      <c r="AZ114" s="157"/>
      <c r="BA114" s="157"/>
      <c r="BB114" s="157"/>
      <c r="BC114" s="157"/>
      <c r="BD114" s="157"/>
      <c r="BE114" s="157"/>
      <c r="BF114" s="157"/>
      <c r="BG114" s="157"/>
      <c r="BH114" s="157"/>
      <c r="BI114" s="157"/>
      <c r="BJ114" s="157"/>
      <c r="BK114" s="157"/>
      <c r="BL114" s="157"/>
      <c r="BM114" s="157"/>
      <c r="BN114" s="157"/>
      <c r="BO114" s="157"/>
      <c r="BP114" s="157"/>
      <c r="BQ114" s="157"/>
      <c r="BR114" s="157"/>
      <c r="BS114" s="157"/>
      <c r="BT114" s="157"/>
      <c r="BU114" s="157"/>
      <c r="BV114" s="157"/>
      <c r="BW114" s="157"/>
      <c r="BX114" s="157"/>
      <c r="BY114" s="157"/>
      <c r="BZ114" s="157"/>
      <c r="CA114" s="157"/>
      <c r="CB114" s="157"/>
      <c r="CC114" s="157"/>
      <c r="CD114" s="157"/>
      <c r="CE114" s="157"/>
      <c r="CF114" s="157"/>
      <c r="CG114" s="157"/>
      <c r="CH114" s="157"/>
      <c r="CI114" s="157"/>
      <c r="CJ114" s="157"/>
      <c r="CK114" s="157"/>
      <c r="CL114" s="157"/>
      <c r="CM114" s="157"/>
      <c r="CN114" s="157"/>
      <c r="CO114" s="157"/>
      <c r="CP114" s="157"/>
      <c r="CQ114" s="157"/>
      <c r="CR114" s="157"/>
      <c r="CS114" s="157"/>
      <c r="CT114" s="157"/>
      <c r="CU114" s="157"/>
      <c r="CV114" s="157"/>
      <c r="CW114" s="157"/>
      <c r="CX114" s="157"/>
      <c r="CY114" s="157"/>
      <c r="CZ114" s="157"/>
      <c r="DA114" s="157"/>
      <c r="DB114" s="157"/>
      <c r="DC114" s="157"/>
      <c r="DD114" s="157"/>
      <c r="DE114" s="157"/>
      <c r="DF114" s="157"/>
      <c r="DG114" s="157"/>
      <c r="DH114" s="157"/>
      <c r="DI114" s="157"/>
      <c r="DJ114" s="157"/>
      <c r="DK114" s="157"/>
      <c r="DL114" s="157"/>
      <c r="DM114" s="157"/>
      <c r="DN114" s="157"/>
      <c r="DO114" s="157"/>
      <c r="DP114" s="157"/>
      <c r="DQ114" s="157"/>
      <c r="DR114" s="157"/>
      <c r="DS114" s="157"/>
      <c r="DT114" s="157"/>
      <c r="DU114" s="157"/>
      <c r="DV114" s="157"/>
      <c r="DW114" s="157"/>
      <c r="DX114" s="157"/>
      <c r="DY114" s="157"/>
      <c r="DZ114" s="157"/>
      <c r="EA114" s="157"/>
      <c r="EB114" s="157"/>
      <c r="EC114" s="157"/>
      <c r="ED114" s="157"/>
      <c r="EE114" s="157"/>
      <c r="EF114" s="157"/>
      <c r="EG114" s="157"/>
      <c r="EH114" s="157"/>
      <c r="EI114" s="157"/>
      <c r="EJ114" s="157"/>
      <c r="EK114" s="157"/>
      <c r="EL114" s="157"/>
      <c r="EM114" s="157"/>
      <c r="EN114" s="157"/>
      <c r="EO114" s="157"/>
      <c r="EP114" s="157"/>
      <c r="EQ114" s="157"/>
      <c r="ER114" s="157"/>
      <c r="ES114" s="157"/>
      <c r="ET114" s="157"/>
      <c r="EU114" s="157"/>
      <c r="EV114" s="157"/>
      <c r="EW114" s="157"/>
      <c r="EX114" s="157"/>
      <c r="EY114" s="157"/>
      <c r="EZ114" s="157"/>
      <c r="FA114" s="157"/>
      <c r="FB114" s="157"/>
      <c r="FC114" s="157"/>
      <c r="FD114" s="157"/>
      <c r="FE114" s="157"/>
      <c r="FF114" s="157"/>
      <c r="FG114" s="157"/>
      <c r="FH114" s="157"/>
      <c r="FI114" s="157"/>
      <c r="FJ114" s="157"/>
      <c r="FK114" s="157"/>
      <c r="FL114" s="157"/>
      <c r="FM114" s="157"/>
      <c r="FN114" s="157"/>
      <c r="FO114" s="157"/>
      <c r="FP114" s="157"/>
      <c r="FQ114" s="157"/>
      <c r="FR114" s="157"/>
      <c r="FS114" s="157"/>
      <c r="FT114" s="157"/>
      <c r="FU114" s="157"/>
      <c r="FV114" s="157"/>
      <c r="FW114" s="157"/>
      <c r="FX114" s="157"/>
      <c r="FY114" s="157"/>
      <c r="FZ114" s="157"/>
      <c r="GA114" s="157"/>
      <c r="GB114" s="157"/>
      <c r="GC114" s="157"/>
      <c r="GD114" s="157"/>
      <c r="GE114" s="157"/>
      <c r="GF114" s="157"/>
      <c r="GG114" s="157"/>
      <c r="GH114" s="157"/>
      <c r="GI114" s="157"/>
      <c r="GJ114" s="157"/>
      <c r="GK114" s="157"/>
      <c r="GL114" s="157"/>
      <c r="GM114" s="157"/>
      <c r="GN114" s="157"/>
      <c r="GO114" s="157"/>
      <c r="GP114" s="157"/>
      <c r="GQ114" s="157"/>
      <c r="GR114" s="157"/>
      <c r="GS114" s="157"/>
      <c r="GT114" s="157"/>
      <c r="GU114" s="157"/>
      <c r="GV114" s="157"/>
      <c r="GW114" s="157"/>
      <c r="GX114" s="157"/>
      <c r="GY114" s="157"/>
      <c r="GZ114" s="157"/>
      <c r="HA114" s="157"/>
      <c r="HB114" s="157"/>
      <c r="HC114" s="157"/>
      <c r="HD114" s="157"/>
      <c r="HE114" s="157"/>
      <c r="HF114" s="157"/>
      <c r="HG114" s="157"/>
      <c r="HH114" s="157"/>
      <c r="HI114" s="157"/>
      <c r="HJ114" s="157"/>
      <c r="HK114" s="157"/>
      <c r="HL114" s="157"/>
      <c r="HM114" s="157"/>
      <c r="HN114" s="157"/>
      <c r="HO114" s="157"/>
      <c r="HP114" s="157"/>
      <c r="HQ114" s="157"/>
      <c r="HR114" s="157"/>
      <c r="HS114" s="157"/>
      <c r="HT114" s="157"/>
      <c r="HU114" s="157"/>
      <c r="HV114" s="157"/>
      <c r="HW114" s="157"/>
      <c r="HX114" s="157"/>
      <c r="HY114" s="157"/>
      <c r="HZ114" s="157"/>
      <c r="IA114" s="157"/>
      <c r="IB114" s="157"/>
      <c r="IC114" s="157"/>
      <c r="ID114" s="157"/>
      <c r="IE114" s="157"/>
      <c r="IF114" s="157"/>
      <c r="IG114" s="157"/>
      <c r="IH114" s="157"/>
      <c r="II114" s="157"/>
      <c r="IJ114" s="157"/>
      <c r="IK114" s="157"/>
      <c r="IL114" s="157"/>
      <c r="IM114" s="157"/>
      <c r="IN114" s="157"/>
      <c r="IO114" s="157"/>
      <c r="IP114" s="157"/>
      <c r="IQ114" s="157"/>
      <c r="IR114" s="157"/>
      <c r="IS114" s="157"/>
      <c r="IT114" s="157"/>
      <c r="IU114" s="157"/>
      <c r="IV114" s="157"/>
      <c r="IW114" s="157"/>
      <c r="IX114" s="157"/>
      <c r="IY114" s="157"/>
      <c r="IZ114" s="157"/>
      <c r="JA114" s="157"/>
      <c r="JB114" s="157"/>
      <c r="JC114" s="157"/>
      <c r="JD114" s="157"/>
      <c r="JE114" s="157"/>
      <c r="JF114" s="157"/>
      <c r="JG114" s="157"/>
      <c r="JH114" s="157"/>
      <c r="JI114" s="157"/>
      <c r="JJ114" s="157"/>
      <c r="JK114" s="157"/>
      <c r="JL114" s="157"/>
      <c r="JM114" s="157"/>
      <c r="JN114" s="157"/>
      <c r="JO114" s="157"/>
      <c r="JP114" s="157"/>
      <c r="JQ114" s="157"/>
      <c r="JR114" s="157"/>
      <c r="JS114" s="157"/>
      <c r="JT114" s="157"/>
      <c r="JU114" s="157"/>
      <c r="JV114" s="157"/>
      <c r="JW114" s="157"/>
      <c r="JX114" s="157"/>
      <c r="JY114" s="157"/>
      <c r="JZ114" s="157"/>
      <c r="KA114" s="157"/>
      <c r="KB114" s="157"/>
      <c r="KC114" s="157"/>
      <c r="KD114" s="157"/>
      <c r="KE114" s="157"/>
      <c r="KF114" s="157"/>
      <c r="KG114" s="157"/>
      <c r="KH114" s="157"/>
      <c r="KI114" s="157"/>
      <c r="KJ114" s="157"/>
      <c r="KK114" s="157"/>
    </row>
    <row r="115" spans="1:297" x14ac:dyDescent="0.2">
      <c r="A115" s="157"/>
      <c r="B115" s="157"/>
      <c r="C115" s="157"/>
      <c r="D115" s="157"/>
      <c r="E115" s="157"/>
      <c r="F115" s="157"/>
      <c r="G115" s="157"/>
      <c r="H115" s="157"/>
      <c r="I115" s="157"/>
      <c r="J115" s="157"/>
      <c r="K115" s="157"/>
      <c r="L115" s="157"/>
      <c r="M115" s="157"/>
      <c r="N115" s="198"/>
      <c r="O115" s="157"/>
      <c r="P115" s="157"/>
      <c r="AM115" s="157"/>
      <c r="AN115" s="157"/>
      <c r="AO115" s="157"/>
      <c r="AP115" s="157"/>
      <c r="AQ115" s="157"/>
      <c r="AR115" s="157"/>
      <c r="AS115" s="157"/>
      <c r="AT115" s="157"/>
      <c r="AU115" s="157"/>
      <c r="AV115" s="157"/>
      <c r="AW115" s="157"/>
      <c r="AX115" s="157"/>
      <c r="AY115" s="157"/>
      <c r="AZ115" s="157"/>
      <c r="BA115" s="157"/>
      <c r="BB115" s="157"/>
      <c r="BC115" s="157"/>
      <c r="BD115" s="157"/>
      <c r="BE115" s="157"/>
      <c r="BF115" s="157"/>
      <c r="BG115" s="157"/>
      <c r="BH115" s="157"/>
      <c r="BI115" s="157"/>
      <c r="BJ115" s="157"/>
      <c r="BK115" s="157"/>
      <c r="BL115" s="157"/>
      <c r="BM115" s="157"/>
      <c r="BN115" s="157"/>
      <c r="BO115" s="157"/>
      <c r="BP115" s="157"/>
      <c r="BQ115" s="157"/>
      <c r="BR115" s="157"/>
      <c r="BS115" s="157"/>
      <c r="BT115" s="157"/>
      <c r="BU115" s="157"/>
      <c r="BV115" s="157"/>
      <c r="BW115" s="157"/>
      <c r="BX115" s="157"/>
      <c r="BY115" s="157"/>
      <c r="BZ115" s="157"/>
      <c r="CA115" s="157"/>
      <c r="CB115" s="157"/>
      <c r="CC115" s="157"/>
      <c r="CD115" s="157"/>
      <c r="CE115" s="157"/>
      <c r="CF115" s="157"/>
      <c r="CG115" s="157"/>
      <c r="CH115" s="157"/>
      <c r="CI115" s="157"/>
      <c r="CJ115" s="157"/>
      <c r="CK115" s="157"/>
      <c r="CL115" s="157"/>
      <c r="CM115" s="157"/>
      <c r="CN115" s="157"/>
      <c r="CO115" s="157"/>
      <c r="CP115" s="157"/>
      <c r="CQ115" s="157"/>
      <c r="CR115" s="157"/>
      <c r="CS115" s="157"/>
      <c r="CT115" s="157"/>
      <c r="CU115" s="157"/>
      <c r="CV115" s="157"/>
      <c r="CW115" s="157"/>
      <c r="CX115" s="157"/>
      <c r="CY115" s="157"/>
      <c r="CZ115" s="157"/>
      <c r="DA115" s="157"/>
      <c r="DB115" s="157"/>
      <c r="DC115" s="157"/>
      <c r="DD115" s="157"/>
      <c r="DE115" s="157"/>
      <c r="DF115" s="157"/>
      <c r="DG115" s="157"/>
      <c r="DH115" s="157"/>
      <c r="DI115" s="157"/>
      <c r="DJ115" s="157"/>
      <c r="DK115" s="157"/>
      <c r="DL115" s="157"/>
      <c r="DM115" s="157"/>
      <c r="DN115" s="157"/>
      <c r="DO115" s="157"/>
      <c r="DP115" s="157"/>
      <c r="DQ115" s="157"/>
      <c r="DR115" s="157"/>
      <c r="DS115" s="157"/>
      <c r="DT115" s="157"/>
      <c r="DU115" s="157"/>
      <c r="DV115" s="157"/>
      <c r="DW115" s="157"/>
      <c r="DX115" s="157"/>
      <c r="DY115" s="157"/>
      <c r="DZ115" s="157"/>
      <c r="EA115" s="157"/>
      <c r="EB115" s="157"/>
      <c r="EC115" s="157"/>
      <c r="ED115" s="157"/>
      <c r="EE115" s="157"/>
      <c r="EF115" s="157"/>
      <c r="EG115" s="157"/>
      <c r="EH115" s="157"/>
      <c r="EI115" s="157"/>
      <c r="EJ115" s="157"/>
      <c r="EK115" s="157"/>
      <c r="EL115" s="157"/>
      <c r="EM115" s="157"/>
      <c r="EN115" s="157"/>
      <c r="EO115" s="157"/>
      <c r="EP115" s="157"/>
      <c r="EQ115" s="157"/>
      <c r="ER115" s="157"/>
      <c r="ES115" s="157"/>
      <c r="ET115" s="157"/>
      <c r="EU115" s="157"/>
      <c r="EV115" s="157"/>
      <c r="EW115" s="157"/>
      <c r="EX115" s="157"/>
      <c r="EY115" s="157"/>
      <c r="EZ115" s="157"/>
      <c r="FA115" s="157"/>
      <c r="FB115" s="157"/>
      <c r="FC115" s="157"/>
      <c r="FD115" s="157"/>
      <c r="FE115" s="157"/>
      <c r="FF115" s="157"/>
      <c r="FG115" s="157"/>
      <c r="FH115" s="157"/>
      <c r="FI115" s="157"/>
      <c r="FJ115" s="157"/>
      <c r="FK115" s="157"/>
      <c r="FL115" s="157"/>
      <c r="FM115" s="157"/>
      <c r="FN115" s="157"/>
      <c r="FO115" s="157"/>
      <c r="FP115" s="157"/>
      <c r="FQ115" s="157"/>
      <c r="FR115" s="157"/>
      <c r="FS115" s="157"/>
      <c r="FT115" s="157"/>
      <c r="FU115" s="157"/>
      <c r="FV115" s="157"/>
      <c r="FW115" s="157"/>
      <c r="FX115" s="157"/>
      <c r="FY115" s="157"/>
      <c r="FZ115" s="157"/>
      <c r="GA115" s="157"/>
      <c r="GB115" s="157"/>
      <c r="GC115" s="157"/>
      <c r="GD115" s="157"/>
      <c r="GE115" s="157"/>
      <c r="GF115" s="157"/>
      <c r="GG115" s="157"/>
      <c r="GH115" s="157"/>
      <c r="GI115" s="157"/>
      <c r="GJ115" s="157"/>
      <c r="GK115" s="157"/>
      <c r="GL115" s="157"/>
      <c r="GM115" s="157"/>
      <c r="GN115" s="157"/>
      <c r="GO115" s="157"/>
      <c r="GP115" s="157"/>
      <c r="GQ115" s="157"/>
      <c r="GR115" s="157"/>
      <c r="GS115" s="157"/>
      <c r="GT115" s="157"/>
      <c r="GU115" s="157"/>
      <c r="GV115" s="157"/>
      <c r="GW115" s="157"/>
      <c r="GX115" s="157"/>
      <c r="GY115" s="157"/>
      <c r="GZ115" s="157"/>
      <c r="HA115" s="157"/>
      <c r="HB115" s="157"/>
      <c r="HC115" s="157"/>
      <c r="HD115" s="157"/>
      <c r="HE115" s="157"/>
      <c r="HF115" s="157"/>
      <c r="HG115" s="157"/>
      <c r="HH115" s="157"/>
      <c r="HI115" s="157"/>
      <c r="HJ115" s="157"/>
      <c r="HK115" s="157"/>
      <c r="HL115" s="157"/>
      <c r="HM115" s="157"/>
      <c r="HN115" s="157"/>
      <c r="HO115" s="157"/>
      <c r="HP115" s="157"/>
      <c r="HQ115" s="157"/>
      <c r="HR115" s="157"/>
      <c r="HS115" s="157"/>
      <c r="HT115" s="157"/>
      <c r="HU115" s="157"/>
      <c r="HV115" s="157"/>
      <c r="HW115" s="157"/>
      <c r="HX115" s="157"/>
      <c r="HY115" s="157"/>
      <c r="HZ115" s="157"/>
      <c r="IA115" s="157"/>
      <c r="IB115" s="157"/>
      <c r="IC115" s="157"/>
      <c r="ID115" s="157"/>
      <c r="IE115" s="157"/>
      <c r="IF115" s="157"/>
      <c r="IG115" s="157"/>
      <c r="IH115" s="157"/>
      <c r="II115" s="157"/>
      <c r="IJ115" s="157"/>
      <c r="IK115" s="157"/>
      <c r="IL115" s="157"/>
      <c r="IM115" s="157"/>
      <c r="IN115" s="157"/>
      <c r="IO115" s="157"/>
      <c r="IP115" s="157"/>
      <c r="IQ115" s="157"/>
      <c r="IR115" s="157"/>
      <c r="IS115" s="157"/>
      <c r="IT115" s="157"/>
      <c r="IU115" s="157"/>
      <c r="IV115" s="157"/>
      <c r="IW115" s="157"/>
      <c r="IX115" s="157"/>
      <c r="IY115" s="157"/>
      <c r="IZ115" s="157"/>
      <c r="JA115" s="157"/>
      <c r="JB115" s="157"/>
      <c r="JC115" s="157"/>
      <c r="JD115" s="157"/>
      <c r="JE115" s="157"/>
      <c r="JF115" s="157"/>
      <c r="JG115" s="157"/>
      <c r="JH115" s="157"/>
      <c r="JI115" s="157"/>
      <c r="JJ115" s="157"/>
      <c r="JK115" s="157"/>
      <c r="JL115" s="157"/>
      <c r="JM115" s="157"/>
      <c r="JN115" s="157"/>
      <c r="JO115" s="157"/>
      <c r="JP115" s="157"/>
      <c r="JQ115" s="157"/>
      <c r="JR115" s="157"/>
      <c r="JS115" s="157"/>
      <c r="JT115" s="157"/>
      <c r="JU115" s="157"/>
      <c r="JV115" s="157"/>
      <c r="JW115" s="157"/>
      <c r="JX115" s="157"/>
      <c r="JY115" s="157"/>
      <c r="JZ115" s="157"/>
      <c r="KA115" s="157"/>
      <c r="KB115" s="157"/>
      <c r="KC115" s="157"/>
      <c r="KD115" s="157"/>
      <c r="KE115" s="157"/>
      <c r="KF115" s="157"/>
      <c r="KG115" s="157"/>
      <c r="KH115" s="157"/>
      <c r="KI115" s="157"/>
      <c r="KJ115" s="157"/>
      <c r="KK115" s="157"/>
    </row>
    <row r="116" spans="1:297" x14ac:dyDescent="0.2">
      <c r="A116" s="157"/>
      <c r="B116" s="157"/>
      <c r="C116" s="157"/>
      <c r="D116" s="157"/>
      <c r="E116" s="157"/>
      <c r="F116" s="157"/>
      <c r="G116" s="157"/>
      <c r="H116" s="157"/>
      <c r="I116" s="157"/>
      <c r="J116" s="157"/>
      <c r="K116" s="157"/>
      <c r="L116" s="157"/>
      <c r="M116" s="157"/>
      <c r="N116" s="198"/>
      <c r="O116" s="157"/>
      <c r="P116" s="157"/>
      <c r="AM116" s="157"/>
      <c r="AN116" s="157"/>
      <c r="AO116" s="157"/>
      <c r="AP116" s="157"/>
      <c r="AQ116" s="157"/>
      <c r="AR116" s="157"/>
      <c r="AS116" s="157"/>
      <c r="AT116" s="157"/>
      <c r="AU116" s="157"/>
      <c r="AV116" s="157"/>
      <c r="AW116" s="157"/>
      <c r="AX116" s="157"/>
      <c r="AY116" s="157"/>
      <c r="AZ116" s="157"/>
      <c r="BA116" s="157"/>
      <c r="BB116" s="157"/>
      <c r="BC116" s="157"/>
      <c r="BD116" s="157"/>
      <c r="BE116" s="157"/>
      <c r="BF116" s="157"/>
      <c r="BG116" s="157"/>
      <c r="BH116" s="157"/>
      <c r="BI116" s="157"/>
      <c r="BJ116" s="157"/>
      <c r="BK116" s="157"/>
      <c r="BL116" s="157"/>
      <c r="BM116" s="157"/>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c r="CQ116" s="157"/>
      <c r="CR116" s="157"/>
      <c r="CS116" s="157"/>
      <c r="CT116" s="157"/>
      <c r="CU116" s="157"/>
      <c r="CV116" s="157"/>
      <c r="CW116" s="157"/>
      <c r="CX116" s="157"/>
      <c r="CY116" s="157"/>
      <c r="CZ116" s="157"/>
      <c r="DA116" s="157"/>
      <c r="DB116" s="157"/>
      <c r="DC116" s="157"/>
      <c r="DD116" s="157"/>
      <c r="DE116" s="157"/>
      <c r="DF116" s="157"/>
      <c r="DG116" s="157"/>
      <c r="DH116" s="157"/>
      <c r="DI116" s="157"/>
      <c r="DJ116" s="157"/>
      <c r="DK116" s="157"/>
      <c r="DL116" s="157"/>
      <c r="DM116" s="157"/>
      <c r="DN116" s="157"/>
      <c r="DO116" s="157"/>
      <c r="DP116" s="157"/>
      <c r="DQ116" s="157"/>
      <c r="DR116" s="157"/>
      <c r="DS116" s="157"/>
      <c r="DT116" s="157"/>
      <c r="DU116" s="157"/>
      <c r="DV116" s="157"/>
      <c r="DW116" s="157"/>
      <c r="DX116" s="157"/>
      <c r="DY116" s="157"/>
      <c r="DZ116" s="157"/>
      <c r="EA116" s="157"/>
      <c r="EB116" s="157"/>
      <c r="EC116" s="157"/>
      <c r="ED116" s="157"/>
      <c r="EE116" s="157"/>
      <c r="EF116" s="157"/>
      <c r="EG116" s="157"/>
      <c r="EH116" s="157"/>
      <c r="EI116" s="157"/>
      <c r="EJ116" s="157"/>
      <c r="EK116" s="157"/>
      <c r="EL116" s="157"/>
      <c r="EM116" s="157"/>
      <c r="EN116" s="157"/>
      <c r="EO116" s="157"/>
      <c r="EP116" s="157"/>
      <c r="EQ116" s="157"/>
      <c r="ER116" s="157"/>
      <c r="ES116" s="157"/>
      <c r="ET116" s="157"/>
      <c r="EU116" s="157"/>
      <c r="EV116" s="157"/>
      <c r="EW116" s="157"/>
      <c r="EX116" s="157"/>
      <c r="EY116" s="157"/>
      <c r="EZ116" s="157"/>
      <c r="FA116" s="157"/>
      <c r="FB116" s="157"/>
      <c r="FC116" s="157"/>
      <c r="FD116" s="157"/>
      <c r="FE116" s="157"/>
      <c r="FF116" s="157"/>
      <c r="FG116" s="157"/>
      <c r="FH116" s="157"/>
      <c r="FI116" s="157"/>
      <c r="FJ116" s="157"/>
      <c r="FK116" s="157"/>
      <c r="FL116" s="157"/>
      <c r="FM116" s="157"/>
      <c r="FN116" s="157"/>
      <c r="FO116" s="157"/>
      <c r="FP116" s="157"/>
      <c r="FQ116" s="157"/>
      <c r="FR116" s="157"/>
      <c r="FS116" s="157"/>
      <c r="FT116" s="157"/>
      <c r="FU116" s="157"/>
      <c r="FV116" s="157"/>
      <c r="FW116" s="157"/>
      <c r="FX116" s="157"/>
      <c r="FY116" s="157"/>
      <c r="FZ116" s="157"/>
      <c r="GA116" s="157"/>
      <c r="GB116" s="157"/>
      <c r="GC116" s="157"/>
      <c r="GD116" s="157"/>
      <c r="GE116" s="157"/>
      <c r="GF116" s="157"/>
      <c r="GG116" s="157"/>
      <c r="GH116" s="157"/>
      <c r="GI116" s="157"/>
      <c r="GJ116" s="157"/>
      <c r="GK116" s="157"/>
      <c r="GL116" s="157"/>
      <c r="GM116" s="157"/>
      <c r="GN116" s="157"/>
      <c r="GO116" s="157"/>
      <c r="GP116" s="157"/>
      <c r="GQ116" s="157"/>
      <c r="GR116" s="157"/>
      <c r="GS116" s="157"/>
      <c r="GT116" s="157"/>
      <c r="GU116" s="157"/>
      <c r="GV116" s="157"/>
      <c r="GW116" s="157"/>
      <c r="GX116" s="157"/>
      <c r="GY116" s="157"/>
      <c r="GZ116" s="157"/>
      <c r="HA116" s="157"/>
      <c r="HB116" s="157"/>
      <c r="HC116" s="157"/>
      <c r="HD116" s="157"/>
      <c r="HE116" s="157"/>
      <c r="HF116" s="157"/>
      <c r="HG116" s="157"/>
      <c r="HH116" s="157"/>
      <c r="HI116" s="157"/>
      <c r="HJ116" s="157"/>
      <c r="HK116" s="157"/>
      <c r="HL116" s="157"/>
      <c r="HM116" s="157"/>
      <c r="HN116" s="157"/>
      <c r="HO116" s="157"/>
      <c r="HP116" s="157"/>
      <c r="HQ116" s="157"/>
      <c r="HR116" s="157"/>
      <c r="HS116" s="157"/>
      <c r="HT116" s="157"/>
      <c r="HU116" s="157"/>
      <c r="HV116" s="157"/>
      <c r="HW116" s="157"/>
      <c r="HX116" s="157"/>
      <c r="HY116" s="157"/>
      <c r="HZ116" s="157"/>
      <c r="IA116" s="157"/>
      <c r="IB116" s="157"/>
      <c r="IC116" s="157"/>
      <c r="ID116" s="157"/>
      <c r="IE116" s="157"/>
      <c r="IF116" s="157"/>
      <c r="IG116" s="157"/>
      <c r="IH116" s="157"/>
      <c r="II116" s="157"/>
      <c r="IJ116" s="157"/>
      <c r="IK116" s="157"/>
      <c r="IL116" s="157"/>
      <c r="IM116" s="157"/>
      <c r="IN116" s="157"/>
      <c r="IO116" s="157"/>
      <c r="IP116" s="157"/>
      <c r="IQ116" s="157"/>
      <c r="IR116" s="157"/>
      <c r="IS116" s="157"/>
      <c r="IT116" s="157"/>
      <c r="IU116" s="157"/>
      <c r="IV116" s="157"/>
      <c r="IW116" s="157"/>
      <c r="IX116" s="157"/>
      <c r="IY116" s="157"/>
      <c r="IZ116" s="157"/>
      <c r="JA116" s="157"/>
      <c r="JB116" s="157"/>
      <c r="JC116" s="157"/>
      <c r="JD116" s="157"/>
      <c r="JE116" s="157"/>
      <c r="JF116" s="157"/>
      <c r="JG116" s="157"/>
      <c r="JH116" s="157"/>
      <c r="JI116" s="157"/>
      <c r="JJ116" s="157"/>
      <c r="JK116" s="157"/>
      <c r="JL116" s="157"/>
      <c r="JM116" s="157"/>
      <c r="JN116" s="157"/>
      <c r="JO116" s="157"/>
      <c r="JP116" s="157"/>
      <c r="JQ116" s="157"/>
      <c r="JR116" s="157"/>
      <c r="JS116" s="157"/>
      <c r="JT116" s="157"/>
      <c r="JU116" s="157"/>
      <c r="JV116" s="157"/>
      <c r="JW116" s="157"/>
      <c r="JX116" s="157"/>
      <c r="JY116" s="157"/>
      <c r="JZ116" s="157"/>
      <c r="KA116" s="157"/>
      <c r="KB116" s="157"/>
      <c r="KC116" s="157"/>
      <c r="KD116" s="157"/>
      <c r="KE116" s="157"/>
      <c r="KF116" s="157"/>
      <c r="KG116" s="157"/>
      <c r="KH116" s="157"/>
      <c r="KI116" s="157"/>
      <c r="KJ116" s="157"/>
      <c r="KK116" s="157"/>
    </row>
    <row r="117" spans="1:297" x14ac:dyDescent="0.2">
      <c r="A117" s="157"/>
      <c r="B117" s="157"/>
      <c r="C117" s="157"/>
      <c r="D117" s="157"/>
      <c r="E117" s="157"/>
      <c r="F117" s="157"/>
      <c r="G117" s="157"/>
      <c r="H117" s="157"/>
      <c r="I117" s="157"/>
      <c r="J117" s="157"/>
      <c r="K117" s="157"/>
      <c r="L117" s="157"/>
      <c r="M117" s="157"/>
      <c r="N117" s="198"/>
      <c r="O117" s="157"/>
      <c r="P117" s="157"/>
      <c r="AM117" s="157"/>
      <c r="AN117" s="157"/>
      <c r="AO117" s="157"/>
      <c r="AP117" s="157"/>
      <c r="AQ117" s="157"/>
      <c r="AR117" s="157"/>
      <c r="AS117" s="157"/>
      <c r="AT117" s="157"/>
      <c r="AU117" s="157"/>
      <c r="AV117" s="157"/>
      <c r="AW117" s="157"/>
      <c r="AX117" s="157"/>
      <c r="AY117" s="157"/>
      <c r="AZ117" s="157"/>
      <c r="BA117" s="157"/>
      <c r="BB117" s="157"/>
      <c r="BC117" s="157"/>
      <c r="BD117" s="157"/>
      <c r="BE117" s="157"/>
      <c r="BF117" s="157"/>
      <c r="BG117" s="157"/>
      <c r="BH117" s="157"/>
      <c r="BI117" s="157"/>
      <c r="BJ117" s="157"/>
      <c r="BK117" s="157"/>
      <c r="BL117" s="157"/>
      <c r="BM117" s="157"/>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c r="CQ117" s="157"/>
      <c r="CR117" s="157"/>
      <c r="CS117" s="157"/>
      <c r="CT117" s="157"/>
      <c r="CU117" s="157"/>
      <c r="CV117" s="157"/>
      <c r="CW117" s="157"/>
      <c r="CX117" s="157"/>
      <c r="CY117" s="157"/>
      <c r="CZ117" s="157"/>
      <c r="DA117" s="157"/>
      <c r="DB117" s="157"/>
      <c r="DC117" s="157"/>
      <c r="DD117" s="157"/>
      <c r="DE117" s="157"/>
      <c r="DF117" s="157"/>
      <c r="DG117" s="157"/>
      <c r="DH117" s="157"/>
      <c r="DI117" s="157"/>
      <c r="DJ117" s="157"/>
      <c r="DK117" s="157"/>
      <c r="DL117" s="157"/>
      <c r="DM117" s="157"/>
      <c r="DN117" s="157"/>
      <c r="DO117" s="157"/>
      <c r="DP117" s="157"/>
      <c r="DQ117" s="157"/>
      <c r="DR117" s="157"/>
      <c r="DS117" s="157"/>
      <c r="DT117" s="157"/>
      <c r="DU117" s="157"/>
      <c r="DV117" s="157"/>
      <c r="DW117" s="157"/>
      <c r="DX117" s="157"/>
      <c r="DY117" s="157"/>
      <c r="DZ117" s="157"/>
      <c r="EA117" s="157"/>
      <c r="EB117" s="157"/>
      <c r="EC117" s="157"/>
      <c r="ED117" s="157"/>
      <c r="EE117" s="157"/>
      <c r="EF117" s="157"/>
      <c r="EG117" s="157"/>
      <c r="EH117" s="157"/>
      <c r="EI117" s="157"/>
      <c r="EJ117" s="157"/>
      <c r="EK117" s="157"/>
      <c r="EL117" s="157"/>
      <c r="EM117" s="157"/>
      <c r="EN117" s="157"/>
      <c r="EO117" s="157"/>
      <c r="EP117" s="157"/>
      <c r="EQ117" s="157"/>
      <c r="ER117" s="157"/>
      <c r="ES117" s="157"/>
      <c r="ET117" s="157"/>
      <c r="EU117" s="157"/>
      <c r="EV117" s="157"/>
      <c r="EW117" s="157"/>
      <c r="EX117" s="157"/>
      <c r="EY117" s="157"/>
      <c r="EZ117" s="157"/>
      <c r="FA117" s="157"/>
      <c r="FB117" s="157"/>
      <c r="FC117" s="157"/>
      <c r="FD117" s="157"/>
      <c r="FE117" s="157"/>
      <c r="FF117" s="157"/>
      <c r="FG117" s="157"/>
      <c r="FH117" s="157"/>
      <c r="FI117" s="157"/>
      <c r="FJ117" s="157"/>
      <c r="FK117" s="157"/>
      <c r="FL117" s="157"/>
      <c r="FM117" s="157"/>
      <c r="FN117" s="157"/>
      <c r="FO117" s="157"/>
      <c r="FP117" s="157"/>
      <c r="FQ117" s="157"/>
      <c r="FR117" s="157"/>
      <c r="FS117" s="157"/>
      <c r="FT117" s="157"/>
      <c r="FU117" s="157"/>
      <c r="FV117" s="157"/>
      <c r="FW117" s="157"/>
      <c r="FX117" s="157"/>
      <c r="FY117" s="157"/>
      <c r="FZ117" s="157"/>
      <c r="GA117" s="157"/>
      <c r="GB117" s="157"/>
      <c r="GC117" s="157"/>
      <c r="GD117" s="157"/>
      <c r="GE117" s="157"/>
      <c r="GF117" s="157"/>
      <c r="GG117" s="157"/>
      <c r="GH117" s="157"/>
      <c r="GI117" s="157"/>
      <c r="GJ117" s="157"/>
      <c r="GK117" s="157"/>
      <c r="GL117" s="157"/>
      <c r="GM117" s="157"/>
      <c r="GN117" s="157"/>
      <c r="GO117" s="157"/>
      <c r="GP117" s="157"/>
      <c r="GQ117" s="157"/>
      <c r="GR117" s="157"/>
      <c r="GS117" s="157"/>
      <c r="GT117" s="157"/>
      <c r="GU117" s="157"/>
      <c r="GV117" s="157"/>
      <c r="GW117" s="157"/>
      <c r="GX117" s="157"/>
      <c r="GY117" s="157"/>
      <c r="GZ117" s="157"/>
      <c r="HA117" s="157"/>
      <c r="HB117" s="157"/>
      <c r="HC117" s="157"/>
      <c r="HD117" s="157"/>
      <c r="HE117" s="157"/>
      <c r="HF117" s="157"/>
      <c r="HG117" s="157"/>
      <c r="HH117" s="157"/>
      <c r="HI117" s="157"/>
      <c r="HJ117" s="157"/>
      <c r="HK117" s="157"/>
      <c r="HL117" s="157"/>
      <c r="HM117" s="157"/>
      <c r="HN117" s="157"/>
      <c r="HO117" s="157"/>
      <c r="HP117" s="157"/>
      <c r="HQ117" s="157"/>
      <c r="HR117" s="157"/>
      <c r="HS117" s="157"/>
      <c r="HT117" s="157"/>
      <c r="HU117" s="157"/>
      <c r="HV117" s="157"/>
      <c r="HW117" s="157"/>
      <c r="HX117" s="157"/>
      <c r="HY117" s="157"/>
      <c r="HZ117" s="157"/>
      <c r="IA117" s="157"/>
      <c r="IB117" s="157"/>
      <c r="IC117" s="157"/>
      <c r="ID117" s="157"/>
      <c r="IE117" s="157"/>
      <c r="IF117" s="157"/>
      <c r="IG117" s="157"/>
      <c r="IH117" s="157"/>
      <c r="II117" s="157"/>
      <c r="IJ117" s="157"/>
      <c r="IK117" s="157"/>
      <c r="IL117" s="157"/>
      <c r="IM117" s="157"/>
      <c r="IN117" s="157"/>
      <c r="IO117" s="157"/>
      <c r="IP117" s="157"/>
      <c r="IQ117" s="157"/>
      <c r="IR117" s="157"/>
      <c r="IS117" s="157"/>
      <c r="IT117" s="157"/>
      <c r="IU117" s="157"/>
      <c r="IV117" s="157"/>
      <c r="IW117" s="157"/>
      <c r="IX117" s="157"/>
      <c r="IY117" s="157"/>
      <c r="IZ117" s="157"/>
      <c r="JA117" s="157"/>
      <c r="JB117" s="157"/>
      <c r="JC117" s="157"/>
      <c r="JD117" s="157"/>
      <c r="JE117" s="157"/>
      <c r="JF117" s="157"/>
      <c r="JG117" s="157"/>
      <c r="JH117" s="157"/>
      <c r="JI117" s="157"/>
      <c r="JJ117" s="157"/>
      <c r="JK117" s="157"/>
      <c r="JL117" s="157"/>
      <c r="JM117" s="157"/>
      <c r="JN117" s="157"/>
      <c r="JO117" s="157"/>
      <c r="JP117" s="157"/>
      <c r="JQ117" s="157"/>
      <c r="JR117" s="157"/>
      <c r="JS117" s="157"/>
      <c r="JT117" s="157"/>
      <c r="JU117" s="157"/>
      <c r="JV117" s="157"/>
      <c r="JW117" s="157"/>
      <c r="JX117" s="157"/>
      <c r="JY117" s="157"/>
      <c r="JZ117" s="157"/>
      <c r="KA117" s="157"/>
      <c r="KB117" s="157"/>
      <c r="KC117" s="157"/>
      <c r="KD117" s="157"/>
      <c r="KE117" s="157"/>
      <c r="KF117" s="157"/>
      <c r="KG117" s="157"/>
      <c r="KH117" s="157"/>
      <c r="KI117" s="157"/>
      <c r="KJ117" s="157"/>
      <c r="KK117" s="157"/>
    </row>
    <row r="118" spans="1:297" x14ac:dyDescent="0.2">
      <c r="A118" s="157"/>
      <c r="B118" s="157"/>
      <c r="C118" s="157"/>
      <c r="D118" s="157"/>
      <c r="E118" s="157"/>
      <c r="F118" s="157"/>
      <c r="G118" s="157"/>
      <c r="H118" s="157"/>
      <c r="I118" s="157"/>
      <c r="J118" s="157"/>
      <c r="K118" s="157"/>
      <c r="L118" s="157"/>
      <c r="M118" s="157"/>
      <c r="N118" s="198"/>
      <c r="O118" s="157"/>
      <c r="P118" s="157"/>
      <c r="AM118" s="157"/>
      <c r="AN118" s="157"/>
      <c r="AO118" s="157"/>
      <c r="AP118" s="157"/>
      <c r="AQ118" s="157"/>
      <c r="AR118" s="157"/>
      <c r="AS118" s="157"/>
      <c r="AT118" s="157"/>
      <c r="AU118" s="157"/>
      <c r="AV118" s="157"/>
      <c r="AW118" s="157"/>
      <c r="AX118" s="157"/>
      <c r="AY118" s="157"/>
      <c r="AZ118" s="157"/>
      <c r="BA118" s="157"/>
      <c r="BB118" s="157"/>
      <c r="BC118" s="157"/>
      <c r="BD118" s="157"/>
      <c r="BE118" s="157"/>
      <c r="BF118" s="157"/>
      <c r="BG118" s="157"/>
      <c r="BH118" s="157"/>
      <c r="BI118" s="157"/>
      <c r="BJ118" s="157"/>
      <c r="BK118" s="157"/>
      <c r="BL118" s="157"/>
      <c r="BM118" s="157"/>
      <c r="BN118" s="157"/>
      <c r="BO118" s="157"/>
      <c r="BP118" s="157"/>
      <c r="BQ118" s="157"/>
      <c r="BR118" s="157"/>
      <c r="BS118" s="157"/>
      <c r="BT118" s="157"/>
      <c r="BU118" s="157"/>
      <c r="BV118" s="157"/>
      <c r="BW118" s="157"/>
      <c r="BX118" s="157"/>
      <c r="BY118" s="157"/>
      <c r="BZ118" s="157"/>
      <c r="CA118" s="157"/>
      <c r="CB118" s="157"/>
      <c r="CC118" s="157"/>
      <c r="CD118" s="157"/>
      <c r="CE118" s="157"/>
      <c r="CF118" s="157"/>
      <c r="CG118" s="157"/>
      <c r="CH118" s="157"/>
      <c r="CI118" s="157"/>
      <c r="CJ118" s="157"/>
      <c r="CK118" s="157"/>
      <c r="CL118" s="157"/>
      <c r="CM118" s="157"/>
      <c r="CN118" s="157"/>
      <c r="CO118" s="157"/>
      <c r="CP118" s="157"/>
      <c r="CQ118" s="157"/>
      <c r="CR118" s="157"/>
      <c r="CS118" s="157"/>
      <c r="CT118" s="157"/>
      <c r="CU118" s="157"/>
      <c r="CV118" s="157"/>
      <c r="CW118" s="157"/>
      <c r="CX118" s="157"/>
      <c r="CY118" s="157"/>
      <c r="CZ118" s="157"/>
      <c r="DA118" s="157"/>
      <c r="DB118" s="157"/>
      <c r="DC118" s="157"/>
      <c r="DD118" s="157"/>
      <c r="DE118" s="157"/>
      <c r="DF118" s="157"/>
      <c r="DG118" s="157"/>
      <c r="DH118" s="157"/>
      <c r="DI118" s="157"/>
      <c r="DJ118" s="157"/>
      <c r="DK118" s="157"/>
      <c r="DL118" s="157"/>
      <c r="DM118" s="157"/>
      <c r="DN118" s="157"/>
      <c r="DO118" s="157"/>
      <c r="DP118" s="157"/>
      <c r="DQ118" s="157"/>
      <c r="DR118" s="157"/>
      <c r="DS118" s="157"/>
      <c r="DT118" s="157"/>
      <c r="DU118" s="157"/>
      <c r="DV118" s="157"/>
      <c r="DW118" s="157"/>
      <c r="DX118" s="157"/>
      <c r="DY118" s="157"/>
      <c r="DZ118" s="157"/>
      <c r="EA118" s="157"/>
      <c r="EB118" s="157"/>
      <c r="EC118" s="157"/>
      <c r="ED118" s="157"/>
      <c r="EE118" s="157"/>
      <c r="EF118" s="157"/>
      <c r="EG118" s="157"/>
      <c r="EH118" s="157"/>
      <c r="EI118" s="157"/>
      <c r="EJ118" s="157"/>
      <c r="EK118" s="157"/>
      <c r="EL118" s="157"/>
      <c r="EM118" s="157"/>
      <c r="EN118" s="157"/>
      <c r="EO118" s="157"/>
      <c r="EP118" s="157"/>
      <c r="EQ118" s="157"/>
      <c r="ER118" s="157"/>
      <c r="ES118" s="157"/>
      <c r="ET118" s="157"/>
      <c r="EU118" s="157"/>
      <c r="EV118" s="157"/>
      <c r="EW118" s="157"/>
      <c r="EX118" s="157"/>
      <c r="EY118" s="157"/>
      <c r="EZ118" s="157"/>
      <c r="FA118" s="157"/>
      <c r="FB118" s="157"/>
      <c r="FC118" s="157"/>
      <c r="FD118" s="157"/>
      <c r="FE118" s="157"/>
      <c r="FF118" s="157"/>
      <c r="FG118" s="157"/>
      <c r="FH118" s="157"/>
      <c r="FI118" s="157"/>
      <c r="FJ118" s="157"/>
      <c r="FK118" s="157"/>
      <c r="FL118" s="157"/>
      <c r="FM118" s="157"/>
      <c r="FN118" s="157"/>
      <c r="FO118" s="157"/>
      <c r="FP118" s="157"/>
      <c r="FQ118" s="157"/>
      <c r="FR118" s="157"/>
      <c r="FS118" s="157"/>
      <c r="FT118" s="157"/>
      <c r="FU118" s="157"/>
      <c r="FV118" s="157"/>
      <c r="FW118" s="157"/>
      <c r="FX118" s="157"/>
      <c r="FY118" s="157"/>
      <c r="FZ118" s="157"/>
      <c r="GA118" s="157"/>
      <c r="GB118" s="157"/>
      <c r="GC118" s="157"/>
      <c r="GD118" s="157"/>
      <c r="GE118" s="157"/>
      <c r="GF118" s="157"/>
      <c r="GG118" s="157"/>
      <c r="GH118" s="157"/>
      <c r="GI118" s="157"/>
      <c r="GJ118" s="157"/>
      <c r="GK118" s="157"/>
      <c r="GL118" s="157"/>
      <c r="GM118" s="157"/>
      <c r="GN118" s="157"/>
      <c r="GO118" s="157"/>
      <c r="GP118" s="157"/>
      <c r="GQ118" s="157"/>
      <c r="GR118" s="157"/>
      <c r="GS118" s="157"/>
      <c r="GT118" s="157"/>
      <c r="GU118" s="157"/>
      <c r="GV118" s="157"/>
      <c r="GW118" s="157"/>
      <c r="GX118" s="157"/>
      <c r="GY118" s="157"/>
      <c r="GZ118" s="157"/>
      <c r="HA118" s="157"/>
      <c r="HB118" s="157"/>
      <c r="HC118" s="157"/>
      <c r="HD118" s="157"/>
      <c r="HE118" s="157"/>
      <c r="HF118" s="157"/>
      <c r="HG118" s="157"/>
      <c r="HH118" s="157"/>
      <c r="HI118" s="157"/>
      <c r="HJ118" s="157"/>
      <c r="HK118" s="157"/>
      <c r="HL118" s="157"/>
      <c r="HM118" s="157"/>
      <c r="HN118" s="157"/>
      <c r="HO118" s="157"/>
      <c r="HP118" s="157"/>
      <c r="HQ118" s="157"/>
      <c r="HR118" s="157"/>
      <c r="HS118" s="157"/>
      <c r="HT118" s="157"/>
      <c r="HU118" s="157"/>
      <c r="HV118" s="157"/>
      <c r="HW118" s="157"/>
      <c r="HX118" s="157"/>
      <c r="HY118" s="157"/>
      <c r="HZ118" s="157"/>
      <c r="IA118" s="157"/>
      <c r="IB118" s="157"/>
      <c r="IC118" s="157"/>
      <c r="ID118" s="157"/>
      <c r="IE118" s="157"/>
      <c r="IF118" s="157"/>
      <c r="IG118" s="157"/>
      <c r="IH118" s="157"/>
      <c r="II118" s="157"/>
      <c r="IJ118" s="157"/>
      <c r="IK118" s="157"/>
      <c r="IL118" s="157"/>
      <c r="IM118" s="157"/>
      <c r="IN118" s="157"/>
      <c r="IO118" s="157"/>
      <c r="IP118" s="157"/>
      <c r="IQ118" s="157"/>
      <c r="IR118" s="157"/>
      <c r="IS118" s="157"/>
      <c r="IT118" s="157"/>
      <c r="IU118" s="157"/>
      <c r="IV118" s="157"/>
      <c r="IW118" s="157"/>
      <c r="IX118" s="157"/>
      <c r="IY118" s="157"/>
      <c r="IZ118" s="157"/>
      <c r="JA118" s="157"/>
      <c r="JB118" s="157"/>
      <c r="JC118" s="157"/>
      <c r="JD118" s="157"/>
      <c r="JE118" s="157"/>
      <c r="JF118" s="157"/>
      <c r="JG118" s="157"/>
      <c r="JH118" s="157"/>
      <c r="JI118" s="157"/>
      <c r="JJ118" s="157"/>
      <c r="JK118" s="157"/>
      <c r="JL118" s="157"/>
      <c r="JM118" s="157"/>
      <c r="JN118" s="157"/>
      <c r="JO118" s="157"/>
      <c r="JP118" s="157"/>
      <c r="JQ118" s="157"/>
      <c r="JR118" s="157"/>
      <c r="JS118" s="157"/>
      <c r="JT118" s="157"/>
      <c r="JU118" s="157"/>
      <c r="JV118" s="157"/>
      <c r="JW118" s="157"/>
      <c r="JX118" s="157"/>
      <c r="JY118" s="157"/>
      <c r="JZ118" s="157"/>
      <c r="KA118" s="157"/>
      <c r="KB118" s="157"/>
      <c r="KC118" s="157"/>
      <c r="KD118" s="157"/>
      <c r="KE118" s="157"/>
      <c r="KF118" s="157"/>
      <c r="KG118" s="157"/>
      <c r="KH118" s="157"/>
      <c r="KI118" s="157"/>
      <c r="KJ118" s="157"/>
      <c r="KK118" s="157"/>
    </row>
    <row r="119" spans="1:297" x14ac:dyDescent="0.2">
      <c r="A119" s="157"/>
      <c r="B119" s="157"/>
      <c r="C119" s="157"/>
      <c r="D119" s="157"/>
      <c r="E119" s="157"/>
      <c r="F119" s="157"/>
      <c r="G119" s="157"/>
      <c r="H119" s="157"/>
      <c r="I119" s="157"/>
      <c r="J119" s="157"/>
      <c r="K119" s="157"/>
      <c r="L119" s="157"/>
      <c r="M119" s="157"/>
      <c r="N119" s="198"/>
      <c r="O119" s="157"/>
      <c r="P119" s="157"/>
      <c r="AM119" s="157"/>
      <c r="AN119" s="157"/>
      <c r="AO119" s="157"/>
      <c r="AP119" s="157"/>
      <c r="AQ119" s="157"/>
      <c r="AR119" s="157"/>
      <c r="AS119" s="157"/>
      <c r="AT119" s="157"/>
      <c r="AU119" s="157"/>
      <c r="AV119" s="157"/>
      <c r="AW119" s="157"/>
      <c r="AX119" s="157"/>
      <c r="AY119" s="157"/>
      <c r="AZ119" s="157"/>
      <c r="BA119" s="157"/>
      <c r="BB119" s="157"/>
      <c r="BC119" s="157"/>
      <c r="BD119" s="157"/>
      <c r="BE119" s="157"/>
      <c r="BF119" s="157"/>
      <c r="BG119" s="157"/>
      <c r="BH119" s="157"/>
      <c r="BI119" s="157"/>
      <c r="BJ119" s="157"/>
      <c r="BK119" s="157"/>
      <c r="BL119" s="157"/>
      <c r="BM119" s="157"/>
      <c r="BN119" s="157"/>
      <c r="BO119" s="157"/>
      <c r="BP119" s="157"/>
      <c r="BQ119" s="157"/>
      <c r="BR119" s="157"/>
      <c r="BS119" s="157"/>
      <c r="BT119" s="157"/>
      <c r="BU119" s="157"/>
      <c r="BV119" s="157"/>
      <c r="BW119" s="157"/>
      <c r="BX119" s="157"/>
      <c r="BY119" s="157"/>
      <c r="BZ119" s="157"/>
      <c r="CA119" s="157"/>
      <c r="CB119" s="157"/>
      <c r="CC119" s="157"/>
      <c r="CD119" s="157"/>
      <c r="CE119" s="157"/>
      <c r="CF119" s="157"/>
      <c r="CG119" s="157"/>
      <c r="CH119" s="157"/>
      <c r="CI119" s="157"/>
      <c r="CJ119" s="157"/>
      <c r="CK119" s="157"/>
      <c r="CL119" s="157"/>
      <c r="CM119" s="157"/>
      <c r="CN119" s="157"/>
      <c r="CO119" s="157"/>
      <c r="CP119" s="157"/>
      <c r="CQ119" s="157"/>
      <c r="CR119" s="157"/>
      <c r="CS119" s="157"/>
      <c r="CT119" s="157"/>
      <c r="CU119" s="157"/>
      <c r="CV119" s="157"/>
      <c r="CW119" s="157"/>
      <c r="CX119" s="157"/>
      <c r="CY119" s="157"/>
      <c r="CZ119" s="157"/>
      <c r="DA119" s="157"/>
      <c r="DB119" s="157"/>
      <c r="DC119" s="157"/>
      <c r="DD119" s="157"/>
      <c r="DE119" s="157"/>
      <c r="DF119" s="157"/>
      <c r="DG119" s="157"/>
      <c r="DH119" s="157"/>
      <c r="DI119" s="157"/>
      <c r="DJ119" s="157"/>
      <c r="DK119" s="157"/>
      <c r="DL119" s="157"/>
      <c r="DM119" s="157"/>
      <c r="DN119" s="157"/>
      <c r="DO119" s="157"/>
      <c r="DP119" s="157"/>
      <c r="DQ119" s="157"/>
      <c r="DR119" s="157"/>
      <c r="DS119" s="157"/>
      <c r="DT119" s="157"/>
      <c r="DU119" s="157"/>
      <c r="DV119" s="157"/>
      <c r="DW119" s="157"/>
      <c r="DX119" s="157"/>
      <c r="DY119" s="157"/>
      <c r="DZ119" s="157"/>
      <c r="EA119" s="157"/>
      <c r="EB119" s="157"/>
      <c r="EC119" s="157"/>
      <c r="ED119" s="157"/>
      <c r="EE119" s="157"/>
      <c r="EF119" s="157"/>
      <c r="EG119" s="157"/>
      <c r="EH119" s="157"/>
      <c r="EI119" s="157"/>
      <c r="EJ119" s="157"/>
      <c r="EK119" s="157"/>
      <c r="EL119" s="157"/>
      <c r="EM119" s="157"/>
      <c r="EN119" s="157"/>
      <c r="EO119" s="157"/>
      <c r="EP119" s="157"/>
      <c r="EQ119" s="157"/>
      <c r="ER119" s="157"/>
      <c r="ES119" s="157"/>
      <c r="ET119" s="157"/>
      <c r="EU119" s="157"/>
      <c r="EV119" s="157"/>
      <c r="EW119" s="157"/>
      <c r="EX119" s="157"/>
      <c r="EY119" s="157"/>
      <c r="EZ119" s="157"/>
      <c r="FA119" s="157"/>
      <c r="FB119" s="157"/>
      <c r="FC119" s="157"/>
      <c r="FD119" s="157"/>
      <c r="FE119" s="157"/>
      <c r="FF119" s="157"/>
      <c r="FG119" s="157"/>
      <c r="FH119" s="157"/>
      <c r="FI119" s="157"/>
      <c r="FJ119" s="157"/>
      <c r="FK119" s="157"/>
      <c r="FL119" s="157"/>
      <c r="FM119" s="157"/>
      <c r="FN119" s="157"/>
      <c r="FO119" s="157"/>
      <c r="FP119" s="157"/>
      <c r="FQ119" s="157"/>
      <c r="FR119" s="157"/>
      <c r="FS119" s="157"/>
      <c r="FT119" s="157"/>
      <c r="FU119" s="157"/>
      <c r="FV119" s="157"/>
      <c r="FW119" s="157"/>
      <c r="FX119" s="157"/>
      <c r="FY119" s="157"/>
      <c r="FZ119" s="157"/>
      <c r="GA119" s="157"/>
      <c r="GB119" s="157"/>
      <c r="GC119" s="157"/>
      <c r="GD119" s="157"/>
      <c r="GE119" s="157"/>
      <c r="GF119" s="157"/>
      <c r="GG119" s="157"/>
      <c r="GH119" s="157"/>
      <c r="GI119" s="157"/>
      <c r="GJ119" s="157"/>
      <c r="GK119" s="157"/>
      <c r="GL119" s="157"/>
      <c r="GM119" s="157"/>
      <c r="GN119" s="157"/>
      <c r="GO119" s="157"/>
      <c r="GP119" s="157"/>
      <c r="GQ119" s="157"/>
      <c r="GR119" s="157"/>
      <c r="GS119" s="157"/>
      <c r="GT119" s="157"/>
      <c r="GU119" s="157"/>
      <c r="GV119" s="157"/>
      <c r="GW119" s="157"/>
      <c r="GX119" s="157"/>
      <c r="GY119" s="157"/>
      <c r="GZ119" s="157"/>
      <c r="HA119" s="157"/>
      <c r="HB119" s="157"/>
      <c r="HC119" s="157"/>
      <c r="HD119" s="157"/>
      <c r="HE119" s="157"/>
      <c r="HF119" s="157"/>
      <c r="HG119" s="157"/>
      <c r="HH119" s="157"/>
      <c r="HI119" s="157"/>
      <c r="HJ119" s="157"/>
      <c r="HK119" s="157"/>
      <c r="HL119" s="157"/>
      <c r="HM119" s="157"/>
      <c r="HN119" s="157"/>
      <c r="HO119" s="157"/>
      <c r="HP119" s="157"/>
      <c r="HQ119" s="157"/>
      <c r="HR119" s="157"/>
      <c r="HS119" s="157"/>
      <c r="HT119" s="157"/>
      <c r="HU119" s="157"/>
      <c r="HV119" s="157"/>
      <c r="HW119" s="157"/>
      <c r="HX119" s="157"/>
      <c r="HY119" s="157"/>
      <c r="HZ119" s="157"/>
      <c r="IA119" s="157"/>
      <c r="IB119" s="157"/>
      <c r="IC119" s="157"/>
      <c r="ID119" s="157"/>
      <c r="IE119" s="157"/>
      <c r="IF119" s="157"/>
      <c r="IG119" s="157"/>
      <c r="IH119" s="157"/>
      <c r="II119" s="157"/>
      <c r="IJ119" s="157"/>
      <c r="IK119" s="157"/>
      <c r="IL119" s="157"/>
      <c r="IM119" s="157"/>
      <c r="IN119" s="157"/>
      <c r="IO119" s="157"/>
      <c r="IP119" s="157"/>
      <c r="IQ119" s="157"/>
      <c r="IR119" s="157"/>
      <c r="IS119" s="157"/>
      <c r="IT119" s="157"/>
      <c r="IU119" s="157"/>
      <c r="IV119" s="157"/>
      <c r="IW119" s="157"/>
      <c r="IX119" s="157"/>
      <c r="IY119" s="157"/>
      <c r="IZ119" s="157"/>
      <c r="JA119" s="157"/>
      <c r="JB119" s="157"/>
      <c r="JC119" s="157"/>
      <c r="JD119" s="157"/>
      <c r="JE119" s="157"/>
      <c r="JF119" s="157"/>
      <c r="JG119" s="157"/>
      <c r="JH119" s="157"/>
      <c r="JI119" s="157"/>
      <c r="JJ119" s="157"/>
      <c r="JK119" s="157"/>
      <c r="JL119" s="157"/>
      <c r="JM119" s="157"/>
      <c r="JN119" s="157"/>
      <c r="JO119" s="157"/>
      <c r="JP119" s="157"/>
      <c r="JQ119" s="157"/>
      <c r="JR119" s="157"/>
      <c r="JS119" s="157"/>
      <c r="JT119" s="157"/>
      <c r="JU119" s="157"/>
      <c r="JV119" s="157"/>
      <c r="JW119" s="157"/>
      <c r="JX119" s="157"/>
      <c r="JY119" s="157"/>
      <c r="JZ119" s="157"/>
      <c r="KA119" s="157"/>
      <c r="KB119" s="157"/>
      <c r="KC119" s="157"/>
      <c r="KD119" s="157"/>
      <c r="KE119" s="157"/>
      <c r="KF119" s="157"/>
      <c r="KG119" s="157"/>
      <c r="KH119" s="157"/>
      <c r="KI119" s="157"/>
      <c r="KJ119" s="157"/>
      <c r="KK119" s="157"/>
    </row>
    <row r="120" spans="1:297" x14ac:dyDescent="0.2">
      <c r="A120" s="157"/>
      <c r="B120" s="157"/>
      <c r="C120" s="157"/>
      <c r="D120" s="157"/>
      <c r="E120" s="157"/>
      <c r="F120" s="157"/>
      <c r="G120" s="157"/>
      <c r="H120" s="157"/>
      <c r="I120" s="157"/>
      <c r="J120" s="157"/>
      <c r="K120" s="157"/>
      <c r="L120" s="157"/>
      <c r="M120" s="157"/>
      <c r="N120" s="198"/>
      <c r="O120" s="157"/>
      <c r="P120" s="157"/>
      <c r="AM120" s="157"/>
      <c r="AN120" s="157"/>
      <c r="AO120" s="157"/>
      <c r="AP120" s="157"/>
      <c r="AQ120" s="157"/>
      <c r="AR120" s="157"/>
      <c r="AS120" s="157"/>
      <c r="AT120" s="157"/>
      <c r="AU120" s="157"/>
      <c r="AV120" s="157"/>
      <c r="AW120" s="157"/>
      <c r="AX120" s="157"/>
      <c r="AY120" s="157"/>
      <c r="AZ120" s="157"/>
      <c r="BA120" s="157"/>
      <c r="BB120" s="157"/>
      <c r="BC120" s="157"/>
      <c r="BD120" s="157"/>
      <c r="BE120" s="157"/>
      <c r="BF120" s="157"/>
      <c r="BG120" s="157"/>
      <c r="BH120" s="157"/>
      <c r="BI120" s="157"/>
      <c r="BJ120" s="157"/>
      <c r="BK120" s="157"/>
      <c r="BL120" s="157"/>
      <c r="BM120" s="157"/>
      <c r="BN120" s="157"/>
      <c r="BO120" s="157"/>
      <c r="BP120" s="157"/>
      <c r="BQ120" s="157"/>
      <c r="BR120" s="157"/>
      <c r="BS120" s="157"/>
      <c r="BT120" s="157"/>
      <c r="BU120" s="157"/>
      <c r="BV120" s="157"/>
      <c r="BW120" s="157"/>
      <c r="BX120" s="157"/>
      <c r="BY120" s="157"/>
      <c r="BZ120" s="157"/>
      <c r="CA120" s="157"/>
      <c r="CB120" s="157"/>
      <c r="CC120" s="157"/>
      <c r="CD120" s="157"/>
      <c r="CE120" s="157"/>
      <c r="CF120" s="157"/>
      <c r="CG120" s="157"/>
      <c r="CH120" s="157"/>
      <c r="CI120" s="157"/>
      <c r="CJ120" s="157"/>
      <c r="CK120" s="157"/>
      <c r="CL120" s="157"/>
      <c r="CM120" s="157"/>
      <c r="CN120" s="157"/>
      <c r="CO120" s="157"/>
      <c r="CP120" s="157"/>
      <c r="CQ120" s="157"/>
      <c r="CR120" s="157"/>
      <c r="CS120" s="157"/>
      <c r="CT120" s="157"/>
      <c r="CU120" s="157"/>
      <c r="CV120" s="157"/>
      <c r="CW120" s="157"/>
      <c r="CX120" s="157"/>
      <c r="CY120" s="157"/>
      <c r="CZ120" s="157"/>
      <c r="DA120" s="157"/>
      <c r="DB120" s="157"/>
      <c r="DC120" s="157"/>
      <c r="DD120" s="157"/>
      <c r="DE120" s="157"/>
      <c r="DF120" s="157"/>
      <c r="DG120" s="157"/>
      <c r="DH120" s="157"/>
      <c r="DI120" s="157"/>
      <c r="DJ120" s="157"/>
      <c r="DK120" s="157"/>
      <c r="DL120" s="157"/>
      <c r="DM120" s="157"/>
      <c r="DN120" s="157"/>
      <c r="DO120" s="157"/>
      <c r="DP120" s="157"/>
      <c r="DQ120" s="157"/>
      <c r="DR120" s="157"/>
      <c r="DS120" s="157"/>
      <c r="DT120" s="157"/>
      <c r="DU120" s="157"/>
      <c r="DV120" s="157"/>
      <c r="DW120" s="157"/>
      <c r="DX120" s="157"/>
      <c r="DY120" s="157"/>
      <c r="DZ120" s="157"/>
      <c r="EA120" s="157"/>
      <c r="EB120" s="157"/>
      <c r="EC120" s="157"/>
      <c r="ED120" s="157"/>
      <c r="EE120" s="157"/>
      <c r="EF120" s="157"/>
      <c r="EG120" s="157"/>
      <c r="EH120" s="157"/>
      <c r="EI120" s="157"/>
      <c r="EJ120" s="157"/>
      <c r="EK120" s="157"/>
      <c r="EL120" s="157"/>
      <c r="EM120" s="157"/>
      <c r="EN120" s="157"/>
      <c r="EO120" s="157"/>
      <c r="EP120" s="157"/>
      <c r="EQ120" s="157"/>
      <c r="ER120" s="157"/>
      <c r="ES120" s="157"/>
      <c r="ET120" s="157"/>
      <c r="EU120" s="157"/>
      <c r="EV120" s="157"/>
      <c r="EW120" s="157"/>
      <c r="EX120" s="157"/>
      <c r="EY120" s="157"/>
      <c r="EZ120" s="157"/>
      <c r="FA120" s="157"/>
      <c r="FB120" s="157"/>
      <c r="FC120" s="157"/>
      <c r="FD120" s="157"/>
      <c r="FE120" s="157"/>
      <c r="FF120" s="157"/>
      <c r="FG120" s="157"/>
      <c r="FH120" s="157"/>
      <c r="FI120" s="157"/>
      <c r="FJ120" s="157"/>
      <c r="FK120" s="157"/>
      <c r="FL120" s="157"/>
      <c r="FM120" s="157"/>
      <c r="FN120" s="157"/>
      <c r="FO120" s="157"/>
      <c r="FP120" s="157"/>
      <c r="FQ120" s="157"/>
      <c r="FR120" s="157"/>
      <c r="FS120" s="157"/>
      <c r="FT120" s="157"/>
      <c r="FU120" s="157"/>
      <c r="FV120" s="157"/>
      <c r="FW120" s="157"/>
      <c r="FX120" s="157"/>
      <c r="FY120" s="157"/>
      <c r="FZ120" s="157"/>
      <c r="GA120" s="157"/>
      <c r="GB120" s="157"/>
      <c r="GC120" s="157"/>
      <c r="GD120" s="157"/>
      <c r="GE120" s="157"/>
      <c r="GF120" s="157"/>
      <c r="GG120" s="157"/>
      <c r="GH120" s="157"/>
      <c r="GI120" s="157"/>
      <c r="GJ120" s="157"/>
      <c r="GK120" s="157"/>
      <c r="GL120" s="157"/>
      <c r="GM120" s="157"/>
      <c r="GN120" s="157"/>
      <c r="GO120" s="157"/>
      <c r="GP120" s="157"/>
      <c r="GQ120" s="157"/>
      <c r="GR120" s="157"/>
      <c r="GS120" s="157"/>
      <c r="GT120" s="157"/>
      <c r="GU120" s="157"/>
      <c r="GV120" s="157"/>
      <c r="GW120" s="157"/>
      <c r="GX120" s="157"/>
      <c r="GY120" s="157"/>
      <c r="GZ120" s="157"/>
      <c r="HA120" s="157"/>
      <c r="HB120" s="157"/>
      <c r="HC120" s="157"/>
      <c r="HD120" s="157"/>
      <c r="HE120" s="157"/>
      <c r="HF120" s="157"/>
      <c r="HG120" s="157"/>
      <c r="HH120" s="157"/>
      <c r="HI120" s="157"/>
      <c r="HJ120" s="157"/>
      <c r="HK120" s="157"/>
      <c r="HL120" s="157"/>
      <c r="HM120" s="157"/>
      <c r="HN120" s="157"/>
      <c r="HO120" s="157"/>
      <c r="HP120" s="157"/>
      <c r="HQ120" s="157"/>
      <c r="HR120" s="157"/>
      <c r="HS120" s="157"/>
      <c r="HT120" s="157"/>
      <c r="HU120" s="157"/>
      <c r="HV120" s="157"/>
      <c r="HW120" s="157"/>
      <c r="HX120" s="157"/>
      <c r="HY120" s="157"/>
      <c r="HZ120" s="157"/>
      <c r="IA120" s="157"/>
      <c r="IB120" s="157"/>
      <c r="IC120" s="157"/>
      <c r="ID120" s="157"/>
      <c r="IE120" s="157"/>
      <c r="IF120" s="157"/>
      <c r="IG120" s="157"/>
      <c r="IH120" s="157"/>
      <c r="II120" s="157"/>
      <c r="IJ120" s="157"/>
      <c r="IK120" s="157"/>
      <c r="IL120" s="157"/>
      <c r="IM120" s="157"/>
      <c r="IN120" s="157"/>
      <c r="IO120" s="157"/>
      <c r="IP120" s="157"/>
      <c r="IQ120" s="157"/>
      <c r="IR120" s="157"/>
      <c r="IS120" s="157"/>
      <c r="IT120" s="157"/>
      <c r="IU120" s="157"/>
      <c r="IV120" s="157"/>
      <c r="IW120" s="157"/>
      <c r="IX120" s="157"/>
      <c r="IY120" s="157"/>
      <c r="IZ120" s="157"/>
      <c r="JA120" s="157"/>
      <c r="JB120" s="157"/>
      <c r="JC120" s="157"/>
      <c r="JD120" s="157"/>
      <c r="JE120" s="157"/>
      <c r="JF120" s="157"/>
      <c r="JG120" s="157"/>
      <c r="JH120" s="157"/>
      <c r="JI120" s="157"/>
      <c r="JJ120" s="157"/>
      <c r="JK120" s="157"/>
      <c r="JL120" s="157"/>
      <c r="JM120" s="157"/>
      <c r="JN120" s="157"/>
      <c r="JO120" s="157"/>
      <c r="JP120" s="157"/>
      <c r="JQ120" s="157"/>
      <c r="JR120" s="157"/>
      <c r="JS120" s="157"/>
      <c r="JT120" s="157"/>
      <c r="JU120" s="157"/>
      <c r="JV120" s="157"/>
      <c r="JW120" s="157"/>
      <c r="JX120" s="157"/>
      <c r="JY120" s="157"/>
      <c r="JZ120" s="157"/>
      <c r="KA120" s="157"/>
      <c r="KB120" s="157"/>
      <c r="KC120" s="157"/>
      <c r="KD120" s="157"/>
      <c r="KE120" s="157"/>
      <c r="KF120" s="157"/>
      <c r="KG120" s="157"/>
      <c r="KH120" s="157"/>
      <c r="KI120" s="157"/>
      <c r="KJ120" s="157"/>
      <c r="KK120" s="157"/>
    </row>
    <row r="121" spans="1:297" x14ac:dyDescent="0.2">
      <c r="A121" s="157"/>
      <c r="B121" s="157"/>
      <c r="C121" s="157"/>
      <c r="D121" s="157"/>
      <c r="E121" s="157"/>
      <c r="F121" s="157"/>
      <c r="G121" s="157"/>
      <c r="H121" s="157"/>
      <c r="I121" s="157"/>
      <c r="J121" s="157"/>
      <c r="K121" s="157"/>
      <c r="L121" s="157"/>
      <c r="M121" s="157"/>
      <c r="N121" s="198"/>
      <c r="O121" s="157"/>
      <c r="P121" s="157"/>
    </row>
    <row r="122" spans="1:297" x14ac:dyDescent="0.2">
      <c r="A122" s="157"/>
      <c r="B122" s="157"/>
      <c r="C122" s="157"/>
      <c r="D122" s="157"/>
      <c r="E122" s="157"/>
      <c r="F122" s="157"/>
      <c r="G122" s="157"/>
      <c r="H122" s="157"/>
      <c r="I122" s="157"/>
      <c r="J122" s="157"/>
      <c r="K122" s="157"/>
      <c r="L122" s="157"/>
      <c r="M122" s="157"/>
      <c r="N122" s="198"/>
      <c r="O122" s="157"/>
      <c r="P122" s="157"/>
    </row>
    <row r="123" spans="1:297" x14ac:dyDescent="0.2">
      <c r="A123" s="157"/>
      <c r="B123" s="157"/>
      <c r="C123" s="157"/>
      <c r="D123" s="157"/>
      <c r="E123" s="157"/>
      <c r="F123" s="157"/>
      <c r="G123" s="157"/>
      <c r="H123" s="157"/>
      <c r="I123" s="157"/>
      <c r="J123" s="157"/>
      <c r="K123" s="157"/>
      <c r="L123" s="157"/>
      <c r="M123" s="157"/>
      <c r="N123" s="198"/>
      <c r="O123" s="157"/>
      <c r="P123" s="157"/>
    </row>
    <row r="124" spans="1:297" x14ac:dyDescent="0.2">
      <c r="A124" s="157"/>
      <c r="B124" s="157"/>
      <c r="C124" s="157"/>
      <c r="D124" s="157"/>
      <c r="E124" s="157"/>
      <c r="F124" s="157"/>
      <c r="G124" s="157"/>
      <c r="H124" s="157"/>
      <c r="I124" s="157"/>
      <c r="J124" s="157"/>
      <c r="K124" s="157"/>
      <c r="L124" s="157"/>
      <c r="M124" s="157"/>
      <c r="N124" s="198"/>
      <c r="O124" s="157"/>
      <c r="P124" s="157"/>
    </row>
    <row r="125" spans="1:297" x14ac:dyDescent="0.2">
      <c r="A125" s="157"/>
      <c r="B125" s="157"/>
      <c r="C125" s="157"/>
      <c r="D125" s="157"/>
      <c r="E125" s="157"/>
      <c r="F125" s="157"/>
      <c r="G125" s="157"/>
      <c r="H125" s="157"/>
      <c r="I125" s="157"/>
      <c r="J125" s="157"/>
      <c r="K125" s="157"/>
      <c r="L125" s="157"/>
      <c r="M125" s="157"/>
      <c r="N125" s="198"/>
      <c r="O125" s="157"/>
      <c r="P125" s="157"/>
    </row>
    <row r="126" spans="1:297" x14ac:dyDescent="0.2">
      <c r="A126" s="157"/>
      <c r="B126" s="157"/>
      <c r="C126" s="157"/>
      <c r="D126" s="157"/>
      <c r="E126" s="157"/>
      <c r="F126" s="157"/>
      <c r="G126" s="157"/>
      <c r="H126" s="157"/>
      <c r="I126" s="157"/>
      <c r="J126" s="157"/>
      <c r="K126" s="157"/>
      <c r="L126" s="157"/>
      <c r="M126" s="157"/>
      <c r="N126" s="198"/>
      <c r="O126" s="157"/>
      <c r="P126" s="157"/>
    </row>
    <row r="127" spans="1:297" x14ac:dyDescent="0.2">
      <c r="A127" s="157"/>
      <c r="B127" s="157"/>
      <c r="C127" s="157"/>
      <c r="D127" s="157"/>
      <c r="E127" s="157"/>
      <c r="F127" s="157"/>
      <c r="G127" s="157"/>
      <c r="H127" s="157"/>
      <c r="I127" s="157"/>
      <c r="J127" s="157"/>
      <c r="K127" s="157"/>
      <c r="L127" s="157"/>
      <c r="M127" s="157"/>
      <c r="N127" s="198"/>
      <c r="O127" s="157"/>
      <c r="P127" s="157"/>
    </row>
    <row r="128" spans="1:297" x14ac:dyDescent="0.2">
      <c r="A128" s="157"/>
      <c r="B128" s="157"/>
      <c r="C128" s="157"/>
      <c r="D128" s="157"/>
      <c r="E128" s="157"/>
      <c r="F128" s="157"/>
      <c r="G128" s="157"/>
      <c r="H128" s="157"/>
      <c r="I128" s="157"/>
      <c r="J128" s="157"/>
      <c r="K128" s="157"/>
      <c r="L128" s="157"/>
      <c r="M128" s="157"/>
      <c r="N128" s="198"/>
      <c r="O128" s="157"/>
      <c r="P128" s="157"/>
    </row>
    <row r="129" spans="1:16" x14ac:dyDescent="0.2">
      <c r="A129" s="157"/>
      <c r="B129" s="157"/>
      <c r="C129" s="157"/>
      <c r="D129" s="157"/>
      <c r="E129" s="157"/>
      <c r="F129" s="157"/>
      <c r="G129" s="157"/>
      <c r="H129" s="157"/>
      <c r="I129" s="157"/>
      <c r="J129" s="157"/>
      <c r="K129" s="157"/>
      <c r="L129" s="157"/>
      <c r="M129" s="157"/>
      <c r="N129" s="198"/>
      <c r="O129" s="157"/>
      <c r="P129" s="157"/>
    </row>
    <row r="130" spans="1:16" x14ac:dyDescent="0.2">
      <c r="A130" s="157"/>
      <c r="B130" s="157"/>
      <c r="C130" s="157"/>
      <c r="D130" s="157"/>
      <c r="E130" s="157"/>
      <c r="F130" s="157"/>
      <c r="G130" s="157"/>
      <c r="H130" s="157"/>
      <c r="I130" s="157"/>
      <c r="J130" s="157"/>
      <c r="K130" s="157"/>
      <c r="L130" s="157"/>
      <c r="M130" s="157"/>
      <c r="N130" s="198"/>
      <c r="O130" s="157"/>
      <c r="P130" s="157"/>
    </row>
    <row r="131" spans="1:16" x14ac:dyDescent="0.2">
      <c r="A131" s="157"/>
      <c r="B131" s="157"/>
      <c r="C131" s="157"/>
      <c r="D131" s="157"/>
      <c r="E131" s="157"/>
      <c r="F131" s="157"/>
      <c r="G131" s="157"/>
      <c r="H131" s="157"/>
      <c r="I131" s="157"/>
      <c r="J131" s="157"/>
      <c r="K131" s="157"/>
      <c r="L131" s="157"/>
      <c r="M131" s="157"/>
      <c r="N131" s="198"/>
      <c r="O131" s="157"/>
      <c r="P131" s="157"/>
    </row>
    <row r="132" spans="1:16" x14ac:dyDescent="0.2">
      <c r="A132" s="157"/>
      <c r="B132" s="157"/>
      <c r="C132" s="157"/>
      <c r="D132" s="157"/>
      <c r="E132" s="157"/>
      <c r="F132" s="157"/>
      <c r="G132" s="157"/>
      <c r="H132" s="157"/>
      <c r="I132" s="157"/>
      <c r="J132" s="157"/>
      <c r="K132" s="157"/>
      <c r="L132" s="157"/>
      <c r="M132" s="157"/>
      <c r="N132" s="198"/>
      <c r="O132" s="157"/>
      <c r="P132" s="157"/>
    </row>
    <row r="133" spans="1:16" x14ac:dyDescent="0.2">
      <c r="A133" s="157"/>
      <c r="B133" s="157"/>
      <c r="C133" s="157"/>
      <c r="D133" s="157"/>
      <c r="E133" s="157"/>
      <c r="F133" s="157"/>
      <c r="G133" s="157"/>
      <c r="H133" s="157"/>
      <c r="I133" s="157"/>
      <c r="J133" s="157"/>
      <c r="K133" s="157"/>
      <c r="L133" s="157"/>
      <c r="M133" s="157"/>
      <c r="N133" s="198"/>
      <c r="O133" s="157"/>
      <c r="P133" s="157"/>
    </row>
    <row r="134" spans="1:16" x14ac:dyDescent="0.2">
      <c r="A134" s="157"/>
      <c r="B134" s="157"/>
      <c r="C134" s="157"/>
      <c r="D134" s="157"/>
      <c r="E134" s="157"/>
      <c r="F134" s="157"/>
      <c r="G134" s="157"/>
      <c r="H134" s="157"/>
      <c r="I134" s="157"/>
      <c r="J134" s="157"/>
      <c r="K134" s="157"/>
      <c r="L134" s="157"/>
      <c r="M134" s="157"/>
      <c r="N134" s="198"/>
      <c r="O134" s="157"/>
      <c r="P134" s="157"/>
    </row>
    <row r="135" spans="1:16" x14ac:dyDescent="0.2">
      <c r="A135" s="157"/>
      <c r="B135" s="157"/>
      <c r="C135" s="157"/>
      <c r="D135" s="157"/>
      <c r="E135" s="157"/>
      <c r="F135" s="157"/>
      <c r="G135" s="157"/>
      <c r="H135" s="157"/>
      <c r="I135" s="157"/>
      <c r="J135" s="157"/>
      <c r="K135" s="157"/>
      <c r="L135" s="157"/>
      <c r="M135" s="157"/>
      <c r="N135" s="198"/>
      <c r="O135" s="157"/>
      <c r="P135" s="157"/>
    </row>
    <row r="136" spans="1:16" x14ac:dyDescent="0.2">
      <c r="A136" s="157"/>
      <c r="B136" s="157"/>
      <c r="C136" s="157"/>
      <c r="D136" s="157"/>
      <c r="E136" s="157"/>
      <c r="F136" s="157"/>
      <c r="G136" s="157"/>
      <c r="H136" s="157"/>
      <c r="I136" s="157"/>
      <c r="J136" s="157"/>
      <c r="K136" s="157"/>
      <c r="L136" s="157"/>
      <c r="M136" s="157"/>
      <c r="N136" s="198"/>
      <c r="O136" s="157"/>
      <c r="P136" s="157"/>
    </row>
    <row r="137" spans="1:16" x14ac:dyDescent="0.2">
      <c r="A137" s="157"/>
      <c r="B137" s="157"/>
      <c r="C137" s="157"/>
      <c r="D137" s="157"/>
      <c r="E137" s="157"/>
      <c r="F137" s="157"/>
      <c r="G137" s="157"/>
      <c r="H137" s="157"/>
      <c r="I137" s="157"/>
      <c r="J137" s="157"/>
      <c r="K137" s="157"/>
      <c r="L137" s="157"/>
      <c r="M137" s="157"/>
      <c r="N137" s="198"/>
      <c r="O137" s="157"/>
      <c r="P137" s="157"/>
    </row>
    <row r="138" spans="1:16" x14ac:dyDescent="0.2">
      <c r="A138" s="157"/>
      <c r="B138" s="157"/>
      <c r="C138" s="157"/>
      <c r="D138" s="157"/>
      <c r="E138" s="157"/>
      <c r="F138" s="157"/>
      <c r="G138" s="157"/>
      <c r="H138" s="157"/>
      <c r="I138" s="157"/>
      <c r="J138" s="157"/>
      <c r="K138" s="157"/>
      <c r="L138" s="157"/>
      <c r="M138" s="157"/>
      <c r="N138" s="198"/>
      <c r="O138" s="157"/>
      <c r="P138" s="157"/>
    </row>
    <row r="139" spans="1:16" x14ac:dyDescent="0.2">
      <c r="A139" s="157"/>
      <c r="B139" s="157"/>
      <c r="C139" s="157"/>
      <c r="D139" s="157"/>
      <c r="E139" s="157"/>
      <c r="F139" s="157"/>
      <c r="G139" s="157"/>
      <c r="H139" s="157"/>
      <c r="I139" s="157"/>
      <c r="J139" s="157"/>
      <c r="K139" s="157"/>
      <c r="L139" s="157"/>
      <c r="M139" s="157"/>
      <c r="N139" s="198"/>
      <c r="O139" s="157"/>
      <c r="P139" s="157"/>
    </row>
    <row r="140" spans="1:16" x14ac:dyDescent="0.2">
      <c r="A140" s="157"/>
      <c r="B140" s="157"/>
      <c r="C140" s="157"/>
      <c r="D140" s="157"/>
      <c r="E140" s="157"/>
      <c r="F140" s="157"/>
      <c r="G140" s="157"/>
      <c r="H140" s="157"/>
      <c r="I140" s="157"/>
      <c r="J140" s="157"/>
      <c r="K140" s="157"/>
      <c r="L140" s="157"/>
      <c r="M140" s="157"/>
      <c r="N140" s="198"/>
      <c r="O140" s="157"/>
      <c r="P140" s="157"/>
    </row>
    <row r="141" spans="1:16" x14ac:dyDescent="0.2">
      <c r="A141" s="157"/>
      <c r="B141" s="157"/>
      <c r="C141" s="157"/>
      <c r="D141" s="157"/>
      <c r="E141" s="157"/>
      <c r="F141" s="157"/>
      <c r="G141" s="157"/>
      <c r="H141" s="157"/>
      <c r="I141" s="157"/>
      <c r="J141" s="157"/>
      <c r="K141" s="157"/>
      <c r="L141" s="157"/>
      <c r="M141" s="157"/>
      <c r="N141" s="198"/>
      <c r="O141" s="157"/>
      <c r="P141" s="157"/>
    </row>
    <row r="142" spans="1:16" x14ac:dyDescent="0.2">
      <c r="A142" s="157"/>
      <c r="B142" s="157"/>
      <c r="C142" s="157"/>
      <c r="D142" s="157"/>
      <c r="E142" s="157"/>
      <c r="F142" s="157"/>
      <c r="G142" s="157"/>
      <c r="H142" s="157"/>
      <c r="I142" s="157"/>
      <c r="J142" s="157"/>
      <c r="K142" s="157"/>
      <c r="L142" s="157"/>
      <c r="M142" s="157"/>
      <c r="N142" s="198"/>
      <c r="O142" s="157"/>
      <c r="P142" s="157"/>
    </row>
    <row r="143" spans="1:16" x14ac:dyDescent="0.2">
      <c r="A143" s="157"/>
      <c r="B143" s="157"/>
      <c r="C143" s="157"/>
      <c r="D143" s="157"/>
      <c r="E143" s="157"/>
      <c r="F143" s="157"/>
      <c r="G143" s="157"/>
      <c r="H143" s="157"/>
      <c r="I143" s="157"/>
      <c r="J143" s="157"/>
      <c r="K143" s="157"/>
      <c r="L143" s="157"/>
      <c r="M143" s="157"/>
      <c r="N143" s="198"/>
      <c r="O143" s="157"/>
      <c r="P143" s="157"/>
    </row>
    <row r="144" spans="1:16" x14ac:dyDescent="0.2">
      <c r="A144" s="157"/>
      <c r="B144" s="157"/>
      <c r="C144" s="157"/>
      <c r="D144" s="157"/>
      <c r="E144" s="157"/>
      <c r="F144" s="157"/>
      <c r="G144" s="157"/>
      <c r="H144" s="157"/>
      <c r="I144" s="157"/>
      <c r="J144" s="157"/>
      <c r="K144" s="157"/>
      <c r="L144" s="157"/>
      <c r="M144" s="157"/>
      <c r="N144" s="198"/>
      <c r="O144" s="157"/>
      <c r="P144" s="157"/>
    </row>
    <row r="145" spans="1:16" x14ac:dyDescent="0.2">
      <c r="A145" s="157"/>
      <c r="B145" s="157"/>
      <c r="C145" s="157"/>
      <c r="D145" s="157"/>
      <c r="E145" s="157"/>
      <c r="F145" s="157"/>
      <c r="G145" s="157"/>
      <c r="H145" s="157"/>
      <c r="I145" s="157"/>
      <c r="J145" s="157"/>
      <c r="K145" s="157"/>
      <c r="L145" s="157"/>
      <c r="M145" s="157"/>
      <c r="N145" s="198"/>
      <c r="O145" s="157"/>
      <c r="P145" s="157"/>
    </row>
    <row r="146" spans="1:16" x14ac:dyDescent="0.2">
      <c r="A146" s="157"/>
      <c r="B146" s="157"/>
      <c r="C146" s="157"/>
      <c r="D146" s="157"/>
      <c r="E146" s="157"/>
      <c r="F146" s="157"/>
      <c r="G146" s="157"/>
      <c r="H146" s="157"/>
      <c r="I146" s="157"/>
      <c r="J146" s="157"/>
      <c r="K146" s="157"/>
      <c r="L146" s="157"/>
      <c r="M146" s="157"/>
      <c r="N146" s="198"/>
      <c r="O146" s="157"/>
      <c r="P146" s="157"/>
    </row>
    <row r="147" spans="1:16" x14ac:dyDescent="0.2">
      <c r="A147" s="157"/>
      <c r="B147" s="157"/>
      <c r="C147" s="157"/>
      <c r="D147" s="157"/>
      <c r="E147" s="157"/>
      <c r="F147" s="157"/>
      <c r="G147" s="157"/>
      <c r="H147" s="157"/>
      <c r="I147" s="157"/>
      <c r="J147" s="157"/>
      <c r="K147" s="157"/>
      <c r="L147" s="157"/>
      <c r="M147" s="157"/>
      <c r="N147" s="198"/>
      <c r="O147" s="157"/>
      <c r="P147" s="157"/>
    </row>
    <row r="148" spans="1:16" x14ac:dyDescent="0.2">
      <c r="A148" s="157"/>
      <c r="B148" s="157"/>
      <c r="C148" s="157"/>
      <c r="D148" s="157"/>
      <c r="E148" s="157"/>
      <c r="F148" s="157"/>
      <c r="G148" s="157"/>
      <c r="H148" s="157"/>
      <c r="I148" s="157"/>
      <c r="J148" s="157"/>
      <c r="K148" s="157"/>
      <c r="L148" s="157"/>
      <c r="M148" s="157"/>
      <c r="N148" s="198"/>
      <c r="O148" s="157"/>
      <c r="P148" s="157"/>
    </row>
    <row r="149" spans="1:16" x14ac:dyDescent="0.2">
      <c r="A149" s="157"/>
      <c r="B149" s="157"/>
      <c r="C149" s="157"/>
      <c r="D149" s="157"/>
      <c r="E149" s="157"/>
      <c r="F149" s="157"/>
      <c r="G149" s="157"/>
      <c r="H149" s="157"/>
      <c r="I149" s="157"/>
      <c r="J149" s="157"/>
      <c r="K149" s="157"/>
      <c r="L149" s="157"/>
      <c r="M149" s="157"/>
      <c r="N149" s="198"/>
      <c r="O149" s="157"/>
      <c r="P149" s="157"/>
    </row>
    <row r="150" spans="1:16" x14ac:dyDescent="0.2">
      <c r="A150" s="157"/>
      <c r="B150" s="157"/>
      <c r="C150" s="157"/>
      <c r="D150" s="157"/>
      <c r="E150" s="157"/>
      <c r="F150" s="157"/>
      <c r="G150" s="157"/>
      <c r="H150" s="157"/>
      <c r="I150" s="157"/>
      <c r="J150" s="157"/>
      <c r="K150" s="157"/>
      <c r="L150" s="157"/>
      <c r="M150" s="157"/>
      <c r="N150" s="198"/>
      <c r="O150" s="157"/>
      <c r="P150" s="157"/>
    </row>
    <row r="151" spans="1:16" x14ac:dyDescent="0.2">
      <c r="A151" s="157"/>
      <c r="B151" s="157"/>
      <c r="C151" s="157"/>
      <c r="D151" s="157"/>
      <c r="E151" s="157"/>
      <c r="F151" s="157"/>
      <c r="G151" s="157"/>
      <c r="H151" s="157"/>
      <c r="I151" s="157"/>
      <c r="J151" s="157"/>
      <c r="K151" s="157"/>
      <c r="L151" s="157"/>
      <c r="M151" s="157"/>
      <c r="N151" s="198"/>
      <c r="O151" s="157"/>
      <c r="P151" s="157"/>
    </row>
    <row r="152" spans="1:16" x14ac:dyDescent="0.2">
      <c r="A152" s="157"/>
      <c r="B152" s="157"/>
      <c r="C152" s="157"/>
      <c r="D152" s="157"/>
      <c r="E152" s="157"/>
      <c r="F152" s="157"/>
      <c r="G152" s="157"/>
      <c r="H152" s="157"/>
      <c r="I152" s="157"/>
      <c r="J152" s="157"/>
      <c r="K152" s="157"/>
      <c r="L152" s="157"/>
      <c r="M152" s="157"/>
      <c r="N152" s="198"/>
      <c r="O152" s="157"/>
      <c r="P152" s="157"/>
    </row>
    <row r="153" spans="1:16" x14ac:dyDescent="0.2">
      <c r="A153" s="157"/>
      <c r="B153" s="157"/>
      <c r="C153" s="157"/>
      <c r="D153" s="157"/>
      <c r="E153" s="157"/>
      <c r="F153" s="157"/>
      <c r="G153" s="157"/>
      <c r="H153" s="157"/>
      <c r="I153" s="157"/>
      <c r="J153" s="157"/>
      <c r="K153" s="157"/>
      <c r="L153" s="157"/>
      <c r="M153" s="157"/>
      <c r="N153" s="198"/>
      <c r="O153" s="157"/>
      <c r="P153" s="157"/>
    </row>
    <row r="154" spans="1:16" x14ac:dyDescent="0.2">
      <c r="A154" s="157"/>
      <c r="B154" s="157"/>
      <c r="C154" s="157"/>
      <c r="D154" s="157"/>
      <c r="E154" s="157"/>
      <c r="F154" s="157"/>
      <c r="G154" s="157"/>
      <c r="H154" s="157"/>
      <c r="I154" s="157"/>
      <c r="J154" s="157"/>
      <c r="K154" s="157"/>
      <c r="L154" s="157"/>
      <c r="M154" s="157"/>
      <c r="N154" s="198"/>
      <c r="O154" s="157"/>
      <c r="P154" s="157"/>
    </row>
    <row r="155" spans="1:16" x14ac:dyDescent="0.2">
      <c r="A155" s="157"/>
      <c r="B155" s="157"/>
      <c r="C155" s="157"/>
      <c r="D155" s="157"/>
      <c r="E155" s="157"/>
      <c r="F155" s="157"/>
      <c r="G155" s="157"/>
      <c r="H155" s="157"/>
      <c r="I155" s="157"/>
      <c r="J155" s="157"/>
      <c r="K155" s="157"/>
      <c r="L155" s="157"/>
      <c r="M155" s="157"/>
      <c r="N155" s="198"/>
      <c r="O155" s="157"/>
      <c r="P155" s="157"/>
    </row>
    <row r="156" spans="1:16" x14ac:dyDescent="0.2">
      <c r="A156" s="157"/>
      <c r="B156" s="157"/>
      <c r="C156" s="157"/>
      <c r="D156" s="157"/>
      <c r="E156" s="157"/>
      <c r="F156" s="157"/>
      <c r="G156" s="157"/>
      <c r="H156" s="157"/>
      <c r="I156" s="157"/>
      <c r="J156" s="157"/>
      <c r="K156" s="157"/>
      <c r="L156" s="157"/>
      <c r="M156" s="157"/>
      <c r="N156" s="198"/>
      <c r="O156" s="157"/>
      <c r="P156" s="157"/>
    </row>
    <row r="157" spans="1:16" x14ac:dyDescent="0.2">
      <c r="A157" s="157"/>
      <c r="B157" s="157"/>
      <c r="C157" s="157"/>
      <c r="D157" s="157"/>
      <c r="E157" s="157"/>
      <c r="F157" s="157"/>
      <c r="G157" s="157"/>
      <c r="H157" s="157"/>
      <c r="I157" s="157"/>
      <c r="J157" s="157"/>
      <c r="K157" s="157"/>
      <c r="L157" s="157"/>
      <c r="M157" s="157"/>
      <c r="N157" s="198"/>
      <c r="O157" s="157"/>
      <c r="P157" s="157"/>
    </row>
    <row r="158" spans="1:16" x14ac:dyDescent="0.2">
      <c r="A158" s="157"/>
      <c r="B158" s="157"/>
      <c r="C158" s="157"/>
      <c r="D158" s="157"/>
      <c r="E158" s="157"/>
      <c r="F158" s="157"/>
      <c r="G158" s="157"/>
      <c r="H158" s="157"/>
      <c r="I158" s="157"/>
      <c r="J158" s="157"/>
      <c r="K158" s="157"/>
      <c r="L158" s="157"/>
      <c r="M158" s="157"/>
      <c r="N158" s="198"/>
      <c r="O158" s="157"/>
      <c r="P158" s="157"/>
    </row>
    <row r="159" spans="1:16" x14ac:dyDescent="0.2">
      <c r="A159" s="157"/>
      <c r="B159" s="157"/>
      <c r="C159" s="157"/>
      <c r="D159" s="157"/>
      <c r="E159" s="157"/>
      <c r="F159" s="157"/>
      <c r="G159" s="157"/>
      <c r="H159" s="157"/>
      <c r="I159" s="157"/>
      <c r="J159" s="157"/>
      <c r="K159" s="157"/>
      <c r="L159" s="157"/>
      <c r="M159" s="157"/>
      <c r="N159" s="198"/>
      <c r="O159" s="157"/>
      <c r="P159" s="157"/>
    </row>
    <row r="160" spans="1:16" x14ac:dyDescent="0.2">
      <c r="A160" s="157"/>
      <c r="B160" s="157"/>
      <c r="C160" s="157"/>
      <c r="D160" s="157"/>
      <c r="E160" s="157"/>
      <c r="F160" s="157"/>
      <c r="G160" s="157"/>
      <c r="H160" s="157"/>
      <c r="I160" s="157"/>
      <c r="J160" s="157"/>
      <c r="K160" s="157"/>
      <c r="L160" s="157"/>
      <c r="M160" s="157"/>
      <c r="N160" s="198"/>
      <c r="O160" s="157"/>
      <c r="P160" s="157"/>
    </row>
    <row r="161" spans="1:16" x14ac:dyDescent="0.2">
      <c r="A161" s="157"/>
      <c r="B161" s="157"/>
      <c r="C161" s="157"/>
      <c r="D161" s="157"/>
      <c r="E161" s="157"/>
      <c r="F161" s="157"/>
      <c r="G161" s="157"/>
      <c r="H161" s="157"/>
      <c r="I161" s="157"/>
      <c r="J161" s="157"/>
      <c r="K161" s="157"/>
      <c r="L161" s="157"/>
      <c r="M161" s="157"/>
      <c r="N161" s="198"/>
      <c r="O161" s="157"/>
      <c r="P161" s="157"/>
    </row>
    <row r="162" spans="1:16" x14ac:dyDescent="0.2">
      <c r="A162" s="157"/>
      <c r="B162" s="157"/>
      <c r="C162" s="157"/>
      <c r="D162" s="157"/>
      <c r="E162" s="157"/>
      <c r="F162" s="157"/>
      <c r="G162" s="157"/>
      <c r="H162" s="157"/>
      <c r="I162" s="157"/>
      <c r="J162" s="157"/>
      <c r="K162" s="157"/>
      <c r="L162" s="157"/>
      <c r="M162" s="157"/>
      <c r="N162" s="198"/>
      <c r="O162" s="157"/>
      <c r="P162" s="157"/>
    </row>
    <row r="163" spans="1:16" x14ac:dyDescent="0.2">
      <c r="A163" s="157"/>
      <c r="B163" s="157"/>
      <c r="C163" s="157"/>
      <c r="D163" s="157"/>
      <c r="E163" s="157"/>
      <c r="F163" s="157"/>
      <c r="G163" s="157"/>
      <c r="H163" s="157"/>
      <c r="I163" s="157"/>
      <c r="J163" s="157"/>
      <c r="K163" s="157"/>
      <c r="L163" s="157"/>
      <c r="M163" s="157"/>
      <c r="N163" s="198"/>
      <c r="O163" s="157"/>
      <c r="P163" s="157"/>
    </row>
    <row r="164" spans="1:16" x14ac:dyDescent="0.2">
      <c r="A164" s="157"/>
      <c r="B164" s="157"/>
      <c r="C164" s="157"/>
      <c r="D164" s="157"/>
      <c r="E164" s="157"/>
      <c r="F164" s="157"/>
      <c r="G164" s="157"/>
      <c r="H164" s="157"/>
      <c r="I164" s="157"/>
      <c r="J164" s="157"/>
      <c r="K164" s="157"/>
      <c r="L164" s="157"/>
      <c r="M164" s="157"/>
      <c r="N164" s="198"/>
      <c r="O164" s="157"/>
      <c r="P164" s="157"/>
    </row>
    <row r="165" spans="1:16" x14ac:dyDescent="0.2">
      <c r="A165" s="157"/>
      <c r="B165" s="157"/>
      <c r="C165" s="157"/>
      <c r="D165" s="157"/>
      <c r="E165" s="157"/>
      <c r="F165" s="157"/>
      <c r="G165" s="157"/>
      <c r="H165" s="157"/>
      <c r="I165" s="157"/>
      <c r="J165" s="157"/>
      <c r="K165" s="157"/>
      <c r="L165" s="157"/>
      <c r="M165" s="157"/>
      <c r="N165" s="198"/>
      <c r="O165" s="157"/>
      <c r="P165" s="157"/>
    </row>
    <row r="166" spans="1:16" x14ac:dyDescent="0.2">
      <c r="A166" s="157"/>
      <c r="B166" s="157"/>
      <c r="C166" s="157"/>
      <c r="D166" s="157"/>
      <c r="E166" s="157"/>
      <c r="F166" s="157"/>
      <c r="G166" s="157"/>
      <c r="H166" s="157"/>
      <c r="I166" s="157"/>
      <c r="J166" s="157"/>
      <c r="K166" s="157"/>
      <c r="L166" s="157"/>
      <c r="M166" s="157"/>
      <c r="N166" s="198"/>
      <c r="O166" s="157"/>
      <c r="P166" s="157"/>
    </row>
    <row r="167" spans="1:16" x14ac:dyDescent="0.2">
      <c r="A167" s="157"/>
      <c r="B167" s="157"/>
      <c r="C167" s="157"/>
      <c r="D167" s="157"/>
      <c r="E167" s="157"/>
      <c r="F167" s="157"/>
      <c r="G167" s="157"/>
      <c r="H167" s="157"/>
      <c r="I167" s="157"/>
      <c r="J167" s="157"/>
      <c r="K167" s="157"/>
      <c r="L167" s="157"/>
      <c r="M167" s="157"/>
      <c r="N167" s="198"/>
      <c r="O167" s="157"/>
      <c r="P167" s="157"/>
    </row>
    <row r="168" spans="1:16" x14ac:dyDescent="0.2">
      <c r="A168" s="157"/>
      <c r="B168" s="157"/>
      <c r="C168" s="157"/>
      <c r="D168" s="157"/>
      <c r="E168" s="157"/>
      <c r="F168" s="157"/>
      <c r="G168" s="157"/>
      <c r="H168" s="157"/>
      <c r="I168" s="157"/>
      <c r="J168" s="157"/>
      <c r="K168" s="157"/>
      <c r="L168" s="157"/>
      <c r="M168" s="157"/>
      <c r="N168" s="198"/>
      <c r="O168" s="157"/>
      <c r="P168" s="157"/>
    </row>
    <row r="169" spans="1:16" x14ac:dyDescent="0.2">
      <c r="A169" s="157"/>
      <c r="B169" s="157"/>
      <c r="C169" s="157"/>
      <c r="D169" s="157"/>
      <c r="E169" s="157"/>
      <c r="F169" s="157"/>
      <c r="G169" s="157"/>
      <c r="H169" s="157"/>
      <c r="I169" s="157"/>
      <c r="J169" s="157"/>
      <c r="K169" s="157"/>
      <c r="L169" s="157"/>
      <c r="M169" s="157"/>
      <c r="N169" s="198"/>
      <c r="O169" s="157"/>
      <c r="P169" s="157"/>
    </row>
    <row r="170" spans="1:16" x14ac:dyDescent="0.2">
      <c r="A170" s="157"/>
      <c r="B170" s="157"/>
      <c r="C170" s="157"/>
      <c r="D170" s="157"/>
      <c r="E170" s="157"/>
      <c r="F170" s="157"/>
      <c r="G170" s="157"/>
      <c r="H170" s="157"/>
      <c r="I170" s="157"/>
      <c r="J170" s="157"/>
      <c r="K170" s="157"/>
      <c r="L170" s="157"/>
      <c r="M170" s="157"/>
      <c r="N170" s="198"/>
      <c r="O170" s="157"/>
      <c r="P170" s="157"/>
    </row>
    <row r="171" spans="1:16" x14ac:dyDescent="0.2">
      <c r="A171" s="157"/>
      <c r="B171" s="157"/>
      <c r="C171" s="157"/>
      <c r="D171" s="157"/>
      <c r="E171" s="157"/>
      <c r="F171" s="157"/>
      <c r="G171" s="157"/>
      <c r="H171" s="157"/>
      <c r="I171" s="157"/>
      <c r="J171" s="157"/>
      <c r="K171" s="157"/>
      <c r="L171" s="157"/>
      <c r="M171" s="157"/>
      <c r="N171" s="198"/>
      <c r="O171" s="157"/>
      <c r="P171" s="157"/>
    </row>
    <row r="172" spans="1:16" x14ac:dyDescent="0.2">
      <c r="A172" s="157"/>
      <c r="B172" s="157"/>
      <c r="C172" s="157"/>
      <c r="D172" s="157"/>
      <c r="E172" s="157"/>
      <c r="F172" s="157"/>
      <c r="G172" s="157"/>
      <c r="H172" s="157"/>
      <c r="I172" s="157"/>
      <c r="J172" s="157"/>
      <c r="K172" s="157"/>
      <c r="L172" s="157"/>
      <c r="M172" s="157"/>
      <c r="N172" s="198"/>
      <c r="O172" s="157"/>
      <c r="P172" s="157"/>
    </row>
    <row r="173" spans="1:16" x14ac:dyDescent="0.2">
      <c r="A173" s="157"/>
      <c r="B173" s="157"/>
      <c r="C173" s="157"/>
      <c r="D173" s="157"/>
      <c r="E173" s="157"/>
      <c r="F173" s="157"/>
      <c r="G173" s="157"/>
      <c r="H173" s="157"/>
      <c r="I173" s="157"/>
      <c r="J173" s="157"/>
      <c r="K173" s="157"/>
      <c r="L173" s="157"/>
      <c r="M173" s="157"/>
      <c r="N173" s="198"/>
      <c r="O173" s="157"/>
      <c r="P173" s="157"/>
    </row>
    <row r="174" spans="1:16" x14ac:dyDescent="0.2">
      <c r="A174" s="157"/>
      <c r="B174" s="157"/>
      <c r="C174" s="157"/>
      <c r="D174" s="157"/>
      <c r="E174" s="157"/>
      <c r="F174" s="157"/>
      <c r="G174" s="157"/>
      <c r="H174" s="157"/>
      <c r="I174" s="157"/>
      <c r="J174" s="157"/>
      <c r="K174" s="157"/>
      <c r="L174" s="157"/>
      <c r="M174" s="157"/>
      <c r="N174" s="198"/>
      <c r="O174" s="157"/>
      <c r="P174" s="157"/>
    </row>
    <row r="175" spans="1:16" x14ac:dyDescent="0.2">
      <c r="A175" s="157"/>
      <c r="B175" s="157"/>
      <c r="C175" s="157"/>
      <c r="D175" s="157"/>
      <c r="E175" s="157"/>
      <c r="F175" s="157"/>
      <c r="G175" s="157"/>
      <c r="H175" s="157"/>
      <c r="I175" s="157"/>
      <c r="J175" s="157"/>
      <c r="K175" s="157"/>
      <c r="L175" s="157"/>
      <c r="M175" s="157"/>
      <c r="N175" s="198"/>
      <c r="O175" s="157"/>
      <c r="P175" s="157"/>
    </row>
    <row r="176" spans="1:16" x14ac:dyDescent="0.2">
      <c r="A176" s="157"/>
      <c r="B176" s="157"/>
      <c r="C176" s="157"/>
      <c r="D176" s="157"/>
      <c r="E176" s="157"/>
      <c r="F176" s="157"/>
      <c r="G176" s="157"/>
      <c r="H176" s="157"/>
      <c r="I176" s="157"/>
      <c r="J176" s="157"/>
      <c r="K176" s="157"/>
      <c r="L176" s="157"/>
      <c r="M176" s="157"/>
      <c r="N176" s="198"/>
      <c r="O176" s="157"/>
      <c r="P176" s="157"/>
    </row>
    <row r="177" spans="1:16" x14ac:dyDescent="0.2">
      <c r="A177" s="157"/>
      <c r="B177" s="157"/>
      <c r="C177" s="157"/>
      <c r="D177" s="157"/>
      <c r="E177" s="157"/>
      <c r="F177" s="157"/>
      <c r="G177" s="157"/>
      <c r="H177" s="157"/>
      <c r="I177" s="157"/>
      <c r="J177" s="157"/>
      <c r="K177" s="157"/>
      <c r="L177" s="157"/>
      <c r="M177" s="157"/>
      <c r="N177" s="198"/>
      <c r="O177" s="157"/>
      <c r="P177" s="157"/>
    </row>
    <row r="178" spans="1:16" x14ac:dyDescent="0.2">
      <c r="A178" s="157"/>
      <c r="B178" s="157"/>
      <c r="C178" s="157"/>
      <c r="D178" s="157"/>
      <c r="E178" s="157"/>
      <c r="F178" s="157"/>
      <c r="G178" s="157"/>
      <c r="H178" s="157"/>
      <c r="I178" s="157"/>
      <c r="J178" s="157"/>
      <c r="K178" s="157"/>
      <c r="L178" s="157"/>
      <c r="M178" s="157"/>
      <c r="N178" s="198"/>
      <c r="O178" s="157"/>
      <c r="P178" s="157"/>
    </row>
    <row r="179" spans="1:16" x14ac:dyDescent="0.2">
      <c r="A179" s="157"/>
      <c r="B179" s="157"/>
      <c r="C179" s="157"/>
      <c r="D179" s="157"/>
      <c r="E179" s="157"/>
      <c r="F179" s="157"/>
      <c r="G179" s="157"/>
      <c r="H179" s="157"/>
      <c r="I179" s="157"/>
      <c r="J179" s="157"/>
      <c r="K179" s="157"/>
      <c r="L179" s="157"/>
      <c r="M179" s="157"/>
      <c r="N179" s="198"/>
      <c r="O179" s="157"/>
      <c r="P179" s="157"/>
    </row>
    <row r="180" spans="1:16" x14ac:dyDescent="0.2">
      <c r="A180" s="157"/>
      <c r="B180" s="157"/>
      <c r="C180" s="157"/>
      <c r="D180" s="157"/>
      <c r="E180" s="157"/>
      <c r="F180" s="157"/>
      <c r="G180" s="157"/>
      <c r="H180" s="157"/>
      <c r="I180" s="157"/>
      <c r="J180" s="157"/>
      <c r="K180" s="157"/>
      <c r="L180" s="157"/>
      <c r="M180" s="157"/>
      <c r="N180" s="198"/>
      <c r="O180" s="157"/>
      <c r="P180" s="157"/>
    </row>
    <row r="181" spans="1:16" x14ac:dyDescent="0.2">
      <c r="A181" s="157"/>
      <c r="B181" s="157"/>
      <c r="C181" s="157"/>
      <c r="D181" s="157"/>
      <c r="E181" s="157"/>
      <c r="F181" s="157"/>
      <c r="G181" s="157"/>
      <c r="H181" s="157"/>
      <c r="I181" s="157"/>
      <c r="J181" s="157"/>
      <c r="K181" s="157"/>
      <c r="L181" s="157"/>
      <c r="M181" s="157"/>
      <c r="N181" s="198"/>
      <c r="O181" s="157"/>
      <c r="P181" s="157"/>
    </row>
    <row r="182" spans="1:16" x14ac:dyDescent="0.2">
      <c r="A182" s="157"/>
      <c r="B182" s="157"/>
      <c r="C182" s="157"/>
      <c r="D182" s="157"/>
      <c r="E182" s="157"/>
      <c r="F182" s="157"/>
      <c r="G182" s="157"/>
      <c r="H182" s="157"/>
      <c r="I182" s="157"/>
      <c r="J182" s="157"/>
      <c r="K182" s="157"/>
      <c r="L182" s="157"/>
      <c r="M182" s="157"/>
      <c r="N182" s="198"/>
      <c r="O182" s="157"/>
      <c r="P182" s="157"/>
    </row>
    <row r="183" spans="1:16" x14ac:dyDescent="0.2">
      <c r="A183" s="157"/>
      <c r="B183" s="157"/>
      <c r="C183" s="157"/>
      <c r="D183" s="157"/>
      <c r="E183" s="157"/>
      <c r="F183" s="157"/>
      <c r="G183" s="157"/>
      <c r="H183" s="157"/>
      <c r="I183" s="157"/>
      <c r="J183" s="157"/>
      <c r="K183" s="157"/>
      <c r="L183" s="157"/>
      <c r="M183" s="157"/>
      <c r="N183" s="198"/>
      <c r="O183" s="157"/>
      <c r="P183" s="157"/>
    </row>
    <row r="184" spans="1:16" x14ac:dyDescent="0.2">
      <c r="A184" s="157"/>
      <c r="B184" s="157"/>
      <c r="C184" s="157"/>
      <c r="D184" s="157"/>
      <c r="E184" s="157"/>
      <c r="F184" s="157"/>
      <c r="G184" s="157"/>
      <c r="H184" s="157"/>
      <c r="I184" s="157"/>
      <c r="J184" s="157"/>
      <c r="K184" s="157"/>
      <c r="L184" s="157"/>
      <c r="M184" s="157"/>
      <c r="N184" s="198"/>
      <c r="O184" s="157"/>
      <c r="P184" s="157"/>
    </row>
    <row r="185" spans="1:16" x14ac:dyDescent="0.2">
      <c r="A185" s="157"/>
      <c r="B185" s="157"/>
      <c r="C185" s="157"/>
      <c r="D185" s="157"/>
      <c r="E185" s="157"/>
      <c r="F185" s="157"/>
      <c r="G185" s="157"/>
      <c r="H185" s="157"/>
      <c r="I185" s="157"/>
      <c r="J185" s="157"/>
      <c r="K185" s="157"/>
      <c r="L185" s="157"/>
      <c r="M185" s="157"/>
      <c r="N185" s="198"/>
      <c r="O185" s="157"/>
      <c r="P185" s="157"/>
    </row>
    <row r="186" spans="1:16" x14ac:dyDescent="0.2">
      <c r="A186" s="157"/>
      <c r="B186" s="157"/>
      <c r="C186" s="157"/>
      <c r="D186" s="157"/>
      <c r="E186" s="157"/>
      <c r="F186" s="157"/>
      <c r="G186" s="157"/>
      <c r="H186" s="157"/>
      <c r="I186" s="157"/>
      <c r="J186" s="157"/>
      <c r="K186" s="157"/>
      <c r="L186" s="157"/>
      <c r="M186" s="157"/>
      <c r="N186" s="198"/>
      <c r="O186" s="157"/>
      <c r="P186" s="157"/>
    </row>
    <row r="187" spans="1:16" x14ac:dyDescent="0.2">
      <c r="A187" s="157"/>
      <c r="B187" s="157"/>
      <c r="C187" s="157"/>
      <c r="D187" s="157"/>
      <c r="E187" s="157"/>
      <c r="F187" s="157"/>
      <c r="G187" s="157"/>
      <c r="H187" s="157"/>
      <c r="I187" s="157"/>
      <c r="J187" s="157"/>
      <c r="K187" s="157"/>
      <c r="L187" s="157"/>
      <c r="M187" s="157"/>
      <c r="N187" s="198"/>
      <c r="O187" s="157"/>
      <c r="P187" s="157"/>
    </row>
    <row r="188" spans="1:16" x14ac:dyDescent="0.2">
      <c r="A188" s="157"/>
      <c r="B188" s="157"/>
      <c r="C188" s="157"/>
      <c r="D188" s="157"/>
      <c r="E188" s="157"/>
      <c r="F188" s="157"/>
      <c r="G188" s="157"/>
      <c r="H188" s="157"/>
      <c r="I188" s="157"/>
      <c r="J188" s="157"/>
      <c r="K188" s="157"/>
      <c r="L188" s="157"/>
      <c r="M188" s="157"/>
      <c r="N188" s="198"/>
      <c r="O188" s="157"/>
      <c r="P188" s="157"/>
    </row>
    <row r="189" spans="1:16" x14ac:dyDescent="0.2">
      <c r="A189" s="157"/>
      <c r="B189" s="157"/>
      <c r="C189" s="157"/>
      <c r="D189" s="157"/>
      <c r="E189" s="157"/>
      <c r="F189" s="157"/>
      <c r="G189" s="157"/>
      <c r="H189" s="157"/>
      <c r="I189" s="157"/>
      <c r="J189" s="157"/>
      <c r="K189" s="157"/>
      <c r="L189" s="157"/>
      <c r="M189" s="157"/>
      <c r="N189" s="198"/>
      <c r="O189" s="157"/>
      <c r="P189" s="157"/>
    </row>
    <row r="190" spans="1:16" x14ac:dyDescent="0.2">
      <c r="A190" s="157"/>
      <c r="B190" s="157"/>
      <c r="C190" s="157"/>
      <c r="D190" s="157"/>
      <c r="E190" s="157"/>
      <c r="F190" s="157"/>
      <c r="G190" s="157"/>
      <c r="H190" s="157"/>
      <c r="I190" s="157"/>
      <c r="J190" s="157"/>
      <c r="K190" s="157"/>
      <c r="L190" s="157"/>
      <c r="M190" s="157"/>
      <c r="N190" s="198"/>
      <c r="O190" s="157"/>
      <c r="P190" s="157"/>
    </row>
    <row r="191" spans="1:16" x14ac:dyDescent="0.2">
      <c r="A191" s="157"/>
      <c r="B191" s="157"/>
      <c r="C191" s="157"/>
      <c r="D191" s="157"/>
      <c r="E191" s="157"/>
      <c r="F191" s="157"/>
      <c r="G191" s="157"/>
      <c r="H191" s="157"/>
      <c r="I191" s="157"/>
      <c r="J191" s="157"/>
      <c r="K191" s="157"/>
      <c r="L191" s="157"/>
      <c r="M191" s="157"/>
      <c r="N191" s="198"/>
      <c r="O191" s="157"/>
      <c r="P191" s="157"/>
    </row>
    <row r="192" spans="1:16" x14ac:dyDescent="0.2">
      <c r="A192" s="157"/>
      <c r="B192" s="157"/>
      <c r="C192" s="157"/>
      <c r="D192" s="157"/>
      <c r="E192" s="157"/>
      <c r="F192" s="157"/>
      <c r="G192" s="157"/>
      <c r="H192" s="157"/>
      <c r="I192" s="157"/>
      <c r="J192" s="157"/>
      <c r="K192" s="157"/>
      <c r="L192" s="157"/>
      <c r="M192" s="157"/>
      <c r="N192" s="198"/>
      <c r="O192" s="157"/>
      <c r="P192" s="157"/>
    </row>
    <row r="193" spans="1:16" x14ac:dyDescent="0.2">
      <c r="A193" s="157"/>
      <c r="B193" s="157"/>
      <c r="C193" s="157"/>
      <c r="D193" s="157"/>
      <c r="E193" s="157"/>
      <c r="F193" s="157"/>
      <c r="G193" s="157"/>
      <c r="H193" s="157"/>
      <c r="I193" s="157"/>
      <c r="J193" s="157"/>
      <c r="K193" s="157"/>
      <c r="L193" s="157"/>
      <c r="M193" s="157"/>
      <c r="N193" s="198"/>
      <c r="O193" s="157"/>
      <c r="P193" s="157"/>
    </row>
    <row r="194" spans="1:16" x14ac:dyDescent="0.2">
      <c r="A194" s="157"/>
      <c r="B194" s="157"/>
      <c r="C194" s="157"/>
      <c r="D194" s="157"/>
      <c r="E194" s="157"/>
      <c r="F194" s="157"/>
      <c r="G194" s="157"/>
      <c r="H194" s="157"/>
      <c r="I194" s="157"/>
      <c r="J194" s="157"/>
      <c r="K194" s="157"/>
      <c r="L194" s="157"/>
      <c r="M194" s="157"/>
      <c r="N194" s="198"/>
      <c r="O194" s="157"/>
      <c r="P194" s="157"/>
    </row>
    <row r="195" spans="1:16" x14ac:dyDescent="0.2">
      <c r="A195" s="157"/>
      <c r="B195" s="157"/>
      <c r="C195" s="157"/>
      <c r="D195" s="157"/>
      <c r="E195" s="157"/>
      <c r="F195" s="157"/>
      <c r="G195" s="157"/>
      <c r="H195" s="157"/>
      <c r="I195" s="157"/>
      <c r="J195" s="157"/>
      <c r="K195" s="157"/>
      <c r="L195" s="157"/>
      <c r="M195" s="157"/>
      <c r="N195" s="198"/>
      <c r="O195" s="157"/>
      <c r="P195" s="157"/>
    </row>
    <row r="196" spans="1:16" x14ac:dyDescent="0.2">
      <c r="A196" s="157"/>
      <c r="B196" s="157"/>
      <c r="C196" s="157"/>
      <c r="D196" s="157"/>
      <c r="E196" s="157"/>
      <c r="F196" s="157"/>
      <c r="G196" s="157"/>
      <c r="H196" s="157"/>
      <c r="I196" s="157"/>
      <c r="J196" s="157"/>
      <c r="K196" s="157"/>
      <c r="L196" s="157"/>
      <c r="M196" s="157"/>
      <c r="N196" s="198"/>
      <c r="O196" s="157"/>
      <c r="P196" s="157"/>
    </row>
    <row r="197" spans="1:16" x14ac:dyDescent="0.2">
      <c r="A197" s="157"/>
      <c r="B197" s="157"/>
      <c r="C197" s="157"/>
      <c r="D197" s="157"/>
      <c r="E197" s="157"/>
      <c r="F197" s="157"/>
      <c r="G197" s="157"/>
      <c r="H197" s="157"/>
      <c r="I197" s="157"/>
      <c r="J197" s="157"/>
      <c r="K197" s="157"/>
      <c r="L197" s="157"/>
      <c r="M197" s="157"/>
      <c r="N197" s="198"/>
      <c r="O197" s="157"/>
      <c r="P197" s="157"/>
    </row>
    <row r="198" spans="1:16" x14ac:dyDescent="0.2">
      <c r="A198" s="157"/>
      <c r="B198" s="157"/>
      <c r="C198" s="157"/>
      <c r="D198" s="157"/>
      <c r="E198" s="157"/>
      <c r="F198" s="157"/>
      <c r="G198" s="157"/>
      <c r="H198" s="157"/>
      <c r="I198" s="157"/>
      <c r="J198" s="157"/>
      <c r="K198" s="157"/>
      <c r="L198" s="157"/>
      <c r="M198" s="157"/>
      <c r="N198" s="198"/>
      <c r="O198" s="157"/>
      <c r="P198" s="157"/>
    </row>
    <row r="199" spans="1:16" x14ac:dyDescent="0.2">
      <c r="A199" s="157"/>
      <c r="B199" s="157"/>
      <c r="C199" s="157"/>
      <c r="D199" s="157"/>
      <c r="E199" s="157"/>
      <c r="F199" s="157"/>
      <c r="G199" s="157"/>
      <c r="H199" s="157"/>
      <c r="I199" s="157"/>
      <c r="J199" s="157"/>
      <c r="K199" s="157"/>
      <c r="L199" s="157"/>
      <c r="M199" s="157"/>
      <c r="N199" s="198"/>
      <c r="O199" s="157"/>
      <c r="P199" s="157"/>
    </row>
    <row r="200" spans="1:16" x14ac:dyDescent="0.2">
      <c r="A200" s="157"/>
      <c r="B200" s="157"/>
      <c r="C200" s="157"/>
      <c r="D200" s="157"/>
      <c r="E200" s="157"/>
      <c r="F200" s="157"/>
      <c r="G200" s="157"/>
      <c r="H200" s="157"/>
      <c r="I200" s="157"/>
      <c r="J200" s="157"/>
      <c r="K200" s="157"/>
      <c r="L200" s="157"/>
      <c r="M200" s="157"/>
      <c r="N200" s="198"/>
      <c r="O200" s="157"/>
      <c r="P200" s="157"/>
    </row>
    <row r="201" spans="1:16" x14ac:dyDescent="0.2">
      <c r="A201" s="157"/>
      <c r="B201" s="157"/>
      <c r="C201" s="157"/>
      <c r="D201" s="157"/>
      <c r="E201" s="157"/>
      <c r="F201" s="157"/>
      <c r="G201" s="157"/>
      <c r="H201" s="157"/>
      <c r="I201" s="157"/>
      <c r="J201" s="157"/>
      <c r="K201" s="157"/>
      <c r="L201" s="157"/>
      <c r="M201" s="157"/>
      <c r="N201" s="198"/>
      <c r="O201" s="157"/>
      <c r="P201" s="157"/>
    </row>
    <row r="202" spans="1:16" x14ac:dyDescent="0.2">
      <c r="A202" s="157"/>
      <c r="B202" s="157"/>
      <c r="C202" s="157"/>
      <c r="D202" s="157"/>
      <c r="E202" s="157"/>
      <c r="F202" s="157"/>
      <c r="G202" s="157"/>
      <c r="H202" s="157"/>
      <c r="I202" s="157"/>
      <c r="J202" s="157"/>
      <c r="K202" s="157"/>
      <c r="L202" s="157"/>
      <c r="M202" s="157"/>
      <c r="N202" s="198"/>
      <c r="O202" s="157"/>
      <c r="P202" s="157"/>
    </row>
    <row r="203" spans="1:16" x14ac:dyDescent="0.2">
      <c r="A203" s="157"/>
      <c r="B203" s="157"/>
      <c r="C203" s="157"/>
      <c r="D203" s="157"/>
      <c r="E203" s="157"/>
      <c r="F203" s="157"/>
      <c r="G203" s="157"/>
      <c r="H203" s="157"/>
      <c r="I203" s="157"/>
      <c r="J203" s="157"/>
      <c r="K203" s="157"/>
      <c r="L203" s="157"/>
      <c r="M203" s="157"/>
      <c r="N203" s="198"/>
      <c r="O203" s="157"/>
      <c r="P203" s="157"/>
    </row>
    <row r="204" spans="1:16" x14ac:dyDescent="0.2">
      <c r="A204" s="157"/>
      <c r="B204" s="157"/>
      <c r="C204" s="157"/>
      <c r="D204" s="157"/>
      <c r="E204" s="157"/>
      <c r="F204" s="157"/>
      <c r="G204" s="157"/>
      <c r="H204" s="157"/>
      <c r="I204" s="157"/>
      <c r="J204" s="157"/>
      <c r="K204" s="157"/>
      <c r="L204" s="157"/>
      <c r="M204" s="157"/>
      <c r="N204" s="198"/>
      <c r="O204" s="157"/>
      <c r="P204" s="157"/>
    </row>
    <row r="205" spans="1:16" x14ac:dyDescent="0.2">
      <c r="A205" s="157"/>
      <c r="B205" s="157"/>
      <c r="C205" s="157"/>
      <c r="D205" s="157"/>
      <c r="E205" s="157"/>
      <c r="F205" s="157"/>
      <c r="G205" s="157"/>
      <c r="H205" s="157"/>
      <c r="I205" s="157"/>
      <c r="J205" s="157"/>
      <c r="K205" s="157"/>
      <c r="L205" s="157"/>
      <c r="M205" s="157"/>
      <c r="N205" s="198"/>
      <c r="O205" s="157"/>
      <c r="P205" s="157"/>
    </row>
    <row r="206" spans="1:16" x14ac:dyDescent="0.2">
      <c r="A206" s="157"/>
      <c r="B206" s="157"/>
      <c r="C206" s="157"/>
      <c r="D206" s="157"/>
      <c r="E206" s="157"/>
      <c r="F206" s="157"/>
      <c r="G206" s="157"/>
      <c r="H206" s="157"/>
      <c r="I206" s="157"/>
      <c r="J206" s="157"/>
      <c r="K206" s="157"/>
      <c r="L206" s="157"/>
      <c r="M206" s="157"/>
      <c r="N206" s="198"/>
      <c r="O206" s="157"/>
      <c r="P206" s="157"/>
    </row>
    <row r="207" spans="1:16" x14ac:dyDescent="0.2">
      <c r="A207" s="157"/>
      <c r="B207" s="157"/>
      <c r="C207" s="157"/>
      <c r="D207" s="157"/>
      <c r="E207" s="157"/>
      <c r="F207" s="157"/>
      <c r="G207" s="157"/>
      <c r="H207" s="157"/>
      <c r="I207" s="157"/>
      <c r="J207" s="157"/>
      <c r="K207" s="157"/>
      <c r="L207" s="157"/>
      <c r="M207" s="157"/>
      <c r="N207" s="198"/>
      <c r="O207" s="157"/>
      <c r="P207" s="157"/>
    </row>
    <row r="208" spans="1:16" x14ac:dyDescent="0.2">
      <c r="A208" s="157"/>
      <c r="B208" s="157"/>
      <c r="C208" s="157"/>
      <c r="D208" s="157"/>
      <c r="E208" s="157"/>
      <c r="F208" s="157"/>
      <c r="G208" s="157"/>
      <c r="H208" s="157"/>
      <c r="I208" s="157"/>
      <c r="J208" s="157"/>
      <c r="K208" s="157"/>
      <c r="L208" s="157"/>
      <c r="M208" s="157"/>
      <c r="N208" s="198"/>
      <c r="O208" s="157"/>
      <c r="P208" s="157"/>
    </row>
    <row r="209" spans="1:16" x14ac:dyDescent="0.2">
      <c r="A209" s="157"/>
      <c r="B209" s="157"/>
      <c r="C209" s="157"/>
      <c r="D209" s="157"/>
      <c r="E209" s="157"/>
      <c r="F209" s="157"/>
      <c r="G209" s="157"/>
      <c r="H209" s="157"/>
      <c r="I209" s="157"/>
      <c r="J209" s="157"/>
      <c r="K209" s="157"/>
      <c r="L209" s="157"/>
      <c r="M209" s="157"/>
      <c r="N209" s="198"/>
      <c r="O209" s="157"/>
      <c r="P209" s="157"/>
    </row>
    <row r="210" spans="1:16" x14ac:dyDescent="0.2">
      <c r="A210" s="157"/>
      <c r="B210" s="157"/>
      <c r="C210" s="157"/>
      <c r="D210" s="157"/>
      <c r="E210" s="157"/>
      <c r="F210" s="157"/>
      <c r="G210" s="157"/>
      <c r="H210" s="157"/>
      <c r="I210" s="157"/>
      <c r="J210" s="157"/>
      <c r="K210" s="157"/>
      <c r="L210" s="157"/>
      <c r="M210" s="157"/>
      <c r="N210" s="198"/>
      <c r="O210" s="157"/>
      <c r="P210" s="157"/>
    </row>
    <row r="211" spans="1:16" x14ac:dyDescent="0.2">
      <c r="A211" s="157"/>
      <c r="B211" s="157"/>
      <c r="C211" s="157"/>
      <c r="D211" s="157"/>
      <c r="E211" s="157"/>
      <c r="F211" s="157"/>
      <c r="G211" s="157"/>
      <c r="H211" s="157"/>
      <c r="I211" s="157"/>
      <c r="J211" s="157"/>
      <c r="K211" s="157"/>
      <c r="L211" s="157"/>
      <c r="M211" s="157"/>
      <c r="N211" s="198"/>
      <c r="O211" s="157"/>
      <c r="P211" s="157"/>
    </row>
    <row r="212" spans="1:16" x14ac:dyDescent="0.2">
      <c r="A212" s="157"/>
      <c r="B212" s="157"/>
      <c r="C212" s="157"/>
      <c r="D212" s="157"/>
      <c r="E212" s="157"/>
      <c r="F212" s="157"/>
      <c r="G212" s="157"/>
      <c r="H212" s="157"/>
      <c r="I212" s="157"/>
      <c r="J212" s="157"/>
      <c r="K212" s="157"/>
      <c r="L212" s="157"/>
      <c r="M212" s="157"/>
      <c r="N212" s="198"/>
      <c r="O212" s="157"/>
      <c r="P212" s="157"/>
    </row>
    <row r="213" spans="1:16" x14ac:dyDescent="0.2">
      <c r="A213" s="157"/>
      <c r="B213" s="157"/>
      <c r="C213" s="157"/>
      <c r="D213" s="157"/>
      <c r="E213" s="157"/>
      <c r="F213" s="157"/>
      <c r="G213" s="157"/>
      <c r="H213" s="157"/>
      <c r="I213" s="157"/>
      <c r="J213" s="157"/>
      <c r="K213" s="157"/>
      <c r="L213" s="157"/>
      <c r="M213" s="157"/>
      <c r="N213" s="198"/>
      <c r="O213" s="157"/>
      <c r="P213" s="157"/>
    </row>
    <row r="214" spans="1:16" x14ac:dyDescent="0.2">
      <c r="A214" s="157"/>
      <c r="B214" s="157"/>
      <c r="C214" s="157"/>
      <c r="D214" s="157"/>
      <c r="E214" s="157"/>
      <c r="F214" s="157"/>
      <c r="G214" s="157"/>
      <c r="H214" s="157"/>
      <c r="I214" s="157"/>
      <c r="J214" s="157"/>
      <c r="K214" s="157"/>
      <c r="L214" s="157"/>
      <c r="M214" s="157"/>
      <c r="N214" s="198"/>
      <c r="O214" s="157"/>
      <c r="P214" s="157"/>
    </row>
    <row r="215" spans="1:16" x14ac:dyDescent="0.2">
      <c r="A215" s="157"/>
      <c r="B215" s="157"/>
      <c r="C215" s="157"/>
      <c r="D215" s="157"/>
      <c r="E215" s="157"/>
      <c r="F215" s="157"/>
      <c r="G215" s="157"/>
      <c r="H215" s="157"/>
      <c r="I215" s="157"/>
      <c r="J215" s="157"/>
      <c r="K215" s="157"/>
      <c r="L215" s="157"/>
      <c r="M215" s="157"/>
      <c r="N215" s="198"/>
      <c r="O215" s="157"/>
      <c r="P215" s="157"/>
    </row>
    <row r="216" spans="1:16" x14ac:dyDescent="0.2">
      <c r="A216" s="157"/>
      <c r="B216" s="157"/>
      <c r="C216" s="157"/>
      <c r="D216" s="157"/>
      <c r="E216" s="157"/>
      <c r="F216" s="157"/>
      <c r="G216" s="157"/>
      <c r="H216" s="157"/>
      <c r="I216" s="157"/>
      <c r="J216" s="157"/>
      <c r="K216" s="157"/>
      <c r="L216" s="157"/>
      <c r="M216" s="157"/>
      <c r="N216" s="198"/>
      <c r="O216" s="157"/>
      <c r="P216" s="157"/>
    </row>
    <row r="217" spans="1:16" x14ac:dyDescent="0.2">
      <c r="A217" s="157"/>
      <c r="B217" s="157"/>
      <c r="C217" s="157"/>
      <c r="D217" s="157"/>
      <c r="E217" s="157"/>
      <c r="F217" s="157"/>
      <c r="G217" s="157"/>
      <c r="H217" s="157"/>
      <c r="I217" s="157"/>
      <c r="J217" s="157"/>
      <c r="K217" s="157"/>
      <c r="L217" s="157"/>
      <c r="M217" s="157"/>
      <c r="N217" s="198"/>
      <c r="O217" s="157"/>
      <c r="P217" s="157"/>
    </row>
    <row r="218" spans="1:16" x14ac:dyDescent="0.2">
      <c r="A218" s="157"/>
      <c r="B218" s="157"/>
      <c r="C218" s="157"/>
      <c r="D218" s="157"/>
      <c r="E218" s="157"/>
      <c r="F218" s="157"/>
      <c r="G218" s="157"/>
      <c r="H218" s="157"/>
      <c r="I218" s="157"/>
      <c r="J218" s="157"/>
      <c r="K218" s="157"/>
      <c r="L218" s="157"/>
      <c r="M218" s="157"/>
      <c r="N218" s="198"/>
      <c r="O218" s="157"/>
      <c r="P218" s="157"/>
    </row>
    <row r="219" spans="1:16" x14ac:dyDescent="0.2">
      <c r="A219" s="157"/>
      <c r="B219" s="157"/>
      <c r="C219" s="157"/>
      <c r="D219" s="157"/>
      <c r="E219" s="157"/>
      <c r="F219" s="157"/>
      <c r="G219" s="157"/>
      <c r="H219" s="157"/>
      <c r="I219" s="157"/>
      <c r="J219" s="157"/>
      <c r="K219" s="157"/>
      <c r="L219" s="157"/>
      <c r="M219" s="157"/>
      <c r="N219" s="198"/>
      <c r="O219" s="157"/>
      <c r="P219" s="157"/>
    </row>
    <row r="220" spans="1:16" x14ac:dyDescent="0.2">
      <c r="A220" s="157"/>
      <c r="B220" s="157"/>
      <c r="C220" s="157"/>
      <c r="D220" s="157"/>
      <c r="E220" s="157"/>
      <c r="F220" s="157"/>
      <c r="G220" s="157"/>
      <c r="H220" s="157"/>
      <c r="I220" s="157"/>
      <c r="J220" s="157"/>
      <c r="K220" s="157"/>
      <c r="L220" s="157"/>
      <c r="M220" s="157"/>
      <c r="N220" s="198"/>
      <c r="O220" s="157"/>
      <c r="P220" s="157"/>
    </row>
    <row r="221" spans="1:16" x14ac:dyDescent="0.2">
      <c r="A221" s="157"/>
      <c r="B221" s="157"/>
      <c r="C221" s="157"/>
      <c r="D221" s="157"/>
      <c r="E221" s="157"/>
      <c r="F221" s="157"/>
      <c r="G221" s="157"/>
      <c r="H221" s="157"/>
      <c r="I221" s="157"/>
      <c r="J221" s="157"/>
      <c r="K221" s="157"/>
      <c r="L221" s="157"/>
      <c r="M221" s="157"/>
      <c r="N221" s="198"/>
      <c r="O221" s="157"/>
      <c r="P221" s="157"/>
    </row>
    <row r="222" spans="1:16" x14ac:dyDescent="0.2">
      <c r="A222" s="157"/>
      <c r="B222" s="157"/>
      <c r="C222" s="157"/>
      <c r="D222" s="157"/>
      <c r="E222" s="157"/>
      <c r="F222" s="157"/>
      <c r="G222" s="157"/>
      <c r="H222" s="157"/>
      <c r="I222" s="157"/>
      <c r="J222" s="157"/>
      <c r="K222" s="157"/>
      <c r="L222" s="157"/>
      <c r="M222" s="157"/>
      <c r="N222" s="198"/>
      <c r="O222" s="157"/>
      <c r="P222" s="157"/>
    </row>
    <row r="223" spans="1:16" x14ac:dyDescent="0.2">
      <c r="A223" s="157"/>
      <c r="B223" s="157"/>
      <c r="C223" s="157"/>
      <c r="D223" s="157"/>
      <c r="E223" s="157"/>
      <c r="F223" s="157"/>
      <c r="G223" s="157"/>
      <c r="H223" s="157"/>
      <c r="I223" s="157"/>
      <c r="J223" s="157"/>
      <c r="K223" s="157"/>
      <c r="L223" s="157"/>
      <c r="M223" s="157"/>
      <c r="N223" s="198"/>
      <c r="O223" s="157"/>
      <c r="P223" s="157"/>
    </row>
    <row r="224" spans="1:16" x14ac:dyDescent="0.2">
      <c r="A224" s="157"/>
      <c r="B224" s="157"/>
      <c r="C224" s="157"/>
      <c r="D224" s="157"/>
      <c r="E224" s="157"/>
      <c r="F224" s="157"/>
      <c r="G224" s="157"/>
      <c r="H224" s="157"/>
      <c r="I224" s="157"/>
      <c r="J224" s="157"/>
      <c r="K224" s="157"/>
      <c r="L224" s="157"/>
      <c r="M224" s="157"/>
      <c r="N224" s="198"/>
      <c r="O224" s="157"/>
      <c r="P224" s="157"/>
    </row>
    <row r="225" spans="1:16" x14ac:dyDescent="0.2">
      <c r="A225" s="157"/>
      <c r="B225" s="157"/>
      <c r="C225" s="157"/>
      <c r="D225" s="157"/>
      <c r="E225" s="157"/>
      <c r="F225" s="157"/>
      <c r="G225" s="157"/>
      <c r="H225" s="157"/>
      <c r="I225" s="157"/>
      <c r="J225" s="157"/>
      <c r="K225" s="157"/>
      <c r="L225" s="157"/>
      <c r="M225" s="157"/>
      <c r="N225" s="198"/>
      <c r="O225" s="157"/>
      <c r="P225" s="157"/>
    </row>
    <row r="226" spans="1:16" x14ac:dyDescent="0.2">
      <c r="A226" s="157"/>
      <c r="B226" s="157"/>
      <c r="C226" s="157"/>
      <c r="D226" s="157"/>
      <c r="E226" s="157"/>
      <c r="F226" s="157"/>
      <c r="G226" s="157"/>
      <c r="H226" s="157"/>
      <c r="I226" s="157"/>
      <c r="J226" s="157"/>
      <c r="K226" s="157"/>
      <c r="L226" s="157"/>
      <c r="M226" s="157"/>
      <c r="N226" s="198"/>
      <c r="O226" s="157"/>
      <c r="P226" s="157"/>
    </row>
    <row r="227" spans="1:16" x14ac:dyDescent="0.2">
      <c r="A227" s="157"/>
      <c r="B227" s="157"/>
      <c r="C227" s="157"/>
      <c r="D227" s="157"/>
      <c r="E227" s="157"/>
      <c r="F227" s="157"/>
      <c r="G227" s="157"/>
      <c r="H227" s="157"/>
      <c r="I227" s="157"/>
      <c r="J227" s="157"/>
      <c r="K227" s="157"/>
      <c r="L227" s="157"/>
      <c r="M227" s="157"/>
      <c r="N227" s="198"/>
      <c r="O227" s="157"/>
      <c r="P227" s="157"/>
    </row>
    <row r="228" spans="1:16" x14ac:dyDescent="0.2">
      <c r="A228" s="157"/>
      <c r="B228" s="157"/>
      <c r="C228" s="157"/>
      <c r="D228" s="157"/>
      <c r="E228" s="157"/>
      <c r="F228" s="157"/>
      <c r="G228" s="157"/>
      <c r="H228" s="157"/>
      <c r="I228" s="157"/>
      <c r="J228" s="157"/>
      <c r="K228" s="157"/>
      <c r="L228" s="157"/>
      <c r="M228" s="157"/>
      <c r="N228" s="198"/>
      <c r="O228" s="157"/>
      <c r="P228" s="157"/>
    </row>
    <row r="229" spans="1:16" x14ac:dyDescent="0.2">
      <c r="A229" s="157"/>
      <c r="B229" s="157"/>
      <c r="C229" s="157"/>
      <c r="D229" s="157"/>
      <c r="E229" s="157"/>
      <c r="F229" s="157"/>
      <c r="G229" s="157"/>
      <c r="H229" s="157"/>
      <c r="I229" s="157"/>
      <c r="J229" s="157"/>
      <c r="K229" s="157"/>
      <c r="L229" s="157"/>
      <c r="M229" s="157"/>
      <c r="N229" s="198"/>
      <c r="O229" s="157"/>
      <c r="P229" s="157"/>
    </row>
    <row r="230" spans="1:16" x14ac:dyDescent="0.2">
      <c r="A230" s="157"/>
      <c r="B230" s="157"/>
      <c r="C230" s="157"/>
      <c r="D230" s="157"/>
      <c r="E230" s="157"/>
      <c r="F230" s="157"/>
      <c r="G230" s="157"/>
      <c r="H230" s="157"/>
      <c r="I230" s="157"/>
      <c r="J230" s="157"/>
      <c r="K230" s="157"/>
      <c r="L230" s="157"/>
      <c r="M230" s="157"/>
      <c r="N230" s="198"/>
      <c r="O230" s="157"/>
      <c r="P230" s="157"/>
    </row>
    <row r="231" spans="1:16" x14ac:dyDescent="0.2">
      <c r="A231" s="157"/>
      <c r="B231" s="157"/>
      <c r="C231" s="157"/>
      <c r="D231" s="157"/>
      <c r="E231" s="157"/>
      <c r="F231" s="157"/>
      <c r="G231" s="157"/>
      <c r="H231" s="157"/>
      <c r="I231" s="157"/>
      <c r="J231" s="157"/>
      <c r="K231" s="157"/>
      <c r="L231" s="157"/>
      <c r="M231" s="157"/>
      <c r="N231" s="198"/>
      <c r="O231" s="157"/>
      <c r="P231" s="157"/>
    </row>
    <row r="232" spans="1:16" x14ac:dyDescent="0.2">
      <c r="A232" s="157"/>
      <c r="B232" s="157"/>
      <c r="C232" s="157"/>
      <c r="D232" s="157"/>
      <c r="E232" s="157"/>
      <c r="F232" s="157"/>
      <c r="G232" s="157"/>
      <c r="H232" s="157"/>
      <c r="I232" s="157"/>
      <c r="J232" s="157"/>
      <c r="K232" s="157"/>
      <c r="L232" s="157"/>
      <c r="M232" s="157"/>
      <c r="N232" s="198"/>
      <c r="O232" s="157"/>
      <c r="P232" s="157"/>
    </row>
    <row r="233" spans="1:16" x14ac:dyDescent="0.2">
      <c r="A233" s="157"/>
      <c r="B233" s="157"/>
      <c r="C233" s="157"/>
      <c r="D233" s="157"/>
      <c r="E233" s="157"/>
      <c r="F233" s="157"/>
      <c r="G233" s="157"/>
      <c r="H233" s="157"/>
      <c r="I233" s="157"/>
      <c r="J233" s="157"/>
      <c r="K233" s="157"/>
      <c r="L233" s="157"/>
      <c r="M233" s="157"/>
      <c r="N233" s="198"/>
      <c r="O233" s="157"/>
      <c r="P233" s="157"/>
    </row>
    <row r="234" spans="1:16" x14ac:dyDescent="0.2">
      <c r="A234" s="157"/>
      <c r="B234" s="157"/>
      <c r="C234" s="157"/>
      <c r="D234" s="157"/>
      <c r="E234" s="157"/>
      <c r="F234" s="157"/>
      <c r="G234" s="157"/>
      <c r="H234" s="157"/>
      <c r="I234" s="157"/>
      <c r="J234" s="157"/>
      <c r="K234" s="157"/>
      <c r="L234" s="157"/>
      <c r="M234" s="157"/>
      <c r="N234" s="198"/>
      <c r="O234" s="157"/>
      <c r="P234" s="157"/>
    </row>
    <row r="235" spans="1:16" x14ac:dyDescent="0.2">
      <c r="A235" s="157"/>
      <c r="B235" s="157"/>
      <c r="C235" s="157"/>
      <c r="D235" s="157"/>
      <c r="E235" s="157"/>
      <c r="F235" s="157"/>
      <c r="G235" s="157"/>
      <c r="H235" s="157"/>
      <c r="I235" s="157"/>
      <c r="J235" s="157"/>
      <c r="K235" s="157"/>
      <c r="L235" s="157"/>
      <c r="M235" s="157"/>
      <c r="N235" s="198"/>
      <c r="O235" s="157"/>
      <c r="P235" s="157"/>
    </row>
    <row r="236" spans="1:16" x14ac:dyDescent="0.2">
      <c r="A236" s="157"/>
      <c r="B236" s="157"/>
      <c r="C236" s="157"/>
      <c r="D236" s="157"/>
      <c r="E236" s="157"/>
      <c r="F236" s="157"/>
      <c r="G236" s="157"/>
      <c r="H236" s="157"/>
      <c r="I236" s="157"/>
      <c r="J236" s="157"/>
      <c r="K236" s="157"/>
      <c r="L236" s="157"/>
      <c r="M236" s="157"/>
      <c r="N236" s="198"/>
      <c r="O236" s="157"/>
      <c r="P236" s="157"/>
    </row>
    <row r="237" spans="1:16" x14ac:dyDescent="0.2">
      <c r="A237" s="157"/>
      <c r="B237" s="157"/>
      <c r="C237" s="157"/>
      <c r="D237" s="157"/>
      <c r="E237" s="157"/>
      <c r="F237" s="157"/>
      <c r="G237" s="157"/>
      <c r="H237" s="157"/>
      <c r="I237" s="157"/>
      <c r="J237" s="157"/>
      <c r="K237" s="157"/>
      <c r="L237" s="157"/>
      <c r="M237" s="157"/>
      <c r="N237" s="198"/>
      <c r="O237" s="157"/>
      <c r="P237" s="157"/>
    </row>
    <row r="238" spans="1:16" x14ac:dyDescent="0.2">
      <c r="A238" s="157"/>
      <c r="B238" s="157"/>
      <c r="C238" s="157"/>
      <c r="D238" s="157"/>
      <c r="E238" s="157"/>
      <c r="F238" s="157"/>
      <c r="G238" s="157"/>
      <c r="H238" s="157"/>
      <c r="I238" s="157"/>
      <c r="J238" s="157"/>
      <c r="K238" s="157"/>
      <c r="L238" s="157"/>
      <c r="M238" s="157"/>
      <c r="N238" s="198"/>
      <c r="O238" s="157"/>
      <c r="P238" s="157"/>
    </row>
    <row r="239" spans="1:16" x14ac:dyDescent="0.2">
      <c r="A239" s="157"/>
      <c r="B239" s="157"/>
      <c r="C239" s="157"/>
      <c r="D239" s="157"/>
      <c r="E239" s="157"/>
      <c r="F239" s="157"/>
      <c r="G239" s="157"/>
      <c r="H239" s="157"/>
      <c r="I239" s="157"/>
      <c r="J239" s="157"/>
      <c r="K239" s="157"/>
      <c r="L239" s="157"/>
      <c r="M239" s="157"/>
      <c r="N239" s="198"/>
      <c r="O239" s="157"/>
      <c r="P239" s="157"/>
    </row>
    <row r="240" spans="1:16" x14ac:dyDescent="0.2">
      <c r="A240" s="157"/>
      <c r="B240" s="157"/>
      <c r="C240" s="157"/>
      <c r="D240" s="157"/>
      <c r="E240" s="157"/>
      <c r="F240" s="157"/>
      <c r="G240" s="157"/>
      <c r="H240" s="157"/>
      <c r="I240" s="157"/>
      <c r="J240" s="157"/>
      <c r="K240" s="157"/>
      <c r="L240" s="157"/>
      <c r="M240" s="157"/>
      <c r="N240" s="198"/>
      <c r="O240" s="157"/>
      <c r="P240" s="157"/>
    </row>
    <row r="241" spans="1:16" x14ac:dyDescent="0.2">
      <c r="A241" s="157"/>
      <c r="B241" s="157"/>
      <c r="C241" s="157"/>
      <c r="D241" s="157"/>
      <c r="E241" s="157"/>
      <c r="F241" s="157"/>
      <c r="G241" s="157"/>
      <c r="H241" s="157"/>
      <c r="I241" s="157"/>
      <c r="J241" s="157"/>
      <c r="K241" s="157"/>
      <c r="L241" s="157"/>
      <c r="M241" s="157"/>
      <c r="N241" s="198"/>
      <c r="O241" s="157"/>
      <c r="P241" s="157"/>
    </row>
    <row r="242" spans="1:16" x14ac:dyDescent="0.2">
      <c r="A242" s="157"/>
      <c r="B242" s="157"/>
      <c r="C242" s="157"/>
      <c r="D242" s="157"/>
      <c r="E242" s="157"/>
      <c r="F242" s="157"/>
      <c r="G242" s="157"/>
      <c r="H242" s="157"/>
      <c r="I242" s="157"/>
      <c r="J242" s="157"/>
      <c r="K242" s="157"/>
      <c r="L242" s="157"/>
      <c r="M242" s="157"/>
      <c r="N242" s="198"/>
      <c r="O242" s="157"/>
      <c r="P242" s="157"/>
    </row>
    <row r="243" spans="1:16" x14ac:dyDescent="0.2">
      <c r="A243" s="157"/>
      <c r="B243" s="157"/>
      <c r="C243" s="157"/>
      <c r="D243" s="157"/>
      <c r="E243" s="157"/>
      <c r="F243" s="157"/>
      <c r="G243" s="157"/>
      <c r="H243" s="157"/>
      <c r="I243" s="157"/>
      <c r="J243" s="157"/>
      <c r="K243" s="157"/>
      <c r="L243" s="157"/>
      <c r="M243" s="157"/>
      <c r="N243" s="198"/>
      <c r="O243" s="157"/>
      <c r="P243" s="157"/>
    </row>
    <row r="244" spans="1:16" x14ac:dyDescent="0.2">
      <c r="A244" s="157"/>
      <c r="B244" s="157"/>
      <c r="C244" s="157"/>
      <c r="D244" s="157"/>
      <c r="E244" s="157"/>
      <c r="F244" s="157"/>
      <c r="G244" s="157"/>
      <c r="H244" s="157"/>
      <c r="I244" s="157"/>
      <c r="J244" s="157"/>
      <c r="K244" s="157"/>
      <c r="L244" s="157"/>
      <c r="M244" s="157"/>
      <c r="N244" s="198"/>
      <c r="O244" s="157"/>
      <c r="P244" s="157"/>
    </row>
    <row r="245" spans="1:16" x14ac:dyDescent="0.2">
      <c r="A245" s="157"/>
      <c r="B245" s="157"/>
      <c r="C245" s="157"/>
      <c r="D245" s="157"/>
      <c r="E245" s="157"/>
      <c r="F245" s="157"/>
      <c r="G245" s="157"/>
      <c r="H245" s="157"/>
      <c r="I245" s="157"/>
      <c r="J245" s="157"/>
      <c r="K245" s="157"/>
      <c r="L245" s="157"/>
      <c r="M245" s="157"/>
      <c r="N245" s="198"/>
      <c r="O245" s="157"/>
      <c r="P245" s="157"/>
    </row>
    <row r="246" spans="1:16" x14ac:dyDescent="0.2">
      <c r="A246" s="157"/>
      <c r="B246" s="157"/>
      <c r="C246" s="157"/>
      <c r="D246" s="157"/>
      <c r="E246" s="157"/>
      <c r="F246" s="157"/>
      <c r="G246" s="157"/>
      <c r="H246" s="157"/>
      <c r="I246" s="157"/>
      <c r="J246" s="157"/>
      <c r="K246" s="157"/>
      <c r="L246" s="157"/>
      <c r="M246" s="157"/>
      <c r="N246" s="198"/>
      <c r="O246" s="157"/>
      <c r="P246" s="157"/>
    </row>
    <row r="247" spans="1:16" x14ac:dyDescent="0.2">
      <c r="A247" s="157"/>
      <c r="B247" s="157"/>
      <c r="C247" s="157"/>
      <c r="D247" s="157"/>
      <c r="E247" s="157"/>
      <c r="F247" s="157"/>
      <c r="G247" s="157"/>
      <c r="H247" s="157"/>
      <c r="I247" s="157"/>
      <c r="J247" s="157"/>
      <c r="K247" s="157"/>
      <c r="L247" s="157"/>
      <c r="M247" s="157"/>
      <c r="N247" s="198"/>
      <c r="O247" s="157"/>
      <c r="P247" s="157"/>
    </row>
    <row r="248" spans="1:16" x14ac:dyDescent="0.2">
      <c r="A248" s="157"/>
      <c r="B248" s="157"/>
      <c r="C248" s="157"/>
      <c r="D248" s="157"/>
      <c r="E248" s="157"/>
      <c r="F248" s="157"/>
      <c r="G248" s="157"/>
      <c r="H248" s="157"/>
      <c r="I248" s="157"/>
      <c r="J248" s="157"/>
      <c r="K248" s="157"/>
      <c r="L248" s="157"/>
      <c r="M248" s="157"/>
      <c r="N248" s="198"/>
      <c r="O248" s="157"/>
      <c r="P248" s="157"/>
    </row>
    <row r="249" spans="1:16" x14ac:dyDescent="0.2">
      <c r="A249" s="157"/>
      <c r="B249" s="157"/>
      <c r="C249" s="157"/>
      <c r="D249" s="157"/>
      <c r="E249" s="157"/>
      <c r="F249" s="157"/>
      <c r="G249" s="157"/>
      <c r="H249" s="157"/>
      <c r="I249" s="157"/>
      <c r="J249" s="157"/>
      <c r="K249" s="157"/>
      <c r="L249" s="157"/>
      <c r="M249" s="157"/>
      <c r="N249" s="198"/>
      <c r="O249" s="157"/>
      <c r="P249" s="157"/>
    </row>
    <row r="250" spans="1:16" x14ac:dyDescent="0.2">
      <c r="A250" s="157"/>
      <c r="B250" s="157"/>
      <c r="C250" s="157"/>
      <c r="D250" s="157"/>
      <c r="E250" s="157"/>
      <c r="F250" s="157"/>
      <c r="G250" s="157"/>
      <c r="H250" s="157"/>
      <c r="I250" s="157"/>
      <c r="J250" s="157"/>
      <c r="K250" s="157"/>
      <c r="L250" s="157"/>
      <c r="M250" s="157"/>
      <c r="N250" s="198"/>
      <c r="O250" s="157"/>
      <c r="P250" s="157"/>
    </row>
    <row r="251" spans="1:16" x14ac:dyDescent="0.2">
      <c r="A251" s="157"/>
      <c r="B251" s="157"/>
      <c r="C251" s="157"/>
      <c r="D251" s="157"/>
      <c r="E251" s="157"/>
      <c r="F251" s="157"/>
      <c r="G251" s="157"/>
      <c r="H251" s="157"/>
      <c r="I251" s="157"/>
      <c r="J251" s="157"/>
      <c r="K251" s="157"/>
      <c r="L251" s="157"/>
      <c r="M251" s="157"/>
      <c r="N251" s="198"/>
      <c r="O251" s="157"/>
      <c r="P251" s="157"/>
    </row>
    <row r="252" spans="1:16" x14ac:dyDescent="0.2">
      <c r="A252" s="157"/>
      <c r="B252" s="157"/>
      <c r="C252" s="157"/>
      <c r="D252" s="157"/>
      <c r="E252" s="157"/>
      <c r="F252" s="157"/>
      <c r="G252" s="157"/>
      <c r="H252" s="157"/>
      <c r="I252" s="157"/>
      <c r="J252" s="157"/>
      <c r="K252" s="157"/>
      <c r="L252" s="157"/>
      <c r="M252" s="157"/>
      <c r="N252" s="198"/>
      <c r="O252" s="157"/>
      <c r="P252" s="157"/>
    </row>
    <row r="253" spans="1:16" x14ac:dyDescent="0.2">
      <c r="A253" s="157"/>
      <c r="B253" s="157"/>
      <c r="C253" s="157"/>
      <c r="D253" s="157"/>
      <c r="E253" s="157"/>
      <c r="F253" s="157"/>
      <c r="G253" s="157"/>
      <c r="H253" s="157"/>
      <c r="I253" s="157"/>
      <c r="J253" s="157"/>
      <c r="K253" s="157"/>
      <c r="L253" s="157"/>
      <c r="M253" s="157"/>
      <c r="N253" s="198"/>
      <c r="O253" s="157"/>
      <c r="P253" s="157"/>
    </row>
    <row r="254" spans="1:16" x14ac:dyDescent="0.2">
      <c r="A254" s="157"/>
      <c r="B254" s="157"/>
      <c r="C254" s="157"/>
      <c r="D254" s="157"/>
      <c r="E254" s="157"/>
      <c r="F254" s="157"/>
      <c r="G254" s="157"/>
      <c r="H254" s="157"/>
      <c r="I254" s="157"/>
      <c r="J254" s="157"/>
      <c r="K254" s="157"/>
      <c r="L254" s="157"/>
      <c r="M254" s="157"/>
      <c r="N254" s="198"/>
      <c r="O254" s="157"/>
      <c r="P254" s="157"/>
    </row>
    <row r="255" spans="1:16" x14ac:dyDescent="0.2">
      <c r="A255" s="157"/>
      <c r="B255" s="157"/>
      <c r="C255" s="157"/>
      <c r="D255" s="157"/>
      <c r="E255" s="157"/>
      <c r="F255" s="157"/>
      <c r="G255" s="157"/>
      <c r="H255" s="157"/>
      <c r="I255" s="157"/>
      <c r="J255" s="157"/>
      <c r="K255" s="157"/>
      <c r="L255" s="157"/>
      <c r="M255" s="157"/>
      <c r="N255" s="198"/>
      <c r="O255" s="157"/>
      <c r="P255" s="157"/>
    </row>
    <row r="256" spans="1:16" x14ac:dyDescent="0.2">
      <c r="A256" s="157"/>
      <c r="B256" s="157"/>
      <c r="C256" s="157"/>
      <c r="D256" s="157"/>
      <c r="E256" s="157"/>
      <c r="F256" s="157"/>
      <c r="G256" s="157"/>
      <c r="H256" s="157"/>
      <c r="I256" s="157"/>
      <c r="J256" s="157"/>
      <c r="K256" s="157"/>
      <c r="L256" s="157"/>
      <c r="M256" s="157"/>
      <c r="N256" s="198"/>
      <c r="O256" s="157"/>
      <c r="P256" s="157"/>
    </row>
    <row r="257" spans="1:16" x14ac:dyDescent="0.2">
      <c r="A257" s="157"/>
      <c r="B257" s="157"/>
      <c r="C257" s="157"/>
      <c r="D257" s="157"/>
      <c r="E257" s="157"/>
      <c r="F257" s="157"/>
      <c r="G257" s="157"/>
      <c r="H257" s="157"/>
      <c r="I257" s="157"/>
      <c r="J257" s="157"/>
      <c r="K257" s="157"/>
      <c r="L257" s="157"/>
      <c r="M257" s="157"/>
      <c r="N257" s="198"/>
      <c r="O257" s="157"/>
      <c r="P257" s="157"/>
    </row>
    <row r="258" spans="1:16" x14ac:dyDescent="0.2">
      <c r="A258" s="157"/>
      <c r="B258" s="157"/>
      <c r="C258" s="157"/>
      <c r="D258" s="157"/>
      <c r="E258" s="157"/>
      <c r="F258" s="157"/>
      <c r="G258" s="157"/>
      <c r="H258" s="157"/>
      <c r="I258" s="157"/>
      <c r="J258" s="157"/>
      <c r="K258" s="157"/>
      <c r="L258" s="157"/>
      <c r="M258" s="157"/>
      <c r="N258" s="198"/>
      <c r="O258" s="157"/>
      <c r="P258" s="157"/>
    </row>
    <row r="259" spans="1:16" x14ac:dyDescent="0.2">
      <c r="A259" s="157"/>
      <c r="B259" s="157"/>
      <c r="C259" s="157"/>
      <c r="D259" s="157"/>
      <c r="E259" s="157"/>
      <c r="F259" s="157"/>
      <c r="G259" s="157"/>
      <c r="H259" s="157"/>
      <c r="I259" s="157"/>
      <c r="J259" s="157"/>
      <c r="K259" s="157"/>
      <c r="L259" s="157"/>
      <c r="M259" s="157"/>
      <c r="N259" s="198"/>
      <c r="O259" s="157"/>
      <c r="P259" s="157"/>
    </row>
    <row r="260" spans="1:16" x14ac:dyDescent="0.2">
      <c r="A260" s="157"/>
      <c r="B260" s="157"/>
      <c r="C260" s="157"/>
      <c r="D260" s="157"/>
      <c r="E260" s="157"/>
      <c r="F260" s="157"/>
      <c r="G260" s="157"/>
      <c r="H260" s="157"/>
      <c r="I260" s="157"/>
      <c r="J260" s="157"/>
      <c r="K260" s="157"/>
      <c r="L260" s="157"/>
      <c r="M260" s="157"/>
      <c r="N260" s="198"/>
      <c r="O260" s="157"/>
      <c r="P260" s="157"/>
    </row>
    <row r="261" spans="1:16" x14ac:dyDescent="0.2">
      <c r="A261" s="157"/>
      <c r="B261" s="157"/>
      <c r="C261" s="157"/>
      <c r="D261" s="157"/>
      <c r="E261" s="157"/>
      <c r="F261" s="157"/>
      <c r="G261" s="157"/>
      <c r="H261" s="157"/>
      <c r="I261" s="157"/>
      <c r="J261" s="157"/>
      <c r="K261" s="157"/>
      <c r="L261" s="157"/>
      <c r="M261" s="157"/>
      <c r="N261" s="198"/>
      <c r="O261" s="157"/>
      <c r="P261" s="157"/>
    </row>
    <row r="262" spans="1:16" x14ac:dyDescent="0.2">
      <c r="A262" s="157"/>
      <c r="B262" s="157"/>
      <c r="C262" s="157"/>
      <c r="D262" s="157"/>
      <c r="E262" s="157"/>
      <c r="F262" s="157"/>
      <c r="G262" s="157"/>
      <c r="H262" s="157"/>
      <c r="I262" s="157"/>
      <c r="J262" s="157"/>
      <c r="K262" s="157"/>
      <c r="L262" s="157"/>
      <c r="M262" s="157"/>
      <c r="N262" s="198"/>
      <c r="O262" s="157"/>
      <c r="P262" s="157"/>
    </row>
    <row r="263" spans="1:16" x14ac:dyDescent="0.2">
      <c r="A263" s="157"/>
      <c r="B263" s="157"/>
      <c r="C263" s="157"/>
      <c r="D263" s="157"/>
      <c r="E263" s="157"/>
      <c r="F263" s="157"/>
      <c r="G263" s="157"/>
      <c r="H263" s="157"/>
      <c r="I263" s="157"/>
      <c r="J263" s="157"/>
      <c r="K263" s="157"/>
      <c r="L263" s="157"/>
      <c r="M263" s="157"/>
      <c r="N263" s="198"/>
      <c r="O263" s="157"/>
      <c r="P263" s="157"/>
    </row>
    <row r="264" spans="1:16" x14ac:dyDescent="0.2">
      <c r="A264" s="157"/>
      <c r="B264" s="157"/>
      <c r="C264" s="157"/>
      <c r="D264" s="157"/>
      <c r="E264" s="157"/>
      <c r="F264" s="157"/>
      <c r="G264" s="157"/>
      <c r="H264" s="157"/>
      <c r="I264" s="157"/>
      <c r="J264" s="157"/>
      <c r="K264" s="157"/>
      <c r="L264" s="157"/>
      <c r="M264" s="157"/>
      <c r="N264" s="198"/>
      <c r="O264" s="157"/>
      <c r="P264" s="157"/>
    </row>
    <row r="265" spans="1:16" x14ac:dyDescent="0.2">
      <c r="A265" s="157"/>
      <c r="B265" s="157"/>
      <c r="C265" s="157"/>
      <c r="D265" s="157"/>
      <c r="E265" s="157"/>
      <c r="F265" s="157"/>
      <c r="G265" s="157"/>
      <c r="H265" s="157"/>
      <c r="I265" s="157"/>
      <c r="J265" s="157"/>
      <c r="K265" s="157"/>
      <c r="L265" s="157"/>
      <c r="M265" s="157"/>
      <c r="N265" s="198"/>
      <c r="O265" s="157"/>
      <c r="P265" s="157"/>
    </row>
    <row r="266" spans="1:16" x14ac:dyDescent="0.2">
      <c r="A266" s="157"/>
      <c r="B266" s="157"/>
      <c r="C266" s="157"/>
      <c r="D266" s="157"/>
      <c r="E266" s="157"/>
      <c r="F266" s="157"/>
      <c r="G266" s="157"/>
      <c r="H266" s="157"/>
      <c r="I266" s="157"/>
      <c r="J266" s="157"/>
      <c r="K266" s="157"/>
      <c r="L266" s="157"/>
      <c r="M266" s="157"/>
      <c r="N266" s="198"/>
      <c r="O266" s="157"/>
      <c r="P266" s="157"/>
    </row>
    <row r="267" spans="1:16" x14ac:dyDescent="0.2">
      <c r="A267" s="157"/>
      <c r="B267" s="157"/>
      <c r="C267" s="157"/>
      <c r="D267" s="157"/>
      <c r="E267" s="157"/>
      <c r="F267" s="157"/>
      <c r="G267" s="157"/>
      <c r="H267" s="157"/>
      <c r="I267" s="157"/>
      <c r="J267" s="157"/>
      <c r="K267" s="157"/>
      <c r="L267" s="157"/>
      <c r="M267" s="157"/>
      <c r="N267" s="198"/>
      <c r="O267" s="157"/>
      <c r="P267" s="157"/>
    </row>
    <row r="268" spans="1:16" x14ac:dyDescent="0.2">
      <c r="A268" s="157"/>
      <c r="B268" s="157"/>
      <c r="C268" s="157"/>
      <c r="D268" s="157"/>
      <c r="E268" s="157"/>
      <c r="F268" s="157"/>
      <c r="G268" s="157"/>
      <c r="H268" s="157"/>
      <c r="I268" s="157"/>
      <c r="J268" s="157"/>
      <c r="K268" s="157"/>
      <c r="L268" s="157"/>
      <c r="M268" s="157"/>
      <c r="N268" s="198"/>
      <c r="O268" s="157"/>
      <c r="P268" s="157"/>
    </row>
    <row r="269" spans="1:16" x14ac:dyDescent="0.2">
      <c r="A269" s="157"/>
      <c r="B269" s="157"/>
      <c r="C269" s="157"/>
      <c r="D269" s="157"/>
      <c r="E269" s="157"/>
      <c r="F269" s="157"/>
      <c r="G269" s="157"/>
      <c r="H269" s="157"/>
      <c r="I269" s="157"/>
      <c r="J269" s="157"/>
      <c r="K269" s="157"/>
      <c r="L269" s="157"/>
      <c r="M269" s="157"/>
      <c r="N269" s="198"/>
      <c r="O269" s="157"/>
      <c r="P269" s="157"/>
    </row>
    <row r="270" spans="1:16" x14ac:dyDescent="0.2">
      <c r="A270" s="157"/>
      <c r="B270" s="157"/>
      <c r="C270" s="157"/>
      <c r="D270" s="157"/>
      <c r="E270" s="157"/>
      <c r="F270" s="157"/>
      <c r="G270" s="157"/>
      <c r="H270" s="157"/>
      <c r="I270" s="157"/>
      <c r="J270" s="157"/>
      <c r="K270" s="157"/>
      <c r="L270" s="157"/>
      <c r="M270" s="157"/>
      <c r="N270" s="198"/>
      <c r="O270" s="157"/>
      <c r="P270" s="157"/>
    </row>
    <row r="271" spans="1:16" x14ac:dyDescent="0.2">
      <c r="A271" s="157"/>
      <c r="B271" s="157"/>
      <c r="C271" s="157"/>
      <c r="D271" s="157"/>
      <c r="E271" s="157"/>
      <c r="F271" s="157"/>
      <c r="G271" s="157"/>
      <c r="H271" s="157"/>
      <c r="I271" s="157"/>
      <c r="J271" s="157"/>
      <c r="K271" s="157"/>
      <c r="L271" s="157"/>
      <c r="M271" s="157"/>
      <c r="N271" s="198"/>
      <c r="O271" s="157"/>
      <c r="P271" s="157"/>
    </row>
    <row r="272" spans="1:16" x14ac:dyDescent="0.2">
      <c r="A272" s="157"/>
      <c r="B272" s="157"/>
      <c r="C272" s="157"/>
      <c r="D272" s="157"/>
      <c r="E272" s="157"/>
      <c r="F272" s="157"/>
      <c r="G272" s="157"/>
      <c r="H272" s="157"/>
      <c r="I272" s="157"/>
      <c r="J272" s="157"/>
      <c r="K272" s="157"/>
      <c r="L272" s="157"/>
      <c r="M272" s="157"/>
      <c r="N272" s="198"/>
      <c r="O272" s="157"/>
      <c r="P272" s="157"/>
    </row>
    <row r="273" spans="1:16" x14ac:dyDescent="0.2">
      <c r="A273" s="157"/>
      <c r="B273" s="157"/>
      <c r="C273" s="157"/>
      <c r="D273" s="157"/>
      <c r="E273" s="157"/>
      <c r="F273" s="157"/>
      <c r="G273" s="157"/>
      <c r="H273" s="157"/>
      <c r="I273" s="157"/>
      <c r="J273" s="157"/>
      <c r="K273" s="157"/>
      <c r="L273" s="157"/>
      <c r="M273" s="157"/>
      <c r="N273" s="198"/>
      <c r="O273" s="157"/>
      <c r="P273" s="157"/>
    </row>
    <row r="274" spans="1:16" x14ac:dyDescent="0.2">
      <c r="A274" s="157"/>
      <c r="B274" s="157"/>
      <c r="C274" s="157"/>
      <c r="D274" s="157"/>
      <c r="E274" s="157"/>
      <c r="F274" s="157"/>
      <c r="G274" s="157"/>
      <c r="H274" s="157"/>
      <c r="I274" s="157"/>
      <c r="J274" s="157"/>
      <c r="K274" s="157"/>
      <c r="L274" s="157"/>
      <c r="M274" s="157"/>
      <c r="N274" s="198"/>
      <c r="O274" s="157"/>
      <c r="P274" s="157"/>
    </row>
    <row r="275" spans="1:16" x14ac:dyDescent="0.2">
      <c r="A275" s="157"/>
      <c r="B275" s="157"/>
      <c r="C275" s="157"/>
      <c r="D275" s="157"/>
      <c r="E275" s="157"/>
      <c r="F275" s="157"/>
      <c r="G275" s="157"/>
      <c r="H275" s="157"/>
      <c r="I275" s="157"/>
      <c r="J275" s="157"/>
      <c r="K275" s="157"/>
      <c r="L275" s="157"/>
      <c r="M275" s="157"/>
      <c r="N275" s="198"/>
      <c r="O275" s="157"/>
      <c r="P275" s="157"/>
    </row>
    <row r="276" spans="1:16" x14ac:dyDescent="0.2">
      <c r="A276" s="157"/>
      <c r="B276" s="157"/>
      <c r="C276" s="157"/>
      <c r="D276" s="157"/>
      <c r="E276" s="157"/>
      <c r="F276" s="157"/>
      <c r="G276" s="157"/>
      <c r="H276" s="157"/>
      <c r="I276" s="157"/>
      <c r="J276" s="157"/>
      <c r="K276" s="157"/>
      <c r="L276" s="157"/>
      <c r="M276" s="157"/>
      <c r="N276" s="198"/>
      <c r="O276" s="157"/>
      <c r="P276" s="157"/>
    </row>
    <row r="277" spans="1:16" x14ac:dyDescent="0.2">
      <c r="A277" s="157"/>
      <c r="B277" s="157"/>
      <c r="C277" s="157"/>
      <c r="D277" s="157"/>
      <c r="E277" s="157"/>
      <c r="F277" s="157"/>
      <c r="G277" s="157"/>
      <c r="H277" s="157"/>
      <c r="I277" s="157"/>
      <c r="J277" s="157"/>
      <c r="K277" s="157"/>
      <c r="L277" s="157"/>
      <c r="M277" s="157"/>
      <c r="N277" s="198"/>
      <c r="O277" s="157"/>
      <c r="P277" s="157"/>
    </row>
    <row r="278" spans="1:16" x14ac:dyDescent="0.2">
      <c r="A278" s="157"/>
      <c r="B278" s="157"/>
      <c r="C278" s="157"/>
      <c r="D278" s="157"/>
      <c r="E278" s="157"/>
      <c r="F278" s="157"/>
      <c r="G278" s="157"/>
      <c r="H278" s="157"/>
      <c r="I278" s="157"/>
      <c r="J278" s="157"/>
      <c r="K278" s="157"/>
      <c r="L278" s="157"/>
      <c r="M278" s="157"/>
      <c r="N278" s="198"/>
      <c r="O278" s="157"/>
      <c r="P278" s="157"/>
    </row>
    <row r="279" spans="1:16" x14ac:dyDescent="0.2">
      <c r="A279" s="157"/>
      <c r="B279" s="157"/>
      <c r="C279" s="157"/>
      <c r="D279" s="157"/>
      <c r="E279" s="157"/>
      <c r="F279" s="157"/>
      <c r="G279" s="157"/>
      <c r="H279" s="157"/>
      <c r="I279" s="157"/>
      <c r="J279" s="157"/>
      <c r="K279" s="157"/>
      <c r="L279" s="157"/>
      <c r="M279" s="157"/>
      <c r="N279" s="198"/>
      <c r="O279" s="157"/>
      <c r="P279" s="157"/>
    </row>
    <row r="280" spans="1:16" x14ac:dyDescent="0.2">
      <c r="A280" s="157"/>
      <c r="B280" s="157"/>
      <c r="C280" s="157"/>
      <c r="D280" s="157"/>
      <c r="E280" s="157"/>
      <c r="F280" s="157"/>
      <c r="G280" s="157"/>
      <c r="H280" s="157"/>
      <c r="I280" s="157"/>
      <c r="J280" s="157"/>
      <c r="K280" s="157"/>
      <c r="L280" s="157"/>
      <c r="M280" s="157"/>
      <c r="N280" s="198"/>
      <c r="O280" s="157"/>
      <c r="P280" s="157"/>
    </row>
    <row r="281" spans="1:16" x14ac:dyDescent="0.2">
      <c r="A281" s="157"/>
      <c r="B281" s="157"/>
      <c r="C281" s="157"/>
      <c r="D281" s="157"/>
      <c r="E281" s="157"/>
      <c r="F281" s="157"/>
      <c r="G281" s="157"/>
      <c r="H281" s="157"/>
      <c r="I281" s="157"/>
      <c r="J281" s="157"/>
      <c r="K281" s="157"/>
      <c r="L281" s="157"/>
      <c r="M281" s="157"/>
      <c r="N281" s="198"/>
      <c r="O281" s="157"/>
      <c r="P281" s="157"/>
    </row>
    <row r="282" spans="1:16" x14ac:dyDescent="0.2">
      <c r="A282" s="157"/>
      <c r="B282" s="157"/>
      <c r="C282" s="157"/>
      <c r="D282" s="157"/>
      <c r="E282" s="157"/>
      <c r="F282" s="157"/>
      <c r="G282" s="157"/>
      <c r="H282" s="157"/>
      <c r="I282" s="157"/>
      <c r="J282" s="157"/>
      <c r="K282" s="157"/>
      <c r="L282" s="157"/>
      <c r="M282" s="157"/>
      <c r="N282" s="198"/>
      <c r="O282" s="157"/>
      <c r="P282" s="157"/>
    </row>
    <row r="283" spans="1:16" x14ac:dyDescent="0.2">
      <c r="A283" s="157"/>
      <c r="B283" s="157"/>
      <c r="C283" s="157"/>
      <c r="D283" s="157"/>
      <c r="E283" s="157"/>
      <c r="F283" s="157"/>
      <c r="G283" s="157"/>
      <c r="H283" s="157"/>
      <c r="I283" s="157"/>
      <c r="J283" s="157"/>
      <c r="K283" s="157"/>
      <c r="L283" s="157"/>
      <c r="M283" s="157"/>
      <c r="N283" s="198"/>
      <c r="O283" s="157"/>
      <c r="P283" s="157"/>
    </row>
    <row r="284" spans="1:16" x14ac:dyDescent="0.2">
      <c r="A284" s="157"/>
      <c r="B284" s="157"/>
      <c r="C284" s="157"/>
      <c r="D284" s="157"/>
      <c r="E284" s="157"/>
      <c r="F284" s="157"/>
      <c r="G284" s="157"/>
      <c r="H284" s="157"/>
      <c r="I284" s="157"/>
      <c r="J284" s="157"/>
      <c r="K284" s="157"/>
      <c r="L284" s="157"/>
      <c r="M284" s="157"/>
      <c r="N284" s="198"/>
      <c r="O284" s="157"/>
      <c r="P284" s="157"/>
    </row>
    <row r="285" spans="1:16" x14ac:dyDescent="0.2">
      <c r="A285" s="157"/>
      <c r="B285" s="157"/>
      <c r="C285" s="157"/>
      <c r="D285" s="157"/>
      <c r="E285" s="157"/>
      <c r="F285" s="157"/>
      <c r="G285" s="157"/>
      <c r="H285" s="157"/>
      <c r="I285" s="157"/>
      <c r="J285" s="157"/>
      <c r="K285" s="157"/>
      <c r="L285" s="157"/>
      <c r="M285" s="157"/>
      <c r="N285" s="198"/>
      <c r="O285" s="157"/>
      <c r="P285" s="157"/>
    </row>
    <row r="286" spans="1:16" x14ac:dyDescent="0.2">
      <c r="A286" s="157"/>
      <c r="B286" s="157"/>
      <c r="C286" s="157"/>
      <c r="D286" s="157"/>
      <c r="E286" s="157"/>
      <c r="F286" s="157"/>
      <c r="G286" s="157"/>
      <c r="H286" s="157"/>
      <c r="I286" s="157"/>
      <c r="J286" s="157"/>
      <c r="K286" s="157"/>
      <c r="L286" s="157"/>
      <c r="M286" s="157"/>
      <c r="N286" s="198"/>
      <c r="O286" s="157"/>
      <c r="P286" s="157"/>
    </row>
    <row r="287" spans="1:16" x14ac:dyDescent="0.2">
      <c r="A287" s="157"/>
      <c r="B287" s="157"/>
      <c r="C287" s="157"/>
      <c r="D287" s="157"/>
      <c r="E287" s="157"/>
      <c r="F287" s="157"/>
      <c r="G287" s="157"/>
      <c r="H287" s="157"/>
      <c r="I287" s="157"/>
      <c r="J287" s="157"/>
      <c r="K287" s="157"/>
      <c r="L287" s="157"/>
      <c r="M287" s="157"/>
      <c r="N287" s="198"/>
      <c r="O287" s="157"/>
      <c r="P287" s="157"/>
    </row>
    <row r="288" spans="1:16" x14ac:dyDescent="0.2">
      <c r="A288" s="157"/>
      <c r="B288" s="157"/>
      <c r="C288" s="157"/>
      <c r="D288" s="157"/>
      <c r="E288" s="157"/>
      <c r="F288" s="157"/>
      <c r="G288" s="157"/>
      <c r="H288" s="157"/>
      <c r="I288" s="157"/>
      <c r="J288" s="157"/>
      <c r="K288" s="157"/>
      <c r="L288" s="157"/>
      <c r="M288" s="157"/>
      <c r="N288" s="198"/>
      <c r="O288" s="157"/>
      <c r="P288" s="157"/>
    </row>
    <row r="289" spans="1:16" x14ac:dyDescent="0.2">
      <c r="A289" s="157"/>
      <c r="B289" s="157"/>
      <c r="C289" s="157"/>
      <c r="D289" s="157"/>
      <c r="E289" s="157"/>
      <c r="F289" s="157"/>
      <c r="G289" s="157"/>
      <c r="H289" s="157"/>
      <c r="I289" s="157"/>
      <c r="J289" s="157"/>
      <c r="K289" s="157"/>
      <c r="L289" s="157"/>
      <c r="M289" s="157"/>
      <c r="N289" s="198"/>
      <c r="O289" s="157"/>
      <c r="P289" s="157"/>
    </row>
    <row r="290" spans="1:16" x14ac:dyDescent="0.2">
      <c r="A290" s="157"/>
      <c r="B290" s="157"/>
      <c r="C290" s="157"/>
      <c r="D290" s="157"/>
      <c r="E290" s="157"/>
      <c r="F290" s="157"/>
      <c r="G290" s="157"/>
      <c r="H290" s="157"/>
      <c r="I290" s="157"/>
      <c r="J290" s="157"/>
      <c r="K290" s="157"/>
      <c r="L290" s="157"/>
      <c r="M290" s="157"/>
      <c r="N290" s="198"/>
      <c r="O290" s="157"/>
      <c r="P290" s="157"/>
    </row>
    <row r="291" spans="1:16" x14ac:dyDescent="0.2">
      <c r="A291" s="157"/>
      <c r="B291" s="157"/>
      <c r="C291" s="157"/>
      <c r="D291" s="157"/>
      <c r="E291" s="157"/>
      <c r="F291" s="157"/>
      <c r="G291" s="157"/>
      <c r="H291" s="157"/>
      <c r="I291" s="157"/>
      <c r="J291" s="157"/>
      <c r="K291" s="157"/>
      <c r="L291" s="157"/>
      <c r="M291" s="157"/>
      <c r="N291" s="198"/>
      <c r="O291" s="157"/>
      <c r="P291" s="157"/>
    </row>
    <row r="292" spans="1:16" x14ac:dyDescent="0.2">
      <c r="A292" s="157"/>
      <c r="B292" s="157"/>
      <c r="C292" s="157"/>
      <c r="D292" s="157"/>
      <c r="E292" s="157"/>
      <c r="F292" s="157"/>
      <c r="G292" s="157"/>
      <c r="H292" s="157"/>
      <c r="I292" s="157"/>
      <c r="J292" s="157"/>
      <c r="K292" s="157"/>
      <c r="L292" s="157"/>
      <c r="M292" s="157"/>
      <c r="N292" s="198"/>
      <c r="O292" s="157"/>
      <c r="P292" s="157"/>
    </row>
    <row r="293" spans="1:16" x14ac:dyDescent="0.2">
      <c r="A293" s="157"/>
      <c r="B293" s="157"/>
      <c r="C293" s="157"/>
      <c r="D293" s="157"/>
      <c r="E293" s="157"/>
      <c r="F293" s="157"/>
      <c r="G293" s="157"/>
      <c r="H293" s="157"/>
      <c r="I293" s="157"/>
      <c r="J293" s="157"/>
      <c r="K293" s="157"/>
      <c r="L293" s="157"/>
      <c r="M293" s="157"/>
      <c r="N293" s="198"/>
      <c r="O293" s="157"/>
      <c r="P293" s="157"/>
    </row>
    <row r="294" spans="1:16" x14ac:dyDescent="0.2">
      <c r="A294" s="157"/>
      <c r="B294" s="157"/>
      <c r="C294" s="157"/>
      <c r="D294" s="157"/>
      <c r="E294" s="157"/>
      <c r="F294" s="157"/>
      <c r="G294" s="157"/>
      <c r="H294" s="157"/>
      <c r="I294" s="157"/>
      <c r="J294" s="157"/>
      <c r="K294" s="157"/>
      <c r="L294" s="157"/>
      <c r="M294" s="157"/>
      <c r="N294" s="198"/>
      <c r="O294" s="157"/>
      <c r="P294" s="157"/>
    </row>
    <row r="295" spans="1:16" x14ac:dyDescent="0.2">
      <c r="A295" s="157"/>
      <c r="B295" s="157"/>
      <c r="C295" s="157"/>
      <c r="D295" s="157"/>
      <c r="E295" s="157"/>
      <c r="F295" s="157"/>
      <c r="G295" s="157"/>
      <c r="H295" s="157"/>
      <c r="I295" s="157"/>
      <c r="J295" s="157"/>
      <c r="K295" s="157"/>
      <c r="L295" s="157"/>
      <c r="M295" s="157"/>
      <c r="N295" s="198"/>
      <c r="O295" s="157"/>
      <c r="P295" s="157"/>
    </row>
    <row r="296" spans="1:16" x14ac:dyDescent="0.2">
      <c r="A296" s="157"/>
      <c r="B296" s="157"/>
      <c r="C296" s="157"/>
      <c r="D296" s="157"/>
      <c r="E296" s="157"/>
      <c r="F296" s="157"/>
      <c r="G296" s="157"/>
      <c r="H296" s="157"/>
      <c r="I296" s="157"/>
      <c r="J296" s="157"/>
      <c r="K296" s="157"/>
      <c r="L296" s="157"/>
      <c r="M296" s="157"/>
      <c r="N296" s="198"/>
      <c r="O296" s="157"/>
      <c r="P296" s="157"/>
    </row>
    <row r="297" spans="1:16" x14ac:dyDescent="0.2">
      <c r="A297" s="157"/>
      <c r="B297" s="157"/>
      <c r="C297" s="157"/>
      <c r="D297" s="157"/>
      <c r="E297" s="157"/>
      <c r="F297" s="157"/>
      <c r="G297" s="157"/>
      <c r="H297" s="157"/>
      <c r="I297" s="157"/>
      <c r="J297" s="157"/>
      <c r="K297" s="157"/>
      <c r="L297" s="157"/>
      <c r="M297" s="157"/>
      <c r="N297" s="198"/>
      <c r="O297" s="157"/>
      <c r="P297" s="157"/>
    </row>
    <row r="298" spans="1:16" x14ac:dyDescent="0.2">
      <c r="A298" s="157"/>
      <c r="B298" s="157"/>
      <c r="C298" s="157"/>
      <c r="D298" s="157"/>
      <c r="E298" s="157"/>
      <c r="F298" s="157"/>
      <c r="G298" s="157"/>
      <c r="H298" s="157"/>
      <c r="I298" s="157"/>
      <c r="J298" s="157"/>
      <c r="K298" s="157"/>
      <c r="L298" s="157"/>
      <c r="M298" s="157"/>
      <c r="N298" s="198"/>
      <c r="O298" s="157"/>
      <c r="P298" s="157"/>
    </row>
    <row r="299" spans="1:16" x14ac:dyDescent="0.2">
      <c r="A299" s="157"/>
      <c r="B299" s="157"/>
      <c r="C299" s="157"/>
      <c r="D299" s="157"/>
      <c r="E299" s="157"/>
      <c r="F299" s="157"/>
      <c r="G299" s="157"/>
      <c r="H299" s="157"/>
      <c r="I299" s="157"/>
      <c r="J299" s="157"/>
      <c r="K299" s="157"/>
      <c r="L299" s="157"/>
      <c r="M299" s="157"/>
      <c r="N299" s="198"/>
      <c r="O299" s="157"/>
      <c r="P299" s="157"/>
    </row>
    <row r="300" spans="1:16" x14ac:dyDescent="0.2">
      <c r="A300" s="157"/>
      <c r="B300" s="157"/>
      <c r="C300" s="157"/>
      <c r="D300" s="157"/>
      <c r="E300" s="157"/>
      <c r="F300" s="157"/>
      <c r="G300" s="157"/>
      <c r="H300" s="157"/>
      <c r="I300" s="157"/>
      <c r="J300" s="157"/>
      <c r="K300" s="157"/>
      <c r="L300" s="157"/>
      <c r="M300" s="157"/>
      <c r="N300" s="198"/>
      <c r="O300" s="157"/>
      <c r="P300" s="157"/>
    </row>
    <row r="301" spans="1:16" x14ac:dyDescent="0.2">
      <c r="A301" s="157"/>
      <c r="B301" s="157"/>
      <c r="C301" s="157"/>
      <c r="D301" s="157"/>
      <c r="E301" s="157"/>
      <c r="F301" s="157"/>
      <c r="G301" s="157"/>
      <c r="H301" s="157"/>
      <c r="I301" s="157"/>
      <c r="J301" s="157"/>
      <c r="K301" s="157"/>
      <c r="L301" s="157"/>
      <c r="M301" s="157"/>
      <c r="N301" s="198"/>
      <c r="O301" s="157"/>
      <c r="P301" s="157"/>
    </row>
    <row r="302" spans="1:16" x14ac:dyDescent="0.2">
      <c r="A302" s="157"/>
      <c r="B302" s="157"/>
      <c r="C302" s="157"/>
      <c r="D302" s="157"/>
      <c r="E302" s="157"/>
      <c r="F302" s="157"/>
      <c r="G302" s="157"/>
      <c r="H302" s="157"/>
      <c r="I302" s="157"/>
      <c r="J302" s="157"/>
      <c r="K302" s="157"/>
      <c r="L302" s="157"/>
      <c r="M302" s="157"/>
      <c r="N302" s="198"/>
      <c r="O302" s="157"/>
      <c r="P302" s="157"/>
    </row>
    <row r="303" spans="1:16" x14ac:dyDescent="0.2">
      <c r="A303" s="157"/>
      <c r="B303" s="157"/>
      <c r="C303" s="157"/>
      <c r="D303" s="157"/>
      <c r="E303" s="157"/>
      <c r="F303" s="157"/>
      <c r="G303" s="157"/>
      <c r="H303" s="157"/>
      <c r="I303" s="157"/>
      <c r="J303" s="157"/>
      <c r="K303" s="157"/>
      <c r="L303" s="157"/>
      <c r="M303" s="157"/>
      <c r="N303" s="198"/>
      <c r="O303" s="157"/>
      <c r="P303" s="157"/>
    </row>
    <row r="304" spans="1:16" x14ac:dyDescent="0.2">
      <c r="A304" s="157"/>
      <c r="B304" s="157"/>
      <c r="C304" s="157"/>
      <c r="D304" s="157"/>
      <c r="E304" s="157"/>
      <c r="F304" s="157"/>
      <c r="G304" s="157"/>
      <c r="H304" s="157"/>
      <c r="I304" s="157"/>
      <c r="J304" s="157"/>
      <c r="K304" s="157"/>
      <c r="L304" s="157"/>
      <c r="M304" s="157"/>
      <c r="N304" s="198"/>
      <c r="O304" s="157"/>
      <c r="P304" s="157"/>
    </row>
    <row r="305" spans="1:16" x14ac:dyDescent="0.2">
      <c r="A305" s="157"/>
      <c r="B305" s="157"/>
      <c r="C305" s="157"/>
      <c r="D305" s="157"/>
      <c r="E305" s="157"/>
      <c r="F305" s="157"/>
      <c r="G305" s="157"/>
      <c r="H305" s="157"/>
      <c r="I305" s="157"/>
      <c r="J305" s="157"/>
      <c r="K305" s="157"/>
      <c r="L305" s="157"/>
      <c r="M305" s="157"/>
      <c r="N305" s="198"/>
      <c r="O305" s="157"/>
      <c r="P305" s="157"/>
    </row>
    <row r="306" spans="1:16" x14ac:dyDescent="0.2">
      <c r="A306" s="157"/>
      <c r="B306" s="157"/>
      <c r="C306" s="157"/>
      <c r="D306" s="157"/>
      <c r="E306" s="157"/>
      <c r="F306" s="157"/>
      <c r="G306" s="157"/>
      <c r="H306" s="157"/>
      <c r="I306" s="157"/>
      <c r="J306" s="157"/>
      <c r="K306" s="157"/>
      <c r="L306" s="157"/>
      <c r="M306" s="157"/>
      <c r="N306" s="198"/>
      <c r="O306" s="157"/>
      <c r="P306" s="157"/>
    </row>
    <row r="307" spans="1:16" x14ac:dyDescent="0.2">
      <c r="A307" s="157"/>
      <c r="B307" s="157"/>
      <c r="C307" s="157"/>
      <c r="D307" s="157"/>
      <c r="E307" s="157"/>
      <c r="F307" s="157"/>
      <c r="G307" s="157"/>
      <c r="H307" s="157"/>
      <c r="I307" s="157"/>
      <c r="J307" s="157"/>
      <c r="K307" s="157"/>
      <c r="L307" s="157"/>
      <c r="M307" s="157"/>
      <c r="N307" s="198"/>
      <c r="O307" s="157"/>
      <c r="P307" s="157"/>
    </row>
    <row r="308" spans="1:16" x14ac:dyDescent="0.2">
      <c r="A308" s="157"/>
      <c r="B308" s="157"/>
      <c r="C308" s="157"/>
      <c r="D308" s="157"/>
      <c r="E308" s="157"/>
      <c r="F308" s="157"/>
      <c r="G308" s="157"/>
      <c r="H308" s="157"/>
      <c r="I308" s="157"/>
      <c r="J308" s="157"/>
      <c r="K308" s="157"/>
      <c r="L308" s="157"/>
      <c r="M308" s="157"/>
      <c r="N308" s="198"/>
      <c r="O308" s="157"/>
      <c r="P308" s="157"/>
    </row>
    <row r="309" spans="1:16" x14ac:dyDescent="0.2">
      <c r="A309" s="157"/>
      <c r="B309" s="157"/>
      <c r="C309" s="157"/>
      <c r="D309" s="157"/>
      <c r="E309" s="157"/>
      <c r="F309" s="157"/>
      <c r="G309" s="157"/>
      <c r="H309" s="157"/>
      <c r="I309" s="157"/>
      <c r="J309" s="157"/>
      <c r="K309" s="157"/>
      <c r="L309" s="157"/>
      <c r="M309" s="157"/>
      <c r="N309" s="198"/>
      <c r="O309" s="157"/>
      <c r="P309" s="157"/>
    </row>
    <row r="310" spans="1:16" x14ac:dyDescent="0.2">
      <c r="A310" s="157"/>
      <c r="B310" s="157"/>
      <c r="C310" s="157"/>
      <c r="D310" s="157"/>
      <c r="E310" s="157"/>
      <c r="F310" s="157"/>
      <c r="G310" s="157"/>
      <c r="H310" s="157"/>
      <c r="I310" s="157"/>
      <c r="J310" s="157"/>
      <c r="K310" s="157"/>
      <c r="L310" s="157"/>
      <c r="M310" s="157"/>
      <c r="N310" s="198"/>
      <c r="O310" s="157"/>
      <c r="P310" s="157"/>
    </row>
    <row r="311" spans="1:16" x14ac:dyDescent="0.2">
      <c r="A311" s="157"/>
      <c r="B311" s="157"/>
      <c r="C311" s="157"/>
      <c r="D311" s="157"/>
      <c r="E311" s="157"/>
      <c r="F311" s="157"/>
      <c r="G311" s="157"/>
      <c r="H311" s="157"/>
      <c r="I311" s="157"/>
      <c r="J311" s="157"/>
      <c r="K311" s="157"/>
      <c r="L311" s="157"/>
      <c r="M311" s="157"/>
      <c r="N311" s="198"/>
      <c r="O311" s="157"/>
      <c r="P311" s="157"/>
    </row>
    <row r="312" spans="1:16" x14ac:dyDescent="0.2">
      <c r="A312" s="157"/>
      <c r="B312" s="157"/>
      <c r="C312" s="157"/>
      <c r="D312" s="157"/>
      <c r="E312" s="157"/>
      <c r="F312" s="157"/>
      <c r="G312" s="157"/>
      <c r="H312" s="157"/>
      <c r="I312" s="157"/>
      <c r="J312" s="157"/>
      <c r="K312" s="157"/>
      <c r="L312" s="157"/>
      <c r="M312" s="157"/>
      <c r="N312" s="198"/>
      <c r="O312" s="157"/>
      <c r="P312" s="157"/>
    </row>
    <row r="313" spans="1:16" x14ac:dyDescent="0.2">
      <c r="A313" s="157"/>
      <c r="B313" s="157"/>
      <c r="C313" s="157"/>
      <c r="D313" s="157"/>
      <c r="E313" s="157"/>
      <c r="F313" s="157"/>
      <c r="G313" s="157"/>
      <c r="H313" s="157"/>
      <c r="I313" s="157"/>
      <c r="J313" s="157"/>
      <c r="K313" s="157"/>
      <c r="L313" s="157"/>
      <c r="M313" s="157"/>
      <c r="N313" s="198"/>
      <c r="O313" s="157"/>
      <c r="P313" s="157"/>
    </row>
    <row r="314" spans="1:16" x14ac:dyDescent="0.2">
      <c r="A314" s="157"/>
      <c r="B314" s="157"/>
      <c r="C314" s="157"/>
      <c r="D314" s="157"/>
      <c r="E314" s="157"/>
      <c r="F314" s="157"/>
      <c r="G314" s="157"/>
      <c r="H314" s="157"/>
      <c r="I314" s="157"/>
      <c r="J314" s="157"/>
      <c r="K314" s="157"/>
      <c r="L314" s="157"/>
      <c r="M314" s="157"/>
      <c r="N314" s="198"/>
      <c r="O314" s="157"/>
      <c r="P314" s="157"/>
    </row>
    <row r="315" spans="1:16" x14ac:dyDescent="0.2">
      <c r="A315" s="157"/>
      <c r="B315" s="157"/>
      <c r="C315" s="157"/>
      <c r="D315" s="157"/>
      <c r="E315" s="157"/>
      <c r="F315" s="157"/>
      <c r="G315" s="157"/>
      <c r="H315" s="157"/>
      <c r="I315" s="157"/>
      <c r="J315" s="157"/>
      <c r="K315" s="157"/>
      <c r="L315" s="157"/>
      <c r="M315" s="157"/>
      <c r="N315" s="198"/>
      <c r="O315" s="157"/>
      <c r="P315" s="157"/>
    </row>
    <row r="316" spans="1:16" x14ac:dyDescent="0.2">
      <c r="A316" s="157"/>
      <c r="B316" s="157"/>
      <c r="C316" s="157"/>
      <c r="D316" s="157"/>
      <c r="E316" s="157"/>
      <c r="F316" s="157"/>
      <c r="G316" s="157"/>
      <c r="H316" s="157"/>
      <c r="I316" s="157"/>
      <c r="J316" s="157"/>
      <c r="K316" s="157"/>
      <c r="L316" s="157"/>
      <c r="M316" s="157"/>
      <c r="N316" s="198"/>
      <c r="O316" s="157"/>
      <c r="P316" s="157"/>
    </row>
    <row r="317" spans="1:16" x14ac:dyDescent="0.2">
      <c r="A317" s="157"/>
      <c r="B317" s="157"/>
      <c r="C317" s="157"/>
      <c r="D317" s="157"/>
      <c r="E317" s="157"/>
      <c r="F317" s="157"/>
      <c r="G317" s="157"/>
      <c r="H317" s="157"/>
      <c r="I317" s="157"/>
      <c r="J317" s="157"/>
      <c r="K317" s="157"/>
      <c r="L317" s="157"/>
      <c r="M317" s="157"/>
      <c r="N317" s="198"/>
      <c r="O317" s="157"/>
      <c r="P317" s="157"/>
    </row>
    <row r="318" spans="1:16" x14ac:dyDescent="0.2">
      <c r="A318" s="157"/>
      <c r="B318" s="157"/>
      <c r="C318" s="157"/>
      <c r="D318" s="157"/>
      <c r="E318" s="157"/>
      <c r="F318" s="157"/>
      <c r="G318" s="157"/>
      <c r="H318" s="157"/>
      <c r="I318" s="157"/>
      <c r="J318" s="157"/>
      <c r="K318" s="157"/>
      <c r="L318" s="157"/>
      <c r="M318" s="157"/>
      <c r="N318" s="198"/>
      <c r="O318" s="157"/>
      <c r="P318" s="157"/>
    </row>
    <row r="319" spans="1:16" x14ac:dyDescent="0.2">
      <c r="A319" s="157"/>
      <c r="B319" s="157"/>
      <c r="C319" s="157"/>
      <c r="D319" s="157"/>
      <c r="E319" s="157"/>
      <c r="F319" s="157"/>
      <c r="G319" s="157"/>
      <c r="H319" s="157"/>
      <c r="I319" s="157"/>
      <c r="J319" s="157"/>
      <c r="K319" s="157"/>
      <c r="L319" s="157"/>
      <c r="M319" s="157"/>
      <c r="N319" s="198"/>
      <c r="O319" s="157"/>
      <c r="P319" s="157"/>
    </row>
    <row r="320" spans="1:16" x14ac:dyDescent="0.2">
      <c r="A320" s="157"/>
      <c r="B320" s="157"/>
      <c r="C320" s="157"/>
      <c r="D320" s="157"/>
      <c r="E320" s="157"/>
      <c r="F320" s="157"/>
      <c r="G320" s="157"/>
      <c r="H320" s="157"/>
      <c r="I320" s="157"/>
      <c r="J320" s="157"/>
      <c r="K320" s="157"/>
      <c r="L320" s="157"/>
      <c r="M320" s="157"/>
      <c r="N320" s="198"/>
      <c r="O320" s="157"/>
      <c r="P320" s="157"/>
    </row>
    <row r="321" spans="1:16" x14ac:dyDescent="0.2">
      <c r="A321" s="157"/>
      <c r="B321" s="157"/>
      <c r="C321" s="157"/>
      <c r="D321" s="157"/>
      <c r="E321" s="157"/>
      <c r="F321" s="157"/>
      <c r="G321" s="157"/>
      <c r="H321" s="157"/>
      <c r="I321" s="157"/>
      <c r="J321" s="157"/>
      <c r="K321" s="157"/>
      <c r="L321" s="157"/>
      <c r="M321" s="157"/>
      <c r="N321" s="198"/>
      <c r="O321" s="157"/>
      <c r="P321" s="157"/>
    </row>
    <row r="322" spans="1:16" x14ac:dyDescent="0.2">
      <c r="A322" s="157"/>
      <c r="B322" s="157"/>
      <c r="C322" s="157"/>
      <c r="D322" s="157"/>
      <c r="E322" s="157"/>
      <c r="F322" s="157"/>
      <c r="G322" s="157"/>
      <c r="H322" s="157"/>
      <c r="I322" s="157"/>
      <c r="J322" s="157"/>
      <c r="K322" s="157"/>
      <c r="L322" s="157"/>
      <c r="M322" s="157"/>
      <c r="N322" s="198"/>
      <c r="O322" s="157"/>
      <c r="P322" s="157"/>
    </row>
    <row r="323" spans="1:16" x14ac:dyDescent="0.2">
      <c r="A323" s="157"/>
      <c r="B323" s="157"/>
      <c r="C323" s="157"/>
      <c r="D323" s="157"/>
      <c r="E323" s="157"/>
      <c r="F323" s="157"/>
      <c r="G323" s="157"/>
      <c r="H323" s="157"/>
      <c r="I323" s="157"/>
      <c r="J323" s="157"/>
      <c r="K323" s="157"/>
      <c r="L323" s="157"/>
      <c r="M323" s="157"/>
      <c r="N323" s="198"/>
      <c r="O323" s="157"/>
      <c r="P323" s="157"/>
    </row>
    <row r="324" spans="1:16" x14ac:dyDescent="0.2">
      <c r="A324" s="157"/>
      <c r="B324" s="157"/>
      <c r="C324" s="157"/>
      <c r="D324" s="157"/>
      <c r="E324" s="157"/>
      <c r="F324" s="157"/>
      <c r="G324" s="157"/>
      <c r="H324" s="157"/>
      <c r="I324" s="157"/>
      <c r="J324" s="157"/>
      <c r="K324" s="157"/>
      <c r="L324" s="157"/>
      <c r="M324" s="157"/>
      <c r="N324" s="198"/>
      <c r="O324" s="157"/>
      <c r="P324" s="157"/>
    </row>
    <row r="325" spans="1:16" x14ac:dyDescent="0.2">
      <c r="A325" s="157"/>
      <c r="B325" s="157"/>
      <c r="C325" s="157"/>
      <c r="D325" s="157"/>
      <c r="E325" s="157"/>
      <c r="F325" s="157"/>
      <c r="G325" s="157"/>
      <c r="H325" s="157"/>
      <c r="I325" s="157"/>
      <c r="J325" s="157"/>
      <c r="K325" s="157"/>
      <c r="L325" s="157"/>
      <c r="M325" s="157"/>
      <c r="N325" s="198"/>
      <c r="O325" s="157"/>
      <c r="P325" s="157"/>
    </row>
    <row r="326" spans="1:16" x14ac:dyDescent="0.2">
      <c r="A326" s="157"/>
      <c r="B326" s="157"/>
      <c r="C326" s="157"/>
      <c r="D326" s="157"/>
      <c r="E326" s="157"/>
      <c r="F326" s="157"/>
      <c r="G326" s="157"/>
      <c r="H326" s="157"/>
      <c r="I326" s="157"/>
      <c r="J326" s="157"/>
      <c r="K326" s="157"/>
      <c r="L326" s="157"/>
      <c r="M326" s="157"/>
      <c r="N326" s="198"/>
      <c r="O326" s="157"/>
      <c r="P326" s="157"/>
    </row>
    <row r="327" spans="1:16" x14ac:dyDescent="0.2">
      <c r="A327" s="157"/>
      <c r="B327" s="157"/>
      <c r="C327" s="157"/>
      <c r="D327" s="157"/>
      <c r="E327" s="157"/>
      <c r="F327" s="157"/>
      <c r="G327" s="157"/>
      <c r="H327" s="157"/>
      <c r="I327" s="157"/>
      <c r="J327" s="157"/>
      <c r="K327" s="157"/>
      <c r="L327" s="157"/>
      <c r="M327" s="157"/>
      <c r="N327" s="198"/>
      <c r="O327" s="157"/>
      <c r="P327" s="157"/>
    </row>
    <row r="328" spans="1:16" x14ac:dyDescent="0.2">
      <c r="A328" s="157"/>
      <c r="B328" s="157"/>
      <c r="C328" s="157"/>
      <c r="D328" s="157"/>
      <c r="E328" s="157"/>
      <c r="F328" s="157"/>
      <c r="G328" s="157"/>
      <c r="H328" s="157"/>
      <c r="I328" s="157"/>
      <c r="J328" s="157"/>
      <c r="K328" s="157"/>
      <c r="L328" s="157"/>
      <c r="M328" s="157"/>
      <c r="N328" s="198"/>
      <c r="O328" s="157"/>
      <c r="P328" s="157"/>
    </row>
    <row r="329" spans="1:16" x14ac:dyDescent="0.2">
      <c r="A329" s="157"/>
      <c r="B329" s="157"/>
      <c r="C329" s="157"/>
      <c r="D329" s="157"/>
      <c r="E329" s="157"/>
      <c r="F329" s="157"/>
      <c r="G329" s="157"/>
      <c r="H329" s="157"/>
      <c r="I329" s="157"/>
      <c r="J329" s="157"/>
      <c r="K329" s="157"/>
      <c r="L329" s="157"/>
      <c r="M329" s="157"/>
      <c r="N329" s="198"/>
      <c r="O329" s="157"/>
      <c r="P329" s="157"/>
    </row>
    <row r="330" spans="1:16" x14ac:dyDescent="0.2">
      <c r="A330" s="157"/>
      <c r="B330" s="157"/>
      <c r="C330" s="157"/>
      <c r="D330" s="157"/>
      <c r="E330" s="157"/>
      <c r="F330" s="157"/>
      <c r="G330" s="157"/>
      <c r="H330" s="157"/>
      <c r="I330" s="157"/>
      <c r="J330" s="157"/>
      <c r="K330" s="157"/>
      <c r="L330" s="157"/>
      <c r="M330" s="157"/>
      <c r="N330" s="198"/>
      <c r="O330" s="157"/>
      <c r="P330" s="157"/>
    </row>
    <row r="331" spans="1:16" x14ac:dyDescent="0.2">
      <c r="A331" s="157"/>
      <c r="B331" s="157"/>
      <c r="C331" s="157"/>
      <c r="D331" s="157"/>
      <c r="E331" s="157"/>
      <c r="F331" s="157"/>
      <c r="G331" s="157"/>
      <c r="H331" s="157"/>
      <c r="I331" s="157"/>
      <c r="J331" s="157"/>
      <c r="K331" s="157"/>
      <c r="L331" s="157"/>
      <c r="M331" s="157"/>
      <c r="N331" s="198"/>
      <c r="O331" s="157"/>
      <c r="P331" s="157"/>
    </row>
    <row r="332" spans="1:16" x14ac:dyDescent="0.2">
      <c r="A332" s="157"/>
      <c r="B332" s="157"/>
      <c r="C332" s="157"/>
      <c r="D332" s="157"/>
      <c r="E332" s="157"/>
      <c r="F332" s="157"/>
      <c r="G332" s="157"/>
      <c r="H332" s="157"/>
      <c r="I332" s="157"/>
      <c r="J332" s="157"/>
      <c r="K332" s="157"/>
      <c r="L332" s="157"/>
      <c r="M332" s="157"/>
      <c r="N332" s="198"/>
      <c r="O332" s="157"/>
      <c r="P332" s="157"/>
    </row>
    <row r="333" spans="1:16" x14ac:dyDescent="0.2">
      <c r="G333" s="199"/>
      <c r="I333" s="199"/>
      <c r="K333" s="199"/>
      <c r="M333" s="199"/>
      <c r="N333" s="200"/>
      <c r="P333" s="199"/>
    </row>
    <row r="334" spans="1:16" x14ac:dyDescent="0.2">
      <c r="G334" s="199"/>
      <c r="I334" s="199"/>
      <c r="K334" s="199"/>
      <c r="M334" s="199"/>
      <c r="N334" s="200"/>
      <c r="P334" s="199"/>
    </row>
    <row r="335" spans="1:16" x14ac:dyDescent="0.2">
      <c r="G335" s="199"/>
      <c r="I335" s="199"/>
      <c r="K335" s="199"/>
      <c r="M335" s="199"/>
      <c r="N335" s="200"/>
      <c r="P335" s="199"/>
    </row>
    <row r="336" spans="1:16" x14ac:dyDescent="0.2">
      <c r="G336" s="199"/>
      <c r="I336" s="199"/>
      <c r="K336" s="199"/>
      <c r="M336" s="199"/>
      <c r="N336" s="200"/>
      <c r="P336" s="199"/>
    </row>
    <row r="337" spans="7:16" x14ac:dyDescent="0.2">
      <c r="G337" s="199"/>
      <c r="I337" s="199"/>
      <c r="K337" s="199"/>
      <c r="M337" s="199"/>
      <c r="N337" s="200"/>
      <c r="P337" s="199"/>
    </row>
    <row r="338" spans="7:16" x14ac:dyDescent="0.2">
      <c r="G338" s="199"/>
      <c r="I338" s="199"/>
      <c r="K338" s="199"/>
      <c r="M338" s="199"/>
      <c r="N338" s="200"/>
      <c r="P338" s="199"/>
    </row>
    <row r="339" spans="7:16" x14ac:dyDescent="0.2">
      <c r="G339" s="199"/>
      <c r="I339" s="199"/>
      <c r="K339" s="199"/>
      <c r="M339" s="199"/>
      <c r="N339" s="200"/>
      <c r="P339" s="199"/>
    </row>
    <row r="340" spans="7:16" x14ac:dyDescent="0.2">
      <c r="G340" s="199"/>
      <c r="I340" s="199"/>
      <c r="K340" s="199"/>
      <c r="M340" s="199"/>
      <c r="N340" s="200"/>
      <c r="P340" s="199"/>
    </row>
    <row r="341" spans="7:16" x14ac:dyDescent="0.2">
      <c r="G341" s="199"/>
      <c r="I341" s="199"/>
      <c r="K341" s="199"/>
      <c r="M341" s="199"/>
      <c r="N341" s="200"/>
      <c r="P341" s="199"/>
    </row>
    <row r="342" spans="7:16" x14ac:dyDescent="0.2">
      <c r="G342" s="199"/>
      <c r="I342" s="199"/>
      <c r="K342" s="199"/>
      <c r="M342" s="199"/>
      <c r="N342" s="200"/>
      <c r="P342" s="199"/>
    </row>
    <row r="343" spans="7:16" x14ac:dyDescent="0.2">
      <c r="G343" s="199"/>
      <c r="I343" s="199"/>
      <c r="K343" s="199"/>
      <c r="M343" s="199"/>
      <c r="N343" s="200"/>
      <c r="P343" s="199"/>
    </row>
    <row r="344" spans="7:16" x14ac:dyDescent="0.2">
      <c r="G344" s="199"/>
      <c r="I344" s="199"/>
      <c r="K344" s="199"/>
      <c r="M344" s="199"/>
      <c r="N344" s="200"/>
      <c r="P344" s="199"/>
    </row>
    <row r="345" spans="7:16" x14ac:dyDescent="0.2">
      <c r="G345" s="199"/>
      <c r="I345" s="199"/>
      <c r="K345" s="199"/>
      <c r="M345" s="199"/>
      <c r="N345" s="200"/>
      <c r="P345" s="199"/>
    </row>
    <row r="346" spans="7:16" x14ac:dyDescent="0.2">
      <c r="G346" s="199"/>
      <c r="I346" s="199"/>
      <c r="K346" s="199"/>
      <c r="M346" s="199"/>
      <c r="N346" s="200"/>
      <c r="P346" s="199"/>
    </row>
    <row r="347" spans="7:16" x14ac:dyDescent="0.2">
      <c r="G347" s="199"/>
      <c r="I347" s="199"/>
      <c r="K347" s="199"/>
      <c r="M347" s="199"/>
      <c r="N347" s="200"/>
      <c r="P347" s="199"/>
    </row>
    <row r="348" spans="7:16" x14ac:dyDescent="0.2">
      <c r="G348" s="199"/>
      <c r="I348" s="199"/>
      <c r="K348" s="199"/>
      <c r="M348" s="199"/>
      <c r="N348" s="200"/>
      <c r="P348" s="199"/>
    </row>
    <row r="349" spans="7:16" x14ac:dyDescent="0.2">
      <c r="G349" s="199"/>
      <c r="I349" s="199"/>
      <c r="K349" s="199"/>
      <c r="M349" s="199"/>
      <c r="N349" s="200"/>
      <c r="P349" s="199"/>
    </row>
    <row r="350" spans="7:16" x14ac:dyDescent="0.2">
      <c r="G350" s="199"/>
      <c r="I350" s="199"/>
      <c r="K350" s="199"/>
      <c r="M350" s="199"/>
      <c r="N350" s="200"/>
      <c r="P350" s="199"/>
    </row>
    <row r="351" spans="7:16" x14ac:dyDescent="0.2">
      <c r="G351" s="199"/>
      <c r="I351" s="199"/>
      <c r="K351" s="199"/>
      <c r="M351" s="199"/>
      <c r="N351" s="200"/>
      <c r="P351" s="199"/>
    </row>
    <row r="352" spans="7:16" x14ac:dyDescent="0.2">
      <c r="G352" s="199"/>
      <c r="I352" s="199"/>
      <c r="K352" s="199"/>
      <c r="M352" s="199"/>
      <c r="N352" s="200"/>
      <c r="P352" s="199"/>
    </row>
    <row r="353" spans="7:16" x14ac:dyDescent="0.2">
      <c r="G353" s="199"/>
      <c r="I353" s="199"/>
      <c r="K353" s="199"/>
      <c r="M353" s="199"/>
      <c r="N353" s="200"/>
      <c r="P353" s="199"/>
    </row>
    <row r="354" spans="7:16" x14ac:dyDescent="0.2">
      <c r="G354" s="199"/>
      <c r="I354" s="199"/>
      <c r="K354" s="199"/>
      <c r="M354" s="199"/>
      <c r="N354" s="200"/>
      <c r="P354" s="199"/>
    </row>
    <row r="355" spans="7:16" x14ac:dyDescent="0.2">
      <c r="G355" s="199"/>
      <c r="I355" s="199"/>
      <c r="K355" s="199"/>
      <c r="M355" s="199"/>
      <c r="N355" s="200"/>
      <c r="P355" s="199"/>
    </row>
    <row r="356" spans="7:16" x14ac:dyDescent="0.2">
      <c r="G356" s="199"/>
      <c r="I356" s="199"/>
      <c r="K356" s="199"/>
      <c r="M356" s="199"/>
      <c r="N356" s="200"/>
      <c r="P356" s="199"/>
    </row>
    <row r="357" spans="7:16" x14ac:dyDescent="0.2">
      <c r="G357" s="199"/>
      <c r="I357" s="199"/>
      <c r="K357" s="199"/>
      <c r="M357" s="199"/>
      <c r="N357" s="200"/>
      <c r="P357" s="199"/>
    </row>
    <row r="358" spans="7:16" x14ac:dyDescent="0.2">
      <c r="G358" s="199"/>
      <c r="I358" s="199"/>
      <c r="K358" s="199"/>
      <c r="M358" s="199"/>
      <c r="N358" s="200"/>
      <c r="P358" s="199"/>
    </row>
    <row r="359" spans="7:16" x14ac:dyDescent="0.2">
      <c r="G359" s="199"/>
      <c r="I359" s="199"/>
      <c r="K359" s="199"/>
      <c r="M359" s="199"/>
      <c r="N359" s="200"/>
      <c r="P359" s="199"/>
    </row>
    <row r="360" spans="7:16" x14ac:dyDescent="0.2">
      <c r="G360" s="199"/>
      <c r="I360" s="199"/>
      <c r="K360" s="199"/>
      <c r="M360" s="199"/>
      <c r="N360" s="200"/>
      <c r="P360" s="199"/>
    </row>
    <row r="361" spans="7:16" x14ac:dyDescent="0.2">
      <c r="G361" s="199"/>
      <c r="I361" s="199"/>
      <c r="K361" s="199"/>
      <c r="M361" s="199"/>
      <c r="N361" s="200"/>
      <c r="P361" s="199"/>
    </row>
    <row r="362" spans="7:16" x14ac:dyDescent="0.2">
      <c r="G362" s="199"/>
      <c r="I362" s="199"/>
      <c r="K362" s="199"/>
      <c r="M362" s="199"/>
      <c r="N362" s="200"/>
      <c r="P362" s="199"/>
    </row>
    <row r="363" spans="7:16" x14ac:dyDescent="0.2">
      <c r="G363" s="199"/>
      <c r="I363" s="199"/>
      <c r="K363" s="199"/>
      <c r="M363" s="199"/>
      <c r="N363" s="200"/>
      <c r="P363" s="199"/>
    </row>
    <row r="364" spans="7:16" x14ac:dyDescent="0.2">
      <c r="G364" s="199"/>
      <c r="I364" s="199"/>
      <c r="K364" s="199"/>
      <c r="M364" s="199"/>
      <c r="N364" s="200"/>
      <c r="P364" s="199"/>
    </row>
    <row r="365" spans="7:16" x14ac:dyDescent="0.2">
      <c r="G365" s="199"/>
      <c r="I365" s="199"/>
      <c r="K365" s="199"/>
      <c r="M365" s="199"/>
      <c r="N365" s="200"/>
      <c r="P365" s="199"/>
    </row>
    <row r="366" spans="7:16" x14ac:dyDescent="0.2">
      <c r="G366" s="199"/>
      <c r="I366" s="199"/>
      <c r="K366" s="199"/>
      <c r="M366" s="199"/>
      <c r="N366" s="200"/>
      <c r="P366" s="199"/>
    </row>
    <row r="367" spans="7:16" x14ac:dyDescent="0.2">
      <c r="G367" s="199"/>
      <c r="I367" s="199"/>
      <c r="K367" s="199"/>
      <c r="M367" s="199"/>
      <c r="N367" s="200"/>
      <c r="P367" s="199"/>
    </row>
    <row r="368" spans="7:16" x14ac:dyDescent="0.2">
      <c r="G368" s="199"/>
      <c r="I368" s="199"/>
      <c r="K368" s="199"/>
      <c r="M368" s="199"/>
      <c r="N368" s="200"/>
      <c r="P368" s="199"/>
    </row>
    <row r="369" spans="7:16" x14ac:dyDescent="0.2">
      <c r="G369" s="199"/>
      <c r="I369" s="199"/>
      <c r="K369" s="199"/>
      <c r="M369" s="199"/>
      <c r="N369" s="200"/>
      <c r="P369" s="199"/>
    </row>
    <row r="370" spans="7:16" x14ac:dyDescent="0.2">
      <c r="G370" s="199"/>
      <c r="I370" s="199"/>
      <c r="K370" s="199"/>
      <c r="M370" s="199"/>
      <c r="N370" s="200"/>
      <c r="P370" s="199"/>
    </row>
    <row r="371" spans="7:16" x14ac:dyDescent="0.2">
      <c r="G371" s="199"/>
      <c r="I371" s="199"/>
      <c r="K371" s="199"/>
      <c r="M371" s="199"/>
      <c r="N371" s="200"/>
      <c r="P371" s="199"/>
    </row>
    <row r="372" spans="7:16" x14ac:dyDescent="0.2">
      <c r="G372" s="199"/>
      <c r="I372" s="199"/>
      <c r="K372" s="199"/>
      <c r="M372" s="199"/>
      <c r="N372" s="200"/>
      <c r="P372" s="199"/>
    </row>
    <row r="373" spans="7:16" x14ac:dyDescent="0.2">
      <c r="G373" s="199"/>
      <c r="I373" s="199"/>
      <c r="K373" s="199"/>
      <c r="M373" s="199"/>
      <c r="N373" s="200"/>
      <c r="P373" s="199"/>
    </row>
    <row r="374" spans="7:16" x14ac:dyDescent="0.2">
      <c r="G374" s="199"/>
      <c r="I374" s="199"/>
      <c r="K374" s="199"/>
      <c r="M374" s="199"/>
      <c r="N374" s="200"/>
      <c r="P374" s="199"/>
    </row>
    <row r="375" spans="7:16" x14ac:dyDescent="0.2">
      <c r="G375" s="199"/>
      <c r="I375" s="199"/>
      <c r="K375" s="199"/>
      <c r="M375" s="199"/>
      <c r="N375" s="200"/>
      <c r="P375" s="199"/>
    </row>
    <row r="376" spans="7:16" x14ac:dyDescent="0.2">
      <c r="G376" s="199"/>
      <c r="I376" s="199"/>
      <c r="K376" s="199"/>
      <c r="M376" s="199"/>
      <c r="N376" s="200"/>
      <c r="P376" s="199"/>
    </row>
    <row r="377" spans="7:16" x14ac:dyDescent="0.2">
      <c r="G377" s="199"/>
      <c r="I377" s="199"/>
      <c r="K377" s="199"/>
      <c r="M377" s="199"/>
      <c r="N377" s="200"/>
      <c r="P377" s="199"/>
    </row>
    <row r="378" spans="7:16" x14ac:dyDescent="0.2">
      <c r="G378" s="199"/>
      <c r="I378" s="199"/>
      <c r="K378" s="199"/>
      <c r="M378" s="199"/>
      <c r="N378" s="200"/>
      <c r="P378" s="199"/>
    </row>
    <row r="379" spans="7:16" x14ac:dyDescent="0.2">
      <c r="G379" s="199"/>
      <c r="I379" s="199"/>
      <c r="K379" s="199"/>
      <c r="M379" s="199"/>
      <c r="N379" s="200"/>
      <c r="P379" s="199"/>
    </row>
    <row r="380" spans="7:16" x14ac:dyDescent="0.2">
      <c r="G380" s="199"/>
      <c r="I380" s="199"/>
      <c r="K380" s="199"/>
      <c r="M380" s="199"/>
      <c r="N380" s="200"/>
      <c r="P380" s="199"/>
    </row>
    <row r="381" spans="7:16" x14ac:dyDescent="0.2">
      <c r="G381" s="199"/>
      <c r="I381" s="199"/>
      <c r="K381" s="199"/>
      <c r="M381" s="199"/>
      <c r="N381" s="200"/>
      <c r="P381" s="199"/>
    </row>
    <row r="382" spans="7:16" x14ac:dyDescent="0.2">
      <c r="G382" s="199"/>
      <c r="I382" s="199"/>
      <c r="K382" s="199"/>
      <c r="M382" s="199"/>
      <c r="N382" s="200"/>
      <c r="P382" s="199"/>
    </row>
    <row r="383" spans="7:16" x14ac:dyDescent="0.2">
      <c r="G383" s="199"/>
      <c r="I383" s="199"/>
      <c r="K383" s="199"/>
      <c r="M383" s="199"/>
      <c r="N383" s="200"/>
      <c r="P383" s="199"/>
    </row>
    <row r="384" spans="7:16" x14ac:dyDescent="0.2">
      <c r="G384" s="199"/>
      <c r="I384" s="199"/>
      <c r="K384" s="199"/>
      <c r="M384" s="199"/>
      <c r="N384" s="200"/>
      <c r="P384" s="199"/>
    </row>
    <row r="385" spans="7:16" x14ac:dyDescent="0.2">
      <c r="G385" s="199"/>
      <c r="I385" s="199"/>
      <c r="K385" s="199"/>
      <c r="M385" s="199"/>
      <c r="N385" s="200"/>
      <c r="P385" s="199"/>
    </row>
    <row r="386" spans="7:16" x14ac:dyDescent="0.2">
      <c r="G386" s="199"/>
      <c r="I386" s="199"/>
      <c r="K386" s="199"/>
      <c r="M386" s="199"/>
      <c r="N386" s="200"/>
      <c r="P386" s="199"/>
    </row>
    <row r="387" spans="7:16" x14ac:dyDescent="0.2">
      <c r="G387" s="199"/>
      <c r="I387" s="199"/>
      <c r="K387" s="199"/>
      <c r="M387" s="199"/>
      <c r="N387" s="200"/>
      <c r="P387" s="199"/>
    </row>
    <row r="388" spans="7:16" x14ac:dyDescent="0.2">
      <c r="G388" s="199"/>
      <c r="I388" s="199"/>
      <c r="K388" s="199"/>
      <c r="M388" s="199"/>
      <c r="N388" s="200"/>
      <c r="P388" s="199"/>
    </row>
    <row r="389" spans="7:16" x14ac:dyDescent="0.2">
      <c r="G389" s="199"/>
      <c r="I389" s="199"/>
      <c r="K389" s="199"/>
      <c r="M389" s="199"/>
      <c r="N389" s="200"/>
      <c r="P389" s="199"/>
    </row>
    <row r="390" spans="7:16" x14ac:dyDescent="0.2">
      <c r="G390" s="199"/>
      <c r="I390" s="199"/>
      <c r="K390" s="199"/>
      <c r="M390" s="199"/>
      <c r="N390" s="200"/>
      <c r="P390" s="199"/>
    </row>
    <row r="391" spans="7:16" x14ac:dyDescent="0.2">
      <c r="G391" s="199"/>
      <c r="I391" s="199"/>
      <c r="K391" s="199"/>
      <c r="M391" s="199"/>
      <c r="N391" s="200"/>
      <c r="P391" s="199"/>
    </row>
    <row r="392" spans="7:16" x14ac:dyDescent="0.2">
      <c r="G392" s="199"/>
      <c r="I392" s="199"/>
      <c r="K392" s="199"/>
      <c r="M392" s="199"/>
      <c r="N392" s="200"/>
      <c r="P392" s="199"/>
    </row>
    <row r="393" spans="7:16" x14ac:dyDescent="0.2">
      <c r="G393" s="199"/>
      <c r="I393" s="199"/>
      <c r="K393" s="199"/>
      <c r="M393" s="199"/>
      <c r="N393" s="200"/>
      <c r="P393" s="199"/>
    </row>
    <row r="394" spans="7:16" x14ac:dyDescent="0.2">
      <c r="G394" s="199"/>
      <c r="I394" s="199"/>
      <c r="K394" s="199"/>
      <c r="M394" s="199"/>
      <c r="N394" s="200"/>
      <c r="P394" s="199"/>
    </row>
    <row r="395" spans="7:16" x14ac:dyDescent="0.2">
      <c r="G395" s="199"/>
      <c r="I395" s="199"/>
      <c r="K395" s="199"/>
      <c r="M395" s="199"/>
      <c r="N395" s="200"/>
      <c r="P395" s="199"/>
    </row>
    <row r="396" spans="7:16" x14ac:dyDescent="0.2">
      <c r="G396" s="199"/>
      <c r="I396" s="199"/>
      <c r="K396" s="199"/>
      <c r="M396" s="199"/>
      <c r="N396" s="200"/>
      <c r="P396" s="199"/>
    </row>
    <row r="397" spans="7:16" x14ac:dyDescent="0.2">
      <c r="G397" s="199"/>
      <c r="I397" s="199"/>
      <c r="K397" s="199"/>
      <c r="M397" s="199"/>
      <c r="N397" s="200"/>
      <c r="P397" s="199"/>
    </row>
    <row r="398" spans="7:16" x14ac:dyDescent="0.2">
      <c r="G398" s="199"/>
      <c r="I398" s="199"/>
      <c r="K398" s="199"/>
      <c r="M398" s="199"/>
      <c r="N398" s="200"/>
      <c r="P398" s="199"/>
    </row>
    <row r="399" spans="7:16" x14ac:dyDescent="0.2">
      <c r="G399" s="199"/>
      <c r="I399" s="199"/>
      <c r="K399" s="199"/>
      <c r="M399" s="199"/>
      <c r="N399" s="200"/>
      <c r="P399" s="199"/>
    </row>
    <row r="400" spans="7:16" x14ac:dyDescent="0.2">
      <c r="G400" s="199"/>
      <c r="I400" s="199"/>
      <c r="K400" s="199"/>
      <c r="M400" s="199"/>
      <c r="N400" s="200"/>
      <c r="P400" s="199"/>
    </row>
    <row r="401" spans="7:16" x14ac:dyDescent="0.2">
      <c r="G401" s="199"/>
      <c r="I401" s="199"/>
      <c r="K401" s="199"/>
      <c r="M401" s="199"/>
      <c r="N401" s="200"/>
      <c r="P401" s="199"/>
    </row>
    <row r="402" spans="7:16" x14ac:dyDescent="0.2">
      <c r="G402" s="199"/>
      <c r="I402" s="199"/>
      <c r="K402" s="199"/>
      <c r="M402" s="199"/>
      <c r="N402" s="200"/>
      <c r="P402" s="199"/>
    </row>
    <row r="403" spans="7:16" x14ac:dyDescent="0.2">
      <c r="G403" s="199"/>
      <c r="I403" s="199"/>
      <c r="K403" s="199"/>
      <c r="M403" s="199"/>
      <c r="N403" s="200"/>
      <c r="P403" s="199"/>
    </row>
    <row r="404" spans="7:16" x14ac:dyDescent="0.2">
      <c r="G404" s="199"/>
      <c r="I404" s="199"/>
      <c r="K404" s="199"/>
      <c r="M404" s="199"/>
      <c r="N404" s="200"/>
      <c r="P404" s="199"/>
    </row>
    <row r="405" spans="7:16" x14ac:dyDescent="0.2">
      <c r="G405" s="199"/>
      <c r="I405" s="199"/>
      <c r="K405" s="199"/>
      <c r="M405" s="199"/>
      <c r="N405" s="200"/>
      <c r="P405" s="199"/>
    </row>
    <row r="406" spans="7:16" x14ac:dyDescent="0.2">
      <c r="G406" s="199"/>
      <c r="I406" s="199"/>
      <c r="K406" s="199"/>
      <c r="M406" s="199"/>
      <c r="N406" s="200"/>
      <c r="P406" s="199"/>
    </row>
    <row r="407" spans="7:16" x14ac:dyDescent="0.2">
      <c r="G407" s="199"/>
      <c r="I407" s="199"/>
      <c r="K407" s="199"/>
      <c r="M407" s="199"/>
      <c r="N407" s="200"/>
      <c r="P407" s="199"/>
    </row>
    <row r="408" spans="7:16" x14ac:dyDescent="0.2">
      <c r="G408" s="199"/>
      <c r="I408" s="199"/>
      <c r="K408" s="199"/>
      <c r="M408" s="199"/>
      <c r="N408" s="200"/>
      <c r="P408" s="199"/>
    </row>
    <row r="409" spans="7:16" x14ac:dyDescent="0.2">
      <c r="G409" s="199"/>
      <c r="I409" s="199"/>
      <c r="K409" s="199"/>
      <c r="M409" s="199"/>
      <c r="N409" s="200"/>
      <c r="P409" s="199"/>
    </row>
    <row r="410" spans="7:16" x14ac:dyDescent="0.2">
      <c r="G410" s="199"/>
      <c r="I410" s="199"/>
      <c r="K410" s="199"/>
      <c r="M410" s="199"/>
      <c r="N410" s="200"/>
      <c r="P410" s="199"/>
    </row>
    <row r="411" spans="7:16" x14ac:dyDescent="0.2">
      <c r="G411" s="199"/>
      <c r="I411" s="199"/>
      <c r="K411" s="199"/>
      <c r="M411" s="199"/>
      <c r="N411" s="200"/>
      <c r="P411" s="199"/>
    </row>
    <row r="412" spans="7:16" x14ac:dyDescent="0.2">
      <c r="G412" s="199"/>
      <c r="I412" s="199"/>
      <c r="K412" s="199"/>
      <c r="M412" s="199"/>
      <c r="N412" s="200"/>
      <c r="P412" s="199"/>
    </row>
    <row r="413" spans="7:16" x14ac:dyDescent="0.2">
      <c r="G413" s="199"/>
      <c r="I413" s="199"/>
      <c r="K413" s="199"/>
      <c r="M413" s="199"/>
      <c r="N413" s="200"/>
      <c r="P413" s="199"/>
    </row>
    <row r="414" spans="7:16" x14ac:dyDescent="0.2">
      <c r="G414" s="199"/>
      <c r="I414" s="199"/>
      <c r="K414" s="199"/>
      <c r="M414" s="199"/>
      <c r="N414" s="200"/>
      <c r="P414" s="199"/>
    </row>
    <row r="415" spans="7:16" x14ac:dyDescent="0.2">
      <c r="G415" s="199"/>
      <c r="I415" s="199"/>
      <c r="K415" s="199"/>
      <c r="M415" s="199"/>
      <c r="N415" s="200"/>
      <c r="P415" s="199"/>
    </row>
    <row r="416" spans="7:16" x14ac:dyDescent="0.2">
      <c r="G416" s="199"/>
      <c r="I416" s="199"/>
      <c r="K416" s="199"/>
      <c r="M416" s="199"/>
      <c r="N416" s="200"/>
      <c r="P416" s="199"/>
    </row>
    <row r="417" spans="7:16" x14ac:dyDescent="0.2">
      <c r="G417" s="199"/>
      <c r="I417" s="199"/>
      <c r="K417" s="199"/>
      <c r="M417" s="199"/>
      <c r="N417" s="200"/>
      <c r="P417" s="199"/>
    </row>
    <row r="418" spans="7:16" x14ac:dyDescent="0.2">
      <c r="G418" s="199"/>
      <c r="I418" s="199"/>
      <c r="K418" s="199"/>
      <c r="M418" s="199"/>
      <c r="N418" s="200"/>
      <c r="P418" s="199"/>
    </row>
    <row r="419" spans="7:16" x14ac:dyDescent="0.2">
      <c r="G419" s="199"/>
      <c r="I419" s="199"/>
      <c r="K419" s="199"/>
      <c r="M419" s="199"/>
      <c r="N419" s="200"/>
      <c r="P419" s="199"/>
    </row>
    <row r="420" spans="7:16" x14ac:dyDescent="0.2">
      <c r="G420" s="199"/>
      <c r="I420" s="199"/>
      <c r="K420" s="199"/>
      <c r="M420" s="199"/>
      <c r="N420" s="200"/>
      <c r="P420" s="199"/>
    </row>
    <row r="421" spans="7:16" x14ac:dyDescent="0.2">
      <c r="G421" s="199"/>
      <c r="I421" s="199"/>
      <c r="K421" s="199"/>
      <c r="M421" s="199"/>
      <c r="N421" s="200"/>
      <c r="P421" s="199"/>
    </row>
    <row r="422" spans="7:16" x14ac:dyDescent="0.2">
      <c r="G422" s="199"/>
      <c r="I422" s="199"/>
      <c r="K422" s="199"/>
      <c r="M422" s="199"/>
      <c r="N422" s="200"/>
      <c r="P422" s="199"/>
    </row>
    <row r="423" spans="7:16" x14ac:dyDescent="0.2">
      <c r="G423" s="199"/>
      <c r="I423" s="199"/>
      <c r="K423" s="199"/>
      <c r="M423" s="199"/>
      <c r="N423" s="200"/>
      <c r="P423" s="199"/>
    </row>
    <row r="424" spans="7:16" x14ac:dyDescent="0.2">
      <c r="G424" s="199"/>
      <c r="I424" s="199"/>
      <c r="K424" s="199"/>
      <c r="M424" s="199"/>
      <c r="N424" s="200"/>
      <c r="P424" s="199"/>
    </row>
    <row r="425" spans="7:16" x14ac:dyDescent="0.2">
      <c r="G425" s="199"/>
      <c r="I425" s="199"/>
      <c r="K425" s="199"/>
      <c r="M425" s="199"/>
      <c r="N425" s="200"/>
      <c r="P425" s="199"/>
    </row>
    <row r="426" spans="7:16" x14ac:dyDescent="0.2">
      <c r="G426" s="199"/>
      <c r="I426" s="199"/>
      <c r="K426" s="199"/>
      <c r="M426" s="199"/>
      <c r="N426" s="200"/>
      <c r="P426" s="199"/>
    </row>
    <row r="427" spans="7:16" x14ac:dyDescent="0.2">
      <c r="G427" s="199"/>
      <c r="I427" s="199"/>
      <c r="K427" s="199"/>
      <c r="M427" s="199"/>
      <c r="N427" s="200"/>
      <c r="P427" s="199"/>
    </row>
    <row r="428" spans="7:16" x14ac:dyDescent="0.2">
      <c r="G428" s="199"/>
      <c r="I428" s="199"/>
      <c r="K428" s="199"/>
      <c r="M428" s="199"/>
      <c r="N428" s="200"/>
      <c r="P428" s="199"/>
    </row>
    <row r="429" spans="7:16" x14ac:dyDescent="0.2">
      <c r="G429" s="199"/>
      <c r="I429" s="199"/>
      <c r="K429" s="199"/>
      <c r="M429" s="199"/>
      <c r="N429" s="200"/>
      <c r="P429" s="199"/>
    </row>
    <row r="430" spans="7:16" x14ac:dyDescent="0.2">
      <c r="G430" s="199"/>
      <c r="I430" s="199"/>
      <c r="K430" s="199"/>
      <c r="M430" s="199"/>
      <c r="N430" s="200"/>
      <c r="P430" s="199"/>
    </row>
    <row r="431" spans="7:16" x14ac:dyDescent="0.2">
      <c r="G431" s="199"/>
      <c r="I431" s="199"/>
      <c r="K431" s="199"/>
      <c r="M431" s="199"/>
      <c r="N431" s="200"/>
      <c r="P431" s="199"/>
    </row>
    <row r="432" spans="7:16" x14ac:dyDescent="0.2">
      <c r="G432" s="199"/>
      <c r="I432" s="199"/>
      <c r="K432" s="199"/>
      <c r="M432" s="199"/>
      <c r="N432" s="200"/>
      <c r="P432" s="199"/>
    </row>
    <row r="433" spans="7:16" x14ac:dyDescent="0.2">
      <c r="G433" s="199"/>
      <c r="I433" s="199"/>
      <c r="K433" s="199"/>
      <c r="M433" s="199"/>
      <c r="N433" s="200"/>
      <c r="P433" s="199"/>
    </row>
    <row r="434" spans="7:16" x14ac:dyDescent="0.2">
      <c r="G434" s="199"/>
      <c r="I434" s="199"/>
      <c r="K434" s="199"/>
      <c r="M434" s="199"/>
      <c r="N434" s="200"/>
      <c r="P434" s="199"/>
    </row>
    <row r="435" spans="7:16" x14ac:dyDescent="0.2">
      <c r="G435" s="199"/>
      <c r="I435" s="199"/>
      <c r="K435" s="199"/>
      <c r="M435" s="199"/>
      <c r="N435" s="200"/>
      <c r="P435" s="199"/>
    </row>
    <row r="436" spans="7:16" x14ac:dyDescent="0.2">
      <c r="G436" s="199"/>
      <c r="I436" s="199"/>
      <c r="K436" s="199"/>
      <c r="M436" s="199"/>
      <c r="N436" s="200"/>
      <c r="P436" s="199"/>
    </row>
    <row r="437" spans="7:16" x14ac:dyDescent="0.2">
      <c r="G437" s="199"/>
      <c r="I437" s="199"/>
      <c r="K437" s="199"/>
      <c r="M437" s="199"/>
      <c r="N437" s="200"/>
      <c r="P437" s="199"/>
    </row>
    <row r="438" spans="7:16" x14ac:dyDescent="0.2">
      <c r="G438" s="199"/>
      <c r="I438" s="199"/>
      <c r="K438" s="199"/>
      <c r="M438" s="199"/>
      <c r="N438" s="200"/>
      <c r="P438" s="199"/>
    </row>
    <row r="439" spans="7:16" x14ac:dyDescent="0.2">
      <c r="G439" s="199"/>
      <c r="I439" s="199"/>
      <c r="K439" s="199"/>
      <c r="M439" s="199"/>
      <c r="N439" s="200"/>
      <c r="P439" s="199"/>
    </row>
    <row r="440" spans="7:16" x14ac:dyDescent="0.2">
      <c r="G440" s="199"/>
      <c r="I440" s="199"/>
      <c r="K440" s="199"/>
      <c r="M440" s="199"/>
      <c r="N440" s="200"/>
      <c r="P440" s="199"/>
    </row>
    <row r="441" spans="7:16" x14ac:dyDescent="0.2">
      <c r="G441" s="199"/>
      <c r="I441" s="199"/>
      <c r="K441" s="199"/>
      <c r="M441" s="199"/>
      <c r="N441" s="200"/>
      <c r="P441" s="199"/>
    </row>
    <row r="442" spans="7:16" x14ac:dyDescent="0.2">
      <c r="G442" s="199"/>
      <c r="I442" s="199"/>
      <c r="K442" s="199"/>
      <c r="M442" s="199"/>
      <c r="N442" s="200"/>
      <c r="P442" s="199"/>
    </row>
    <row r="443" spans="7:16" x14ac:dyDescent="0.2">
      <c r="G443" s="199"/>
      <c r="I443" s="199"/>
      <c r="K443" s="199"/>
      <c r="M443" s="199"/>
      <c r="N443" s="200"/>
      <c r="P443" s="199"/>
    </row>
    <row r="444" spans="7:16" x14ac:dyDescent="0.2">
      <c r="G444" s="199"/>
      <c r="I444" s="199"/>
      <c r="K444" s="199"/>
      <c r="M444" s="199"/>
      <c r="N444" s="200"/>
      <c r="P444" s="199"/>
    </row>
    <row r="445" spans="7:16" x14ac:dyDescent="0.2">
      <c r="G445" s="199"/>
      <c r="I445" s="199"/>
      <c r="K445" s="199"/>
      <c r="M445" s="199"/>
      <c r="N445" s="200"/>
      <c r="P445" s="199"/>
    </row>
    <row r="446" spans="7:16" x14ac:dyDescent="0.2">
      <c r="G446" s="199"/>
      <c r="I446" s="199"/>
      <c r="K446" s="199"/>
      <c r="M446" s="199"/>
      <c r="N446" s="200"/>
      <c r="P446" s="199"/>
    </row>
    <row r="447" spans="7:16" x14ac:dyDescent="0.2">
      <c r="G447" s="199"/>
      <c r="I447" s="199"/>
      <c r="K447" s="199"/>
      <c r="M447" s="199"/>
      <c r="N447" s="200"/>
      <c r="P447" s="199"/>
    </row>
    <row r="448" spans="7:16" x14ac:dyDescent="0.2">
      <c r="G448" s="199"/>
      <c r="I448" s="199"/>
      <c r="K448" s="199"/>
      <c r="M448" s="199"/>
      <c r="N448" s="200"/>
      <c r="P448" s="199"/>
    </row>
    <row r="449" spans="7:16" x14ac:dyDescent="0.2">
      <c r="G449" s="199"/>
      <c r="I449" s="199"/>
      <c r="K449" s="199"/>
      <c r="M449" s="199"/>
      <c r="N449" s="200"/>
      <c r="P449" s="199"/>
    </row>
    <row r="450" spans="7:16" x14ac:dyDescent="0.2">
      <c r="G450" s="199"/>
      <c r="I450" s="199"/>
      <c r="K450" s="199"/>
      <c r="M450" s="199"/>
      <c r="N450" s="200"/>
      <c r="P450" s="199"/>
    </row>
    <row r="451" spans="7:16" x14ac:dyDescent="0.2">
      <c r="G451" s="199"/>
      <c r="I451" s="199"/>
      <c r="K451" s="199"/>
      <c r="M451" s="199"/>
      <c r="N451" s="200"/>
      <c r="P451" s="199"/>
    </row>
    <row r="452" spans="7:16" x14ac:dyDescent="0.2">
      <c r="G452" s="199"/>
      <c r="I452" s="199"/>
      <c r="K452" s="199"/>
      <c r="M452" s="199"/>
      <c r="N452" s="200"/>
      <c r="P452" s="199"/>
    </row>
    <row r="453" spans="7:16" x14ac:dyDescent="0.2">
      <c r="G453" s="199"/>
      <c r="I453" s="199"/>
      <c r="K453" s="199"/>
      <c r="M453" s="199"/>
      <c r="N453" s="200"/>
      <c r="P453" s="199"/>
    </row>
    <row r="454" spans="7:16" x14ac:dyDescent="0.2">
      <c r="G454" s="199"/>
      <c r="I454" s="199"/>
      <c r="K454" s="199"/>
      <c r="M454" s="199"/>
      <c r="N454" s="200"/>
      <c r="P454" s="199"/>
    </row>
    <row r="455" spans="7:16" x14ac:dyDescent="0.2">
      <c r="G455" s="199"/>
      <c r="I455" s="199"/>
      <c r="K455" s="199"/>
      <c r="M455" s="199"/>
      <c r="N455" s="200"/>
      <c r="P455" s="199"/>
    </row>
    <row r="456" spans="7:16" x14ac:dyDescent="0.2">
      <c r="G456" s="199"/>
      <c r="I456" s="199"/>
      <c r="K456" s="199"/>
      <c r="M456" s="199"/>
      <c r="N456" s="200"/>
      <c r="P456" s="199"/>
    </row>
    <row r="457" spans="7:16" x14ac:dyDescent="0.2">
      <c r="G457" s="199"/>
      <c r="I457" s="199"/>
      <c r="K457" s="199"/>
      <c r="M457" s="199"/>
      <c r="N457" s="200"/>
      <c r="P457" s="199"/>
    </row>
    <row r="458" spans="7:16" x14ac:dyDescent="0.2">
      <c r="G458" s="199"/>
      <c r="I458" s="199"/>
      <c r="K458" s="199"/>
      <c r="M458" s="199"/>
      <c r="N458" s="200"/>
      <c r="P458" s="199"/>
    </row>
    <row r="459" spans="7:16" x14ac:dyDescent="0.2">
      <c r="G459" s="199"/>
      <c r="I459" s="199"/>
      <c r="K459" s="199"/>
      <c r="M459" s="199"/>
      <c r="N459" s="200"/>
      <c r="P459" s="199"/>
    </row>
    <row r="460" spans="7:16" x14ac:dyDescent="0.2">
      <c r="G460" s="199"/>
      <c r="I460" s="199"/>
      <c r="K460" s="199"/>
      <c r="M460" s="199"/>
      <c r="N460" s="200"/>
      <c r="P460" s="199"/>
    </row>
    <row r="461" spans="7:16" x14ac:dyDescent="0.2">
      <c r="G461" s="199"/>
      <c r="I461" s="199"/>
      <c r="K461" s="199"/>
      <c r="M461" s="199"/>
      <c r="N461" s="200"/>
      <c r="P461" s="199"/>
    </row>
    <row r="462" spans="7:16" x14ac:dyDescent="0.2">
      <c r="G462" s="199"/>
      <c r="I462" s="199"/>
      <c r="K462" s="199"/>
      <c r="M462" s="199"/>
      <c r="N462" s="200"/>
      <c r="P462" s="199"/>
    </row>
    <row r="463" spans="7:16" x14ac:dyDescent="0.2">
      <c r="G463" s="199"/>
      <c r="I463" s="199"/>
      <c r="K463" s="199"/>
      <c r="M463" s="199"/>
      <c r="N463" s="200"/>
      <c r="P463" s="199"/>
    </row>
    <row r="464" spans="7:16" x14ac:dyDescent="0.2">
      <c r="G464" s="199"/>
      <c r="I464" s="199"/>
      <c r="K464" s="199"/>
      <c r="M464" s="199"/>
      <c r="N464" s="200"/>
      <c r="P464" s="199"/>
    </row>
    <row r="465" spans="7:16" x14ac:dyDescent="0.2">
      <c r="G465" s="199"/>
      <c r="I465" s="199"/>
      <c r="K465" s="199"/>
      <c r="M465" s="199"/>
      <c r="N465" s="200"/>
      <c r="P465" s="199"/>
    </row>
    <row r="466" spans="7:16" x14ac:dyDescent="0.2">
      <c r="G466" s="199"/>
      <c r="I466" s="199"/>
      <c r="K466" s="199"/>
      <c r="M466" s="199"/>
      <c r="N466" s="200"/>
      <c r="P466" s="199"/>
    </row>
    <row r="467" spans="7:16" x14ac:dyDescent="0.2">
      <c r="G467" s="199"/>
      <c r="I467" s="199"/>
      <c r="K467" s="199"/>
      <c r="M467" s="199"/>
      <c r="N467" s="200"/>
      <c r="P467" s="199"/>
    </row>
    <row r="468" spans="7:16" x14ac:dyDescent="0.2">
      <c r="G468" s="199"/>
      <c r="I468" s="199"/>
      <c r="K468" s="199"/>
      <c r="M468" s="199"/>
      <c r="N468" s="200"/>
      <c r="P468" s="199"/>
    </row>
    <row r="469" spans="7:16" x14ac:dyDescent="0.2">
      <c r="G469" s="199"/>
      <c r="I469" s="199"/>
      <c r="K469" s="199"/>
      <c r="M469" s="199"/>
      <c r="N469" s="200"/>
      <c r="P469" s="199"/>
    </row>
    <row r="470" spans="7:16" x14ac:dyDescent="0.2">
      <c r="G470" s="199"/>
      <c r="I470" s="199"/>
      <c r="K470" s="199"/>
      <c r="M470" s="199"/>
      <c r="N470" s="200"/>
      <c r="P470" s="199"/>
    </row>
    <row r="471" spans="7:16" x14ac:dyDescent="0.2">
      <c r="G471" s="199"/>
      <c r="I471" s="199"/>
      <c r="K471" s="199"/>
      <c r="M471" s="199"/>
      <c r="N471" s="200"/>
      <c r="P471" s="199"/>
    </row>
    <row r="472" spans="7:16" x14ac:dyDescent="0.2">
      <c r="G472" s="199"/>
      <c r="I472" s="199"/>
      <c r="K472" s="199"/>
      <c r="M472" s="199"/>
      <c r="N472" s="200"/>
      <c r="P472" s="199"/>
    </row>
    <row r="473" spans="7:16" x14ac:dyDescent="0.2">
      <c r="G473" s="199"/>
      <c r="I473" s="199"/>
      <c r="K473" s="199"/>
      <c r="M473" s="199"/>
      <c r="N473" s="200"/>
      <c r="P473" s="199"/>
    </row>
    <row r="474" spans="7:16" x14ac:dyDescent="0.2">
      <c r="G474" s="199"/>
      <c r="I474" s="199"/>
      <c r="K474" s="199"/>
      <c r="M474" s="199"/>
      <c r="N474" s="200"/>
      <c r="P474" s="199"/>
    </row>
    <row r="475" spans="7:16" x14ac:dyDescent="0.2">
      <c r="G475" s="199"/>
      <c r="I475" s="199"/>
      <c r="K475" s="199"/>
      <c r="M475" s="199"/>
      <c r="N475" s="200"/>
      <c r="P475" s="199"/>
    </row>
    <row r="476" spans="7:16" x14ac:dyDescent="0.2">
      <c r="G476" s="199"/>
      <c r="I476" s="199"/>
      <c r="K476" s="199"/>
      <c r="M476" s="199"/>
      <c r="N476" s="200"/>
      <c r="P476" s="199"/>
    </row>
    <row r="477" spans="7:16" x14ac:dyDescent="0.2">
      <c r="G477" s="199"/>
      <c r="I477" s="199"/>
      <c r="K477" s="199"/>
      <c r="M477" s="199"/>
      <c r="N477" s="200"/>
      <c r="P477" s="199"/>
    </row>
    <row r="478" spans="7:16" x14ac:dyDescent="0.2">
      <c r="G478" s="199"/>
      <c r="I478" s="199"/>
      <c r="K478" s="199"/>
      <c r="M478" s="199"/>
      <c r="N478" s="200"/>
      <c r="P478" s="199"/>
    </row>
    <row r="479" spans="7:16" x14ac:dyDescent="0.2">
      <c r="G479" s="199"/>
      <c r="I479" s="199"/>
      <c r="K479" s="199"/>
      <c r="M479" s="199"/>
      <c r="N479" s="200"/>
      <c r="P479" s="199"/>
    </row>
    <row r="480" spans="7:16" x14ac:dyDescent="0.2">
      <c r="G480" s="199"/>
      <c r="I480" s="199"/>
      <c r="K480" s="199"/>
      <c r="M480" s="199"/>
      <c r="N480" s="200"/>
      <c r="P480" s="199"/>
    </row>
    <row r="481" spans="7:16" x14ac:dyDescent="0.2">
      <c r="G481" s="199"/>
      <c r="I481" s="199"/>
      <c r="K481" s="199"/>
      <c r="M481" s="199"/>
      <c r="N481" s="200"/>
      <c r="P481" s="199"/>
    </row>
    <row r="482" spans="7:16" x14ac:dyDescent="0.2">
      <c r="G482" s="199"/>
      <c r="I482" s="199"/>
      <c r="K482" s="199"/>
      <c r="M482" s="199"/>
      <c r="N482" s="200"/>
      <c r="P482" s="199"/>
    </row>
    <row r="483" spans="7:16" x14ac:dyDescent="0.2">
      <c r="G483" s="199"/>
      <c r="I483" s="199"/>
      <c r="K483" s="199"/>
      <c r="M483" s="199"/>
      <c r="N483" s="200"/>
      <c r="P483" s="199"/>
    </row>
    <row r="484" spans="7:16" x14ac:dyDescent="0.2">
      <c r="G484" s="199"/>
      <c r="I484" s="199"/>
      <c r="K484" s="199"/>
      <c r="M484" s="199"/>
      <c r="N484" s="200"/>
      <c r="P484" s="199"/>
    </row>
    <row r="485" spans="7:16" x14ac:dyDescent="0.2">
      <c r="G485" s="199"/>
      <c r="I485" s="199"/>
      <c r="K485" s="199"/>
      <c r="M485" s="199"/>
      <c r="N485" s="200"/>
      <c r="P485" s="199"/>
    </row>
    <row r="486" spans="7:16" x14ac:dyDescent="0.2">
      <c r="G486" s="199"/>
      <c r="I486" s="199"/>
      <c r="K486" s="199"/>
      <c r="M486" s="199"/>
      <c r="N486" s="200"/>
      <c r="P486" s="199"/>
    </row>
    <row r="487" spans="7:16" x14ac:dyDescent="0.2">
      <c r="G487" s="199"/>
      <c r="I487" s="199"/>
      <c r="K487" s="199"/>
      <c r="M487" s="199"/>
      <c r="N487" s="200"/>
      <c r="P487" s="199"/>
    </row>
    <row r="488" spans="7:16" x14ac:dyDescent="0.2">
      <c r="G488" s="199"/>
      <c r="I488" s="199"/>
      <c r="K488" s="199"/>
      <c r="M488" s="199"/>
      <c r="N488" s="200"/>
      <c r="P488" s="199"/>
    </row>
    <row r="489" spans="7:16" x14ac:dyDescent="0.2">
      <c r="G489" s="199"/>
      <c r="I489" s="199"/>
      <c r="K489" s="199"/>
      <c r="M489" s="199"/>
      <c r="N489" s="200"/>
      <c r="P489" s="199"/>
    </row>
    <row r="490" spans="7:16" x14ac:dyDescent="0.2">
      <c r="G490" s="199"/>
      <c r="I490" s="199"/>
      <c r="K490" s="199"/>
      <c r="M490" s="199"/>
      <c r="N490" s="200"/>
      <c r="P490" s="199"/>
    </row>
    <row r="491" spans="7:16" x14ac:dyDescent="0.2">
      <c r="G491" s="199"/>
      <c r="I491" s="199"/>
      <c r="K491" s="199"/>
      <c r="M491" s="199"/>
      <c r="N491" s="200"/>
      <c r="P491" s="199"/>
    </row>
    <row r="492" spans="7:16" x14ac:dyDescent="0.2">
      <c r="G492" s="199"/>
      <c r="I492" s="199"/>
      <c r="K492" s="199"/>
      <c r="M492" s="199"/>
      <c r="N492" s="200"/>
      <c r="P492" s="199"/>
    </row>
    <row r="493" spans="7:16" x14ac:dyDescent="0.2">
      <c r="G493" s="199"/>
      <c r="I493" s="199"/>
      <c r="K493" s="199"/>
      <c r="M493" s="199"/>
      <c r="N493" s="200"/>
      <c r="P493" s="199"/>
    </row>
    <row r="494" spans="7:16" x14ac:dyDescent="0.2">
      <c r="G494" s="199"/>
      <c r="I494" s="199"/>
      <c r="K494" s="199"/>
      <c r="M494" s="199"/>
      <c r="N494" s="200"/>
      <c r="P494" s="199"/>
    </row>
    <row r="495" spans="7:16" x14ac:dyDescent="0.2">
      <c r="G495" s="199"/>
      <c r="I495" s="199"/>
      <c r="K495" s="199"/>
      <c r="M495" s="199"/>
      <c r="N495" s="200"/>
      <c r="P495" s="199"/>
    </row>
    <row r="496" spans="7:16" x14ac:dyDescent="0.2">
      <c r="G496" s="199"/>
      <c r="I496" s="199"/>
      <c r="K496" s="199"/>
      <c r="M496" s="199"/>
      <c r="N496" s="200"/>
      <c r="P496" s="199"/>
    </row>
    <row r="497" spans="7:16" x14ac:dyDescent="0.2">
      <c r="G497" s="199"/>
      <c r="I497" s="199"/>
      <c r="K497" s="199"/>
      <c r="M497" s="199"/>
      <c r="N497" s="200"/>
      <c r="P497" s="199"/>
    </row>
    <row r="498" spans="7:16" x14ac:dyDescent="0.2">
      <c r="G498" s="199"/>
      <c r="I498" s="199"/>
      <c r="K498" s="199"/>
      <c r="M498" s="199"/>
      <c r="N498" s="200"/>
      <c r="P498" s="199"/>
    </row>
    <row r="499" spans="7:16" x14ac:dyDescent="0.2">
      <c r="G499" s="199"/>
      <c r="I499" s="199"/>
      <c r="K499" s="199"/>
      <c r="M499" s="199"/>
      <c r="N499" s="200"/>
      <c r="P499" s="199"/>
    </row>
    <row r="500" spans="7:16" x14ac:dyDescent="0.2">
      <c r="G500" s="199"/>
      <c r="I500" s="199"/>
      <c r="K500" s="199"/>
      <c r="M500" s="199"/>
      <c r="N500" s="200"/>
      <c r="P500" s="199"/>
    </row>
    <row r="501" spans="7:16" x14ac:dyDescent="0.2">
      <c r="G501" s="199"/>
      <c r="I501" s="199"/>
      <c r="K501" s="199"/>
      <c r="M501" s="199"/>
      <c r="N501" s="200"/>
      <c r="P501" s="199"/>
    </row>
    <row r="502" spans="7:16" x14ac:dyDescent="0.2">
      <c r="G502" s="199"/>
      <c r="I502" s="199"/>
      <c r="K502" s="199"/>
      <c r="M502" s="199"/>
      <c r="N502" s="200"/>
      <c r="P502" s="199"/>
    </row>
    <row r="503" spans="7:16" x14ac:dyDescent="0.2">
      <c r="G503" s="199"/>
      <c r="I503" s="199"/>
      <c r="K503" s="199"/>
      <c r="M503" s="199"/>
      <c r="N503" s="200"/>
      <c r="P503" s="199"/>
    </row>
    <row r="504" spans="7:16" x14ac:dyDescent="0.2">
      <c r="G504" s="199"/>
      <c r="I504" s="199"/>
      <c r="K504" s="199"/>
      <c r="M504" s="199"/>
      <c r="N504" s="200"/>
      <c r="P504" s="199"/>
    </row>
    <row r="505" spans="7:16" x14ac:dyDescent="0.2">
      <c r="G505" s="199"/>
      <c r="I505" s="199"/>
      <c r="K505" s="199"/>
      <c r="M505" s="199"/>
      <c r="N505" s="200"/>
      <c r="P505" s="199"/>
    </row>
    <row r="506" spans="7:16" x14ac:dyDescent="0.2">
      <c r="G506" s="199"/>
      <c r="I506" s="199"/>
      <c r="K506" s="199"/>
      <c r="M506" s="199"/>
      <c r="N506" s="200"/>
      <c r="P506" s="199"/>
    </row>
    <row r="507" spans="7:16" x14ac:dyDescent="0.2">
      <c r="G507" s="199"/>
      <c r="I507" s="199"/>
      <c r="K507" s="199"/>
      <c r="M507" s="199"/>
      <c r="N507" s="200"/>
      <c r="P507" s="199"/>
    </row>
    <row r="508" spans="7:16" x14ac:dyDescent="0.2">
      <c r="G508" s="199"/>
      <c r="I508" s="199"/>
      <c r="K508" s="199"/>
      <c r="M508" s="199"/>
      <c r="N508" s="200"/>
      <c r="P508" s="199"/>
    </row>
    <row r="509" spans="7:16" x14ac:dyDescent="0.2">
      <c r="G509" s="199"/>
      <c r="I509" s="199"/>
      <c r="K509" s="199"/>
      <c r="M509" s="199"/>
      <c r="N509" s="200"/>
      <c r="P509" s="199"/>
    </row>
    <row r="510" spans="7:16" x14ac:dyDescent="0.2">
      <c r="G510" s="199"/>
      <c r="I510" s="199"/>
      <c r="K510" s="199"/>
      <c r="M510" s="199"/>
      <c r="N510" s="200"/>
      <c r="P510" s="199"/>
    </row>
    <row r="511" spans="7:16" x14ac:dyDescent="0.2">
      <c r="G511" s="199"/>
      <c r="I511" s="199"/>
      <c r="K511" s="199"/>
      <c r="M511" s="199"/>
      <c r="N511" s="200"/>
      <c r="P511" s="199"/>
    </row>
    <row r="512" spans="7:16" x14ac:dyDescent="0.2">
      <c r="G512" s="199"/>
      <c r="I512" s="199"/>
      <c r="K512" s="199"/>
      <c r="M512" s="199"/>
      <c r="N512" s="200"/>
      <c r="P512" s="199"/>
    </row>
    <row r="513" spans="7:16" x14ac:dyDescent="0.2">
      <c r="G513" s="199"/>
      <c r="I513" s="199"/>
      <c r="K513" s="199"/>
      <c r="M513" s="199"/>
      <c r="N513" s="200"/>
      <c r="P513" s="199"/>
    </row>
    <row r="514" spans="7:16" x14ac:dyDescent="0.2">
      <c r="G514" s="199"/>
      <c r="I514" s="199"/>
      <c r="K514" s="199"/>
      <c r="M514" s="199"/>
      <c r="N514" s="200"/>
      <c r="P514" s="199"/>
    </row>
    <row r="515" spans="7:16" x14ac:dyDescent="0.2">
      <c r="G515" s="199"/>
      <c r="I515" s="199"/>
      <c r="K515" s="199"/>
      <c r="M515" s="199"/>
      <c r="N515" s="200"/>
      <c r="P515" s="199"/>
    </row>
    <row r="516" spans="7:16" x14ac:dyDescent="0.2">
      <c r="G516" s="199"/>
      <c r="I516" s="199"/>
      <c r="K516" s="199"/>
      <c r="M516" s="199"/>
      <c r="N516" s="200"/>
      <c r="P516" s="199"/>
    </row>
    <row r="517" spans="7:16" x14ac:dyDescent="0.2">
      <c r="G517" s="199"/>
      <c r="I517" s="199"/>
      <c r="K517" s="199"/>
      <c r="M517" s="199"/>
      <c r="N517" s="200"/>
      <c r="P517" s="199"/>
    </row>
    <row r="518" spans="7:16" x14ac:dyDescent="0.2">
      <c r="G518" s="199"/>
      <c r="I518" s="199"/>
      <c r="K518" s="199"/>
      <c r="M518" s="199"/>
      <c r="N518" s="200"/>
      <c r="P518" s="199"/>
    </row>
    <row r="519" spans="7:16" x14ac:dyDescent="0.2">
      <c r="G519" s="199"/>
      <c r="I519" s="199"/>
      <c r="K519" s="199"/>
      <c r="M519" s="199"/>
      <c r="N519" s="200"/>
      <c r="P519" s="199"/>
    </row>
    <row r="520" spans="7:16" x14ac:dyDescent="0.2">
      <c r="G520" s="199"/>
      <c r="I520" s="199"/>
      <c r="K520" s="199"/>
      <c r="M520" s="199"/>
      <c r="N520" s="200"/>
      <c r="P520" s="199"/>
    </row>
    <row r="521" spans="7:16" x14ac:dyDescent="0.2">
      <c r="G521" s="199"/>
      <c r="I521" s="199"/>
      <c r="K521" s="199"/>
      <c r="M521" s="199"/>
      <c r="N521" s="200"/>
      <c r="P521" s="199"/>
    </row>
    <row r="522" spans="7:16" x14ac:dyDescent="0.2">
      <c r="G522" s="199"/>
      <c r="I522" s="199"/>
      <c r="K522" s="199"/>
      <c r="M522" s="199"/>
      <c r="N522" s="200"/>
      <c r="P522" s="199"/>
    </row>
    <row r="523" spans="7:16" x14ac:dyDescent="0.2">
      <c r="G523" s="199"/>
      <c r="I523" s="199"/>
      <c r="K523" s="199"/>
      <c r="M523" s="199"/>
      <c r="N523" s="200"/>
      <c r="P523" s="199"/>
    </row>
    <row r="524" spans="7:16" x14ac:dyDescent="0.2">
      <c r="G524" s="199"/>
      <c r="I524" s="199"/>
      <c r="K524" s="199"/>
      <c r="M524" s="199"/>
      <c r="N524" s="200"/>
      <c r="P524" s="199"/>
    </row>
    <row r="525" spans="7:16" x14ac:dyDescent="0.2">
      <c r="G525" s="199"/>
      <c r="I525" s="199"/>
      <c r="K525" s="199"/>
      <c r="M525" s="199"/>
      <c r="N525" s="200"/>
      <c r="P525" s="199"/>
    </row>
    <row r="526" spans="7:16" x14ac:dyDescent="0.2">
      <c r="G526" s="199"/>
      <c r="I526" s="199"/>
      <c r="K526" s="199"/>
      <c r="M526" s="199"/>
      <c r="N526" s="200"/>
      <c r="P526" s="199"/>
    </row>
    <row r="527" spans="7:16" x14ac:dyDescent="0.2">
      <c r="G527" s="199"/>
      <c r="I527" s="199"/>
      <c r="K527" s="199"/>
      <c r="M527" s="199"/>
      <c r="N527" s="200"/>
      <c r="P527" s="199"/>
    </row>
    <row r="528" spans="7:16" x14ac:dyDescent="0.2">
      <c r="G528" s="199"/>
      <c r="I528" s="199"/>
      <c r="K528" s="199"/>
      <c r="M528" s="199"/>
      <c r="N528" s="200"/>
      <c r="P528" s="199"/>
    </row>
    <row r="529" spans="7:16" x14ac:dyDescent="0.2">
      <c r="G529" s="199"/>
      <c r="I529" s="199"/>
      <c r="K529" s="199"/>
      <c r="M529" s="199"/>
      <c r="N529" s="200"/>
      <c r="P529" s="199"/>
    </row>
    <row r="530" spans="7:16" x14ac:dyDescent="0.2">
      <c r="G530" s="199"/>
      <c r="I530" s="199"/>
      <c r="K530" s="199"/>
      <c r="M530" s="199"/>
      <c r="N530" s="200"/>
      <c r="P530" s="199"/>
    </row>
    <row r="531" spans="7:16" x14ac:dyDescent="0.2">
      <c r="G531" s="199"/>
      <c r="I531" s="199"/>
      <c r="K531" s="199"/>
      <c r="M531" s="199"/>
      <c r="N531" s="200"/>
      <c r="P531" s="199"/>
    </row>
    <row r="532" spans="7:16" x14ac:dyDescent="0.2">
      <c r="G532" s="199"/>
      <c r="I532" s="199"/>
      <c r="K532" s="199"/>
      <c r="M532" s="199"/>
      <c r="N532" s="200"/>
      <c r="P532" s="199"/>
    </row>
    <row r="533" spans="7:16" x14ac:dyDescent="0.2">
      <c r="G533" s="199"/>
      <c r="I533" s="199"/>
      <c r="K533" s="199"/>
      <c r="M533" s="199"/>
      <c r="N533" s="200"/>
      <c r="P533" s="199"/>
    </row>
    <row r="534" spans="7:16" x14ac:dyDescent="0.2">
      <c r="G534" s="199"/>
      <c r="I534" s="199"/>
      <c r="K534" s="199"/>
      <c r="M534" s="199"/>
      <c r="N534" s="200"/>
      <c r="P534" s="199"/>
    </row>
    <row r="535" spans="7:16" x14ac:dyDescent="0.2">
      <c r="G535" s="199"/>
      <c r="I535" s="199"/>
      <c r="K535" s="199"/>
      <c r="M535" s="199"/>
      <c r="N535" s="200"/>
      <c r="P535" s="199"/>
    </row>
    <row r="536" spans="7:16" x14ac:dyDescent="0.2">
      <c r="G536" s="199"/>
      <c r="I536" s="199"/>
      <c r="K536" s="199"/>
      <c r="M536" s="199"/>
      <c r="N536" s="200"/>
      <c r="P536" s="199"/>
    </row>
    <row r="537" spans="7:16" x14ac:dyDescent="0.2">
      <c r="G537" s="199"/>
      <c r="I537" s="199"/>
      <c r="K537" s="199"/>
      <c r="M537" s="199"/>
      <c r="N537" s="200"/>
      <c r="P537" s="199"/>
    </row>
    <row r="538" spans="7:16" x14ac:dyDescent="0.2">
      <c r="G538" s="199"/>
      <c r="I538" s="199"/>
      <c r="K538" s="199"/>
      <c r="M538" s="199"/>
      <c r="N538" s="200"/>
      <c r="P538" s="199"/>
    </row>
    <row r="539" spans="7:16" x14ac:dyDescent="0.2">
      <c r="G539" s="199"/>
      <c r="I539" s="199"/>
      <c r="K539" s="199"/>
      <c r="M539" s="199"/>
      <c r="N539" s="200"/>
      <c r="P539" s="199"/>
    </row>
    <row r="540" spans="7:16" x14ac:dyDescent="0.2">
      <c r="G540" s="199"/>
      <c r="I540" s="199"/>
      <c r="K540" s="199"/>
      <c r="M540" s="199"/>
      <c r="N540" s="200"/>
      <c r="P540" s="199"/>
    </row>
    <row r="541" spans="7:16" x14ac:dyDescent="0.2">
      <c r="G541" s="199"/>
      <c r="I541" s="199"/>
      <c r="K541" s="199"/>
      <c r="M541" s="199"/>
      <c r="N541" s="200"/>
      <c r="P541" s="199"/>
    </row>
    <row r="542" spans="7:16" x14ac:dyDescent="0.2">
      <c r="G542" s="199"/>
      <c r="I542" s="199"/>
      <c r="K542" s="199"/>
      <c r="M542" s="199"/>
      <c r="N542" s="200"/>
      <c r="P542" s="199"/>
    </row>
    <row r="543" spans="7:16" x14ac:dyDescent="0.2">
      <c r="G543" s="199"/>
      <c r="I543" s="199"/>
      <c r="K543" s="199"/>
      <c r="M543" s="199"/>
      <c r="N543" s="200"/>
      <c r="P543" s="199"/>
    </row>
    <row r="544" spans="7:16" x14ac:dyDescent="0.2">
      <c r="G544" s="199"/>
      <c r="I544" s="199"/>
      <c r="K544" s="199"/>
      <c r="M544" s="199"/>
      <c r="N544" s="200"/>
      <c r="P544" s="199"/>
    </row>
    <row r="545" spans="7:16" x14ac:dyDescent="0.2">
      <c r="G545" s="199"/>
      <c r="I545" s="199"/>
      <c r="K545" s="199"/>
      <c r="M545" s="199"/>
      <c r="N545" s="200"/>
      <c r="P545" s="199"/>
    </row>
    <row r="546" spans="7:16" x14ac:dyDescent="0.2">
      <c r="G546" s="199"/>
      <c r="I546" s="199"/>
      <c r="K546" s="199"/>
      <c r="M546" s="199"/>
      <c r="N546" s="200"/>
      <c r="P546" s="199"/>
    </row>
    <row r="547" spans="7:16" x14ac:dyDescent="0.2">
      <c r="G547" s="199"/>
      <c r="I547" s="199"/>
      <c r="K547" s="199"/>
      <c r="M547" s="199"/>
      <c r="N547" s="200"/>
      <c r="P547" s="199"/>
    </row>
    <row r="548" spans="7:16" x14ac:dyDescent="0.2">
      <c r="G548" s="199"/>
      <c r="I548" s="199"/>
      <c r="K548" s="199"/>
      <c r="M548" s="199"/>
      <c r="N548" s="200"/>
      <c r="P548" s="199"/>
    </row>
    <row r="549" spans="7:16" x14ac:dyDescent="0.2">
      <c r="G549" s="199"/>
      <c r="I549" s="199"/>
      <c r="K549" s="199"/>
      <c r="M549" s="199"/>
      <c r="N549" s="200"/>
      <c r="P549" s="199"/>
    </row>
    <row r="550" spans="7:16" x14ac:dyDescent="0.2">
      <c r="G550" s="199"/>
      <c r="I550" s="199"/>
      <c r="K550" s="199"/>
      <c r="M550" s="199"/>
      <c r="N550" s="200"/>
      <c r="P550" s="199"/>
    </row>
    <row r="551" spans="7:16" x14ac:dyDescent="0.2">
      <c r="G551" s="199"/>
      <c r="I551" s="199"/>
      <c r="K551" s="199"/>
      <c r="M551" s="199"/>
      <c r="N551" s="200"/>
      <c r="P551" s="199"/>
    </row>
    <row r="552" spans="7:16" x14ac:dyDescent="0.2">
      <c r="G552" s="199"/>
      <c r="I552" s="199"/>
      <c r="K552" s="199"/>
      <c r="M552" s="199"/>
      <c r="N552" s="200"/>
      <c r="P552" s="199"/>
    </row>
    <row r="553" spans="7:16" x14ac:dyDescent="0.2">
      <c r="G553" s="199"/>
      <c r="I553" s="199"/>
      <c r="K553" s="199"/>
      <c r="M553" s="199"/>
      <c r="N553" s="200"/>
      <c r="P553" s="199"/>
    </row>
    <row r="554" spans="7:16" x14ac:dyDescent="0.2">
      <c r="G554" s="199"/>
      <c r="I554" s="199"/>
      <c r="K554" s="199"/>
      <c r="M554" s="199"/>
      <c r="N554" s="200"/>
      <c r="P554" s="199"/>
    </row>
    <row r="555" spans="7:16" x14ac:dyDescent="0.2">
      <c r="G555" s="199"/>
      <c r="I555" s="199"/>
      <c r="K555" s="199"/>
      <c r="M555" s="199"/>
      <c r="N555" s="200"/>
      <c r="P555" s="199"/>
    </row>
    <row r="556" spans="7:16" x14ac:dyDescent="0.2">
      <c r="G556" s="199"/>
      <c r="I556" s="199"/>
      <c r="K556" s="199"/>
      <c r="M556" s="199"/>
      <c r="N556" s="200"/>
      <c r="P556" s="199"/>
    </row>
    <row r="557" spans="7:16" x14ac:dyDescent="0.2">
      <c r="G557" s="199"/>
      <c r="I557" s="199"/>
      <c r="K557" s="199"/>
      <c r="M557" s="199"/>
      <c r="N557" s="200"/>
      <c r="P557" s="199"/>
    </row>
    <row r="558" spans="7:16" x14ac:dyDescent="0.2">
      <c r="G558" s="199"/>
      <c r="I558" s="199"/>
      <c r="K558" s="199"/>
      <c r="M558" s="199"/>
      <c r="N558" s="200"/>
      <c r="P558" s="199"/>
    </row>
    <row r="559" spans="7:16" x14ac:dyDescent="0.2">
      <c r="G559" s="199"/>
      <c r="I559" s="199"/>
      <c r="K559" s="199"/>
      <c r="M559" s="199"/>
      <c r="N559" s="200"/>
      <c r="P559" s="199"/>
    </row>
    <row r="560" spans="7:16" x14ac:dyDescent="0.2">
      <c r="G560" s="199"/>
      <c r="I560" s="199"/>
      <c r="K560" s="199"/>
      <c r="M560" s="199"/>
      <c r="N560" s="200"/>
      <c r="P560" s="199"/>
    </row>
    <row r="561" spans="7:16" x14ac:dyDescent="0.2">
      <c r="G561" s="199"/>
      <c r="I561" s="199"/>
      <c r="K561" s="199"/>
      <c r="M561" s="199"/>
      <c r="N561" s="200"/>
      <c r="P561" s="199"/>
    </row>
    <row r="562" spans="7:16" x14ac:dyDescent="0.2">
      <c r="G562" s="199"/>
      <c r="I562" s="199"/>
      <c r="K562" s="199"/>
      <c r="M562" s="199"/>
      <c r="N562" s="200"/>
      <c r="P562" s="199"/>
    </row>
    <row r="563" spans="7:16" x14ac:dyDescent="0.2">
      <c r="G563" s="199"/>
      <c r="I563" s="199"/>
      <c r="K563" s="199"/>
      <c r="M563" s="199"/>
      <c r="N563" s="200"/>
      <c r="P563" s="199"/>
    </row>
    <row r="564" spans="7:16" x14ac:dyDescent="0.2">
      <c r="G564" s="199"/>
      <c r="I564" s="199"/>
      <c r="K564" s="199"/>
      <c r="M564" s="199"/>
      <c r="N564" s="200"/>
      <c r="P564" s="199"/>
    </row>
    <row r="565" spans="7:16" x14ac:dyDescent="0.2">
      <c r="G565" s="199"/>
      <c r="I565" s="199"/>
      <c r="K565" s="199"/>
      <c r="M565" s="199"/>
      <c r="N565" s="200"/>
      <c r="P565" s="199"/>
    </row>
    <row r="566" spans="7:16" x14ac:dyDescent="0.2">
      <c r="G566" s="199"/>
      <c r="I566" s="199"/>
      <c r="K566" s="199"/>
      <c r="M566" s="199"/>
      <c r="N566" s="200"/>
      <c r="P566" s="199"/>
    </row>
    <row r="567" spans="7:16" x14ac:dyDescent="0.2">
      <c r="G567" s="199"/>
      <c r="I567" s="199"/>
      <c r="K567" s="199"/>
      <c r="M567" s="199"/>
      <c r="N567" s="200"/>
      <c r="P567" s="199"/>
    </row>
    <row r="568" spans="7:16" x14ac:dyDescent="0.2">
      <c r="G568" s="199"/>
      <c r="I568" s="199"/>
      <c r="K568" s="199"/>
      <c r="M568" s="199"/>
      <c r="N568" s="200"/>
      <c r="P568" s="199"/>
    </row>
    <row r="569" spans="7:16" x14ac:dyDescent="0.2">
      <c r="G569" s="199"/>
      <c r="I569" s="199"/>
      <c r="K569" s="199"/>
      <c r="M569" s="199"/>
      <c r="N569" s="200"/>
      <c r="P569" s="199"/>
    </row>
    <row r="570" spans="7:16" x14ac:dyDescent="0.2">
      <c r="G570" s="199"/>
      <c r="I570" s="199"/>
      <c r="K570" s="199"/>
      <c r="M570" s="199"/>
      <c r="N570" s="200"/>
      <c r="P570" s="199"/>
    </row>
    <row r="571" spans="7:16" x14ac:dyDescent="0.2">
      <c r="G571" s="199"/>
      <c r="I571" s="199"/>
      <c r="K571" s="199"/>
      <c r="M571" s="199"/>
      <c r="N571" s="200"/>
      <c r="P571" s="199"/>
    </row>
    <row r="572" spans="7:16" x14ac:dyDescent="0.2">
      <c r="G572" s="199"/>
      <c r="I572" s="199"/>
      <c r="K572" s="199"/>
      <c r="M572" s="199"/>
      <c r="N572" s="200"/>
      <c r="P572" s="199"/>
    </row>
    <row r="573" spans="7:16" x14ac:dyDescent="0.2">
      <c r="G573" s="199"/>
      <c r="I573" s="199"/>
      <c r="K573" s="199"/>
      <c r="M573" s="199"/>
      <c r="N573" s="200"/>
      <c r="P573" s="199"/>
    </row>
    <row r="574" spans="7:16" x14ac:dyDescent="0.2">
      <c r="G574" s="199"/>
      <c r="I574" s="199"/>
      <c r="K574" s="199"/>
      <c r="M574" s="199"/>
      <c r="N574" s="200"/>
      <c r="P574" s="199"/>
    </row>
    <row r="575" spans="7:16" x14ac:dyDescent="0.2">
      <c r="G575" s="199"/>
      <c r="I575" s="199"/>
      <c r="K575" s="199"/>
      <c r="M575" s="199"/>
      <c r="N575" s="200"/>
      <c r="P575" s="199"/>
    </row>
    <row r="576" spans="7:16" x14ac:dyDescent="0.2">
      <c r="G576" s="199"/>
      <c r="I576" s="199"/>
      <c r="K576" s="199"/>
      <c r="M576" s="199"/>
      <c r="N576" s="200"/>
      <c r="P576" s="199"/>
    </row>
    <row r="577" spans="7:16" x14ac:dyDescent="0.2">
      <c r="G577" s="199"/>
      <c r="I577" s="199"/>
      <c r="K577" s="199"/>
      <c r="M577" s="199"/>
      <c r="N577" s="200"/>
      <c r="P577" s="199"/>
    </row>
    <row r="578" spans="7:16" x14ac:dyDescent="0.2">
      <c r="G578" s="199"/>
      <c r="I578" s="199"/>
      <c r="K578" s="199"/>
      <c r="M578" s="199"/>
      <c r="N578" s="200"/>
      <c r="P578" s="199"/>
    </row>
    <row r="579" spans="7:16" x14ac:dyDescent="0.2">
      <c r="G579" s="199"/>
      <c r="I579" s="199"/>
      <c r="K579" s="199"/>
      <c r="M579" s="199"/>
      <c r="N579" s="200"/>
      <c r="P579" s="199"/>
    </row>
    <row r="580" spans="7:16" x14ac:dyDescent="0.2">
      <c r="G580" s="199"/>
      <c r="I580" s="199"/>
      <c r="K580" s="199"/>
      <c r="M580" s="199"/>
      <c r="N580" s="200"/>
      <c r="P580" s="199"/>
    </row>
    <row r="581" spans="7:16" x14ac:dyDescent="0.2">
      <c r="G581" s="199"/>
      <c r="I581" s="199"/>
      <c r="K581" s="199"/>
      <c r="M581" s="199"/>
      <c r="N581" s="200"/>
      <c r="P581" s="199"/>
    </row>
    <row r="582" spans="7:16" x14ac:dyDescent="0.2">
      <c r="G582" s="199"/>
      <c r="I582" s="199"/>
      <c r="K582" s="199"/>
      <c r="M582" s="199"/>
      <c r="N582" s="200"/>
      <c r="P582" s="199"/>
    </row>
    <row r="583" spans="7:16" x14ac:dyDescent="0.2">
      <c r="G583" s="199"/>
      <c r="I583" s="199"/>
      <c r="K583" s="199"/>
      <c r="M583" s="199"/>
      <c r="N583" s="200"/>
      <c r="P583" s="199"/>
    </row>
    <row r="584" spans="7:16" x14ac:dyDescent="0.2">
      <c r="G584" s="199"/>
      <c r="I584" s="199"/>
      <c r="K584" s="199"/>
      <c r="M584" s="199"/>
      <c r="N584" s="200"/>
      <c r="P584" s="199"/>
    </row>
    <row r="585" spans="7:16" x14ac:dyDescent="0.2">
      <c r="G585" s="199"/>
      <c r="I585" s="199"/>
      <c r="K585" s="199"/>
      <c r="M585" s="199"/>
      <c r="N585" s="200"/>
      <c r="P585" s="199"/>
    </row>
    <row r="586" spans="7:16" x14ac:dyDescent="0.2">
      <c r="G586" s="199"/>
      <c r="I586" s="199"/>
      <c r="K586" s="199"/>
      <c r="M586" s="199"/>
      <c r="N586" s="200"/>
      <c r="P586" s="199"/>
    </row>
    <row r="587" spans="7:16" x14ac:dyDescent="0.2">
      <c r="G587" s="199"/>
      <c r="I587" s="199"/>
      <c r="K587" s="199"/>
      <c r="M587" s="199"/>
      <c r="N587" s="200"/>
      <c r="P587" s="199"/>
    </row>
    <row r="588" spans="7:16" x14ac:dyDescent="0.2">
      <c r="G588" s="199"/>
      <c r="I588" s="199"/>
      <c r="K588" s="199"/>
      <c r="M588" s="199"/>
      <c r="N588" s="200"/>
      <c r="P588" s="199"/>
    </row>
    <row r="589" spans="7:16" x14ac:dyDescent="0.2">
      <c r="G589" s="199"/>
      <c r="I589" s="199"/>
      <c r="K589" s="199"/>
      <c r="M589" s="199"/>
      <c r="N589" s="200"/>
      <c r="P589" s="199"/>
    </row>
    <row r="590" spans="7:16" x14ac:dyDescent="0.2">
      <c r="G590" s="199"/>
      <c r="I590" s="199"/>
      <c r="K590" s="199"/>
      <c r="M590" s="199"/>
      <c r="N590" s="200"/>
      <c r="P590" s="199"/>
    </row>
    <row r="591" spans="7:16" x14ac:dyDescent="0.2">
      <c r="G591" s="199"/>
      <c r="I591" s="199"/>
      <c r="K591" s="199"/>
      <c r="M591" s="199"/>
      <c r="N591" s="200"/>
      <c r="P591" s="199"/>
    </row>
    <row r="592" spans="7:16" x14ac:dyDescent="0.2">
      <c r="G592" s="199"/>
      <c r="I592" s="199"/>
      <c r="K592" s="199"/>
      <c r="M592" s="199"/>
      <c r="N592" s="200"/>
      <c r="P592" s="199"/>
    </row>
    <row r="593" spans="7:16" x14ac:dyDescent="0.2">
      <c r="G593" s="199"/>
      <c r="I593" s="199"/>
      <c r="K593" s="199"/>
      <c r="M593" s="199"/>
      <c r="N593" s="200"/>
      <c r="P593" s="199"/>
    </row>
    <row r="594" spans="7:16" x14ac:dyDescent="0.2">
      <c r="G594" s="199"/>
      <c r="I594" s="199"/>
      <c r="K594" s="199"/>
      <c r="M594" s="199"/>
      <c r="N594" s="200"/>
      <c r="P594" s="199"/>
    </row>
    <row r="595" spans="7:16" x14ac:dyDescent="0.2">
      <c r="G595" s="199"/>
      <c r="I595" s="199"/>
      <c r="K595" s="199"/>
      <c r="M595" s="199"/>
      <c r="N595" s="200"/>
      <c r="P595" s="199"/>
    </row>
    <row r="596" spans="7:16" x14ac:dyDescent="0.2">
      <c r="G596" s="199"/>
      <c r="I596" s="199"/>
      <c r="K596" s="199"/>
      <c r="M596" s="199"/>
      <c r="N596" s="200"/>
      <c r="P596" s="199"/>
    </row>
    <row r="597" spans="7:16" x14ac:dyDescent="0.2">
      <c r="G597" s="199"/>
      <c r="I597" s="199"/>
      <c r="K597" s="199"/>
      <c r="M597" s="199"/>
      <c r="N597" s="200"/>
      <c r="P597" s="199"/>
    </row>
    <row r="598" spans="7:16" x14ac:dyDescent="0.2">
      <c r="G598" s="199"/>
      <c r="I598" s="199"/>
      <c r="K598" s="199"/>
      <c r="M598" s="199"/>
      <c r="N598" s="200"/>
      <c r="P598" s="199"/>
    </row>
    <row r="599" spans="7:16" x14ac:dyDescent="0.2">
      <c r="G599" s="199"/>
      <c r="I599" s="199"/>
      <c r="K599" s="199"/>
      <c r="M599" s="199"/>
      <c r="N599" s="200"/>
      <c r="P599" s="199"/>
    </row>
    <row r="600" spans="7:16" x14ac:dyDescent="0.2">
      <c r="G600" s="199"/>
      <c r="I600" s="199"/>
      <c r="K600" s="199"/>
      <c r="M600" s="199"/>
      <c r="N600" s="200"/>
      <c r="P600" s="199"/>
    </row>
    <row r="601" spans="7:16" x14ac:dyDescent="0.2">
      <c r="G601" s="199"/>
      <c r="I601" s="199"/>
      <c r="K601" s="199"/>
      <c r="M601" s="199"/>
      <c r="N601" s="200"/>
      <c r="P601" s="199"/>
    </row>
    <row r="602" spans="7:16" x14ac:dyDescent="0.2">
      <c r="G602" s="199"/>
      <c r="I602" s="199"/>
      <c r="K602" s="199"/>
      <c r="M602" s="199"/>
      <c r="N602" s="200"/>
      <c r="P602" s="199"/>
    </row>
    <row r="603" spans="7:16" x14ac:dyDescent="0.2">
      <c r="G603" s="199"/>
      <c r="I603" s="199"/>
      <c r="K603" s="199"/>
      <c r="M603" s="199"/>
      <c r="N603" s="200"/>
      <c r="P603" s="199"/>
    </row>
    <row r="604" spans="7:16" x14ac:dyDescent="0.2">
      <c r="G604" s="199"/>
      <c r="I604" s="199"/>
      <c r="K604" s="199"/>
      <c r="M604" s="199"/>
      <c r="N604" s="200"/>
      <c r="P604" s="199"/>
    </row>
    <row r="605" spans="7:16" x14ac:dyDescent="0.2">
      <c r="G605" s="199"/>
      <c r="I605" s="199"/>
      <c r="K605" s="199"/>
      <c r="M605" s="199"/>
      <c r="N605" s="200"/>
      <c r="P605" s="199"/>
    </row>
    <row r="606" spans="7:16" x14ac:dyDescent="0.2">
      <c r="G606" s="199"/>
      <c r="I606" s="199"/>
      <c r="K606" s="199"/>
      <c r="M606" s="199"/>
      <c r="N606" s="200"/>
      <c r="P606" s="199"/>
    </row>
    <row r="607" spans="7:16" x14ac:dyDescent="0.2">
      <c r="G607" s="199"/>
      <c r="I607" s="199"/>
      <c r="K607" s="199"/>
      <c r="M607" s="199"/>
      <c r="N607" s="200"/>
      <c r="P607" s="199"/>
    </row>
    <row r="608" spans="7:16" x14ac:dyDescent="0.2">
      <c r="G608" s="199"/>
      <c r="I608" s="199"/>
      <c r="K608" s="199"/>
      <c r="M608" s="199"/>
      <c r="N608" s="200"/>
      <c r="P608" s="199"/>
    </row>
    <row r="609" spans="7:16" x14ac:dyDescent="0.2">
      <c r="G609" s="199"/>
      <c r="I609" s="199"/>
      <c r="K609" s="199"/>
      <c r="M609" s="199"/>
      <c r="N609" s="200"/>
      <c r="P609" s="199"/>
    </row>
    <row r="610" spans="7:16" x14ac:dyDescent="0.2">
      <c r="G610" s="199"/>
      <c r="I610" s="199"/>
      <c r="K610" s="199"/>
      <c r="M610" s="199"/>
      <c r="N610" s="200"/>
      <c r="P610" s="199"/>
    </row>
    <row r="611" spans="7:16" x14ac:dyDescent="0.2">
      <c r="G611" s="199"/>
      <c r="I611" s="199"/>
      <c r="K611" s="199"/>
      <c r="M611" s="199"/>
      <c r="N611" s="200"/>
      <c r="P611" s="199"/>
    </row>
    <row r="612" spans="7:16" x14ac:dyDescent="0.2">
      <c r="G612" s="199"/>
      <c r="I612" s="199"/>
      <c r="K612" s="199"/>
      <c r="M612" s="199"/>
      <c r="N612" s="200"/>
      <c r="P612" s="199"/>
    </row>
    <row r="613" spans="7:16" x14ac:dyDescent="0.2">
      <c r="G613" s="199"/>
      <c r="I613" s="199"/>
      <c r="K613" s="199"/>
      <c r="M613" s="199"/>
      <c r="N613" s="200"/>
      <c r="P613" s="199"/>
    </row>
    <row r="614" spans="7:16" x14ac:dyDescent="0.2">
      <c r="G614" s="199"/>
      <c r="I614" s="199"/>
      <c r="K614" s="199"/>
      <c r="M614" s="199"/>
      <c r="N614" s="200"/>
      <c r="P614" s="199"/>
    </row>
    <row r="615" spans="7:16" x14ac:dyDescent="0.2">
      <c r="G615" s="199"/>
      <c r="I615" s="199"/>
      <c r="K615" s="199"/>
      <c r="M615" s="199"/>
      <c r="N615" s="200"/>
      <c r="P615" s="199"/>
    </row>
    <row r="616" spans="7:16" x14ac:dyDescent="0.2">
      <c r="G616" s="199"/>
      <c r="I616" s="199"/>
      <c r="K616" s="199"/>
      <c r="M616" s="199"/>
      <c r="N616" s="200"/>
      <c r="P616" s="199"/>
    </row>
    <row r="617" spans="7:16" x14ac:dyDescent="0.2">
      <c r="G617" s="199"/>
      <c r="I617" s="199"/>
      <c r="K617" s="199"/>
      <c r="M617" s="199"/>
      <c r="N617" s="200"/>
      <c r="P617" s="199"/>
    </row>
    <row r="618" spans="7:16" x14ac:dyDescent="0.2">
      <c r="G618" s="199"/>
      <c r="I618" s="199"/>
      <c r="K618" s="199"/>
      <c r="M618" s="199"/>
      <c r="N618" s="200"/>
      <c r="P618" s="199"/>
    </row>
    <row r="619" spans="7:16" x14ac:dyDescent="0.2">
      <c r="G619" s="199"/>
      <c r="I619" s="199"/>
      <c r="K619" s="199"/>
      <c r="M619" s="199"/>
      <c r="N619" s="200"/>
      <c r="P619" s="199"/>
    </row>
    <row r="620" spans="7:16" x14ac:dyDescent="0.2">
      <c r="G620" s="199"/>
      <c r="I620" s="199"/>
      <c r="K620" s="199"/>
      <c r="M620" s="199"/>
      <c r="N620" s="200"/>
      <c r="P620" s="199"/>
    </row>
    <row r="621" spans="7:16" x14ac:dyDescent="0.2">
      <c r="G621" s="199"/>
      <c r="I621" s="199"/>
      <c r="K621" s="199"/>
      <c r="M621" s="199"/>
      <c r="N621" s="200"/>
      <c r="P621" s="199"/>
    </row>
    <row r="622" spans="7:16" x14ac:dyDescent="0.2">
      <c r="G622" s="199"/>
      <c r="I622" s="199"/>
      <c r="K622" s="199"/>
      <c r="M622" s="199"/>
      <c r="N622" s="200"/>
      <c r="P622" s="199"/>
    </row>
    <row r="623" spans="7:16" x14ac:dyDescent="0.2">
      <c r="G623" s="199"/>
      <c r="I623" s="199"/>
      <c r="K623" s="199"/>
      <c r="M623" s="199"/>
      <c r="N623" s="200"/>
      <c r="P623" s="199"/>
    </row>
    <row r="624" spans="7:16" x14ac:dyDescent="0.2">
      <c r="G624" s="199"/>
      <c r="I624" s="199"/>
      <c r="K624" s="199"/>
      <c r="M624" s="199"/>
      <c r="N624" s="200"/>
      <c r="P624" s="199"/>
    </row>
    <row r="625" spans="7:16" x14ac:dyDescent="0.2">
      <c r="G625" s="199"/>
      <c r="I625" s="199"/>
      <c r="K625" s="199"/>
      <c r="M625" s="199"/>
      <c r="N625" s="200"/>
      <c r="P625" s="199"/>
    </row>
    <row r="626" spans="7:16" x14ac:dyDescent="0.2">
      <c r="G626" s="199"/>
      <c r="I626" s="199"/>
      <c r="K626" s="199"/>
      <c r="M626" s="199"/>
      <c r="N626" s="200"/>
      <c r="P626" s="199"/>
    </row>
    <row r="627" spans="7:16" x14ac:dyDescent="0.2">
      <c r="G627" s="199"/>
      <c r="I627" s="199"/>
      <c r="K627" s="199"/>
      <c r="M627" s="199"/>
      <c r="N627" s="200"/>
      <c r="P627" s="199"/>
    </row>
    <row r="628" spans="7:16" x14ac:dyDescent="0.2">
      <c r="G628" s="199"/>
      <c r="I628" s="199"/>
      <c r="K628" s="199"/>
      <c r="M628" s="199"/>
      <c r="N628" s="200"/>
      <c r="P628" s="199"/>
    </row>
    <row r="629" spans="7:16" x14ac:dyDescent="0.2">
      <c r="G629" s="199"/>
      <c r="I629" s="199"/>
      <c r="K629" s="199"/>
      <c r="M629" s="199"/>
      <c r="N629" s="200"/>
      <c r="P629" s="199"/>
    </row>
    <row r="630" spans="7:16" x14ac:dyDescent="0.2">
      <c r="G630" s="199"/>
      <c r="I630" s="199"/>
      <c r="K630" s="199"/>
      <c r="M630" s="199"/>
      <c r="N630" s="200"/>
      <c r="P630" s="199"/>
    </row>
    <row r="631" spans="7:16" x14ac:dyDescent="0.2">
      <c r="G631" s="199"/>
      <c r="I631" s="199"/>
      <c r="K631" s="199"/>
      <c r="M631" s="199"/>
      <c r="N631" s="200"/>
      <c r="P631" s="199"/>
    </row>
    <row r="632" spans="7:16" x14ac:dyDescent="0.2">
      <c r="G632" s="199"/>
      <c r="I632" s="199"/>
      <c r="K632" s="199"/>
      <c r="M632" s="199"/>
      <c r="N632" s="200"/>
      <c r="P632" s="199"/>
    </row>
    <row r="633" spans="7:16" x14ac:dyDescent="0.2">
      <c r="G633" s="199"/>
      <c r="I633" s="199"/>
      <c r="K633" s="199"/>
      <c r="M633" s="199"/>
      <c r="N633" s="200"/>
      <c r="P633" s="199"/>
    </row>
    <row r="634" spans="7:16" x14ac:dyDescent="0.2">
      <c r="G634" s="199"/>
      <c r="I634" s="199"/>
      <c r="K634" s="199"/>
      <c r="M634" s="199"/>
      <c r="N634" s="200"/>
      <c r="P634" s="199"/>
    </row>
    <row r="635" spans="7:16" x14ac:dyDescent="0.2">
      <c r="G635" s="199"/>
      <c r="I635" s="199"/>
      <c r="K635" s="199"/>
      <c r="M635" s="199"/>
      <c r="N635" s="200"/>
      <c r="P635" s="199"/>
    </row>
    <row r="636" spans="7:16" x14ac:dyDescent="0.2">
      <c r="G636" s="199"/>
      <c r="I636" s="199"/>
      <c r="K636" s="199"/>
      <c r="M636" s="199"/>
      <c r="N636" s="200"/>
      <c r="P636" s="199"/>
    </row>
    <row r="637" spans="7:16" x14ac:dyDescent="0.2">
      <c r="G637" s="199"/>
      <c r="I637" s="199"/>
      <c r="K637" s="199"/>
      <c r="M637" s="199"/>
      <c r="N637" s="200"/>
      <c r="P637" s="199"/>
    </row>
    <row r="638" spans="7:16" x14ac:dyDescent="0.2">
      <c r="G638" s="199"/>
      <c r="I638" s="199"/>
      <c r="K638" s="199"/>
      <c r="M638" s="199"/>
      <c r="N638" s="200"/>
      <c r="P638" s="199"/>
    </row>
    <row r="639" spans="7:16" x14ac:dyDescent="0.2">
      <c r="G639" s="199"/>
      <c r="I639" s="199"/>
      <c r="K639" s="199"/>
      <c r="M639" s="199"/>
      <c r="N639" s="200"/>
      <c r="P639" s="199"/>
    </row>
    <row r="640" spans="7:16" x14ac:dyDescent="0.2">
      <c r="G640" s="199"/>
      <c r="I640" s="199"/>
      <c r="K640" s="199"/>
      <c r="M640" s="199"/>
      <c r="N640" s="200"/>
      <c r="P640" s="199"/>
    </row>
    <row r="641" spans="7:16" x14ac:dyDescent="0.2">
      <c r="G641" s="199"/>
      <c r="I641" s="199"/>
      <c r="K641" s="199"/>
      <c r="M641" s="199"/>
      <c r="N641" s="200"/>
      <c r="P641" s="199"/>
    </row>
    <row r="642" spans="7:16" x14ac:dyDescent="0.2">
      <c r="G642" s="199"/>
      <c r="I642" s="199"/>
      <c r="K642" s="199"/>
      <c r="M642" s="199"/>
      <c r="N642" s="200"/>
      <c r="P642" s="199"/>
    </row>
    <row r="643" spans="7:16" x14ac:dyDescent="0.2">
      <c r="G643" s="199"/>
      <c r="I643" s="199"/>
      <c r="K643" s="199"/>
      <c r="M643" s="199"/>
      <c r="N643" s="200"/>
      <c r="P643" s="199"/>
    </row>
    <row r="644" spans="7:16" x14ac:dyDescent="0.2">
      <c r="G644" s="199"/>
      <c r="I644" s="199"/>
      <c r="K644" s="199"/>
      <c r="M644" s="199"/>
      <c r="N644" s="200"/>
      <c r="P644" s="199"/>
    </row>
    <row r="645" spans="7:16" x14ac:dyDescent="0.2">
      <c r="G645" s="199"/>
      <c r="I645" s="199"/>
      <c r="K645" s="199"/>
      <c r="M645" s="199"/>
      <c r="N645" s="200"/>
      <c r="P645" s="199"/>
    </row>
    <row r="646" spans="7:16" x14ac:dyDescent="0.2">
      <c r="G646" s="199"/>
      <c r="I646" s="199"/>
      <c r="K646" s="199"/>
      <c r="M646" s="199"/>
      <c r="N646" s="200"/>
      <c r="P646" s="199"/>
    </row>
    <row r="647" spans="7:16" x14ac:dyDescent="0.2">
      <c r="G647" s="199"/>
      <c r="I647" s="199"/>
      <c r="K647" s="199"/>
      <c r="M647" s="199"/>
      <c r="N647" s="200"/>
      <c r="P647" s="199"/>
    </row>
    <row r="648" spans="7:16" x14ac:dyDescent="0.2">
      <c r="G648" s="199"/>
      <c r="I648" s="199"/>
      <c r="K648" s="199"/>
      <c r="M648" s="199"/>
      <c r="N648" s="200"/>
      <c r="P648" s="199"/>
    </row>
    <row r="649" spans="7:16" x14ac:dyDescent="0.2">
      <c r="G649" s="199"/>
      <c r="I649" s="199"/>
      <c r="K649" s="199"/>
      <c r="M649" s="199"/>
      <c r="N649" s="200"/>
      <c r="P649" s="199"/>
    </row>
    <row r="650" spans="7:16" x14ac:dyDescent="0.2">
      <c r="G650" s="199"/>
      <c r="I650" s="199"/>
      <c r="K650" s="199"/>
      <c r="M650" s="199"/>
      <c r="N650" s="200"/>
      <c r="P650" s="199"/>
    </row>
    <row r="651" spans="7:16" x14ac:dyDescent="0.2">
      <c r="G651" s="199"/>
      <c r="I651" s="199"/>
      <c r="K651" s="199"/>
      <c r="M651" s="199"/>
      <c r="N651" s="200"/>
      <c r="P651" s="199"/>
    </row>
    <row r="652" spans="7:16" x14ac:dyDescent="0.2">
      <c r="G652" s="199"/>
      <c r="I652" s="199"/>
      <c r="K652" s="199"/>
      <c r="M652" s="199"/>
      <c r="N652" s="200"/>
      <c r="P652" s="199"/>
    </row>
    <row r="653" spans="7:16" x14ac:dyDescent="0.2">
      <c r="G653" s="199"/>
      <c r="I653" s="199"/>
      <c r="K653" s="199"/>
      <c r="M653" s="199"/>
      <c r="N653" s="200"/>
      <c r="P653" s="199"/>
    </row>
    <row r="654" spans="7:16" x14ac:dyDescent="0.2">
      <c r="G654" s="199"/>
      <c r="I654" s="199"/>
      <c r="K654" s="199"/>
      <c r="M654" s="199"/>
      <c r="N654" s="200"/>
      <c r="P654" s="199"/>
    </row>
    <row r="655" spans="7:16" x14ac:dyDescent="0.2">
      <c r="G655" s="199"/>
      <c r="I655" s="199"/>
      <c r="K655" s="199"/>
      <c r="M655" s="199"/>
      <c r="N655" s="200"/>
      <c r="P655" s="199"/>
    </row>
    <row r="656" spans="7:16" x14ac:dyDescent="0.2">
      <c r="G656" s="199"/>
      <c r="I656" s="199"/>
      <c r="K656" s="199"/>
      <c r="M656" s="199"/>
      <c r="N656" s="200"/>
      <c r="P656" s="199"/>
    </row>
    <row r="657" spans="7:16" x14ac:dyDescent="0.2">
      <c r="G657" s="199"/>
      <c r="I657" s="199"/>
      <c r="K657" s="199"/>
      <c r="M657" s="199"/>
      <c r="N657" s="200"/>
      <c r="P657" s="199"/>
    </row>
    <row r="658" spans="7:16" x14ac:dyDescent="0.2">
      <c r="G658" s="199"/>
      <c r="I658" s="199"/>
      <c r="K658" s="199"/>
      <c r="M658" s="199"/>
      <c r="N658" s="200"/>
      <c r="P658" s="199"/>
    </row>
    <row r="659" spans="7:16" x14ac:dyDescent="0.2">
      <c r="G659" s="199"/>
      <c r="I659" s="199"/>
      <c r="K659" s="199"/>
      <c r="M659" s="199"/>
      <c r="N659" s="200"/>
      <c r="P659" s="199"/>
    </row>
    <row r="660" spans="7:16" x14ac:dyDescent="0.2">
      <c r="G660" s="199"/>
      <c r="I660" s="199"/>
      <c r="K660" s="199"/>
      <c r="M660" s="199"/>
      <c r="N660" s="200"/>
      <c r="P660" s="199"/>
    </row>
    <row r="661" spans="7:16" x14ac:dyDescent="0.2">
      <c r="G661" s="199"/>
      <c r="I661" s="199"/>
      <c r="K661" s="199"/>
      <c r="M661" s="199"/>
      <c r="N661" s="200"/>
      <c r="P661" s="199"/>
    </row>
    <row r="662" spans="7:16" x14ac:dyDescent="0.2">
      <c r="G662" s="199"/>
      <c r="I662" s="199"/>
      <c r="K662" s="199"/>
      <c r="M662" s="199"/>
      <c r="N662" s="200"/>
      <c r="P662" s="199"/>
    </row>
    <row r="663" spans="7:16" x14ac:dyDescent="0.2">
      <c r="G663" s="199"/>
      <c r="I663" s="199"/>
      <c r="K663" s="199"/>
      <c r="M663" s="199"/>
      <c r="N663" s="200"/>
      <c r="P663" s="199"/>
    </row>
    <row r="664" spans="7:16" x14ac:dyDescent="0.2">
      <c r="G664" s="199"/>
      <c r="I664" s="199"/>
      <c r="K664" s="199"/>
      <c r="M664" s="199"/>
      <c r="N664" s="200"/>
      <c r="P664" s="199"/>
    </row>
    <row r="665" spans="7:16" x14ac:dyDescent="0.2">
      <c r="G665" s="199"/>
      <c r="I665" s="199"/>
      <c r="K665" s="199"/>
      <c r="M665" s="199"/>
      <c r="N665" s="200"/>
      <c r="P665" s="199"/>
    </row>
    <row r="666" spans="7:16" x14ac:dyDescent="0.2">
      <c r="G666" s="199"/>
      <c r="I666" s="199"/>
      <c r="K666" s="199"/>
      <c r="M666" s="199"/>
      <c r="N666" s="200"/>
      <c r="P666" s="199"/>
    </row>
    <row r="667" spans="7:16" x14ac:dyDescent="0.2">
      <c r="G667" s="199"/>
      <c r="I667" s="199"/>
      <c r="K667" s="199"/>
      <c r="M667" s="199"/>
      <c r="N667" s="200"/>
      <c r="P667" s="199"/>
    </row>
    <row r="668" spans="7:16" x14ac:dyDescent="0.2">
      <c r="G668" s="199"/>
      <c r="I668" s="199"/>
      <c r="K668" s="199"/>
      <c r="M668" s="199"/>
      <c r="N668" s="200"/>
      <c r="P668" s="199"/>
    </row>
    <row r="669" spans="7:16" x14ac:dyDescent="0.2">
      <c r="G669" s="199"/>
      <c r="I669" s="199"/>
      <c r="K669" s="199"/>
      <c r="M669" s="199"/>
      <c r="N669" s="200"/>
      <c r="P669" s="199"/>
    </row>
    <row r="670" spans="7:16" x14ac:dyDescent="0.2">
      <c r="G670" s="199"/>
      <c r="I670" s="199"/>
      <c r="K670" s="199"/>
      <c r="M670" s="199"/>
      <c r="N670" s="200"/>
      <c r="P670" s="199"/>
    </row>
    <row r="671" spans="7:16" x14ac:dyDescent="0.2">
      <c r="G671" s="199"/>
      <c r="I671" s="199"/>
      <c r="K671" s="199"/>
      <c r="M671" s="199"/>
      <c r="N671" s="200"/>
      <c r="P671" s="199"/>
    </row>
    <row r="672" spans="7:16" x14ac:dyDescent="0.2">
      <c r="G672" s="199"/>
      <c r="I672" s="199"/>
      <c r="K672" s="199"/>
      <c r="M672" s="199"/>
      <c r="N672" s="200"/>
      <c r="P672" s="199"/>
    </row>
    <row r="673" spans="7:16" x14ac:dyDescent="0.2">
      <c r="G673" s="199"/>
      <c r="I673" s="199"/>
      <c r="K673" s="199"/>
      <c r="M673" s="199"/>
      <c r="N673" s="200"/>
      <c r="P673" s="199"/>
    </row>
    <row r="674" spans="7:16" x14ac:dyDescent="0.2">
      <c r="G674" s="199"/>
      <c r="I674" s="199"/>
      <c r="K674" s="199"/>
      <c r="M674" s="199"/>
      <c r="N674" s="200"/>
      <c r="P674" s="199"/>
    </row>
    <row r="675" spans="7:16" x14ac:dyDescent="0.2">
      <c r="G675" s="199"/>
      <c r="I675" s="199"/>
      <c r="K675" s="199"/>
      <c r="M675" s="199"/>
      <c r="N675" s="200"/>
      <c r="P675" s="199"/>
    </row>
    <row r="676" spans="7:16" x14ac:dyDescent="0.2">
      <c r="G676" s="199"/>
      <c r="I676" s="199"/>
      <c r="K676" s="199"/>
      <c r="M676" s="199"/>
      <c r="N676" s="200"/>
      <c r="P676" s="199"/>
    </row>
    <row r="677" spans="7:16" x14ac:dyDescent="0.2">
      <c r="G677" s="199"/>
      <c r="I677" s="199"/>
      <c r="K677" s="199"/>
      <c r="M677" s="199"/>
      <c r="N677" s="200"/>
      <c r="P677" s="199"/>
    </row>
    <row r="678" spans="7:16" x14ac:dyDescent="0.2">
      <c r="G678" s="199"/>
      <c r="I678" s="199"/>
      <c r="K678" s="199"/>
      <c r="M678" s="199"/>
      <c r="N678" s="200"/>
      <c r="P678" s="199"/>
    </row>
    <row r="679" spans="7:16" x14ac:dyDescent="0.2">
      <c r="G679" s="199"/>
      <c r="I679" s="199"/>
      <c r="K679" s="199"/>
      <c r="M679" s="199"/>
      <c r="N679" s="200"/>
      <c r="P679" s="199"/>
    </row>
    <row r="680" spans="7:16" x14ac:dyDescent="0.2">
      <c r="G680" s="199"/>
      <c r="I680" s="199"/>
      <c r="K680" s="199"/>
      <c r="M680" s="199"/>
      <c r="N680" s="200"/>
      <c r="P680" s="199"/>
    </row>
    <row r="681" spans="7:16" x14ac:dyDescent="0.2">
      <c r="G681" s="199"/>
      <c r="I681" s="199"/>
      <c r="K681" s="199"/>
      <c r="M681" s="199"/>
      <c r="N681" s="200"/>
      <c r="P681" s="199"/>
    </row>
    <row r="682" spans="7:16" x14ac:dyDescent="0.2">
      <c r="G682" s="199"/>
      <c r="I682" s="199"/>
      <c r="K682" s="199"/>
      <c r="M682" s="199"/>
      <c r="N682" s="200"/>
      <c r="P682" s="199"/>
    </row>
    <row r="683" spans="7:16" x14ac:dyDescent="0.2">
      <c r="G683" s="199"/>
      <c r="I683" s="199"/>
      <c r="K683" s="199"/>
      <c r="M683" s="199"/>
      <c r="N683" s="200"/>
      <c r="P683" s="199"/>
    </row>
    <row r="684" spans="7:16" x14ac:dyDescent="0.2">
      <c r="G684" s="199"/>
      <c r="I684" s="199"/>
      <c r="K684" s="199"/>
      <c r="M684" s="199"/>
      <c r="N684" s="200"/>
      <c r="P684" s="199"/>
    </row>
    <row r="685" spans="7:16" x14ac:dyDescent="0.2">
      <c r="G685" s="199"/>
      <c r="I685" s="199"/>
      <c r="K685" s="199"/>
      <c r="M685" s="199"/>
      <c r="N685" s="200"/>
      <c r="P685" s="199"/>
    </row>
    <row r="686" spans="7:16" x14ac:dyDescent="0.2">
      <c r="G686" s="199"/>
      <c r="I686" s="199"/>
      <c r="K686" s="199"/>
      <c r="M686" s="199"/>
      <c r="N686" s="200"/>
      <c r="P686" s="199"/>
    </row>
    <row r="687" spans="7:16" x14ac:dyDescent="0.2">
      <c r="G687" s="199"/>
      <c r="I687" s="199"/>
      <c r="K687" s="199"/>
      <c r="M687" s="199"/>
      <c r="N687" s="200"/>
      <c r="P687" s="199"/>
    </row>
    <row r="688" spans="7:16" x14ac:dyDescent="0.2">
      <c r="G688" s="199"/>
      <c r="I688" s="199"/>
      <c r="K688" s="199"/>
      <c r="M688" s="199"/>
      <c r="N688" s="200"/>
      <c r="P688" s="199"/>
    </row>
    <row r="689" spans="7:16" x14ac:dyDescent="0.2">
      <c r="G689" s="199"/>
      <c r="I689" s="199"/>
      <c r="K689" s="199"/>
      <c r="M689" s="199"/>
      <c r="N689" s="200"/>
      <c r="P689" s="199"/>
    </row>
    <row r="690" spans="7:16" x14ac:dyDescent="0.2">
      <c r="G690" s="199"/>
      <c r="I690" s="199"/>
      <c r="K690" s="199"/>
      <c r="M690" s="199"/>
      <c r="N690" s="200"/>
      <c r="P690" s="199"/>
    </row>
    <row r="691" spans="7:16" x14ac:dyDescent="0.2">
      <c r="G691" s="199"/>
      <c r="I691" s="199"/>
      <c r="K691" s="199"/>
      <c r="M691" s="199"/>
      <c r="N691" s="200"/>
      <c r="P691" s="199"/>
    </row>
    <row r="692" spans="7:16" x14ac:dyDescent="0.2">
      <c r="G692" s="199"/>
      <c r="I692" s="199"/>
      <c r="K692" s="199"/>
      <c r="M692" s="199"/>
      <c r="N692" s="200"/>
      <c r="P692" s="199"/>
    </row>
    <row r="693" spans="7:16" x14ac:dyDescent="0.2">
      <c r="G693" s="199"/>
      <c r="I693" s="199"/>
      <c r="K693" s="199"/>
      <c r="M693" s="199"/>
      <c r="N693" s="200"/>
      <c r="P693" s="199"/>
    </row>
    <row r="694" spans="7:16" x14ac:dyDescent="0.2">
      <c r="G694" s="199"/>
      <c r="I694" s="199"/>
      <c r="K694" s="199"/>
      <c r="M694" s="199"/>
      <c r="N694" s="200"/>
      <c r="P694" s="199"/>
    </row>
    <row r="695" spans="7:16" x14ac:dyDescent="0.2">
      <c r="G695" s="199"/>
      <c r="I695" s="199"/>
      <c r="K695" s="199"/>
      <c r="M695" s="199"/>
      <c r="N695" s="200"/>
      <c r="P695" s="199"/>
    </row>
    <row r="696" spans="7:16" x14ac:dyDescent="0.2">
      <c r="G696" s="199"/>
      <c r="I696" s="199"/>
      <c r="K696" s="199"/>
      <c r="M696" s="199"/>
      <c r="N696" s="200"/>
      <c r="P696" s="199"/>
    </row>
    <row r="697" spans="7:16" x14ac:dyDescent="0.2">
      <c r="G697" s="199"/>
      <c r="I697" s="199"/>
      <c r="K697" s="199"/>
      <c r="M697" s="199"/>
      <c r="N697" s="200"/>
      <c r="P697" s="199"/>
    </row>
    <row r="698" spans="7:16" x14ac:dyDescent="0.2">
      <c r="G698" s="199"/>
      <c r="I698" s="199"/>
      <c r="K698" s="199"/>
      <c r="M698" s="199"/>
      <c r="N698" s="200"/>
      <c r="P698" s="199"/>
    </row>
    <row r="699" spans="7:16" x14ac:dyDescent="0.2">
      <c r="G699" s="199"/>
      <c r="I699" s="199"/>
      <c r="K699" s="199"/>
      <c r="M699" s="199"/>
      <c r="N699" s="200"/>
      <c r="P699" s="199"/>
    </row>
    <row r="700" spans="7:16" x14ac:dyDescent="0.2">
      <c r="G700" s="199"/>
      <c r="I700" s="199"/>
      <c r="K700" s="199"/>
      <c r="M700" s="199"/>
      <c r="N700" s="200"/>
      <c r="P700" s="199"/>
    </row>
    <row r="701" spans="7:16" x14ac:dyDescent="0.2">
      <c r="G701" s="199"/>
      <c r="I701" s="199"/>
      <c r="K701" s="199"/>
      <c r="M701" s="199"/>
      <c r="N701" s="200"/>
      <c r="P701" s="199"/>
    </row>
    <row r="702" spans="7:16" x14ac:dyDescent="0.2">
      <c r="G702" s="199"/>
      <c r="I702" s="199"/>
      <c r="K702" s="199"/>
      <c r="M702" s="199"/>
      <c r="N702" s="200"/>
      <c r="P702" s="199"/>
    </row>
    <row r="703" spans="7:16" x14ac:dyDescent="0.2">
      <c r="G703" s="199"/>
      <c r="I703" s="199"/>
      <c r="K703" s="199"/>
      <c r="M703" s="199"/>
      <c r="N703" s="200"/>
      <c r="P703" s="199"/>
    </row>
    <row r="704" spans="7:16" x14ac:dyDescent="0.2">
      <c r="G704" s="199"/>
      <c r="I704" s="199"/>
      <c r="K704" s="199"/>
      <c r="M704" s="199"/>
      <c r="N704" s="200"/>
      <c r="P704" s="199"/>
    </row>
    <row r="705" spans="7:16" x14ac:dyDescent="0.2">
      <c r="G705" s="199"/>
      <c r="I705" s="199"/>
      <c r="K705" s="199"/>
      <c r="M705" s="199"/>
      <c r="N705" s="200"/>
      <c r="P705" s="199"/>
    </row>
    <row r="706" spans="7:16" x14ac:dyDescent="0.2">
      <c r="G706" s="199"/>
      <c r="I706" s="199"/>
      <c r="K706" s="199"/>
      <c r="M706" s="199"/>
      <c r="N706" s="200"/>
      <c r="P706" s="199"/>
    </row>
    <row r="707" spans="7:16" x14ac:dyDescent="0.2">
      <c r="G707" s="199"/>
      <c r="I707" s="199"/>
      <c r="K707" s="199"/>
      <c r="M707" s="199"/>
      <c r="N707" s="200"/>
      <c r="P707" s="199"/>
    </row>
    <row r="708" spans="7:16" x14ac:dyDescent="0.2">
      <c r="G708" s="199"/>
      <c r="I708" s="199"/>
      <c r="K708" s="199"/>
      <c r="M708" s="199"/>
      <c r="N708" s="200"/>
      <c r="P708" s="199"/>
    </row>
    <row r="709" spans="7:16" x14ac:dyDescent="0.2">
      <c r="G709" s="199"/>
      <c r="I709" s="199"/>
      <c r="K709" s="199"/>
      <c r="M709" s="199"/>
      <c r="N709" s="200"/>
      <c r="P709" s="199"/>
    </row>
    <row r="710" spans="7:16" x14ac:dyDescent="0.2">
      <c r="G710" s="199"/>
      <c r="I710" s="199"/>
      <c r="K710" s="199"/>
      <c r="M710" s="199"/>
      <c r="N710" s="200"/>
      <c r="P710" s="199"/>
    </row>
    <row r="711" spans="7:16" x14ac:dyDescent="0.2">
      <c r="G711" s="199"/>
      <c r="I711" s="199"/>
      <c r="K711" s="199"/>
      <c r="M711" s="199"/>
      <c r="N711" s="200"/>
      <c r="P711" s="199"/>
    </row>
    <row r="712" spans="7:16" x14ac:dyDescent="0.2">
      <c r="G712" s="199"/>
      <c r="I712" s="199"/>
      <c r="K712" s="199"/>
      <c r="M712" s="199"/>
      <c r="N712" s="200"/>
      <c r="P712" s="199"/>
    </row>
    <row r="713" spans="7:16" x14ac:dyDescent="0.2">
      <c r="G713" s="199"/>
      <c r="I713" s="199"/>
      <c r="K713" s="199"/>
      <c r="M713" s="199"/>
      <c r="N713" s="200"/>
      <c r="P713" s="199"/>
    </row>
    <row r="714" spans="7:16" x14ac:dyDescent="0.2">
      <c r="G714" s="199"/>
      <c r="I714" s="199"/>
      <c r="K714" s="199"/>
      <c r="M714" s="199"/>
      <c r="N714" s="200"/>
      <c r="P714" s="199"/>
    </row>
    <row r="715" spans="7:16" x14ac:dyDescent="0.2">
      <c r="G715" s="199"/>
      <c r="I715" s="199"/>
      <c r="K715" s="199"/>
      <c r="M715" s="199"/>
      <c r="N715" s="200"/>
      <c r="P715" s="199"/>
    </row>
    <row r="716" spans="7:16" x14ac:dyDescent="0.2">
      <c r="G716" s="199"/>
      <c r="I716" s="199"/>
      <c r="K716" s="199"/>
      <c r="M716" s="199"/>
      <c r="N716" s="200"/>
      <c r="P716" s="199"/>
    </row>
    <row r="717" spans="7:16" x14ac:dyDescent="0.2">
      <c r="G717" s="199"/>
      <c r="I717" s="199"/>
      <c r="K717" s="199"/>
      <c r="M717" s="199"/>
      <c r="N717" s="200"/>
      <c r="P717" s="199"/>
    </row>
    <row r="718" spans="7:16" x14ac:dyDescent="0.2">
      <c r="G718" s="199"/>
      <c r="I718" s="199"/>
      <c r="K718" s="199"/>
      <c r="M718" s="199"/>
      <c r="N718" s="200"/>
      <c r="P718" s="199"/>
    </row>
    <row r="719" spans="7:16" x14ac:dyDescent="0.2">
      <c r="G719" s="199"/>
      <c r="I719" s="199"/>
      <c r="K719" s="199"/>
      <c r="M719" s="199"/>
      <c r="N719" s="200"/>
      <c r="P719" s="199"/>
    </row>
    <row r="720" spans="7:16" x14ac:dyDescent="0.2">
      <c r="G720" s="199"/>
      <c r="I720" s="199"/>
      <c r="K720" s="199"/>
      <c r="M720" s="199"/>
      <c r="N720" s="200"/>
      <c r="P720" s="199"/>
    </row>
    <row r="721" spans="7:16" x14ac:dyDescent="0.2">
      <c r="G721" s="199"/>
      <c r="I721" s="199"/>
      <c r="K721" s="199"/>
      <c r="M721" s="199"/>
      <c r="N721" s="200"/>
      <c r="P721" s="199"/>
    </row>
    <row r="722" spans="7:16" x14ac:dyDescent="0.2">
      <c r="G722" s="199"/>
      <c r="I722" s="199"/>
      <c r="K722" s="199"/>
      <c r="M722" s="199"/>
      <c r="N722" s="200"/>
      <c r="P722" s="199"/>
    </row>
    <row r="723" spans="7:16" x14ac:dyDescent="0.2">
      <c r="G723" s="199"/>
      <c r="I723" s="199"/>
      <c r="K723" s="199"/>
      <c r="M723" s="199"/>
      <c r="N723" s="200"/>
      <c r="P723" s="199"/>
    </row>
    <row r="724" spans="7:16" x14ac:dyDescent="0.2">
      <c r="G724" s="199"/>
      <c r="I724" s="199"/>
      <c r="K724" s="199"/>
      <c r="M724" s="199"/>
      <c r="N724" s="200"/>
      <c r="P724" s="199"/>
    </row>
    <row r="725" spans="7:16" x14ac:dyDescent="0.2">
      <c r="G725" s="199"/>
      <c r="I725" s="199"/>
      <c r="K725" s="199"/>
      <c r="M725" s="199"/>
      <c r="N725" s="200"/>
      <c r="P725" s="199"/>
    </row>
    <row r="726" spans="7:16" x14ac:dyDescent="0.2">
      <c r="G726" s="199"/>
      <c r="I726" s="199"/>
      <c r="K726" s="199"/>
      <c r="M726" s="199"/>
      <c r="N726" s="200"/>
      <c r="P726" s="199"/>
    </row>
    <row r="727" spans="7:16" x14ac:dyDescent="0.2">
      <c r="G727" s="199"/>
      <c r="I727" s="199"/>
      <c r="K727" s="199"/>
      <c r="M727" s="199"/>
      <c r="N727" s="200"/>
      <c r="P727" s="199"/>
    </row>
    <row r="728" spans="7:16" x14ac:dyDescent="0.2">
      <c r="G728" s="199"/>
      <c r="I728" s="199"/>
      <c r="K728" s="199"/>
      <c r="M728" s="199"/>
      <c r="N728" s="200"/>
      <c r="P728" s="199"/>
    </row>
    <row r="729" spans="7:16" x14ac:dyDescent="0.2">
      <c r="G729" s="199"/>
      <c r="I729" s="199"/>
      <c r="K729" s="199"/>
      <c r="M729" s="199"/>
      <c r="N729" s="200"/>
      <c r="P729" s="199"/>
    </row>
    <row r="730" spans="7:16" x14ac:dyDescent="0.2">
      <c r="G730" s="199"/>
      <c r="I730" s="199"/>
      <c r="K730" s="199"/>
      <c r="M730" s="199"/>
      <c r="N730" s="200"/>
      <c r="P730" s="199"/>
    </row>
    <row r="731" spans="7:16" x14ac:dyDescent="0.2">
      <c r="G731" s="199"/>
      <c r="I731" s="199"/>
      <c r="K731" s="199"/>
      <c r="M731" s="199"/>
      <c r="N731" s="200"/>
      <c r="P731" s="199"/>
    </row>
    <row r="732" spans="7:16" x14ac:dyDescent="0.2">
      <c r="G732" s="199"/>
      <c r="I732" s="199"/>
      <c r="K732" s="199"/>
      <c r="M732" s="199"/>
      <c r="N732" s="200"/>
      <c r="P732" s="199"/>
    </row>
    <row r="733" spans="7:16" x14ac:dyDescent="0.2">
      <c r="G733" s="199"/>
      <c r="I733" s="199"/>
      <c r="K733" s="199"/>
      <c r="M733" s="199"/>
      <c r="N733" s="200"/>
      <c r="P733" s="199"/>
    </row>
    <row r="734" spans="7:16" x14ac:dyDescent="0.2">
      <c r="G734" s="199"/>
      <c r="I734" s="199"/>
      <c r="K734" s="199"/>
      <c r="M734" s="199"/>
      <c r="N734" s="200"/>
      <c r="P734" s="199"/>
    </row>
    <row r="735" spans="7:16" x14ac:dyDescent="0.2">
      <c r="G735" s="199"/>
      <c r="I735" s="199"/>
      <c r="K735" s="199"/>
      <c r="M735" s="199"/>
      <c r="N735" s="200"/>
      <c r="P735" s="199"/>
    </row>
    <row r="736" spans="7:16" x14ac:dyDescent="0.2">
      <c r="G736" s="199"/>
      <c r="I736" s="199"/>
      <c r="K736" s="199"/>
      <c r="M736" s="199"/>
      <c r="N736" s="200"/>
      <c r="P736" s="199"/>
    </row>
    <row r="737" spans="7:16" x14ac:dyDescent="0.2">
      <c r="G737" s="199"/>
      <c r="I737" s="199"/>
      <c r="K737" s="199"/>
      <c r="M737" s="199"/>
      <c r="N737" s="200"/>
      <c r="P737" s="199"/>
    </row>
    <row r="738" spans="7:16" x14ac:dyDescent="0.2">
      <c r="G738" s="199"/>
      <c r="I738" s="199"/>
      <c r="K738" s="199"/>
      <c r="M738" s="199"/>
      <c r="N738" s="200"/>
      <c r="P738" s="199"/>
    </row>
    <row r="739" spans="7:16" x14ac:dyDescent="0.2">
      <c r="G739" s="199"/>
      <c r="I739" s="199"/>
      <c r="K739" s="199"/>
      <c r="M739" s="199"/>
      <c r="N739" s="200"/>
      <c r="P739" s="199"/>
    </row>
    <row r="740" spans="7:16" x14ac:dyDescent="0.2">
      <c r="G740" s="199"/>
      <c r="I740" s="199"/>
      <c r="K740" s="199"/>
      <c r="M740" s="199"/>
      <c r="N740" s="200"/>
      <c r="P740" s="199"/>
    </row>
    <row r="741" spans="7:16" x14ac:dyDescent="0.2">
      <c r="G741" s="199"/>
      <c r="I741" s="199"/>
      <c r="K741" s="199"/>
      <c r="M741" s="199"/>
      <c r="N741" s="200"/>
      <c r="P741" s="199"/>
    </row>
    <row r="742" spans="7:16" x14ac:dyDescent="0.2">
      <c r="G742" s="199"/>
      <c r="I742" s="199"/>
      <c r="K742" s="199"/>
      <c r="M742" s="199"/>
      <c r="N742" s="200"/>
      <c r="P742" s="199"/>
    </row>
    <row r="743" spans="7:16" x14ac:dyDescent="0.2">
      <c r="G743" s="199"/>
      <c r="I743" s="199"/>
      <c r="K743" s="199"/>
      <c r="M743" s="199"/>
      <c r="N743" s="200"/>
      <c r="P743" s="199"/>
    </row>
    <row r="744" spans="7:16" x14ac:dyDescent="0.2">
      <c r="G744" s="199"/>
      <c r="I744" s="199"/>
      <c r="K744" s="199"/>
      <c r="M744" s="199"/>
      <c r="N744" s="200"/>
      <c r="P744" s="199"/>
    </row>
    <row r="745" spans="7:16" x14ac:dyDescent="0.2">
      <c r="G745" s="199"/>
      <c r="I745" s="199"/>
      <c r="K745" s="199"/>
      <c r="M745" s="199"/>
      <c r="N745" s="200"/>
      <c r="P745" s="199"/>
    </row>
    <row r="746" spans="7:16" x14ac:dyDescent="0.2">
      <c r="G746" s="199"/>
      <c r="I746" s="199"/>
      <c r="K746" s="199"/>
      <c r="M746" s="199"/>
      <c r="N746" s="200"/>
      <c r="P746" s="199"/>
    </row>
    <row r="747" spans="7:16" x14ac:dyDescent="0.2">
      <c r="G747" s="199"/>
      <c r="I747" s="199"/>
      <c r="K747" s="199"/>
      <c r="M747" s="199"/>
      <c r="N747" s="200"/>
      <c r="P747" s="199"/>
    </row>
    <row r="748" spans="7:16" x14ac:dyDescent="0.2">
      <c r="G748" s="199"/>
      <c r="I748" s="199"/>
      <c r="K748" s="199"/>
      <c r="M748" s="199"/>
      <c r="N748" s="200"/>
      <c r="P748" s="199"/>
    </row>
    <row r="749" spans="7:16" x14ac:dyDescent="0.2">
      <c r="G749" s="199"/>
      <c r="I749" s="199"/>
      <c r="K749" s="199"/>
      <c r="M749" s="199"/>
      <c r="N749" s="200"/>
      <c r="P749" s="199"/>
    </row>
    <row r="750" spans="7:16" x14ac:dyDescent="0.2">
      <c r="G750" s="199"/>
      <c r="I750" s="199"/>
      <c r="K750" s="199"/>
      <c r="M750" s="199"/>
      <c r="N750" s="200"/>
      <c r="P750" s="199"/>
    </row>
    <row r="751" spans="7:16" x14ac:dyDescent="0.2">
      <c r="G751" s="199"/>
      <c r="I751" s="199"/>
      <c r="K751" s="199"/>
      <c r="M751" s="199"/>
      <c r="N751" s="200"/>
      <c r="P751" s="199"/>
    </row>
    <row r="752" spans="7:16" x14ac:dyDescent="0.2">
      <c r="G752" s="199"/>
      <c r="I752" s="199"/>
      <c r="K752" s="199"/>
      <c r="M752" s="199"/>
      <c r="N752" s="200"/>
      <c r="P752" s="199"/>
    </row>
    <row r="753" spans="7:16" x14ac:dyDescent="0.2">
      <c r="G753" s="199"/>
      <c r="I753" s="199"/>
      <c r="K753" s="199"/>
      <c r="M753" s="199"/>
      <c r="N753" s="200"/>
      <c r="P753" s="199"/>
    </row>
    <row r="754" spans="7:16" x14ac:dyDescent="0.2">
      <c r="G754" s="199"/>
      <c r="I754" s="199"/>
      <c r="K754" s="199"/>
      <c r="M754" s="199"/>
      <c r="N754" s="200"/>
      <c r="P754" s="199"/>
    </row>
    <row r="755" spans="7:16" x14ac:dyDescent="0.2">
      <c r="G755" s="199"/>
      <c r="I755" s="199"/>
      <c r="K755" s="199"/>
      <c r="M755" s="199"/>
      <c r="N755" s="200"/>
      <c r="P755" s="199"/>
    </row>
    <row r="756" spans="7:16" x14ac:dyDescent="0.2">
      <c r="G756" s="199"/>
      <c r="I756" s="199"/>
      <c r="K756" s="199"/>
      <c r="M756" s="199"/>
      <c r="N756" s="200"/>
      <c r="P756" s="199"/>
    </row>
    <row r="757" spans="7:16" x14ac:dyDescent="0.2">
      <c r="G757" s="199"/>
      <c r="I757" s="199"/>
      <c r="K757" s="199"/>
      <c r="M757" s="199"/>
      <c r="N757" s="200"/>
      <c r="P757" s="199"/>
    </row>
    <row r="758" spans="7:16" x14ac:dyDescent="0.2">
      <c r="G758" s="199"/>
      <c r="I758" s="199"/>
      <c r="K758" s="199"/>
      <c r="M758" s="199"/>
      <c r="N758" s="200"/>
      <c r="P758" s="199"/>
    </row>
    <row r="759" spans="7:16" x14ac:dyDescent="0.2">
      <c r="G759" s="199"/>
      <c r="I759" s="199"/>
      <c r="K759" s="199"/>
      <c r="M759" s="199"/>
      <c r="N759" s="200"/>
      <c r="P759" s="199"/>
    </row>
    <row r="760" spans="7:16" x14ac:dyDescent="0.2">
      <c r="G760" s="199"/>
      <c r="I760" s="199"/>
      <c r="K760" s="199"/>
      <c r="M760" s="199"/>
      <c r="N760" s="200"/>
      <c r="P760" s="199"/>
    </row>
    <row r="761" spans="7:16" x14ac:dyDescent="0.2">
      <c r="G761" s="199"/>
      <c r="I761" s="199"/>
      <c r="K761" s="199"/>
      <c r="M761" s="199"/>
      <c r="N761" s="200"/>
      <c r="P761" s="199"/>
    </row>
    <row r="762" spans="7:16" x14ac:dyDescent="0.2">
      <c r="G762" s="199"/>
      <c r="I762" s="199"/>
      <c r="K762" s="199"/>
      <c r="M762" s="199"/>
      <c r="N762" s="200"/>
      <c r="P762" s="199"/>
    </row>
    <row r="763" spans="7:16" x14ac:dyDescent="0.2">
      <c r="G763" s="199"/>
      <c r="I763" s="199"/>
      <c r="K763" s="199"/>
      <c r="M763" s="199"/>
      <c r="N763" s="200"/>
      <c r="P763" s="199"/>
    </row>
    <row r="764" spans="7:16" x14ac:dyDescent="0.2">
      <c r="G764" s="199"/>
      <c r="I764" s="199"/>
      <c r="K764" s="199"/>
      <c r="M764" s="199"/>
      <c r="N764" s="200"/>
      <c r="P764" s="199"/>
    </row>
    <row r="765" spans="7:16" x14ac:dyDescent="0.2">
      <c r="G765" s="199"/>
      <c r="I765" s="199"/>
      <c r="K765" s="199"/>
      <c r="M765" s="199"/>
      <c r="N765" s="200"/>
      <c r="P765" s="199"/>
    </row>
    <row r="766" spans="7:16" x14ac:dyDescent="0.2">
      <c r="G766" s="199"/>
      <c r="I766" s="199"/>
      <c r="K766" s="199"/>
      <c r="M766" s="199"/>
      <c r="N766" s="200"/>
      <c r="P766" s="199"/>
    </row>
    <row r="767" spans="7:16" x14ac:dyDescent="0.2">
      <c r="G767" s="199"/>
      <c r="I767" s="199"/>
      <c r="K767" s="199"/>
      <c r="M767" s="199"/>
      <c r="N767" s="200"/>
      <c r="P767" s="199"/>
    </row>
    <row r="768" spans="7:16" x14ac:dyDescent="0.2">
      <c r="G768" s="199"/>
      <c r="I768" s="199"/>
      <c r="K768" s="199"/>
      <c r="M768" s="199"/>
      <c r="N768" s="200"/>
      <c r="P768" s="199"/>
    </row>
    <row r="769" spans="7:16" x14ac:dyDescent="0.2">
      <c r="G769" s="199"/>
      <c r="I769" s="199"/>
      <c r="K769" s="199"/>
      <c r="M769" s="199"/>
      <c r="N769" s="200"/>
      <c r="P769" s="199"/>
    </row>
    <row r="770" spans="7:16" x14ac:dyDescent="0.2">
      <c r="G770" s="199"/>
      <c r="I770" s="199"/>
      <c r="K770" s="199"/>
      <c r="M770" s="199"/>
      <c r="N770" s="200"/>
      <c r="P770" s="199"/>
    </row>
    <row r="771" spans="7:16" x14ac:dyDescent="0.2">
      <c r="G771" s="199"/>
      <c r="I771" s="199"/>
      <c r="K771" s="199"/>
      <c r="M771" s="199"/>
      <c r="N771" s="200"/>
      <c r="P771" s="199"/>
    </row>
    <row r="772" spans="7:16" x14ac:dyDescent="0.2">
      <c r="G772" s="199"/>
      <c r="I772" s="199"/>
      <c r="K772" s="199"/>
      <c r="M772" s="199"/>
      <c r="N772" s="200"/>
      <c r="P772" s="199"/>
    </row>
    <row r="773" spans="7:16" x14ac:dyDescent="0.2">
      <c r="G773" s="199"/>
      <c r="I773" s="199"/>
      <c r="K773" s="199"/>
      <c r="M773" s="199"/>
      <c r="N773" s="200"/>
      <c r="P773" s="199"/>
    </row>
    <row r="774" spans="7:16" x14ac:dyDescent="0.2">
      <c r="G774" s="199"/>
      <c r="I774" s="199"/>
      <c r="K774" s="199"/>
      <c r="M774" s="199"/>
      <c r="N774" s="200"/>
      <c r="P774" s="199"/>
    </row>
    <row r="775" spans="7:16" x14ac:dyDescent="0.2">
      <c r="G775" s="199"/>
      <c r="I775" s="199"/>
      <c r="K775" s="199"/>
      <c r="M775" s="199"/>
      <c r="N775" s="200"/>
      <c r="P775" s="199"/>
    </row>
    <row r="776" spans="7:16" x14ac:dyDescent="0.2">
      <c r="G776" s="199"/>
      <c r="I776" s="199"/>
      <c r="K776" s="199"/>
      <c r="M776" s="199"/>
      <c r="N776" s="200"/>
      <c r="P776" s="199"/>
    </row>
    <row r="777" spans="7:16" x14ac:dyDescent="0.2">
      <c r="G777" s="199"/>
      <c r="I777" s="199"/>
      <c r="K777" s="199"/>
      <c r="M777" s="199"/>
      <c r="N777" s="200"/>
      <c r="P777" s="199"/>
    </row>
    <row r="778" spans="7:16" x14ac:dyDescent="0.2">
      <c r="G778" s="199"/>
      <c r="I778" s="199"/>
      <c r="K778" s="199"/>
      <c r="M778" s="199"/>
      <c r="N778" s="200"/>
      <c r="P778" s="199"/>
    </row>
    <row r="779" spans="7:16" x14ac:dyDescent="0.2">
      <c r="G779" s="199"/>
      <c r="I779" s="199"/>
      <c r="K779" s="199"/>
      <c r="M779" s="199"/>
      <c r="N779" s="200"/>
      <c r="P779" s="199"/>
    </row>
    <row r="780" spans="7:16" x14ac:dyDescent="0.2">
      <c r="G780" s="199"/>
      <c r="I780" s="199"/>
      <c r="K780" s="199"/>
      <c r="M780" s="199"/>
      <c r="N780" s="200"/>
      <c r="P780" s="199"/>
    </row>
    <row r="781" spans="7:16" x14ac:dyDescent="0.2">
      <c r="G781" s="199"/>
      <c r="I781" s="199"/>
      <c r="K781" s="199"/>
      <c r="M781" s="199"/>
      <c r="N781" s="200"/>
      <c r="P781" s="199"/>
    </row>
    <row r="782" spans="7:16" x14ac:dyDescent="0.2">
      <c r="G782" s="199"/>
      <c r="I782" s="199"/>
      <c r="K782" s="199"/>
      <c r="M782" s="199"/>
      <c r="N782" s="200"/>
      <c r="P782" s="199"/>
    </row>
    <row r="783" spans="7:16" x14ac:dyDescent="0.2">
      <c r="G783" s="199"/>
      <c r="I783" s="199"/>
      <c r="K783" s="199"/>
      <c r="M783" s="199"/>
      <c r="N783" s="200"/>
      <c r="P783" s="199"/>
    </row>
    <row r="784" spans="7:16" x14ac:dyDescent="0.2">
      <c r="G784" s="199"/>
      <c r="I784" s="199"/>
      <c r="K784" s="199"/>
      <c r="M784" s="199"/>
      <c r="N784" s="200"/>
      <c r="P784" s="199"/>
    </row>
    <row r="785" spans="7:16" x14ac:dyDescent="0.2">
      <c r="G785" s="199"/>
      <c r="I785" s="199"/>
      <c r="K785" s="199"/>
      <c r="M785" s="199"/>
      <c r="N785" s="200"/>
      <c r="P785" s="199"/>
    </row>
    <row r="786" spans="7:16" x14ac:dyDescent="0.2">
      <c r="G786" s="199"/>
      <c r="I786" s="199"/>
      <c r="K786" s="199"/>
      <c r="M786" s="199"/>
      <c r="N786" s="200"/>
      <c r="P786" s="199"/>
    </row>
    <row r="787" spans="7:16" x14ac:dyDescent="0.2">
      <c r="G787" s="199"/>
      <c r="I787" s="199"/>
      <c r="K787" s="199"/>
      <c r="M787" s="199"/>
      <c r="N787" s="200"/>
      <c r="P787" s="199"/>
    </row>
    <row r="788" spans="7:16" x14ac:dyDescent="0.2">
      <c r="G788" s="199"/>
      <c r="I788" s="199"/>
      <c r="K788" s="199"/>
      <c r="M788" s="199"/>
      <c r="N788" s="200"/>
      <c r="P788" s="199"/>
    </row>
    <row r="789" spans="7:16" x14ac:dyDescent="0.2">
      <c r="G789" s="199"/>
      <c r="I789" s="199"/>
      <c r="K789" s="199"/>
      <c r="M789" s="199"/>
      <c r="N789" s="200"/>
      <c r="P789" s="199"/>
    </row>
    <row r="790" spans="7:16" x14ac:dyDescent="0.2">
      <c r="G790" s="199"/>
      <c r="I790" s="199"/>
      <c r="K790" s="199"/>
      <c r="M790" s="199"/>
      <c r="N790" s="200"/>
      <c r="P790" s="199"/>
    </row>
    <row r="791" spans="7:16" x14ac:dyDescent="0.2">
      <c r="G791" s="199"/>
      <c r="I791" s="199"/>
      <c r="K791" s="199"/>
      <c r="M791" s="199"/>
      <c r="N791" s="200"/>
      <c r="P791" s="199"/>
    </row>
    <row r="792" spans="7:16" x14ac:dyDescent="0.2">
      <c r="G792" s="199"/>
      <c r="I792" s="199"/>
      <c r="K792" s="199"/>
      <c r="M792" s="199"/>
      <c r="N792" s="200"/>
      <c r="P792" s="199"/>
    </row>
    <row r="793" spans="7:16" x14ac:dyDescent="0.2">
      <c r="G793" s="199"/>
      <c r="I793" s="199"/>
      <c r="K793" s="199"/>
      <c r="M793" s="199"/>
      <c r="N793" s="200"/>
      <c r="P793" s="199"/>
    </row>
    <row r="794" spans="7:16" x14ac:dyDescent="0.2">
      <c r="G794" s="199"/>
      <c r="I794" s="199"/>
      <c r="K794" s="199"/>
      <c r="M794" s="199"/>
      <c r="N794" s="200"/>
      <c r="P794" s="199"/>
    </row>
    <row r="795" spans="7:16" x14ac:dyDescent="0.2">
      <c r="G795" s="199"/>
      <c r="I795" s="199"/>
      <c r="K795" s="199"/>
      <c r="M795" s="199"/>
      <c r="N795" s="200"/>
      <c r="P795" s="199"/>
    </row>
    <row r="796" spans="7:16" x14ac:dyDescent="0.2">
      <c r="G796" s="199"/>
      <c r="I796" s="199"/>
      <c r="K796" s="199"/>
      <c r="M796" s="199"/>
      <c r="N796" s="200"/>
      <c r="P796" s="199"/>
    </row>
    <row r="797" spans="7:16" x14ac:dyDescent="0.2">
      <c r="G797" s="199"/>
      <c r="I797" s="199"/>
      <c r="K797" s="199"/>
      <c r="M797" s="199"/>
      <c r="N797" s="200"/>
      <c r="P797" s="199"/>
    </row>
    <row r="798" spans="7:16" x14ac:dyDescent="0.2">
      <c r="G798" s="199"/>
      <c r="I798" s="199"/>
      <c r="K798" s="199"/>
      <c r="M798" s="199"/>
      <c r="N798" s="200"/>
      <c r="P798" s="199"/>
    </row>
    <row r="799" spans="7:16" x14ac:dyDescent="0.2">
      <c r="G799" s="199"/>
      <c r="I799" s="199"/>
      <c r="K799" s="199"/>
      <c r="M799" s="199"/>
      <c r="N799" s="200"/>
      <c r="P799" s="199"/>
    </row>
    <row r="800" spans="7:16" x14ac:dyDescent="0.2">
      <c r="G800" s="199"/>
      <c r="I800" s="199"/>
      <c r="K800" s="199"/>
      <c r="M800" s="199"/>
      <c r="N800" s="200"/>
      <c r="P800" s="199"/>
    </row>
    <row r="801" spans="7:16" x14ac:dyDescent="0.2">
      <c r="G801" s="199"/>
      <c r="I801" s="199"/>
      <c r="K801" s="199"/>
      <c r="M801" s="199"/>
      <c r="N801" s="200"/>
      <c r="P801" s="199"/>
    </row>
    <row r="802" spans="7:16" x14ac:dyDescent="0.2">
      <c r="G802" s="199"/>
      <c r="I802" s="199"/>
      <c r="K802" s="199"/>
      <c r="M802" s="199"/>
      <c r="N802" s="200"/>
      <c r="P802" s="199"/>
    </row>
    <row r="803" spans="7:16" x14ac:dyDescent="0.2">
      <c r="G803" s="199"/>
      <c r="I803" s="199"/>
      <c r="K803" s="199"/>
      <c r="M803" s="199"/>
      <c r="N803" s="200"/>
      <c r="P803" s="199"/>
    </row>
    <row r="804" spans="7:16" x14ac:dyDescent="0.2">
      <c r="G804" s="199"/>
      <c r="I804" s="199"/>
      <c r="K804" s="199"/>
      <c r="M804" s="199"/>
      <c r="N804" s="200"/>
      <c r="P804" s="199"/>
    </row>
    <row r="805" spans="7:16" x14ac:dyDescent="0.2">
      <c r="G805" s="199"/>
      <c r="I805" s="199"/>
      <c r="K805" s="199"/>
      <c r="M805" s="199"/>
      <c r="N805" s="200"/>
      <c r="P805" s="199"/>
    </row>
    <row r="806" spans="7:16" x14ac:dyDescent="0.2">
      <c r="G806" s="199"/>
      <c r="I806" s="199"/>
      <c r="K806" s="199"/>
      <c r="M806" s="199"/>
      <c r="N806" s="200"/>
      <c r="P806" s="199"/>
    </row>
    <row r="807" spans="7:16" x14ac:dyDescent="0.2">
      <c r="G807" s="199"/>
      <c r="I807" s="199"/>
      <c r="K807" s="199"/>
      <c r="M807" s="199"/>
      <c r="N807" s="200"/>
      <c r="P807" s="199"/>
    </row>
    <row r="808" spans="7:16" x14ac:dyDescent="0.2">
      <c r="G808" s="199"/>
      <c r="I808" s="199"/>
      <c r="K808" s="199"/>
      <c r="M808" s="199"/>
      <c r="N808" s="200"/>
      <c r="P808" s="199"/>
    </row>
    <row r="809" spans="7:16" x14ac:dyDescent="0.2">
      <c r="G809" s="199"/>
      <c r="I809" s="199"/>
      <c r="K809" s="199"/>
      <c r="M809" s="199"/>
      <c r="N809" s="200"/>
      <c r="P809" s="199"/>
    </row>
    <row r="810" spans="7:16" x14ac:dyDescent="0.2">
      <c r="G810" s="199"/>
      <c r="I810" s="199"/>
      <c r="K810" s="199"/>
      <c r="M810" s="199"/>
      <c r="N810" s="200"/>
      <c r="P810" s="199"/>
    </row>
    <row r="811" spans="7:16" x14ac:dyDescent="0.2">
      <c r="G811" s="199"/>
      <c r="I811" s="199"/>
      <c r="K811" s="199"/>
      <c r="M811" s="199"/>
      <c r="N811" s="200"/>
      <c r="P811" s="199"/>
    </row>
    <row r="812" spans="7:16" x14ac:dyDescent="0.2">
      <c r="G812" s="199"/>
      <c r="I812" s="199"/>
      <c r="K812" s="199"/>
      <c r="M812" s="199"/>
      <c r="N812" s="200"/>
      <c r="P812" s="199"/>
    </row>
    <row r="813" spans="7:16" x14ac:dyDescent="0.2">
      <c r="G813" s="199"/>
      <c r="I813" s="199"/>
      <c r="K813" s="199"/>
      <c r="M813" s="199"/>
      <c r="N813" s="200"/>
      <c r="P813" s="199"/>
    </row>
    <row r="814" spans="7:16" x14ac:dyDescent="0.2">
      <c r="G814" s="199"/>
      <c r="I814" s="199"/>
      <c r="K814" s="199"/>
      <c r="M814" s="199"/>
      <c r="N814" s="200"/>
      <c r="P814" s="199"/>
    </row>
    <row r="815" spans="7:16" x14ac:dyDescent="0.2">
      <c r="G815" s="199"/>
      <c r="I815" s="199"/>
      <c r="K815" s="199"/>
      <c r="M815" s="199"/>
      <c r="N815" s="200"/>
      <c r="P815" s="199"/>
    </row>
    <row r="816" spans="7:16" x14ac:dyDescent="0.2">
      <c r="G816" s="199"/>
      <c r="I816" s="199"/>
      <c r="K816" s="199"/>
      <c r="M816" s="199"/>
      <c r="N816" s="200"/>
      <c r="P816" s="199"/>
    </row>
    <row r="817" spans="7:16" x14ac:dyDescent="0.2">
      <c r="G817" s="199"/>
      <c r="I817" s="199"/>
      <c r="K817" s="199"/>
      <c r="M817" s="199"/>
      <c r="N817" s="200"/>
      <c r="P817" s="199"/>
    </row>
    <row r="818" spans="7:16" x14ac:dyDescent="0.2">
      <c r="G818" s="199"/>
      <c r="I818" s="199"/>
      <c r="K818" s="199"/>
      <c r="M818" s="199"/>
      <c r="N818" s="200"/>
      <c r="P818" s="199"/>
    </row>
    <row r="819" spans="7:16" x14ac:dyDescent="0.2">
      <c r="G819" s="199"/>
      <c r="I819" s="199"/>
      <c r="K819" s="199"/>
      <c r="M819" s="199"/>
      <c r="N819" s="200"/>
      <c r="P819" s="199"/>
    </row>
    <row r="820" spans="7:16" x14ac:dyDescent="0.2">
      <c r="G820" s="199"/>
      <c r="I820" s="199"/>
      <c r="K820" s="199"/>
      <c r="M820" s="199"/>
      <c r="N820" s="200"/>
      <c r="P820" s="199"/>
    </row>
    <row r="821" spans="7:16" x14ac:dyDescent="0.2">
      <c r="G821" s="199"/>
      <c r="I821" s="199"/>
      <c r="K821" s="199"/>
      <c r="M821" s="199"/>
      <c r="N821" s="200"/>
      <c r="P821" s="199"/>
    </row>
    <row r="822" spans="7:16" x14ac:dyDescent="0.2">
      <c r="G822" s="199"/>
      <c r="I822" s="199"/>
      <c r="K822" s="199"/>
      <c r="M822" s="199"/>
      <c r="N822" s="200"/>
      <c r="P822" s="199"/>
    </row>
    <row r="823" spans="7:16" x14ac:dyDescent="0.2">
      <c r="G823" s="199"/>
      <c r="I823" s="199"/>
      <c r="K823" s="199"/>
      <c r="M823" s="199"/>
      <c r="N823" s="200"/>
      <c r="P823" s="199"/>
    </row>
    <row r="824" spans="7:16" x14ac:dyDescent="0.2">
      <c r="G824" s="199"/>
      <c r="I824" s="199"/>
      <c r="K824" s="199"/>
      <c r="M824" s="199"/>
      <c r="N824" s="200"/>
      <c r="P824" s="199"/>
    </row>
    <row r="825" spans="7:16" x14ac:dyDescent="0.2">
      <c r="G825" s="199"/>
      <c r="I825" s="199"/>
      <c r="K825" s="199"/>
      <c r="M825" s="199"/>
      <c r="N825" s="200"/>
      <c r="P825" s="199"/>
    </row>
    <row r="826" spans="7:16" x14ac:dyDescent="0.2">
      <c r="G826" s="199"/>
      <c r="I826" s="199"/>
      <c r="K826" s="199"/>
      <c r="M826" s="199"/>
      <c r="N826" s="200"/>
      <c r="P826" s="199"/>
    </row>
    <row r="827" spans="7:16" x14ac:dyDescent="0.2">
      <c r="G827" s="199"/>
      <c r="I827" s="199"/>
      <c r="K827" s="199"/>
      <c r="M827" s="199"/>
      <c r="N827" s="200"/>
      <c r="P827" s="199"/>
    </row>
    <row r="828" spans="7:16" x14ac:dyDescent="0.2">
      <c r="G828" s="199"/>
      <c r="I828" s="199"/>
      <c r="K828" s="199"/>
      <c r="M828" s="199"/>
      <c r="N828" s="200"/>
      <c r="P828" s="199"/>
    </row>
    <row r="829" spans="7:16" x14ac:dyDescent="0.2">
      <c r="G829" s="199"/>
      <c r="I829" s="199"/>
      <c r="K829" s="199"/>
      <c r="M829" s="199"/>
      <c r="N829" s="200"/>
      <c r="P829" s="199"/>
    </row>
    <row r="830" spans="7:16" x14ac:dyDescent="0.2">
      <c r="G830" s="199"/>
      <c r="I830" s="199"/>
      <c r="K830" s="199"/>
      <c r="M830" s="199"/>
      <c r="N830" s="200"/>
      <c r="P830" s="199"/>
    </row>
    <row r="831" spans="7:16" x14ac:dyDescent="0.2">
      <c r="G831" s="199"/>
      <c r="I831" s="199"/>
      <c r="K831" s="199"/>
      <c r="M831" s="199"/>
      <c r="N831" s="200"/>
      <c r="P831" s="199"/>
    </row>
    <row r="832" spans="7:16" x14ac:dyDescent="0.2">
      <c r="G832" s="199"/>
      <c r="I832" s="199"/>
      <c r="K832" s="199"/>
      <c r="M832" s="199"/>
      <c r="N832" s="200"/>
      <c r="P832" s="199"/>
    </row>
    <row r="833" spans="7:16" x14ac:dyDescent="0.2">
      <c r="G833" s="199"/>
      <c r="I833" s="199"/>
      <c r="K833" s="199"/>
      <c r="M833" s="199"/>
      <c r="N833" s="200"/>
      <c r="P833" s="199"/>
    </row>
    <row r="834" spans="7:16" x14ac:dyDescent="0.2">
      <c r="G834" s="199"/>
      <c r="I834" s="199"/>
      <c r="K834" s="199"/>
      <c r="M834" s="199"/>
      <c r="N834" s="200"/>
      <c r="P834" s="199"/>
    </row>
    <row r="835" spans="7:16" x14ac:dyDescent="0.2">
      <c r="G835" s="199"/>
      <c r="I835" s="199"/>
      <c r="K835" s="199"/>
      <c r="M835" s="199"/>
      <c r="N835" s="200"/>
      <c r="P835" s="199"/>
    </row>
    <row r="836" spans="7:16" x14ac:dyDescent="0.2">
      <c r="G836" s="199"/>
      <c r="I836" s="199"/>
      <c r="K836" s="199"/>
      <c r="M836" s="199"/>
      <c r="N836" s="200"/>
      <c r="P836" s="199"/>
    </row>
    <row r="837" spans="7:16" x14ac:dyDescent="0.2">
      <c r="G837" s="199"/>
      <c r="I837" s="199"/>
      <c r="K837" s="199"/>
      <c r="M837" s="199"/>
      <c r="N837" s="200"/>
      <c r="P837" s="199"/>
    </row>
    <row r="838" spans="7:16" x14ac:dyDescent="0.2">
      <c r="G838" s="199"/>
      <c r="I838" s="199"/>
      <c r="K838" s="199"/>
      <c r="M838" s="199"/>
      <c r="N838" s="200"/>
      <c r="P838" s="199"/>
    </row>
    <row r="839" spans="7:16" x14ac:dyDescent="0.2">
      <c r="G839" s="199"/>
      <c r="I839" s="199"/>
      <c r="K839" s="199"/>
      <c r="M839" s="199"/>
      <c r="N839" s="200"/>
      <c r="P839" s="199"/>
    </row>
    <row r="840" spans="7:16" x14ac:dyDescent="0.2">
      <c r="G840" s="199"/>
      <c r="I840" s="199"/>
      <c r="K840" s="199"/>
      <c r="M840" s="199"/>
      <c r="N840" s="200"/>
      <c r="P840" s="199"/>
    </row>
    <row r="841" spans="7:16" x14ac:dyDescent="0.2">
      <c r="G841" s="199"/>
      <c r="I841" s="199"/>
      <c r="K841" s="199"/>
      <c r="M841" s="199"/>
      <c r="N841" s="200"/>
      <c r="P841" s="199"/>
    </row>
    <row r="842" spans="7:16" x14ac:dyDescent="0.2">
      <c r="G842" s="199"/>
      <c r="I842" s="199"/>
      <c r="K842" s="199"/>
      <c r="M842" s="199"/>
      <c r="N842" s="200"/>
      <c r="P842" s="199"/>
    </row>
    <row r="843" spans="7:16" x14ac:dyDescent="0.2">
      <c r="G843" s="199"/>
      <c r="I843" s="199"/>
      <c r="K843" s="199"/>
      <c r="M843" s="199"/>
      <c r="N843" s="200"/>
      <c r="P843" s="199"/>
    </row>
    <row r="844" spans="7:16" x14ac:dyDescent="0.2">
      <c r="G844" s="199"/>
      <c r="I844" s="199"/>
      <c r="K844" s="199"/>
      <c r="M844" s="199"/>
      <c r="N844" s="200"/>
      <c r="P844" s="199"/>
    </row>
    <row r="845" spans="7:16" x14ac:dyDescent="0.2">
      <c r="G845" s="199"/>
      <c r="I845" s="199"/>
      <c r="K845" s="199"/>
      <c r="M845" s="199"/>
      <c r="N845" s="200"/>
      <c r="P845" s="199"/>
    </row>
    <row r="846" spans="7:16" x14ac:dyDescent="0.2">
      <c r="G846" s="199"/>
      <c r="I846" s="199"/>
      <c r="K846" s="199"/>
      <c r="M846" s="199"/>
      <c r="N846" s="200"/>
      <c r="P846" s="199"/>
    </row>
    <row r="847" spans="7:16" x14ac:dyDescent="0.2">
      <c r="G847" s="199"/>
      <c r="I847" s="199"/>
      <c r="K847" s="199"/>
      <c r="M847" s="199"/>
      <c r="N847" s="200"/>
      <c r="P847" s="199"/>
    </row>
    <row r="848" spans="7:16" x14ac:dyDescent="0.2">
      <c r="G848" s="199"/>
      <c r="I848" s="199"/>
      <c r="K848" s="199"/>
      <c r="M848" s="199"/>
      <c r="N848" s="200"/>
      <c r="P848" s="199"/>
    </row>
    <row r="849" spans="7:16" x14ac:dyDescent="0.2">
      <c r="G849" s="199"/>
      <c r="I849" s="199"/>
      <c r="K849" s="199"/>
      <c r="M849" s="199"/>
      <c r="N849" s="200"/>
      <c r="P849" s="199"/>
    </row>
    <row r="850" spans="7:16" x14ac:dyDescent="0.2">
      <c r="G850" s="199"/>
      <c r="I850" s="199"/>
      <c r="K850" s="199"/>
      <c r="M850" s="199"/>
      <c r="N850" s="200"/>
      <c r="P850" s="199"/>
    </row>
    <row r="851" spans="7:16" x14ac:dyDescent="0.2">
      <c r="G851" s="199"/>
      <c r="I851" s="199"/>
      <c r="K851" s="199"/>
      <c r="M851" s="199"/>
      <c r="N851" s="200"/>
      <c r="P851" s="199"/>
    </row>
    <row r="852" spans="7:16" x14ac:dyDescent="0.2">
      <c r="G852" s="199"/>
      <c r="I852" s="199"/>
      <c r="K852" s="199"/>
      <c r="M852" s="199"/>
      <c r="N852" s="200"/>
      <c r="P852" s="199"/>
    </row>
    <row r="853" spans="7:16" x14ac:dyDescent="0.2">
      <c r="G853" s="199"/>
      <c r="I853" s="199"/>
      <c r="K853" s="199"/>
      <c r="M853" s="199"/>
      <c r="N853" s="200"/>
      <c r="P853" s="199"/>
    </row>
    <row r="854" spans="7:16" x14ac:dyDescent="0.2">
      <c r="G854" s="199"/>
      <c r="I854" s="199"/>
      <c r="K854" s="199"/>
      <c r="M854" s="199"/>
      <c r="N854" s="200"/>
      <c r="P854" s="199"/>
    </row>
    <row r="855" spans="7:16" x14ac:dyDescent="0.2">
      <c r="G855" s="199"/>
      <c r="I855" s="199"/>
      <c r="K855" s="199"/>
      <c r="M855" s="199"/>
      <c r="N855" s="200"/>
      <c r="P855" s="199"/>
    </row>
    <row r="856" spans="7:16" x14ac:dyDescent="0.2">
      <c r="G856" s="199"/>
      <c r="I856" s="199"/>
      <c r="K856" s="199"/>
      <c r="M856" s="199"/>
      <c r="N856" s="200"/>
      <c r="P856" s="199"/>
    </row>
    <row r="857" spans="7:16" x14ac:dyDescent="0.2">
      <c r="G857" s="199"/>
      <c r="I857" s="199"/>
      <c r="K857" s="199"/>
      <c r="M857" s="199"/>
      <c r="N857" s="200"/>
      <c r="P857" s="199"/>
    </row>
    <row r="858" spans="7:16" x14ac:dyDescent="0.2">
      <c r="G858" s="199"/>
      <c r="I858" s="199"/>
      <c r="K858" s="199"/>
      <c r="M858" s="199"/>
      <c r="N858" s="200"/>
      <c r="P858" s="199"/>
    </row>
    <row r="859" spans="7:16" x14ac:dyDescent="0.2">
      <c r="G859" s="199"/>
      <c r="I859" s="199"/>
      <c r="K859" s="199"/>
      <c r="M859" s="199"/>
      <c r="N859" s="200"/>
      <c r="P859" s="199"/>
    </row>
    <row r="860" spans="7:16" x14ac:dyDescent="0.2">
      <c r="G860" s="199"/>
      <c r="I860" s="199"/>
      <c r="K860" s="199"/>
      <c r="M860" s="199"/>
      <c r="N860" s="200"/>
      <c r="P860" s="199"/>
    </row>
    <row r="861" spans="7:16" x14ac:dyDescent="0.2">
      <c r="G861" s="199"/>
      <c r="I861" s="199"/>
      <c r="K861" s="199"/>
      <c r="M861" s="199"/>
      <c r="N861" s="200"/>
      <c r="P861" s="199"/>
    </row>
    <row r="862" spans="7:16" x14ac:dyDescent="0.2">
      <c r="G862" s="199"/>
      <c r="I862" s="199"/>
      <c r="K862" s="199"/>
      <c r="M862" s="199"/>
      <c r="N862" s="200"/>
      <c r="P862" s="199"/>
    </row>
    <row r="863" spans="7:16" x14ac:dyDescent="0.2">
      <c r="G863" s="199"/>
      <c r="I863" s="199"/>
      <c r="K863" s="199"/>
      <c r="M863" s="199"/>
      <c r="N863" s="200"/>
      <c r="P863" s="199"/>
    </row>
    <row r="864" spans="7:16" x14ac:dyDescent="0.2">
      <c r="G864" s="199"/>
      <c r="I864" s="199"/>
      <c r="K864" s="199"/>
      <c r="M864" s="199"/>
      <c r="N864" s="200"/>
      <c r="P864" s="199"/>
    </row>
    <row r="865" spans="7:16" x14ac:dyDescent="0.2">
      <c r="G865" s="199"/>
      <c r="I865" s="199"/>
      <c r="K865" s="199"/>
      <c r="M865" s="199"/>
      <c r="N865" s="200"/>
      <c r="P865" s="199"/>
    </row>
    <row r="866" spans="7:16" x14ac:dyDescent="0.2">
      <c r="G866" s="199"/>
      <c r="I866" s="199"/>
      <c r="K866" s="199"/>
      <c r="M866" s="199"/>
      <c r="N866" s="200"/>
      <c r="P866" s="199"/>
    </row>
    <row r="867" spans="7:16" x14ac:dyDescent="0.2">
      <c r="G867" s="199"/>
      <c r="I867" s="199"/>
      <c r="K867" s="199"/>
      <c r="M867" s="199"/>
      <c r="N867" s="200"/>
      <c r="P867" s="199"/>
    </row>
    <row r="868" spans="7:16" x14ac:dyDescent="0.2">
      <c r="G868" s="199"/>
      <c r="I868" s="199"/>
      <c r="K868" s="199"/>
      <c r="M868" s="199"/>
      <c r="N868" s="200"/>
      <c r="P868" s="199"/>
    </row>
    <row r="869" spans="7:16" x14ac:dyDescent="0.2">
      <c r="G869" s="199"/>
      <c r="I869" s="199"/>
      <c r="K869" s="199"/>
      <c r="M869" s="199"/>
      <c r="N869" s="200"/>
      <c r="P869" s="199"/>
    </row>
    <row r="870" spans="7:16" x14ac:dyDescent="0.2">
      <c r="G870" s="199"/>
      <c r="I870" s="199"/>
      <c r="K870" s="199"/>
      <c r="M870" s="199"/>
      <c r="N870" s="200"/>
      <c r="P870" s="199"/>
    </row>
    <row r="871" spans="7:16" x14ac:dyDescent="0.2">
      <c r="G871" s="199"/>
      <c r="I871" s="199"/>
      <c r="K871" s="199"/>
      <c r="M871" s="199"/>
      <c r="N871" s="200"/>
      <c r="P871" s="199"/>
    </row>
    <row r="872" spans="7:16" x14ac:dyDescent="0.2">
      <c r="G872" s="199"/>
      <c r="I872" s="199"/>
      <c r="K872" s="199"/>
      <c r="M872" s="199"/>
      <c r="N872" s="200"/>
      <c r="P872" s="199"/>
    </row>
    <row r="873" spans="7:16" x14ac:dyDescent="0.2">
      <c r="G873" s="199"/>
      <c r="I873" s="199"/>
      <c r="K873" s="199"/>
      <c r="M873" s="199"/>
      <c r="N873" s="200"/>
      <c r="P873" s="199"/>
    </row>
    <row r="874" spans="7:16" x14ac:dyDescent="0.2">
      <c r="G874" s="199"/>
      <c r="I874" s="199"/>
      <c r="K874" s="199"/>
      <c r="M874" s="199"/>
      <c r="N874" s="200"/>
      <c r="P874" s="199"/>
    </row>
    <row r="875" spans="7:16" x14ac:dyDescent="0.2">
      <c r="G875" s="199"/>
      <c r="I875" s="199"/>
      <c r="K875" s="199"/>
      <c r="M875" s="199"/>
      <c r="N875" s="200"/>
      <c r="P875" s="199"/>
    </row>
    <row r="876" spans="7:16" x14ac:dyDescent="0.2">
      <c r="G876" s="199"/>
      <c r="I876" s="199"/>
      <c r="K876" s="199"/>
      <c r="M876" s="199"/>
      <c r="N876" s="200"/>
      <c r="P876" s="199"/>
    </row>
    <row r="877" spans="7:16" x14ac:dyDescent="0.2">
      <c r="G877" s="199"/>
      <c r="I877" s="199"/>
      <c r="K877" s="199"/>
      <c r="M877" s="199"/>
      <c r="N877" s="200"/>
      <c r="P877" s="199"/>
    </row>
    <row r="878" spans="7:16" x14ac:dyDescent="0.2">
      <c r="G878" s="199"/>
      <c r="I878" s="199"/>
      <c r="K878" s="199"/>
      <c r="M878" s="199"/>
      <c r="N878" s="200"/>
      <c r="P878" s="199"/>
    </row>
    <row r="879" spans="7:16" x14ac:dyDescent="0.2">
      <c r="G879" s="199"/>
      <c r="I879" s="199"/>
      <c r="K879" s="199"/>
      <c r="M879" s="199"/>
      <c r="N879" s="200"/>
      <c r="P879" s="199"/>
    </row>
    <row r="880" spans="7:16" x14ac:dyDescent="0.2">
      <c r="G880" s="199"/>
      <c r="I880" s="199"/>
      <c r="K880" s="199"/>
      <c r="M880" s="199"/>
      <c r="N880" s="200"/>
      <c r="P880" s="199"/>
    </row>
    <row r="881" spans="7:16" x14ac:dyDescent="0.2">
      <c r="G881" s="199"/>
      <c r="I881" s="199"/>
      <c r="K881" s="199"/>
      <c r="M881" s="199"/>
      <c r="N881" s="200"/>
      <c r="P881" s="199"/>
    </row>
    <row r="882" spans="7:16" x14ac:dyDescent="0.2">
      <c r="G882" s="199"/>
      <c r="I882" s="199"/>
      <c r="K882" s="199"/>
      <c r="M882" s="199"/>
      <c r="N882" s="200"/>
      <c r="P882" s="199"/>
    </row>
    <row r="883" spans="7:16" x14ac:dyDescent="0.2">
      <c r="G883" s="199"/>
      <c r="I883" s="199"/>
      <c r="K883" s="199"/>
      <c r="M883" s="199"/>
      <c r="N883" s="200"/>
      <c r="P883" s="199"/>
    </row>
    <row r="884" spans="7:16" x14ac:dyDescent="0.2">
      <c r="G884" s="199"/>
      <c r="I884" s="199"/>
      <c r="K884" s="199"/>
      <c r="M884" s="199"/>
      <c r="N884" s="200"/>
      <c r="P884" s="199"/>
    </row>
    <row r="885" spans="7:16" x14ac:dyDescent="0.2">
      <c r="G885" s="199"/>
      <c r="I885" s="199"/>
      <c r="K885" s="199"/>
      <c r="M885" s="199"/>
      <c r="N885" s="200"/>
      <c r="P885" s="199"/>
    </row>
    <row r="886" spans="7:16" x14ac:dyDescent="0.2">
      <c r="G886" s="199"/>
      <c r="I886" s="199"/>
      <c r="K886" s="199"/>
      <c r="M886" s="199"/>
      <c r="N886" s="200"/>
      <c r="P886" s="199"/>
    </row>
    <row r="887" spans="7:16" x14ac:dyDescent="0.2">
      <c r="G887" s="199"/>
      <c r="I887" s="199"/>
      <c r="K887" s="199"/>
      <c r="M887" s="199"/>
      <c r="N887" s="200"/>
      <c r="P887" s="199"/>
    </row>
    <row r="888" spans="7:16" x14ac:dyDescent="0.2">
      <c r="G888" s="199"/>
      <c r="I888" s="199"/>
      <c r="K888" s="199"/>
      <c r="M888" s="199"/>
      <c r="N888" s="200"/>
      <c r="P888" s="199"/>
    </row>
    <row r="889" spans="7:16" x14ac:dyDescent="0.2">
      <c r="G889" s="199"/>
      <c r="I889" s="199"/>
      <c r="K889" s="199"/>
      <c r="M889" s="199"/>
      <c r="N889" s="200"/>
      <c r="P889" s="199"/>
    </row>
    <row r="890" spans="7:16" x14ac:dyDescent="0.2">
      <c r="G890" s="199"/>
      <c r="I890" s="199"/>
      <c r="K890" s="199"/>
      <c r="M890" s="199"/>
      <c r="N890" s="200"/>
      <c r="P890" s="199"/>
    </row>
    <row r="891" spans="7:16" x14ac:dyDescent="0.2">
      <c r="G891" s="199"/>
      <c r="I891" s="199"/>
      <c r="K891" s="199"/>
      <c r="M891" s="199"/>
      <c r="N891" s="200"/>
      <c r="P891" s="199"/>
    </row>
    <row r="892" spans="7:16" x14ac:dyDescent="0.2">
      <c r="G892" s="199"/>
      <c r="I892" s="199"/>
      <c r="K892" s="199"/>
      <c r="M892" s="199"/>
      <c r="N892" s="200"/>
      <c r="P892" s="199"/>
    </row>
    <row r="893" spans="7:16" x14ac:dyDescent="0.2">
      <c r="G893" s="199"/>
      <c r="I893" s="199"/>
      <c r="K893" s="199"/>
      <c r="M893" s="199"/>
      <c r="N893" s="200"/>
      <c r="P893" s="199"/>
    </row>
    <row r="894" spans="7:16" x14ac:dyDescent="0.2">
      <c r="G894" s="199"/>
      <c r="I894" s="199"/>
      <c r="K894" s="199"/>
      <c r="M894" s="199"/>
      <c r="N894" s="200"/>
      <c r="P894" s="199"/>
    </row>
    <row r="895" spans="7:16" x14ac:dyDescent="0.2">
      <c r="G895" s="199"/>
      <c r="I895" s="199"/>
      <c r="K895" s="199"/>
      <c r="M895" s="199"/>
      <c r="N895" s="200"/>
      <c r="P895" s="199"/>
    </row>
    <row r="896" spans="7:16" x14ac:dyDescent="0.2">
      <c r="G896" s="199"/>
      <c r="I896" s="199"/>
      <c r="K896" s="199"/>
      <c r="M896" s="199"/>
      <c r="N896" s="200"/>
      <c r="P896" s="199"/>
    </row>
    <row r="897" spans="7:16" x14ac:dyDescent="0.2">
      <c r="G897" s="199"/>
      <c r="I897" s="199"/>
      <c r="K897" s="199"/>
      <c r="M897" s="199"/>
      <c r="N897" s="200"/>
      <c r="P897" s="199"/>
    </row>
    <row r="898" spans="7:16" x14ac:dyDescent="0.2">
      <c r="G898" s="199"/>
      <c r="I898" s="199"/>
      <c r="K898" s="199"/>
      <c r="M898" s="199"/>
      <c r="N898" s="200"/>
      <c r="P898" s="199"/>
    </row>
    <row r="899" spans="7:16" x14ac:dyDescent="0.2">
      <c r="G899" s="199"/>
      <c r="I899" s="199"/>
      <c r="K899" s="199"/>
      <c r="M899" s="199"/>
      <c r="N899" s="200"/>
      <c r="P899" s="199"/>
    </row>
    <row r="900" spans="7:16" x14ac:dyDescent="0.2">
      <c r="G900" s="199"/>
      <c r="I900" s="199"/>
      <c r="K900" s="199"/>
      <c r="M900" s="199"/>
      <c r="N900" s="200"/>
      <c r="P900" s="199"/>
    </row>
    <row r="901" spans="7:16" x14ac:dyDescent="0.2">
      <c r="G901" s="199"/>
      <c r="I901" s="199"/>
      <c r="K901" s="199"/>
      <c r="M901" s="199"/>
      <c r="N901" s="200"/>
      <c r="P901" s="199"/>
    </row>
    <row r="902" spans="7:16" x14ac:dyDescent="0.2">
      <c r="G902" s="199"/>
      <c r="I902" s="199"/>
      <c r="K902" s="199"/>
      <c r="M902" s="199"/>
      <c r="N902" s="200"/>
      <c r="P902" s="199"/>
    </row>
    <row r="903" spans="7:16" x14ac:dyDescent="0.2">
      <c r="G903" s="199"/>
      <c r="I903" s="199"/>
      <c r="K903" s="199"/>
      <c r="M903" s="199"/>
      <c r="N903" s="200"/>
      <c r="P903" s="199"/>
    </row>
    <row r="904" spans="7:16" x14ac:dyDescent="0.2">
      <c r="G904" s="199"/>
      <c r="I904" s="199"/>
      <c r="K904" s="199"/>
      <c r="M904" s="199"/>
      <c r="N904" s="200"/>
      <c r="P904" s="199"/>
    </row>
    <row r="905" spans="7:16" x14ac:dyDescent="0.2">
      <c r="G905" s="199"/>
      <c r="I905" s="199"/>
      <c r="K905" s="199"/>
      <c r="M905" s="199"/>
      <c r="N905" s="200"/>
      <c r="P905" s="199"/>
    </row>
    <row r="906" spans="7:16" x14ac:dyDescent="0.2">
      <c r="G906" s="199"/>
      <c r="I906" s="199"/>
      <c r="K906" s="199"/>
      <c r="M906" s="199"/>
      <c r="N906" s="200"/>
      <c r="P906" s="199"/>
    </row>
    <row r="907" spans="7:16" x14ac:dyDescent="0.2">
      <c r="G907" s="199"/>
      <c r="I907" s="199"/>
      <c r="K907" s="199"/>
      <c r="M907" s="199"/>
      <c r="N907" s="200"/>
      <c r="P907" s="199"/>
    </row>
    <row r="908" spans="7:16" x14ac:dyDescent="0.2">
      <c r="G908" s="199"/>
      <c r="I908" s="199"/>
      <c r="K908" s="199"/>
      <c r="M908" s="199"/>
      <c r="N908" s="200"/>
      <c r="P908" s="199"/>
    </row>
    <row r="909" spans="7:16" x14ac:dyDescent="0.2">
      <c r="G909" s="199"/>
      <c r="I909" s="199"/>
      <c r="K909" s="199"/>
      <c r="M909" s="199"/>
      <c r="N909" s="200"/>
      <c r="P909" s="199"/>
    </row>
    <row r="910" spans="7:16" x14ac:dyDescent="0.2">
      <c r="G910" s="199"/>
      <c r="I910" s="199"/>
      <c r="K910" s="199"/>
      <c r="M910" s="199"/>
      <c r="N910" s="200"/>
      <c r="P910" s="199"/>
    </row>
    <row r="911" spans="7:16" x14ac:dyDescent="0.2">
      <c r="G911" s="199"/>
      <c r="I911" s="199"/>
      <c r="K911" s="199"/>
      <c r="M911" s="199"/>
      <c r="N911" s="200"/>
      <c r="P911" s="199"/>
    </row>
    <row r="912" spans="7:16" x14ac:dyDescent="0.2">
      <c r="G912" s="199"/>
      <c r="I912" s="199"/>
      <c r="K912" s="199"/>
      <c r="M912" s="199"/>
      <c r="N912" s="200"/>
      <c r="P912" s="199"/>
    </row>
    <row r="913" spans="7:16" x14ac:dyDescent="0.2">
      <c r="G913" s="199"/>
      <c r="I913" s="199"/>
      <c r="K913" s="199"/>
      <c r="M913" s="199"/>
      <c r="N913" s="200"/>
      <c r="P913" s="199"/>
    </row>
    <row r="914" spans="7:16" x14ac:dyDescent="0.2">
      <c r="G914" s="199"/>
      <c r="I914" s="199"/>
      <c r="K914" s="199"/>
      <c r="M914" s="199"/>
      <c r="N914" s="200"/>
      <c r="P914" s="199"/>
    </row>
    <row r="915" spans="7:16" x14ac:dyDescent="0.2">
      <c r="G915" s="199"/>
      <c r="I915" s="199"/>
      <c r="K915" s="199"/>
      <c r="M915" s="199"/>
      <c r="N915" s="200"/>
      <c r="P915" s="199"/>
    </row>
    <row r="916" spans="7:16" x14ac:dyDescent="0.2">
      <c r="G916" s="199"/>
      <c r="I916" s="199"/>
      <c r="K916" s="199"/>
      <c r="M916" s="199"/>
      <c r="N916" s="200"/>
      <c r="P916" s="199"/>
    </row>
    <row r="917" spans="7:16" x14ac:dyDescent="0.2">
      <c r="G917" s="199"/>
      <c r="I917" s="199"/>
      <c r="K917" s="199"/>
      <c r="M917" s="199"/>
      <c r="N917" s="200"/>
      <c r="P917" s="199"/>
    </row>
    <row r="918" spans="7:16" x14ac:dyDescent="0.2">
      <c r="G918" s="199"/>
      <c r="I918" s="199"/>
      <c r="K918" s="199"/>
      <c r="M918" s="199"/>
      <c r="N918" s="200"/>
      <c r="P918" s="199"/>
    </row>
    <row r="919" spans="7:16" x14ac:dyDescent="0.2">
      <c r="G919" s="199"/>
      <c r="I919" s="199"/>
      <c r="K919" s="199"/>
      <c r="M919" s="199"/>
      <c r="N919" s="200"/>
      <c r="P919" s="199"/>
    </row>
    <row r="920" spans="7:16" x14ac:dyDescent="0.2">
      <c r="G920" s="199"/>
      <c r="I920" s="199"/>
      <c r="K920" s="199"/>
      <c r="M920" s="199"/>
      <c r="N920" s="200"/>
      <c r="P920" s="199"/>
    </row>
    <row r="921" spans="7:16" x14ac:dyDescent="0.2">
      <c r="G921" s="199"/>
      <c r="I921" s="199"/>
      <c r="K921" s="199"/>
      <c r="M921" s="199"/>
      <c r="N921" s="200"/>
      <c r="P921" s="199"/>
    </row>
    <row r="922" spans="7:16" x14ac:dyDescent="0.2">
      <c r="G922" s="199"/>
      <c r="I922" s="199"/>
      <c r="K922" s="199"/>
      <c r="M922" s="199"/>
      <c r="N922" s="200"/>
      <c r="P922" s="199"/>
    </row>
    <row r="923" spans="7:16" x14ac:dyDescent="0.2">
      <c r="G923" s="199"/>
      <c r="I923" s="199"/>
      <c r="K923" s="199"/>
      <c r="M923" s="199"/>
      <c r="N923" s="200"/>
      <c r="P923" s="199"/>
    </row>
    <row r="924" spans="7:16" x14ac:dyDescent="0.2">
      <c r="G924" s="199"/>
      <c r="I924" s="199"/>
      <c r="K924" s="199"/>
      <c r="M924" s="199"/>
      <c r="N924" s="200"/>
      <c r="P924" s="199"/>
    </row>
    <row r="925" spans="7:16" x14ac:dyDescent="0.2">
      <c r="G925" s="199"/>
      <c r="I925" s="199"/>
      <c r="K925" s="199"/>
      <c r="M925" s="199"/>
      <c r="N925" s="200"/>
      <c r="P925" s="199"/>
    </row>
    <row r="926" spans="7:16" x14ac:dyDescent="0.2">
      <c r="G926" s="199"/>
      <c r="I926" s="199"/>
      <c r="K926" s="199"/>
      <c r="M926" s="199"/>
      <c r="N926" s="200"/>
      <c r="P926" s="199"/>
    </row>
    <row r="927" spans="7:16" x14ac:dyDescent="0.2">
      <c r="G927" s="199"/>
      <c r="I927" s="199"/>
      <c r="K927" s="199"/>
      <c r="M927" s="199"/>
      <c r="N927" s="200"/>
      <c r="P927" s="199"/>
    </row>
    <row r="928" spans="7:16" x14ac:dyDescent="0.2">
      <c r="G928" s="199"/>
      <c r="I928" s="199"/>
      <c r="K928" s="199"/>
      <c r="M928" s="199"/>
      <c r="N928" s="200"/>
      <c r="P928" s="199"/>
    </row>
    <row r="929" spans="7:16" x14ac:dyDescent="0.2">
      <c r="G929" s="199"/>
      <c r="I929" s="199"/>
      <c r="K929" s="199"/>
      <c r="M929" s="199"/>
      <c r="N929" s="200"/>
      <c r="P929" s="199"/>
    </row>
    <row r="930" spans="7:16" x14ac:dyDescent="0.2">
      <c r="G930" s="199"/>
      <c r="I930" s="199"/>
      <c r="K930" s="199"/>
      <c r="M930" s="199"/>
      <c r="N930" s="200"/>
      <c r="P930" s="199"/>
    </row>
    <row r="931" spans="7:16" x14ac:dyDescent="0.2">
      <c r="G931" s="199"/>
      <c r="I931" s="199"/>
      <c r="K931" s="199"/>
      <c r="M931" s="199"/>
      <c r="N931" s="200"/>
      <c r="P931" s="199"/>
    </row>
    <row r="932" spans="7:16" x14ac:dyDescent="0.2">
      <c r="G932" s="199"/>
      <c r="I932" s="199"/>
      <c r="K932" s="199"/>
      <c r="M932" s="199"/>
      <c r="N932" s="200"/>
      <c r="P932" s="199"/>
    </row>
    <row r="933" spans="7:16" x14ac:dyDescent="0.2">
      <c r="G933" s="199"/>
      <c r="I933" s="199"/>
      <c r="K933" s="199"/>
      <c r="M933" s="199"/>
      <c r="N933" s="200"/>
      <c r="P933" s="199"/>
    </row>
    <row r="934" spans="7:16" x14ac:dyDescent="0.2">
      <c r="G934" s="199"/>
      <c r="I934" s="199"/>
      <c r="K934" s="199"/>
      <c r="M934" s="199"/>
      <c r="N934" s="200"/>
      <c r="P934" s="199"/>
    </row>
    <row r="935" spans="7:16" x14ac:dyDescent="0.2">
      <c r="G935" s="199"/>
      <c r="I935" s="199"/>
      <c r="K935" s="199"/>
      <c r="M935" s="199"/>
      <c r="N935" s="200"/>
      <c r="P935" s="199"/>
    </row>
    <row r="936" spans="7:16" x14ac:dyDescent="0.2">
      <c r="G936" s="199"/>
      <c r="I936" s="199"/>
      <c r="K936" s="199"/>
      <c r="M936" s="199"/>
      <c r="N936" s="200"/>
      <c r="P936" s="199"/>
    </row>
    <row r="937" spans="7:16" x14ac:dyDescent="0.2">
      <c r="G937" s="199"/>
      <c r="I937" s="199"/>
      <c r="K937" s="199"/>
      <c r="M937" s="199"/>
      <c r="N937" s="200"/>
      <c r="P937" s="199"/>
    </row>
    <row r="938" spans="7:16" x14ac:dyDescent="0.2">
      <c r="G938" s="199"/>
      <c r="I938" s="199"/>
      <c r="K938" s="199"/>
      <c r="M938" s="199"/>
      <c r="N938" s="200"/>
      <c r="P938" s="199"/>
    </row>
    <row r="939" spans="7:16" x14ac:dyDescent="0.2">
      <c r="G939" s="199"/>
      <c r="I939" s="199"/>
      <c r="K939" s="199"/>
      <c r="M939" s="199"/>
      <c r="N939" s="200"/>
      <c r="P939" s="199"/>
    </row>
    <row r="940" spans="7:16" x14ac:dyDescent="0.2">
      <c r="G940" s="199"/>
      <c r="I940" s="199"/>
      <c r="K940" s="199"/>
      <c r="M940" s="199"/>
      <c r="N940" s="200"/>
      <c r="P940" s="199"/>
    </row>
    <row r="941" spans="7:16" x14ac:dyDescent="0.2">
      <c r="G941" s="199"/>
      <c r="I941" s="199"/>
      <c r="K941" s="199"/>
      <c r="M941" s="199"/>
      <c r="N941" s="200"/>
      <c r="P941" s="199"/>
    </row>
    <row r="942" spans="7:16" x14ac:dyDescent="0.2">
      <c r="G942" s="199"/>
      <c r="I942" s="199"/>
      <c r="K942" s="199"/>
      <c r="M942" s="199"/>
      <c r="N942" s="200"/>
      <c r="P942" s="199"/>
    </row>
    <row r="943" spans="7:16" x14ac:dyDescent="0.2">
      <c r="G943" s="199"/>
      <c r="I943" s="199"/>
      <c r="K943" s="199"/>
      <c r="M943" s="199"/>
      <c r="N943" s="200"/>
      <c r="P943" s="199"/>
    </row>
    <row r="944" spans="7:16" x14ac:dyDescent="0.2">
      <c r="G944" s="199"/>
      <c r="I944" s="199"/>
      <c r="K944" s="199"/>
      <c r="M944" s="199"/>
      <c r="N944" s="200"/>
      <c r="P944" s="199"/>
    </row>
    <row r="945" spans="7:16" x14ac:dyDescent="0.2">
      <c r="G945" s="199"/>
      <c r="I945" s="199"/>
      <c r="K945" s="199"/>
      <c r="M945" s="199"/>
      <c r="N945" s="200"/>
      <c r="P945" s="199"/>
    </row>
    <row r="946" spans="7:16" x14ac:dyDescent="0.2">
      <c r="G946" s="199"/>
      <c r="I946" s="199"/>
      <c r="K946" s="199"/>
      <c r="M946" s="199"/>
      <c r="N946" s="200"/>
      <c r="P946" s="199"/>
    </row>
    <row r="947" spans="7:16" x14ac:dyDescent="0.2">
      <c r="G947" s="199"/>
      <c r="I947" s="199"/>
      <c r="K947" s="199"/>
      <c r="M947" s="199"/>
      <c r="N947" s="200"/>
      <c r="P947" s="199"/>
    </row>
    <row r="948" spans="7:16" x14ac:dyDescent="0.2">
      <c r="G948" s="199"/>
      <c r="I948" s="199"/>
      <c r="K948" s="199"/>
      <c r="M948" s="199"/>
      <c r="N948" s="200"/>
      <c r="P948" s="199"/>
    </row>
    <row r="949" spans="7:16" x14ac:dyDescent="0.2">
      <c r="G949" s="199"/>
      <c r="I949" s="199"/>
      <c r="K949" s="199"/>
      <c r="M949" s="199"/>
      <c r="N949" s="200"/>
      <c r="P949" s="199"/>
    </row>
    <row r="950" spans="7:16" x14ac:dyDescent="0.2">
      <c r="G950" s="199"/>
      <c r="I950" s="199"/>
      <c r="K950" s="199"/>
      <c r="M950" s="199"/>
      <c r="N950" s="200"/>
      <c r="P950" s="199"/>
    </row>
    <row r="951" spans="7:16" x14ac:dyDescent="0.2">
      <c r="G951" s="199"/>
      <c r="I951" s="199"/>
      <c r="K951" s="199"/>
      <c r="M951" s="199"/>
      <c r="N951" s="200"/>
      <c r="P951" s="199"/>
    </row>
    <row r="952" spans="7:16" x14ac:dyDescent="0.2">
      <c r="G952" s="199"/>
      <c r="I952" s="199"/>
      <c r="K952" s="199"/>
      <c r="M952" s="199"/>
      <c r="N952" s="200"/>
      <c r="P952" s="199"/>
    </row>
    <row r="953" spans="7:16" x14ac:dyDescent="0.2">
      <c r="G953" s="199"/>
      <c r="I953" s="199"/>
      <c r="K953" s="199"/>
      <c r="M953" s="199"/>
      <c r="N953" s="200"/>
      <c r="P953" s="199"/>
    </row>
    <row r="954" spans="7:16" x14ac:dyDescent="0.2">
      <c r="G954" s="199"/>
      <c r="I954" s="199"/>
      <c r="K954" s="199"/>
      <c r="M954" s="199"/>
      <c r="N954" s="200"/>
      <c r="P954" s="199"/>
    </row>
    <row r="955" spans="7:16" x14ac:dyDescent="0.2">
      <c r="G955" s="199"/>
      <c r="I955" s="199"/>
      <c r="K955" s="199"/>
      <c r="M955" s="199"/>
      <c r="N955" s="200"/>
      <c r="P955" s="199"/>
    </row>
    <row r="956" spans="7:16" x14ac:dyDescent="0.2">
      <c r="G956" s="199"/>
      <c r="I956" s="199"/>
      <c r="K956" s="199"/>
      <c r="M956" s="199"/>
      <c r="N956" s="200"/>
      <c r="P956" s="199"/>
    </row>
    <row r="957" spans="7:16" x14ac:dyDescent="0.2">
      <c r="G957" s="199"/>
      <c r="I957" s="199"/>
      <c r="K957" s="199"/>
      <c r="M957" s="199"/>
      <c r="N957" s="200"/>
      <c r="P957" s="199"/>
    </row>
    <row r="958" spans="7:16" x14ac:dyDescent="0.2">
      <c r="G958" s="199"/>
      <c r="I958" s="199"/>
      <c r="K958" s="199"/>
      <c r="M958" s="199"/>
      <c r="N958" s="200"/>
      <c r="P958" s="199"/>
    </row>
    <row r="959" spans="7:16" x14ac:dyDescent="0.2">
      <c r="G959" s="199"/>
      <c r="I959" s="199"/>
      <c r="K959" s="199"/>
      <c r="M959" s="199"/>
      <c r="N959" s="200"/>
      <c r="P959" s="199"/>
    </row>
    <row r="960" spans="7:16" x14ac:dyDescent="0.2">
      <c r="G960" s="199"/>
      <c r="I960" s="199"/>
      <c r="K960" s="199"/>
      <c r="M960" s="199"/>
      <c r="N960" s="200"/>
      <c r="P960" s="199"/>
    </row>
    <row r="961" spans="7:16" x14ac:dyDescent="0.2">
      <c r="G961" s="199"/>
      <c r="I961" s="199"/>
      <c r="K961" s="199"/>
      <c r="M961" s="199"/>
      <c r="N961" s="200"/>
      <c r="P961" s="199"/>
    </row>
    <row r="962" spans="7:16" x14ac:dyDescent="0.2">
      <c r="G962" s="199"/>
      <c r="I962" s="199"/>
      <c r="K962" s="199"/>
      <c r="M962" s="199"/>
      <c r="N962" s="200"/>
      <c r="P962" s="199"/>
    </row>
    <row r="963" spans="7:16" x14ac:dyDescent="0.2">
      <c r="G963" s="199"/>
      <c r="I963" s="199"/>
      <c r="K963" s="199"/>
      <c r="M963" s="199"/>
      <c r="N963" s="200"/>
      <c r="P963" s="199"/>
    </row>
    <row r="964" spans="7:16" x14ac:dyDescent="0.2">
      <c r="G964" s="199"/>
      <c r="I964" s="199"/>
      <c r="K964" s="199"/>
      <c r="M964" s="199"/>
      <c r="N964" s="200"/>
      <c r="P964" s="199"/>
    </row>
    <row r="965" spans="7:16" x14ac:dyDescent="0.2">
      <c r="G965" s="199"/>
      <c r="I965" s="199"/>
      <c r="K965" s="199"/>
      <c r="M965" s="199"/>
      <c r="N965" s="200"/>
      <c r="P965" s="199"/>
    </row>
    <row r="966" spans="7:16" x14ac:dyDescent="0.2">
      <c r="G966" s="199"/>
      <c r="I966" s="199"/>
      <c r="K966" s="199"/>
      <c r="M966" s="199"/>
      <c r="N966" s="200"/>
      <c r="P966" s="199"/>
    </row>
    <row r="967" spans="7:16" x14ac:dyDescent="0.2">
      <c r="G967" s="199"/>
      <c r="I967" s="199"/>
      <c r="K967" s="199"/>
      <c r="M967" s="199"/>
      <c r="N967" s="200"/>
      <c r="P967" s="199"/>
    </row>
    <row r="968" spans="7:16" x14ac:dyDescent="0.2">
      <c r="G968" s="199"/>
      <c r="I968" s="199"/>
      <c r="K968" s="199"/>
      <c r="M968" s="199"/>
      <c r="N968" s="200"/>
      <c r="P968" s="199"/>
    </row>
    <row r="969" spans="7:16" x14ac:dyDescent="0.2">
      <c r="G969" s="199"/>
      <c r="I969" s="199"/>
      <c r="K969" s="199"/>
      <c r="M969" s="199"/>
      <c r="N969" s="200"/>
      <c r="P969" s="199"/>
    </row>
    <row r="970" spans="7:16" x14ac:dyDescent="0.2">
      <c r="G970" s="199"/>
      <c r="I970" s="199"/>
      <c r="K970" s="199"/>
      <c r="M970" s="199"/>
      <c r="N970" s="200"/>
      <c r="P970" s="199"/>
    </row>
    <row r="971" spans="7:16" x14ac:dyDescent="0.2">
      <c r="G971" s="199"/>
      <c r="I971" s="199"/>
      <c r="K971" s="199"/>
      <c r="M971" s="199"/>
      <c r="N971" s="200"/>
      <c r="P971" s="199"/>
    </row>
    <row r="972" spans="7:16" x14ac:dyDescent="0.2">
      <c r="G972" s="199"/>
      <c r="I972" s="199"/>
      <c r="K972" s="199"/>
      <c r="M972" s="199"/>
      <c r="N972" s="200"/>
      <c r="P972" s="199"/>
    </row>
    <row r="973" spans="7:16" x14ac:dyDescent="0.2">
      <c r="G973" s="199"/>
      <c r="I973" s="199"/>
      <c r="K973" s="199"/>
      <c r="M973" s="199"/>
      <c r="N973" s="200"/>
      <c r="P973" s="199"/>
    </row>
    <row r="974" spans="7:16" x14ac:dyDescent="0.2">
      <c r="G974" s="199"/>
      <c r="I974" s="199"/>
      <c r="K974" s="199"/>
      <c r="M974" s="199"/>
      <c r="N974" s="200"/>
      <c r="P974" s="199"/>
    </row>
    <row r="975" spans="7:16" x14ac:dyDescent="0.2">
      <c r="G975" s="199"/>
      <c r="I975" s="199"/>
      <c r="K975" s="199"/>
      <c r="M975" s="199"/>
      <c r="N975" s="200"/>
      <c r="P975" s="199"/>
    </row>
    <row r="976" spans="7:16" x14ac:dyDescent="0.2">
      <c r="G976" s="199"/>
      <c r="I976" s="199"/>
      <c r="K976" s="199"/>
      <c r="M976" s="199"/>
      <c r="N976" s="200"/>
      <c r="P976" s="199"/>
    </row>
    <row r="977" spans="7:16" x14ac:dyDescent="0.2">
      <c r="G977" s="199"/>
      <c r="I977" s="199"/>
      <c r="K977" s="199"/>
      <c r="M977" s="199"/>
      <c r="N977" s="200"/>
      <c r="P977" s="199"/>
    </row>
    <row r="978" spans="7:16" x14ac:dyDescent="0.2">
      <c r="G978" s="199"/>
      <c r="I978" s="199"/>
      <c r="K978" s="199"/>
      <c r="M978" s="199"/>
      <c r="N978" s="200"/>
      <c r="P978" s="199"/>
    </row>
    <row r="979" spans="7:16" x14ac:dyDescent="0.2">
      <c r="G979" s="199"/>
      <c r="I979" s="199"/>
      <c r="K979" s="199"/>
      <c r="M979" s="199"/>
      <c r="N979" s="200"/>
      <c r="P979" s="199"/>
    </row>
    <row r="980" spans="7:16" x14ac:dyDescent="0.2">
      <c r="G980" s="199"/>
      <c r="I980" s="199"/>
      <c r="K980" s="199"/>
      <c r="M980" s="199"/>
      <c r="N980" s="200"/>
      <c r="P980" s="199"/>
    </row>
    <row r="981" spans="7:16" x14ac:dyDescent="0.2">
      <c r="G981" s="199"/>
      <c r="I981" s="199"/>
      <c r="K981" s="199"/>
      <c r="M981" s="199"/>
      <c r="N981" s="200"/>
      <c r="P981" s="199"/>
    </row>
    <row r="982" spans="7:16" x14ac:dyDescent="0.2">
      <c r="G982" s="199"/>
      <c r="I982" s="199"/>
      <c r="K982" s="199"/>
      <c r="M982" s="199"/>
      <c r="N982" s="200"/>
      <c r="P982" s="199"/>
    </row>
    <row r="983" spans="7:16" x14ac:dyDescent="0.2">
      <c r="G983" s="199"/>
      <c r="I983" s="199"/>
      <c r="K983" s="199"/>
      <c r="M983" s="199"/>
      <c r="N983" s="200"/>
      <c r="P983" s="199"/>
    </row>
    <row r="984" spans="7:16" x14ac:dyDescent="0.2">
      <c r="G984" s="199"/>
      <c r="I984" s="199"/>
      <c r="K984" s="199"/>
      <c r="M984" s="199"/>
      <c r="N984" s="200"/>
      <c r="P984" s="199"/>
    </row>
    <row r="985" spans="7:16" x14ac:dyDescent="0.2">
      <c r="G985" s="199"/>
      <c r="I985" s="199"/>
      <c r="K985" s="199"/>
      <c r="M985" s="199"/>
      <c r="N985" s="200"/>
      <c r="P985" s="199"/>
    </row>
    <row r="986" spans="7:16" x14ac:dyDescent="0.2">
      <c r="G986" s="199"/>
      <c r="I986" s="199"/>
      <c r="K986" s="199"/>
      <c r="M986" s="199"/>
      <c r="N986" s="200"/>
      <c r="P986" s="199"/>
    </row>
    <row r="987" spans="7:16" x14ac:dyDescent="0.2">
      <c r="G987" s="199"/>
      <c r="I987" s="199"/>
      <c r="K987" s="199"/>
      <c r="M987" s="199"/>
      <c r="N987" s="200"/>
      <c r="P987" s="199"/>
    </row>
    <row r="988" spans="7:16" x14ac:dyDescent="0.2">
      <c r="G988" s="199"/>
      <c r="I988" s="199"/>
      <c r="K988" s="199"/>
      <c r="M988" s="199"/>
      <c r="N988" s="200"/>
      <c r="P988" s="199"/>
    </row>
    <row r="989" spans="7:16" x14ac:dyDescent="0.2">
      <c r="G989" s="199"/>
      <c r="I989" s="199"/>
      <c r="K989" s="199"/>
      <c r="M989" s="199"/>
      <c r="N989" s="200"/>
      <c r="P989" s="199"/>
    </row>
    <row r="990" spans="7:16" x14ac:dyDescent="0.2">
      <c r="G990" s="199"/>
      <c r="I990" s="199"/>
      <c r="K990" s="199"/>
      <c r="M990" s="199"/>
      <c r="N990" s="200"/>
      <c r="P990" s="199"/>
    </row>
    <row r="991" spans="7:16" x14ac:dyDescent="0.2">
      <c r="G991" s="199"/>
      <c r="I991" s="199"/>
      <c r="K991" s="199"/>
      <c r="M991" s="199"/>
      <c r="N991" s="200"/>
      <c r="P991" s="199"/>
    </row>
    <row r="992" spans="7:16" x14ac:dyDescent="0.2">
      <c r="G992" s="199"/>
      <c r="I992" s="199"/>
      <c r="K992" s="199"/>
      <c r="M992" s="199"/>
      <c r="N992" s="200"/>
      <c r="P992" s="199"/>
    </row>
    <row r="993" spans="7:16" x14ac:dyDescent="0.2">
      <c r="G993" s="199"/>
      <c r="I993" s="199"/>
      <c r="K993" s="199"/>
      <c r="M993" s="199"/>
      <c r="N993" s="200"/>
      <c r="P993" s="199"/>
    </row>
    <row r="994" spans="7:16" x14ac:dyDescent="0.2">
      <c r="G994" s="199"/>
      <c r="I994" s="199"/>
      <c r="K994" s="199"/>
      <c r="M994" s="199"/>
      <c r="N994" s="200"/>
      <c r="P994" s="199"/>
    </row>
    <row r="995" spans="7:16" x14ac:dyDescent="0.2">
      <c r="G995" s="199"/>
      <c r="I995" s="199"/>
      <c r="K995" s="199"/>
      <c r="M995" s="199"/>
      <c r="N995" s="200"/>
      <c r="P995" s="199"/>
    </row>
    <row r="996" spans="7:16" x14ac:dyDescent="0.2">
      <c r="G996" s="199"/>
      <c r="I996" s="199"/>
      <c r="K996" s="199"/>
      <c r="M996" s="199"/>
      <c r="N996" s="200"/>
      <c r="P996" s="199"/>
    </row>
    <row r="997" spans="7:16" x14ac:dyDescent="0.2">
      <c r="G997" s="199"/>
      <c r="I997" s="199"/>
      <c r="K997" s="199"/>
      <c r="M997" s="199"/>
      <c r="N997" s="200"/>
      <c r="P997" s="199"/>
    </row>
    <row r="998" spans="7:16" x14ac:dyDescent="0.2">
      <c r="G998" s="199"/>
      <c r="I998" s="199"/>
      <c r="K998" s="199"/>
      <c r="M998" s="199"/>
      <c r="N998" s="200"/>
      <c r="P998" s="199"/>
    </row>
    <row r="999" spans="7:16" x14ac:dyDescent="0.2">
      <c r="G999" s="199"/>
      <c r="I999" s="199"/>
      <c r="K999" s="199"/>
      <c r="M999" s="199"/>
      <c r="N999" s="200"/>
      <c r="P999" s="199"/>
    </row>
    <row r="1000" spans="7:16" x14ac:dyDescent="0.2">
      <c r="G1000" s="199"/>
      <c r="I1000" s="199"/>
      <c r="K1000" s="199"/>
      <c r="M1000" s="199"/>
      <c r="N1000" s="200"/>
      <c r="P1000" s="199"/>
    </row>
    <row r="1001" spans="7:16" x14ac:dyDescent="0.2">
      <c r="G1001" s="199"/>
      <c r="I1001" s="199"/>
      <c r="K1001" s="199"/>
      <c r="M1001" s="199"/>
      <c r="N1001" s="200"/>
      <c r="P1001" s="199"/>
    </row>
    <row r="1002" spans="7:16" x14ac:dyDescent="0.2">
      <c r="G1002" s="199"/>
      <c r="I1002" s="199"/>
      <c r="K1002" s="199"/>
      <c r="M1002" s="199"/>
      <c r="N1002" s="200"/>
      <c r="P1002" s="199"/>
    </row>
    <row r="1003" spans="7:16" x14ac:dyDescent="0.2">
      <c r="G1003" s="199"/>
      <c r="I1003" s="199"/>
      <c r="K1003" s="199"/>
      <c r="M1003" s="199"/>
      <c r="N1003" s="200"/>
      <c r="P1003" s="199"/>
    </row>
    <row r="1004" spans="7:16" x14ac:dyDescent="0.2">
      <c r="G1004" s="199"/>
      <c r="I1004" s="199"/>
      <c r="K1004" s="199"/>
      <c r="M1004" s="199"/>
      <c r="N1004" s="200"/>
      <c r="P1004" s="199"/>
    </row>
    <row r="1005" spans="7:16" x14ac:dyDescent="0.2">
      <c r="G1005" s="199"/>
      <c r="I1005" s="199"/>
      <c r="K1005" s="199"/>
      <c r="M1005" s="199"/>
      <c r="N1005" s="200"/>
      <c r="P1005" s="199"/>
    </row>
    <row r="1006" spans="7:16" x14ac:dyDescent="0.2">
      <c r="G1006" s="199"/>
      <c r="I1006" s="199"/>
      <c r="K1006" s="199"/>
      <c r="M1006" s="199"/>
      <c r="N1006" s="200"/>
      <c r="P1006" s="199"/>
    </row>
    <row r="1007" spans="7:16" x14ac:dyDescent="0.2">
      <c r="G1007" s="199"/>
      <c r="I1007" s="199"/>
      <c r="K1007" s="199"/>
      <c r="M1007" s="199"/>
      <c r="N1007" s="200"/>
      <c r="P1007" s="199"/>
    </row>
    <row r="1008" spans="7:16" x14ac:dyDescent="0.2">
      <c r="G1008" s="199"/>
      <c r="I1008" s="199"/>
      <c r="K1008" s="199"/>
      <c r="M1008" s="199"/>
      <c r="N1008" s="200"/>
      <c r="P1008" s="199"/>
    </row>
    <row r="1009" spans="7:16" x14ac:dyDescent="0.2">
      <c r="G1009" s="199"/>
      <c r="I1009" s="199"/>
      <c r="K1009" s="199"/>
      <c r="M1009" s="199"/>
      <c r="N1009" s="200"/>
      <c r="P1009" s="199"/>
    </row>
    <row r="1010" spans="7:16" x14ac:dyDescent="0.2">
      <c r="G1010" s="199"/>
      <c r="I1010" s="199"/>
      <c r="K1010" s="199"/>
      <c r="M1010" s="199"/>
      <c r="N1010" s="200"/>
      <c r="P1010" s="199"/>
    </row>
    <row r="1011" spans="7:16" x14ac:dyDescent="0.2">
      <c r="G1011" s="199"/>
      <c r="I1011" s="199"/>
      <c r="K1011" s="199"/>
      <c r="M1011" s="199"/>
      <c r="N1011" s="200"/>
      <c r="P1011" s="199"/>
    </row>
    <row r="1012" spans="7:16" x14ac:dyDescent="0.2">
      <c r="G1012" s="199"/>
      <c r="I1012" s="199"/>
      <c r="K1012" s="199"/>
      <c r="M1012" s="199"/>
      <c r="N1012" s="200"/>
      <c r="P1012" s="199"/>
    </row>
    <row r="1013" spans="7:16" x14ac:dyDescent="0.2">
      <c r="G1013" s="199"/>
      <c r="I1013" s="199"/>
      <c r="K1013" s="199"/>
      <c r="M1013" s="199"/>
      <c r="N1013" s="200"/>
      <c r="P1013" s="199"/>
    </row>
    <row r="1014" spans="7:16" x14ac:dyDescent="0.2">
      <c r="G1014" s="199"/>
      <c r="I1014" s="199"/>
      <c r="K1014" s="199"/>
      <c r="M1014" s="199"/>
      <c r="N1014" s="200"/>
      <c r="P1014" s="199"/>
    </row>
    <row r="1015" spans="7:16" x14ac:dyDescent="0.2">
      <c r="G1015" s="199"/>
      <c r="I1015" s="199"/>
      <c r="K1015" s="199"/>
      <c r="M1015" s="199"/>
      <c r="N1015" s="200"/>
      <c r="P1015" s="199"/>
    </row>
    <row r="1016" spans="7:16" x14ac:dyDescent="0.2">
      <c r="G1016" s="199"/>
      <c r="I1016" s="199"/>
      <c r="K1016" s="199"/>
      <c r="M1016" s="199"/>
      <c r="N1016" s="200"/>
      <c r="P1016" s="199"/>
    </row>
    <row r="1017" spans="7:16" x14ac:dyDescent="0.2">
      <c r="G1017" s="199"/>
      <c r="I1017" s="199"/>
      <c r="K1017" s="199"/>
      <c r="M1017" s="199"/>
      <c r="N1017" s="200"/>
      <c r="P1017" s="199"/>
    </row>
    <row r="1018" spans="7:16" x14ac:dyDescent="0.2">
      <c r="G1018" s="199"/>
      <c r="I1018" s="199"/>
      <c r="K1018" s="199"/>
      <c r="M1018" s="199"/>
      <c r="N1018" s="200"/>
      <c r="P1018" s="199"/>
    </row>
    <row r="1019" spans="7:16" x14ac:dyDescent="0.2">
      <c r="G1019" s="199"/>
      <c r="I1019" s="199"/>
      <c r="K1019" s="199"/>
      <c r="M1019" s="199"/>
      <c r="N1019" s="200"/>
      <c r="P1019" s="199"/>
    </row>
    <row r="1020" spans="7:16" x14ac:dyDescent="0.2">
      <c r="G1020" s="199"/>
      <c r="I1020" s="199"/>
      <c r="K1020" s="199"/>
      <c r="M1020" s="199"/>
      <c r="N1020" s="200"/>
      <c r="P1020" s="199"/>
    </row>
    <row r="1021" spans="7:16" x14ac:dyDescent="0.2">
      <c r="G1021" s="199"/>
      <c r="I1021" s="199"/>
      <c r="K1021" s="199"/>
      <c r="M1021" s="199"/>
      <c r="N1021" s="200"/>
      <c r="P1021" s="199"/>
    </row>
    <row r="1022" spans="7:16" x14ac:dyDescent="0.2">
      <c r="G1022" s="199"/>
      <c r="I1022" s="199"/>
      <c r="K1022" s="199"/>
      <c r="M1022" s="199"/>
      <c r="N1022" s="200"/>
      <c r="P1022" s="199"/>
    </row>
    <row r="1023" spans="7:16" x14ac:dyDescent="0.2">
      <c r="G1023" s="199"/>
      <c r="I1023" s="199"/>
      <c r="K1023" s="199"/>
      <c r="M1023" s="199"/>
      <c r="N1023" s="200"/>
      <c r="P1023" s="199"/>
    </row>
    <row r="1024" spans="7:16" x14ac:dyDescent="0.2">
      <c r="G1024" s="199"/>
      <c r="I1024" s="199"/>
      <c r="K1024" s="199"/>
      <c r="M1024" s="199"/>
      <c r="N1024" s="200"/>
      <c r="P1024" s="199"/>
    </row>
    <row r="1025" spans="7:16" x14ac:dyDescent="0.2">
      <c r="G1025" s="199"/>
      <c r="I1025" s="199"/>
      <c r="K1025" s="199"/>
      <c r="M1025" s="199"/>
      <c r="N1025" s="200"/>
      <c r="P1025" s="199"/>
    </row>
    <row r="1026" spans="7:16" x14ac:dyDescent="0.2">
      <c r="G1026" s="199"/>
      <c r="I1026" s="199"/>
      <c r="K1026" s="199"/>
      <c r="M1026" s="199"/>
      <c r="N1026" s="200"/>
      <c r="P1026" s="199"/>
    </row>
    <row r="1027" spans="7:16" x14ac:dyDescent="0.2">
      <c r="G1027" s="199"/>
      <c r="I1027" s="199"/>
      <c r="K1027" s="199"/>
      <c r="M1027" s="199"/>
      <c r="N1027" s="200"/>
      <c r="P1027" s="199"/>
    </row>
    <row r="1028" spans="7:16" x14ac:dyDescent="0.2">
      <c r="G1028" s="199"/>
      <c r="I1028" s="199"/>
      <c r="K1028" s="199"/>
      <c r="M1028" s="199"/>
      <c r="N1028" s="200"/>
      <c r="P1028" s="199"/>
    </row>
    <row r="1029" spans="7:16" x14ac:dyDescent="0.2">
      <c r="G1029" s="199"/>
      <c r="I1029" s="199"/>
      <c r="K1029" s="199"/>
      <c r="M1029" s="199"/>
      <c r="N1029" s="200"/>
      <c r="P1029" s="199"/>
    </row>
    <row r="1030" spans="7:16" x14ac:dyDescent="0.2">
      <c r="G1030" s="199"/>
      <c r="I1030" s="199"/>
      <c r="K1030" s="199"/>
      <c r="M1030" s="199"/>
      <c r="N1030" s="200"/>
      <c r="P1030" s="199"/>
    </row>
    <row r="1031" spans="7:16" x14ac:dyDescent="0.2">
      <c r="G1031" s="199"/>
      <c r="I1031" s="199"/>
      <c r="K1031" s="199"/>
      <c r="M1031" s="199"/>
      <c r="N1031" s="200"/>
      <c r="P1031" s="199"/>
    </row>
    <row r="1032" spans="7:16" x14ac:dyDescent="0.2">
      <c r="G1032" s="199"/>
      <c r="I1032" s="199"/>
      <c r="K1032" s="199"/>
      <c r="M1032" s="199"/>
      <c r="N1032" s="200"/>
      <c r="P1032" s="199"/>
    </row>
    <row r="1033" spans="7:16" x14ac:dyDescent="0.2">
      <c r="G1033" s="199"/>
      <c r="I1033" s="199"/>
      <c r="K1033" s="199"/>
      <c r="M1033" s="199"/>
      <c r="N1033" s="200"/>
      <c r="P1033" s="199"/>
    </row>
    <row r="1034" spans="7:16" x14ac:dyDescent="0.2">
      <c r="G1034" s="199"/>
      <c r="I1034" s="199"/>
      <c r="K1034" s="199"/>
      <c r="M1034" s="199"/>
      <c r="N1034" s="200"/>
      <c r="P1034" s="199"/>
    </row>
    <row r="1035" spans="7:16" x14ac:dyDescent="0.2">
      <c r="G1035" s="199"/>
      <c r="I1035" s="199"/>
      <c r="K1035" s="199"/>
      <c r="M1035" s="199"/>
      <c r="N1035" s="200"/>
      <c r="P1035" s="199"/>
    </row>
    <row r="1036" spans="7:16" x14ac:dyDescent="0.2">
      <c r="G1036" s="199"/>
      <c r="I1036" s="199"/>
      <c r="K1036" s="199"/>
      <c r="M1036" s="199"/>
      <c r="N1036" s="200"/>
      <c r="P1036" s="199"/>
    </row>
    <row r="1037" spans="7:16" x14ac:dyDescent="0.2">
      <c r="G1037" s="199"/>
      <c r="I1037" s="199"/>
      <c r="K1037" s="199"/>
      <c r="M1037" s="199"/>
      <c r="N1037" s="200"/>
      <c r="P1037" s="199"/>
    </row>
    <row r="1038" spans="7:16" x14ac:dyDescent="0.2">
      <c r="G1038" s="199"/>
      <c r="I1038" s="199"/>
      <c r="K1038" s="199"/>
      <c r="M1038" s="199"/>
      <c r="N1038" s="200"/>
      <c r="P1038" s="199"/>
    </row>
    <row r="1039" spans="7:16" x14ac:dyDescent="0.2">
      <c r="G1039" s="199"/>
      <c r="I1039" s="199"/>
      <c r="K1039" s="199"/>
      <c r="M1039" s="199"/>
      <c r="N1039" s="200"/>
      <c r="P1039" s="199"/>
    </row>
    <row r="1040" spans="7:16" x14ac:dyDescent="0.2">
      <c r="G1040" s="199"/>
      <c r="I1040" s="199"/>
      <c r="K1040" s="199"/>
      <c r="M1040" s="199"/>
      <c r="N1040" s="200"/>
      <c r="P1040" s="199"/>
    </row>
    <row r="1041" spans="7:16" x14ac:dyDescent="0.2">
      <c r="G1041" s="199"/>
      <c r="I1041" s="199"/>
      <c r="K1041" s="199"/>
      <c r="M1041" s="199"/>
      <c r="N1041" s="200"/>
      <c r="P1041" s="199"/>
    </row>
    <row r="1042" spans="7:16" x14ac:dyDescent="0.2">
      <c r="G1042" s="199"/>
      <c r="I1042" s="199"/>
      <c r="K1042" s="199"/>
      <c r="M1042" s="199"/>
      <c r="N1042" s="200"/>
      <c r="P1042" s="199"/>
    </row>
    <row r="1043" spans="7:16" x14ac:dyDescent="0.2">
      <c r="G1043" s="199"/>
      <c r="I1043" s="199"/>
      <c r="K1043" s="199"/>
      <c r="M1043" s="199"/>
      <c r="N1043" s="200"/>
      <c r="P1043" s="199"/>
    </row>
    <row r="1044" spans="7:16" x14ac:dyDescent="0.2">
      <c r="G1044" s="199"/>
      <c r="I1044" s="199"/>
      <c r="K1044" s="199"/>
      <c r="M1044" s="199"/>
      <c r="N1044" s="200"/>
      <c r="P1044" s="199"/>
    </row>
    <row r="1045" spans="7:16" x14ac:dyDescent="0.2">
      <c r="G1045" s="199"/>
      <c r="I1045" s="199"/>
      <c r="K1045" s="199"/>
      <c r="M1045" s="199"/>
      <c r="N1045" s="200"/>
      <c r="P1045" s="199"/>
    </row>
    <row r="1046" spans="7:16" x14ac:dyDescent="0.2">
      <c r="G1046" s="199"/>
      <c r="I1046" s="199"/>
      <c r="K1046" s="199"/>
      <c r="M1046" s="199"/>
      <c r="N1046" s="200"/>
      <c r="P1046" s="199"/>
    </row>
    <row r="1047" spans="7:16" x14ac:dyDescent="0.2">
      <c r="G1047" s="199"/>
      <c r="I1047" s="199"/>
      <c r="K1047" s="199"/>
      <c r="M1047" s="199"/>
      <c r="N1047" s="200"/>
      <c r="P1047" s="199"/>
    </row>
    <row r="1048" spans="7:16" x14ac:dyDescent="0.2">
      <c r="G1048" s="199"/>
      <c r="I1048" s="199"/>
      <c r="K1048" s="199"/>
      <c r="M1048" s="199"/>
      <c r="N1048" s="200"/>
      <c r="P1048" s="199"/>
    </row>
    <row r="1049" spans="7:16" x14ac:dyDescent="0.2">
      <c r="G1049" s="199"/>
      <c r="I1049" s="199"/>
      <c r="K1049" s="199"/>
      <c r="M1049" s="199"/>
      <c r="N1049" s="200"/>
      <c r="P1049" s="199"/>
    </row>
    <row r="1050" spans="7:16" x14ac:dyDescent="0.2">
      <c r="G1050" s="199"/>
      <c r="I1050" s="199"/>
      <c r="K1050" s="199"/>
      <c r="M1050" s="199"/>
      <c r="N1050" s="200"/>
      <c r="P1050" s="199"/>
    </row>
    <row r="1051" spans="7:16" x14ac:dyDescent="0.2">
      <c r="G1051" s="199"/>
      <c r="I1051" s="199"/>
      <c r="K1051" s="199"/>
      <c r="M1051" s="199"/>
      <c r="N1051" s="200"/>
      <c r="P1051" s="199"/>
    </row>
    <row r="1052" spans="7:16" x14ac:dyDescent="0.2">
      <c r="G1052" s="199"/>
      <c r="I1052" s="199"/>
      <c r="K1052" s="199"/>
      <c r="M1052" s="199"/>
      <c r="N1052" s="200"/>
      <c r="P1052" s="199"/>
    </row>
    <row r="1053" spans="7:16" x14ac:dyDescent="0.2">
      <c r="G1053" s="199"/>
      <c r="I1053" s="199"/>
      <c r="K1053" s="199"/>
      <c r="M1053" s="199"/>
      <c r="N1053" s="200"/>
      <c r="P1053" s="199"/>
    </row>
    <row r="1054" spans="7:16" x14ac:dyDescent="0.2">
      <c r="G1054" s="199"/>
      <c r="I1054" s="199"/>
      <c r="K1054" s="199"/>
      <c r="M1054" s="199"/>
      <c r="N1054" s="200"/>
      <c r="P1054" s="199"/>
    </row>
    <row r="1055" spans="7:16" x14ac:dyDescent="0.2">
      <c r="G1055" s="199"/>
      <c r="I1055" s="199"/>
      <c r="K1055" s="199"/>
      <c r="M1055" s="199"/>
      <c r="N1055" s="200"/>
      <c r="P1055" s="199"/>
    </row>
    <row r="1056" spans="7:16" x14ac:dyDescent="0.2">
      <c r="G1056" s="199"/>
      <c r="I1056" s="199"/>
      <c r="K1056" s="199"/>
      <c r="M1056" s="199"/>
      <c r="N1056" s="200"/>
      <c r="P1056" s="199"/>
    </row>
    <row r="1057" spans="7:16" x14ac:dyDescent="0.2">
      <c r="G1057" s="199"/>
      <c r="I1057" s="199"/>
      <c r="K1057" s="199"/>
      <c r="M1057" s="199"/>
      <c r="N1057" s="200"/>
      <c r="P1057" s="199"/>
    </row>
    <row r="1058" spans="7:16" x14ac:dyDescent="0.2">
      <c r="G1058" s="199"/>
      <c r="I1058" s="199"/>
      <c r="K1058" s="199"/>
      <c r="M1058" s="199"/>
      <c r="N1058" s="200"/>
      <c r="P1058" s="199"/>
    </row>
    <row r="1059" spans="7:16" x14ac:dyDescent="0.2">
      <c r="G1059" s="199"/>
      <c r="I1059" s="199"/>
      <c r="K1059" s="199"/>
      <c r="M1059" s="199"/>
      <c r="N1059" s="200"/>
      <c r="P1059" s="199"/>
    </row>
    <row r="1060" spans="7:16" x14ac:dyDescent="0.2">
      <c r="G1060" s="199"/>
      <c r="I1060" s="199"/>
      <c r="K1060" s="199"/>
      <c r="M1060" s="199"/>
      <c r="N1060" s="200"/>
      <c r="P1060" s="199"/>
    </row>
    <row r="1061" spans="7:16" x14ac:dyDescent="0.2">
      <c r="G1061" s="199"/>
      <c r="I1061" s="199"/>
      <c r="K1061" s="199"/>
      <c r="M1061" s="199"/>
      <c r="N1061" s="200"/>
      <c r="P1061" s="199"/>
    </row>
    <row r="1062" spans="7:16" x14ac:dyDescent="0.2">
      <c r="G1062" s="199"/>
      <c r="I1062" s="199"/>
      <c r="K1062" s="199"/>
      <c r="M1062" s="199"/>
      <c r="N1062" s="200"/>
      <c r="P1062" s="199"/>
    </row>
    <row r="1063" spans="7:16" x14ac:dyDescent="0.2">
      <c r="G1063" s="199"/>
      <c r="I1063" s="199"/>
      <c r="K1063" s="199"/>
      <c r="M1063" s="199"/>
      <c r="N1063" s="200"/>
      <c r="P1063" s="199"/>
    </row>
    <row r="1064" spans="7:16" x14ac:dyDescent="0.2">
      <c r="G1064" s="199"/>
      <c r="I1064" s="199"/>
      <c r="K1064" s="199"/>
      <c r="M1064" s="199"/>
      <c r="N1064" s="200"/>
      <c r="P1064" s="199"/>
    </row>
    <row r="1065" spans="7:16" x14ac:dyDescent="0.2">
      <c r="G1065" s="199"/>
      <c r="I1065" s="199"/>
      <c r="K1065" s="199"/>
      <c r="M1065" s="199"/>
      <c r="N1065" s="200"/>
      <c r="P1065" s="199"/>
    </row>
    <row r="1066" spans="7:16" x14ac:dyDescent="0.2">
      <c r="G1066" s="199"/>
      <c r="I1066" s="199"/>
      <c r="K1066" s="199"/>
      <c r="M1066" s="199"/>
      <c r="N1066" s="200"/>
      <c r="P1066" s="199"/>
    </row>
    <row r="1067" spans="7:16" x14ac:dyDescent="0.2">
      <c r="G1067" s="199"/>
      <c r="I1067" s="199"/>
      <c r="K1067" s="199"/>
      <c r="M1067" s="199"/>
      <c r="N1067" s="200"/>
      <c r="P1067" s="199"/>
    </row>
    <row r="1068" spans="7:16" x14ac:dyDescent="0.2">
      <c r="G1068" s="199"/>
      <c r="I1068" s="199"/>
      <c r="K1068" s="199"/>
      <c r="M1068" s="199"/>
      <c r="N1068" s="200"/>
      <c r="P1068" s="199"/>
    </row>
    <row r="1069" spans="7:16" x14ac:dyDescent="0.2">
      <c r="G1069" s="199"/>
      <c r="I1069" s="199"/>
      <c r="K1069" s="199"/>
      <c r="M1069" s="199"/>
      <c r="N1069" s="200"/>
      <c r="P1069" s="199"/>
    </row>
    <row r="1070" spans="7:16" x14ac:dyDescent="0.2">
      <c r="G1070" s="199"/>
      <c r="I1070" s="199"/>
      <c r="K1070" s="199"/>
      <c r="M1070" s="199"/>
      <c r="N1070" s="200"/>
      <c r="P1070" s="199"/>
    </row>
    <row r="1071" spans="7:16" x14ac:dyDescent="0.2">
      <c r="G1071" s="199"/>
      <c r="I1071" s="199"/>
      <c r="K1071" s="199"/>
      <c r="M1071" s="199"/>
      <c r="N1071" s="200"/>
      <c r="P1071" s="199"/>
    </row>
    <row r="1072" spans="7:16" x14ac:dyDescent="0.2">
      <c r="G1072" s="199"/>
      <c r="I1072" s="199"/>
      <c r="K1072" s="199"/>
      <c r="M1072" s="199"/>
      <c r="N1072" s="200"/>
      <c r="P1072" s="199"/>
    </row>
    <row r="1073" spans="7:16" x14ac:dyDescent="0.2">
      <c r="G1073" s="199"/>
      <c r="I1073" s="199"/>
      <c r="K1073" s="199"/>
      <c r="M1073" s="199"/>
      <c r="N1073" s="200"/>
      <c r="P1073" s="199"/>
    </row>
    <row r="1074" spans="7:16" x14ac:dyDescent="0.2">
      <c r="G1074" s="199"/>
      <c r="I1074" s="199"/>
      <c r="K1074" s="199"/>
      <c r="M1074" s="199"/>
      <c r="N1074" s="200"/>
      <c r="P1074" s="199"/>
    </row>
    <row r="1075" spans="7:16" x14ac:dyDescent="0.2">
      <c r="G1075" s="199"/>
      <c r="I1075" s="199"/>
      <c r="K1075" s="199"/>
      <c r="M1075" s="199"/>
      <c r="N1075" s="200"/>
      <c r="P1075" s="199"/>
    </row>
    <row r="1076" spans="7:16" x14ac:dyDescent="0.2">
      <c r="G1076" s="199"/>
      <c r="I1076" s="199"/>
      <c r="K1076" s="199"/>
      <c r="M1076" s="199"/>
      <c r="N1076" s="200"/>
      <c r="P1076" s="199"/>
    </row>
    <row r="1077" spans="7:16" x14ac:dyDescent="0.2">
      <c r="G1077" s="199"/>
      <c r="I1077" s="199"/>
      <c r="K1077" s="199"/>
      <c r="M1077" s="199"/>
      <c r="N1077" s="200"/>
      <c r="P1077" s="199"/>
    </row>
    <row r="1078" spans="7:16" x14ac:dyDescent="0.2">
      <c r="G1078" s="199"/>
      <c r="I1078" s="199"/>
      <c r="K1078" s="199"/>
      <c r="M1078" s="199"/>
      <c r="N1078" s="200"/>
      <c r="P1078" s="199"/>
    </row>
    <row r="1079" spans="7:16" x14ac:dyDescent="0.2">
      <c r="G1079" s="199"/>
      <c r="I1079" s="199"/>
      <c r="K1079" s="199"/>
      <c r="M1079" s="199"/>
      <c r="N1079" s="200"/>
      <c r="P1079" s="199"/>
    </row>
    <row r="1080" spans="7:16" x14ac:dyDescent="0.2">
      <c r="G1080" s="199"/>
      <c r="I1080" s="199"/>
      <c r="K1080" s="199"/>
      <c r="M1080" s="199"/>
      <c r="N1080" s="200"/>
      <c r="P1080" s="199"/>
    </row>
    <row r="1081" spans="7:16" x14ac:dyDescent="0.2">
      <c r="G1081" s="199"/>
      <c r="I1081" s="199"/>
      <c r="K1081" s="199"/>
      <c r="M1081" s="199"/>
      <c r="N1081" s="200"/>
      <c r="P1081" s="199"/>
    </row>
    <row r="1082" spans="7:16" x14ac:dyDescent="0.2">
      <c r="G1082" s="199"/>
      <c r="I1082" s="199"/>
      <c r="K1082" s="199"/>
      <c r="M1082" s="199"/>
      <c r="N1082" s="200"/>
      <c r="P1082" s="199"/>
    </row>
    <row r="1083" spans="7:16" x14ac:dyDescent="0.2">
      <c r="G1083" s="199"/>
      <c r="I1083" s="199"/>
      <c r="K1083" s="199"/>
      <c r="M1083" s="199"/>
      <c r="N1083" s="200"/>
      <c r="P1083" s="199"/>
    </row>
    <row r="1084" spans="7:16" x14ac:dyDescent="0.2">
      <c r="G1084" s="199"/>
      <c r="I1084" s="199"/>
      <c r="K1084" s="199"/>
      <c r="M1084" s="199"/>
      <c r="N1084" s="200"/>
      <c r="P1084" s="199"/>
    </row>
    <row r="1085" spans="7:16" x14ac:dyDescent="0.2">
      <c r="G1085" s="199"/>
      <c r="I1085" s="199"/>
      <c r="K1085" s="199"/>
      <c r="M1085" s="199"/>
      <c r="N1085" s="200"/>
      <c r="P1085" s="199"/>
    </row>
    <row r="1086" spans="7:16" x14ac:dyDescent="0.2">
      <c r="G1086" s="199"/>
      <c r="I1086" s="199"/>
      <c r="K1086" s="199"/>
      <c r="M1086" s="199"/>
      <c r="N1086" s="200"/>
      <c r="P1086" s="199"/>
    </row>
    <row r="1087" spans="7:16" x14ac:dyDescent="0.2">
      <c r="G1087" s="199"/>
      <c r="I1087" s="199"/>
      <c r="K1087" s="199"/>
      <c r="M1087" s="199"/>
      <c r="N1087" s="200"/>
      <c r="P1087" s="199"/>
    </row>
    <row r="1088" spans="7:16" x14ac:dyDescent="0.2">
      <c r="G1088" s="199"/>
      <c r="I1088" s="199"/>
      <c r="K1088" s="199"/>
      <c r="M1088" s="199"/>
      <c r="N1088" s="200"/>
      <c r="P1088" s="199"/>
    </row>
    <row r="1089" spans="7:16" x14ac:dyDescent="0.2">
      <c r="G1089" s="199"/>
      <c r="I1089" s="199"/>
      <c r="K1089" s="199"/>
      <c r="M1089" s="199"/>
      <c r="N1089" s="200"/>
      <c r="P1089" s="199"/>
    </row>
    <row r="1090" spans="7:16" x14ac:dyDescent="0.2">
      <c r="G1090" s="199"/>
      <c r="I1090" s="199"/>
      <c r="K1090" s="199"/>
      <c r="M1090" s="199"/>
      <c r="N1090" s="200"/>
      <c r="P1090" s="199"/>
    </row>
    <row r="1091" spans="7:16" x14ac:dyDescent="0.2">
      <c r="G1091" s="199"/>
      <c r="I1091" s="199"/>
      <c r="K1091" s="199"/>
      <c r="M1091" s="199"/>
      <c r="N1091" s="200"/>
      <c r="P1091" s="199"/>
    </row>
    <row r="1092" spans="7:16" x14ac:dyDescent="0.2">
      <c r="G1092" s="199"/>
      <c r="I1092" s="199"/>
      <c r="K1092" s="199"/>
      <c r="M1092" s="199"/>
      <c r="N1092" s="200"/>
      <c r="P1092" s="199"/>
    </row>
    <row r="1093" spans="7:16" x14ac:dyDescent="0.2">
      <c r="G1093" s="199"/>
      <c r="I1093" s="199"/>
      <c r="K1093" s="199"/>
      <c r="M1093" s="199"/>
      <c r="N1093" s="200"/>
      <c r="P1093" s="199"/>
    </row>
    <row r="1094" spans="7:16" x14ac:dyDescent="0.2">
      <c r="G1094" s="199"/>
      <c r="I1094" s="199"/>
      <c r="K1094" s="199"/>
      <c r="M1094" s="199"/>
      <c r="N1094" s="200"/>
      <c r="P1094" s="199"/>
    </row>
    <row r="1095" spans="7:16" x14ac:dyDescent="0.2">
      <c r="G1095" s="199"/>
      <c r="I1095" s="199"/>
      <c r="K1095" s="199"/>
      <c r="M1095" s="199"/>
      <c r="N1095" s="200"/>
      <c r="P1095" s="199"/>
    </row>
    <row r="1096" spans="7:16" x14ac:dyDescent="0.2">
      <c r="G1096" s="199"/>
      <c r="I1096" s="199"/>
      <c r="K1096" s="199"/>
      <c r="M1096" s="199"/>
      <c r="N1096" s="200"/>
      <c r="P1096" s="199"/>
    </row>
    <row r="1097" spans="7:16" x14ac:dyDescent="0.2">
      <c r="G1097" s="199"/>
      <c r="I1097" s="199"/>
      <c r="K1097" s="199"/>
      <c r="M1097" s="199"/>
      <c r="N1097" s="200"/>
      <c r="P1097" s="199"/>
    </row>
    <row r="1098" spans="7:16" x14ac:dyDescent="0.2">
      <c r="G1098" s="199"/>
      <c r="I1098" s="199"/>
      <c r="K1098" s="199"/>
      <c r="M1098" s="199"/>
      <c r="N1098" s="200"/>
      <c r="P1098" s="199"/>
    </row>
    <row r="1099" spans="7:16" x14ac:dyDescent="0.2">
      <c r="G1099" s="199"/>
      <c r="I1099" s="199"/>
      <c r="K1099" s="199"/>
      <c r="M1099" s="199"/>
      <c r="N1099" s="200"/>
      <c r="P1099" s="199"/>
    </row>
    <row r="1100" spans="7:16" x14ac:dyDescent="0.2">
      <c r="G1100" s="199"/>
      <c r="I1100" s="199"/>
      <c r="K1100" s="199"/>
      <c r="M1100" s="199"/>
      <c r="N1100" s="200"/>
      <c r="P1100" s="199"/>
    </row>
    <row r="1101" spans="7:16" x14ac:dyDescent="0.2">
      <c r="G1101" s="199"/>
      <c r="I1101" s="199"/>
      <c r="K1101" s="199"/>
      <c r="M1101" s="199"/>
      <c r="N1101" s="200"/>
      <c r="P1101" s="199"/>
    </row>
    <row r="1102" spans="7:16" x14ac:dyDescent="0.2">
      <c r="G1102" s="199"/>
      <c r="I1102" s="199"/>
      <c r="K1102" s="199"/>
      <c r="M1102" s="199"/>
      <c r="N1102" s="200"/>
      <c r="P1102" s="199"/>
    </row>
    <row r="1103" spans="7:16" x14ac:dyDescent="0.2">
      <c r="G1103" s="199"/>
      <c r="I1103" s="199"/>
      <c r="K1103" s="199"/>
      <c r="M1103" s="199"/>
      <c r="N1103" s="200"/>
      <c r="P1103" s="199"/>
    </row>
    <row r="1104" spans="7:16" x14ac:dyDescent="0.2">
      <c r="G1104" s="199"/>
      <c r="I1104" s="199"/>
      <c r="K1104" s="199"/>
      <c r="M1104" s="199"/>
      <c r="N1104" s="200"/>
      <c r="P1104" s="199"/>
    </row>
    <row r="1105" spans="7:16" x14ac:dyDescent="0.2">
      <c r="G1105" s="199"/>
      <c r="I1105" s="199"/>
      <c r="K1105" s="199"/>
      <c r="M1105" s="199"/>
      <c r="N1105" s="200"/>
      <c r="P1105" s="199"/>
    </row>
    <row r="1106" spans="7:16" x14ac:dyDescent="0.2">
      <c r="G1106" s="199"/>
      <c r="I1106" s="199"/>
      <c r="K1106" s="199"/>
      <c r="M1106" s="199"/>
      <c r="N1106" s="200"/>
      <c r="P1106" s="199"/>
    </row>
    <row r="1107" spans="7:16" x14ac:dyDescent="0.2">
      <c r="G1107" s="199"/>
      <c r="I1107" s="199"/>
      <c r="K1107" s="199"/>
      <c r="M1107" s="199"/>
      <c r="N1107" s="200"/>
      <c r="P1107" s="199"/>
    </row>
    <row r="1108" spans="7:16" x14ac:dyDescent="0.2">
      <c r="G1108" s="199"/>
      <c r="I1108" s="199"/>
      <c r="K1108" s="199"/>
      <c r="M1108" s="199"/>
      <c r="N1108" s="200"/>
      <c r="P1108" s="199"/>
    </row>
    <row r="1109" spans="7:16" x14ac:dyDescent="0.2">
      <c r="G1109" s="199"/>
      <c r="I1109" s="199"/>
      <c r="K1109" s="199"/>
      <c r="M1109" s="199"/>
      <c r="N1109" s="200"/>
      <c r="P1109" s="199"/>
    </row>
    <row r="1110" spans="7:16" x14ac:dyDescent="0.2">
      <c r="G1110" s="199"/>
      <c r="I1110" s="199"/>
      <c r="K1110" s="199"/>
      <c r="M1110" s="199"/>
      <c r="N1110" s="200"/>
      <c r="P1110" s="199"/>
    </row>
    <row r="1111" spans="7:16" x14ac:dyDescent="0.2">
      <c r="G1111" s="199"/>
      <c r="I1111" s="199"/>
      <c r="K1111" s="199"/>
      <c r="M1111" s="199"/>
      <c r="N1111" s="200"/>
      <c r="P1111" s="199"/>
    </row>
    <row r="1112" spans="7:16" x14ac:dyDescent="0.2">
      <c r="G1112" s="199"/>
      <c r="I1112" s="199"/>
      <c r="K1112" s="199"/>
      <c r="M1112" s="199"/>
      <c r="N1112" s="200"/>
      <c r="P1112" s="199"/>
    </row>
    <row r="1113" spans="7:16" x14ac:dyDescent="0.2">
      <c r="G1113" s="199"/>
      <c r="I1113" s="199"/>
      <c r="K1113" s="199"/>
      <c r="M1113" s="199"/>
      <c r="N1113" s="200"/>
      <c r="P1113" s="199"/>
    </row>
    <row r="1114" spans="7:16" x14ac:dyDescent="0.2">
      <c r="G1114" s="199"/>
      <c r="I1114" s="199"/>
      <c r="K1114" s="199"/>
      <c r="M1114" s="199"/>
      <c r="N1114" s="200"/>
      <c r="P1114" s="199"/>
    </row>
    <row r="1115" spans="7:16" x14ac:dyDescent="0.2">
      <c r="G1115" s="199"/>
      <c r="I1115" s="199"/>
      <c r="K1115" s="199"/>
      <c r="M1115" s="199"/>
      <c r="N1115" s="200"/>
      <c r="P1115" s="199"/>
    </row>
    <row r="1116" spans="7:16" x14ac:dyDescent="0.2">
      <c r="G1116" s="199"/>
      <c r="I1116" s="199"/>
      <c r="K1116" s="199"/>
      <c r="M1116" s="199"/>
      <c r="N1116" s="200"/>
      <c r="P1116" s="199"/>
    </row>
    <row r="1117" spans="7:16" x14ac:dyDescent="0.2">
      <c r="G1117" s="199"/>
      <c r="I1117" s="199"/>
      <c r="K1117" s="199"/>
      <c r="M1117" s="199"/>
      <c r="N1117" s="200"/>
      <c r="P1117" s="199"/>
    </row>
    <row r="1118" spans="7:16" x14ac:dyDescent="0.2">
      <c r="G1118" s="199"/>
      <c r="I1118" s="199"/>
      <c r="K1118" s="199"/>
      <c r="M1118" s="199"/>
      <c r="N1118" s="200"/>
      <c r="P1118" s="199"/>
    </row>
    <row r="1119" spans="7:16" x14ac:dyDescent="0.2">
      <c r="G1119" s="199"/>
      <c r="I1119" s="199"/>
      <c r="K1119" s="199"/>
      <c r="M1119" s="199"/>
      <c r="N1119" s="200"/>
      <c r="P1119" s="199"/>
    </row>
    <row r="1120" spans="7:16" x14ac:dyDescent="0.2">
      <c r="G1120" s="199"/>
      <c r="I1120" s="199"/>
      <c r="K1120" s="199"/>
      <c r="M1120" s="199"/>
      <c r="N1120" s="200"/>
      <c r="P1120" s="199"/>
    </row>
    <row r="1121" spans="7:16" x14ac:dyDescent="0.2">
      <c r="G1121" s="199"/>
      <c r="I1121" s="199"/>
      <c r="K1121" s="199"/>
      <c r="M1121" s="199"/>
      <c r="N1121" s="200"/>
      <c r="P1121" s="199"/>
    </row>
    <row r="1122" spans="7:16" x14ac:dyDescent="0.2">
      <c r="G1122" s="199"/>
      <c r="I1122" s="199"/>
      <c r="K1122" s="199"/>
      <c r="M1122" s="199"/>
      <c r="N1122" s="200"/>
      <c r="P1122" s="199"/>
    </row>
    <row r="1123" spans="7:16" x14ac:dyDescent="0.2">
      <c r="G1123" s="199"/>
      <c r="I1123" s="199"/>
      <c r="K1123" s="199"/>
      <c r="M1123" s="199"/>
      <c r="N1123" s="200"/>
      <c r="P1123" s="199"/>
    </row>
    <row r="1124" spans="7:16" x14ac:dyDescent="0.2">
      <c r="G1124" s="199"/>
      <c r="I1124" s="199"/>
      <c r="K1124" s="199"/>
      <c r="M1124" s="199"/>
      <c r="N1124" s="200"/>
      <c r="P1124" s="199"/>
    </row>
    <row r="1125" spans="7:16" x14ac:dyDescent="0.2">
      <c r="G1125" s="199"/>
      <c r="I1125" s="199"/>
      <c r="K1125" s="199"/>
      <c r="M1125" s="199"/>
      <c r="N1125" s="200"/>
      <c r="P1125" s="199"/>
    </row>
    <row r="1126" spans="7:16" x14ac:dyDescent="0.2">
      <c r="G1126" s="199"/>
      <c r="I1126" s="199"/>
      <c r="K1126" s="199"/>
      <c r="M1126" s="199"/>
      <c r="N1126" s="200"/>
      <c r="P1126" s="199"/>
    </row>
    <row r="1127" spans="7:16" x14ac:dyDescent="0.2">
      <c r="G1127" s="199"/>
      <c r="I1127" s="199"/>
      <c r="K1127" s="199"/>
      <c r="M1127" s="199"/>
      <c r="N1127" s="200"/>
      <c r="P1127" s="199"/>
    </row>
    <row r="1128" spans="7:16" x14ac:dyDescent="0.2">
      <c r="G1128" s="199"/>
      <c r="I1128" s="199"/>
      <c r="K1128" s="199"/>
      <c r="M1128" s="199"/>
      <c r="N1128" s="200"/>
      <c r="P1128" s="199"/>
    </row>
    <row r="1129" spans="7:16" x14ac:dyDescent="0.2">
      <c r="G1129" s="199"/>
      <c r="I1129" s="199"/>
      <c r="K1129" s="199"/>
      <c r="M1129" s="199"/>
      <c r="N1129" s="200"/>
      <c r="P1129" s="199"/>
    </row>
    <row r="1130" spans="7:16" x14ac:dyDescent="0.2">
      <c r="G1130" s="199"/>
      <c r="I1130" s="199"/>
      <c r="K1130" s="199"/>
      <c r="M1130" s="199"/>
      <c r="N1130" s="200"/>
      <c r="P1130" s="199"/>
    </row>
    <row r="1131" spans="7:16" x14ac:dyDescent="0.2">
      <c r="G1131" s="199"/>
      <c r="I1131" s="199"/>
      <c r="K1131" s="199"/>
      <c r="M1131" s="199"/>
      <c r="N1131" s="200"/>
      <c r="P1131" s="199"/>
    </row>
    <row r="1132" spans="7:16" x14ac:dyDescent="0.2">
      <c r="G1132" s="199"/>
      <c r="I1132" s="199"/>
      <c r="K1132" s="199"/>
      <c r="M1132" s="199"/>
      <c r="N1132" s="200"/>
      <c r="P1132" s="199"/>
    </row>
    <row r="1133" spans="7:16" x14ac:dyDescent="0.2">
      <c r="G1133" s="199"/>
      <c r="I1133" s="199"/>
      <c r="K1133" s="199"/>
      <c r="M1133" s="199"/>
      <c r="N1133" s="200"/>
      <c r="P1133" s="199"/>
    </row>
    <row r="1134" spans="7:16" x14ac:dyDescent="0.2">
      <c r="G1134" s="199"/>
      <c r="I1134" s="199"/>
      <c r="K1134" s="199"/>
      <c r="M1134" s="199"/>
      <c r="N1134" s="200"/>
      <c r="P1134" s="199"/>
    </row>
    <row r="1135" spans="7:16" x14ac:dyDescent="0.2">
      <c r="G1135" s="199"/>
      <c r="I1135" s="199"/>
      <c r="K1135" s="199"/>
      <c r="M1135" s="199"/>
      <c r="N1135" s="200"/>
      <c r="P1135" s="199"/>
    </row>
    <row r="1136" spans="7:16" x14ac:dyDescent="0.2">
      <c r="G1136" s="199"/>
      <c r="I1136" s="199"/>
      <c r="K1136" s="199"/>
      <c r="M1136" s="199"/>
      <c r="N1136" s="200"/>
      <c r="P1136" s="199"/>
    </row>
    <row r="1137" spans="7:16" x14ac:dyDescent="0.2">
      <c r="G1137" s="199"/>
      <c r="I1137" s="199"/>
      <c r="K1137" s="199"/>
      <c r="M1137" s="199"/>
      <c r="N1137" s="200"/>
      <c r="P1137" s="199"/>
    </row>
    <row r="1138" spans="7:16" x14ac:dyDescent="0.2">
      <c r="G1138" s="199"/>
      <c r="I1138" s="199"/>
      <c r="K1138" s="199"/>
      <c r="M1138" s="199"/>
      <c r="N1138" s="200"/>
      <c r="P1138" s="199"/>
    </row>
    <row r="1139" spans="7:16" x14ac:dyDescent="0.2">
      <c r="G1139" s="199"/>
      <c r="I1139" s="199"/>
      <c r="K1139" s="199"/>
      <c r="M1139" s="199"/>
      <c r="N1139" s="200"/>
      <c r="P1139" s="199"/>
    </row>
    <row r="1140" spans="7:16" x14ac:dyDescent="0.2">
      <c r="G1140" s="199"/>
      <c r="I1140" s="199"/>
      <c r="K1140" s="199"/>
      <c r="M1140" s="199"/>
      <c r="N1140" s="200"/>
      <c r="P1140" s="199"/>
    </row>
    <row r="1141" spans="7:16" x14ac:dyDescent="0.2">
      <c r="G1141" s="199"/>
      <c r="I1141" s="199"/>
      <c r="K1141" s="199"/>
      <c r="M1141" s="199"/>
      <c r="N1141" s="200"/>
      <c r="P1141" s="199"/>
    </row>
    <row r="1142" spans="7:16" x14ac:dyDescent="0.2">
      <c r="G1142" s="199"/>
      <c r="I1142" s="199"/>
      <c r="K1142" s="199"/>
      <c r="M1142" s="199"/>
      <c r="N1142" s="200"/>
      <c r="P1142" s="199"/>
    </row>
    <row r="1143" spans="7:16" x14ac:dyDescent="0.2">
      <c r="G1143" s="199"/>
      <c r="I1143" s="199"/>
      <c r="K1143" s="199"/>
      <c r="M1143" s="199"/>
      <c r="N1143" s="200"/>
      <c r="P1143" s="199"/>
    </row>
    <row r="1144" spans="7:16" x14ac:dyDescent="0.2">
      <c r="G1144" s="199"/>
      <c r="I1144" s="199"/>
      <c r="K1144" s="199"/>
      <c r="M1144" s="199"/>
      <c r="N1144" s="200"/>
      <c r="P1144" s="199"/>
    </row>
    <row r="1145" spans="7:16" x14ac:dyDescent="0.2">
      <c r="G1145" s="199"/>
      <c r="I1145" s="199"/>
      <c r="K1145" s="199"/>
      <c r="M1145" s="199"/>
      <c r="N1145" s="200"/>
      <c r="P1145" s="199"/>
    </row>
    <row r="1146" spans="7:16" x14ac:dyDescent="0.2">
      <c r="G1146" s="199"/>
      <c r="I1146" s="199"/>
      <c r="K1146" s="199"/>
      <c r="M1146" s="199"/>
      <c r="N1146" s="200"/>
      <c r="P1146" s="199"/>
    </row>
    <row r="1147" spans="7:16" x14ac:dyDescent="0.2">
      <c r="G1147" s="199"/>
      <c r="I1147" s="199"/>
      <c r="K1147" s="199"/>
      <c r="M1147" s="199"/>
      <c r="N1147" s="200"/>
      <c r="P1147" s="199"/>
    </row>
    <row r="1148" spans="7:16" x14ac:dyDescent="0.2">
      <c r="G1148" s="199"/>
      <c r="I1148" s="199"/>
      <c r="K1148" s="199"/>
      <c r="M1148" s="199"/>
      <c r="N1148" s="200"/>
      <c r="P1148" s="199"/>
    </row>
    <row r="1149" spans="7:16" x14ac:dyDescent="0.2">
      <c r="G1149" s="199"/>
      <c r="I1149" s="199"/>
      <c r="K1149" s="199"/>
      <c r="M1149" s="199"/>
      <c r="N1149" s="200"/>
      <c r="P1149" s="199"/>
    </row>
    <row r="1150" spans="7:16" x14ac:dyDescent="0.2">
      <c r="G1150" s="199"/>
      <c r="I1150" s="199"/>
      <c r="K1150" s="199"/>
      <c r="M1150" s="199"/>
      <c r="N1150" s="200"/>
      <c r="P1150" s="199"/>
    </row>
    <row r="1151" spans="7:16" x14ac:dyDescent="0.2">
      <c r="G1151" s="199"/>
      <c r="I1151" s="199"/>
      <c r="K1151" s="199"/>
      <c r="M1151" s="199"/>
      <c r="N1151" s="200"/>
      <c r="P1151" s="199"/>
    </row>
    <row r="1152" spans="7:16" x14ac:dyDescent="0.2">
      <c r="G1152" s="199"/>
      <c r="I1152" s="199"/>
      <c r="K1152" s="199"/>
      <c r="M1152" s="199"/>
      <c r="N1152" s="200"/>
      <c r="P1152" s="199"/>
    </row>
    <row r="1153" spans="7:16" x14ac:dyDescent="0.2">
      <c r="G1153" s="199"/>
      <c r="I1153" s="199"/>
      <c r="K1153" s="199"/>
      <c r="M1153" s="199"/>
      <c r="N1153" s="200"/>
      <c r="P1153" s="199"/>
    </row>
    <row r="1154" spans="7:16" x14ac:dyDescent="0.2">
      <c r="G1154" s="199"/>
      <c r="I1154" s="199"/>
      <c r="K1154" s="199"/>
      <c r="M1154" s="199"/>
      <c r="N1154" s="200"/>
      <c r="P1154" s="199"/>
    </row>
    <row r="1155" spans="7:16" x14ac:dyDescent="0.2">
      <c r="G1155" s="199"/>
      <c r="I1155" s="199"/>
      <c r="K1155" s="199"/>
      <c r="M1155" s="199"/>
      <c r="N1155" s="200"/>
      <c r="P1155" s="199"/>
    </row>
    <row r="1156" spans="7:16" x14ac:dyDescent="0.2">
      <c r="G1156" s="199"/>
      <c r="I1156" s="199"/>
      <c r="K1156" s="199"/>
      <c r="M1156" s="199"/>
      <c r="N1156" s="200"/>
      <c r="P1156" s="199"/>
    </row>
    <row r="1157" spans="7:16" x14ac:dyDescent="0.2">
      <c r="G1157" s="199"/>
      <c r="I1157" s="199"/>
      <c r="K1157" s="199"/>
      <c r="M1157" s="199"/>
      <c r="N1157" s="200"/>
      <c r="P1157" s="199"/>
    </row>
    <row r="1158" spans="7:16" x14ac:dyDescent="0.2">
      <c r="G1158" s="199"/>
      <c r="I1158" s="199"/>
      <c r="K1158" s="199"/>
      <c r="M1158" s="199"/>
      <c r="N1158" s="200"/>
      <c r="P1158" s="199"/>
    </row>
    <row r="1159" spans="7:16" x14ac:dyDescent="0.2">
      <c r="G1159" s="199"/>
      <c r="I1159" s="199"/>
      <c r="K1159" s="199"/>
      <c r="M1159" s="199"/>
      <c r="N1159" s="200"/>
      <c r="P1159" s="199"/>
    </row>
    <row r="1160" spans="7:16" x14ac:dyDescent="0.2">
      <c r="G1160" s="199"/>
      <c r="I1160" s="199"/>
      <c r="K1160" s="199"/>
      <c r="M1160" s="199"/>
      <c r="N1160" s="200"/>
      <c r="P1160" s="199"/>
    </row>
    <row r="1161" spans="7:16" x14ac:dyDescent="0.2">
      <c r="G1161" s="199"/>
      <c r="I1161" s="199"/>
      <c r="K1161" s="199"/>
      <c r="M1161" s="199"/>
      <c r="N1161" s="200"/>
      <c r="P1161" s="199"/>
    </row>
    <row r="1162" spans="7:16" x14ac:dyDescent="0.2">
      <c r="G1162" s="199"/>
      <c r="I1162" s="199"/>
      <c r="K1162" s="199"/>
      <c r="M1162" s="199"/>
      <c r="N1162" s="200"/>
      <c r="P1162" s="199"/>
    </row>
    <row r="1163" spans="7:16" x14ac:dyDescent="0.2">
      <c r="G1163" s="199"/>
      <c r="I1163" s="199"/>
      <c r="K1163" s="199"/>
      <c r="M1163" s="199"/>
      <c r="N1163" s="200"/>
      <c r="P1163" s="199"/>
    </row>
    <row r="1164" spans="7:16" x14ac:dyDescent="0.2">
      <c r="G1164" s="199"/>
      <c r="I1164" s="199"/>
      <c r="K1164" s="199"/>
      <c r="M1164" s="199"/>
      <c r="N1164" s="200"/>
      <c r="P1164" s="199"/>
    </row>
    <row r="1165" spans="7:16" x14ac:dyDescent="0.2">
      <c r="G1165" s="199"/>
      <c r="I1165" s="199"/>
      <c r="K1165" s="199"/>
      <c r="M1165" s="199"/>
      <c r="N1165" s="200"/>
      <c r="P1165" s="199"/>
    </row>
    <row r="1166" spans="7:16" x14ac:dyDescent="0.2">
      <c r="G1166" s="199"/>
      <c r="I1166" s="199"/>
      <c r="K1166" s="199"/>
      <c r="M1166" s="199"/>
      <c r="N1166" s="200"/>
      <c r="P1166" s="199"/>
    </row>
    <row r="1167" spans="7:16" x14ac:dyDescent="0.2">
      <c r="G1167" s="199"/>
      <c r="I1167" s="199"/>
      <c r="K1167" s="199"/>
      <c r="M1167" s="199"/>
      <c r="N1167" s="200"/>
      <c r="P1167" s="199"/>
    </row>
    <row r="1168" spans="7:16" x14ac:dyDescent="0.2">
      <c r="G1168" s="199"/>
      <c r="I1168" s="199"/>
      <c r="K1168" s="199"/>
      <c r="M1168" s="199"/>
      <c r="N1168" s="200"/>
      <c r="P1168" s="199"/>
    </row>
    <row r="1169" spans="7:16" x14ac:dyDescent="0.2">
      <c r="G1169" s="199"/>
      <c r="I1169" s="199"/>
      <c r="K1169" s="199"/>
      <c r="M1169" s="199"/>
      <c r="N1169" s="200"/>
      <c r="P1169" s="199"/>
    </row>
    <row r="1170" spans="7:16" x14ac:dyDescent="0.2">
      <c r="G1170" s="199"/>
      <c r="I1170" s="199"/>
      <c r="K1170" s="199"/>
      <c r="M1170" s="199"/>
      <c r="N1170" s="200"/>
      <c r="P1170" s="199"/>
    </row>
    <row r="1171" spans="7:16" x14ac:dyDescent="0.2">
      <c r="G1171" s="199"/>
      <c r="I1171" s="199"/>
      <c r="K1171" s="199"/>
      <c r="M1171" s="199"/>
      <c r="N1171" s="200"/>
      <c r="P1171" s="199"/>
    </row>
    <row r="1172" spans="7:16" x14ac:dyDescent="0.2">
      <c r="G1172" s="199"/>
      <c r="I1172" s="199"/>
      <c r="K1172" s="199"/>
      <c r="M1172" s="199"/>
      <c r="N1172" s="200"/>
      <c r="P1172" s="199"/>
    </row>
    <row r="1173" spans="7:16" x14ac:dyDescent="0.2">
      <c r="G1173" s="199"/>
      <c r="I1173" s="199"/>
      <c r="K1173" s="199"/>
      <c r="M1173" s="199"/>
      <c r="N1173" s="200"/>
      <c r="P1173" s="199"/>
    </row>
    <row r="1174" spans="7:16" x14ac:dyDescent="0.2">
      <c r="G1174" s="199"/>
      <c r="I1174" s="199"/>
      <c r="K1174" s="199"/>
      <c r="M1174" s="199"/>
      <c r="N1174" s="200"/>
      <c r="P1174" s="199"/>
    </row>
    <row r="1175" spans="7:16" x14ac:dyDescent="0.2">
      <c r="G1175" s="199"/>
      <c r="I1175" s="199"/>
      <c r="K1175" s="199"/>
      <c r="M1175" s="199"/>
      <c r="N1175" s="200"/>
      <c r="P1175" s="199"/>
    </row>
    <row r="1176" spans="7:16" x14ac:dyDescent="0.2">
      <c r="G1176" s="199"/>
      <c r="I1176" s="199"/>
      <c r="K1176" s="199"/>
      <c r="M1176" s="199"/>
      <c r="N1176" s="200"/>
      <c r="P1176" s="199"/>
    </row>
    <row r="1177" spans="7:16" x14ac:dyDescent="0.2">
      <c r="G1177" s="199"/>
      <c r="I1177" s="199"/>
      <c r="K1177" s="199"/>
      <c r="M1177" s="199"/>
      <c r="N1177" s="200"/>
      <c r="P1177" s="199"/>
    </row>
    <row r="1178" spans="7:16" x14ac:dyDescent="0.2">
      <c r="G1178" s="199"/>
      <c r="I1178" s="199"/>
      <c r="K1178" s="199"/>
      <c r="M1178" s="199"/>
      <c r="N1178" s="200"/>
      <c r="P1178" s="199"/>
    </row>
    <row r="1179" spans="7:16" x14ac:dyDescent="0.2">
      <c r="G1179" s="199"/>
      <c r="I1179" s="199"/>
      <c r="K1179" s="199"/>
      <c r="M1179" s="199"/>
      <c r="N1179" s="200"/>
      <c r="P1179" s="199"/>
    </row>
    <row r="1180" spans="7:16" x14ac:dyDescent="0.2">
      <c r="G1180" s="199"/>
      <c r="I1180" s="199"/>
      <c r="K1180" s="199"/>
      <c r="M1180" s="199"/>
      <c r="N1180" s="200"/>
      <c r="P1180" s="199"/>
    </row>
    <row r="1181" spans="7:16" x14ac:dyDescent="0.2">
      <c r="G1181" s="199"/>
      <c r="I1181" s="199"/>
      <c r="K1181" s="199"/>
      <c r="M1181" s="199"/>
      <c r="N1181" s="200"/>
      <c r="P1181" s="199"/>
    </row>
    <row r="1182" spans="7:16" x14ac:dyDescent="0.2">
      <c r="G1182" s="199"/>
      <c r="I1182" s="199"/>
      <c r="K1182" s="199"/>
      <c r="M1182" s="199"/>
      <c r="N1182" s="200"/>
      <c r="P1182" s="199"/>
    </row>
    <row r="1183" spans="7:16" x14ac:dyDescent="0.2">
      <c r="G1183" s="199"/>
      <c r="I1183" s="199"/>
      <c r="K1183" s="199"/>
      <c r="M1183" s="199"/>
      <c r="N1183" s="200"/>
      <c r="P1183" s="199"/>
    </row>
    <row r="1184" spans="7:16" x14ac:dyDescent="0.2">
      <c r="G1184" s="199"/>
      <c r="I1184" s="199"/>
      <c r="K1184" s="199"/>
      <c r="M1184" s="199"/>
      <c r="N1184" s="200"/>
      <c r="P1184" s="199"/>
    </row>
    <row r="1185" spans="7:16" x14ac:dyDescent="0.2">
      <c r="G1185" s="199"/>
      <c r="I1185" s="199"/>
      <c r="K1185" s="199"/>
      <c r="M1185" s="199"/>
      <c r="N1185" s="200"/>
      <c r="P1185" s="199"/>
    </row>
    <row r="1186" spans="7:16" x14ac:dyDescent="0.2">
      <c r="G1186" s="199"/>
      <c r="I1186" s="199"/>
      <c r="K1186" s="199"/>
      <c r="M1186" s="199"/>
      <c r="N1186" s="200"/>
      <c r="P1186" s="199"/>
    </row>
    <row r="1187" spans="7:16" x14ac:dyDescent="0.2">
      <c r="G1187" s="199"/>
      <c r="I1187" s="199"/>
      <c r="K1187" s="199"/>
      <c r="M1187" s="199"/>
      <c r="N1187" s="200"/>
      <c r="P1187" s="199"/>
    </row>
    <row r="1188" spans="7:16" x14ac:dyDescent="0.2">
      <c r="G1188" s="199"/>
      <c r="I1188" s="199"/>
      <c r="K1188" s="199"/>
      <c r="M1188" s="199"/>
      <c r="N1188" s="200"/>
      <c r="P1188" s="199"/>
    </row>
    <row r="1189" spans="7:16" x14ac:dyDescent="0.2">
      <c r="G1189" s="199"/>
      <c r="I1189" s="199"/>
      <c r="K1189" s="199"/>
      <c r="M1189" s="199"/>
      <c r="N1189" s="200"/>
      <c r="P1189" s="199"/>
    </row>
    <row r="1190" spans="7:16" x14ac:dyDescent="0.2">
      <c r="G1190" s="199"/>
      <c r="I1190" s="199"/>
      <c r="K1190" s="199"/>
      <c r="M1190" s="199"/>
      <c r="N1190" s="200"/>
      <c r="P1190" s="199"/>
    </row>
    <row r="1191" spans="7:16" x14ac:dyDescent="0.2">
      <c r="G1191" s="199"/>
      <c r="I1191" s="199"/>
      <c r="K1191" s="199"/>
      <c r="M1191" s="199"/>
      <c r="N1191" s="200"/>
      <c r="P1191" s="199"/>
    </row>
    <row r="1192" spans="7:16" x14ac:dyDescent="0.2">
      <c r="G1192" s="199"/>
      <c r="I1192" s="199"/>
      <c r="K1192" s="199"/>
      <c r="M1192" s="199"/>
      <c r="N1192" s="200"/>
      <c r="P1192" s="199"/>
    </row>
    <row r="1193" spans="7:16" x14ac:dyDescent="0.2">
      <c r="G1193" s="199"/>
      <c r="I1193" s="199"/>
      <c r="K1193" s="199"/>
      <c r="M1193" s="199"/>
      <c r="N1193" s="200"/>
      <c r="P1193" s="199"/>
    </row>
    <row r="1194" spans="7:16" x14ac:dyDescent="0.2">
      <c r="G1194" s="199"/>
      <c r="I1194" s="199"/>
      <c r="K1194" s="199"/>
      <c r="M1194" s="199"/>
      <c r="N1194" s="200"/>
      <c r="P1194" s="199"/>
    </row>
    <row r="1195" spans="7:16" x14ac:dyDescent="0.2">
      <c r="G1195" s="199"/>
      <c r="I1195" s="199"/>
      <c r="K1195" s="199"/>
      <c r="M1195" s="199"/>
      <c r="N1195" s="200"/>
      <c r="P1195" s="199"/>
    </row>
    <row r="1196" spans="7:16" x14ac:dyDescent="0.2">
      <c r="G1196" s="199"/>
      <c r="I1196" s="199"/>
      <c r="K1196" s="199"/>
      <c r="M1196" s="199"/>
      <c r="N1196" s="200"/>
      <c r="P1196" s="199"/>
    </row>
    <row r="1197" spans="7:16" x14ac:dyDescent="0.2">
      <c r="G1197" s="199"/>
      <c r="I1197" s="199"/>
      <c r="K1197" s="199"/>
      <c r="M1197" s="199"/>
      <c r="N1197" s="200"/>
      <c r="P1197" s="199"/>
    </row>
    <row r="1198" spans="7:16" x14ac:dyDescent="0.2">
      <c r="G1198" s="199"/>
      <c r="I1198" s="199"/>
      <c r="K1198" s="199"/>
      <c r="M1198" s="199"/>
      <c r="N1198" s="200"/>
      <c r="P1198" s="199"/>
    </row>
    <row r="1199" spans="7:16" x14ac:dyDescent="0.2">
      <c r="G1199" s="199"/>
      <c r="I1199" s="199"/>
      <c r="K1199" s="199"/>
      <c r="M1199" s="199"/>
      <c r="N1199" s="200"/>
      <c r="P1199" s="199"/>
    </row>
    <row r="1200" spans="7:16" x14ac:dyDescent="0.2">
      <c r="G1200" s="199"/>
      <c r="I1200" s="199"/>
      <c r="K1200" s="199"/>
      <c r="M1200" s="199"/>
      <c r="N1200" s="200"/>
      <c r="P1200" s="199"/>
    </row>
    <row r="1201" spans="7:16" x14ac:dyDescent="0.2">
      <c r="G1201" s="199"/>
      <c r="I1201" s="199"/>
      <c r="K1201" s="199"/>
      <c r="M1201" s="199"/>
      <c r="N1201" s="200"/>
      <c r="P1201" s="199"/>
    </row>
    <row r="1202" spans="7:16" x14ac:dyDescent="0.2">
      <c r="G1202" s="199"/>
      <c r="I1202" s="199"/>
      <c r="K1202" s="199"/>
      <c r="M1202" s="199"/>
      <c r="N1202" s="200"/>
      <c r="P1202" s="199"/>
    </row>
    <row r="1203" spans="7:16" x14ac:dyDescent="0.2">
      <c r="G1203" s="199"/>
      <c r="I1203" s="199"/>
      <c r="K1203" s="199"/>
      <c r="M1203" s="199"/>
      <c r="N1203" s="200"/>
      <c r="P1203" s="199"/>
    </row>
    <row r="1204" spans="7:16" x14ac:dyDescent="0.2">
      <c r="G1204" s="199"/>
      <c r="I1204" s="199"/>
      <c r="K1204" s="199"/>
      <c r="M1204" s="199"/>
      <c r="N1204" s="200"/>
      <c r="P1204" s="199"/>
    </row>
    <row r="1205" spans="7:16" x14ac:dyDescent="0.2">
      <c r="G1205" s="199"/>
      <c r="I1205" s="199"/>
      <c r="K1205" s="199"/>
      <c r="M1205" s="199"/>
      <c r="N1205" s="200"/>
      <c r="P1205" s="199"/>
    </row>
    <row r="1206" spans="7:16" x14ac:dyDescent="0.2">
      <c r="G1206" s="199"/>
      <c r="I1206" s="199"/>
      <c r="K1206" s="199"/>
      <c r="M1206" s="199"/>
      <c r="N1206" s="200"/>
      <c r="P1206" s="199"/>
    </row>
    <row r="1207" spans="7:16" x14ac:dyDescent="0.2">
      <c r="G1207" s="199"/>
      <c r="I1207" s="199"/>
      <c r="K1207" s="199"/>
      <c r="M1207" s="199"/>
      <c r="N1207" s="200"/>
      <c r="P1207" s="199"/>
    </row>
    <row r="1208" spans="7:16" x14ac:dyDescent="0.2">
      <c r="G1208" s="199"/>
      <c r="I1208" s="199"/>
      <c r="K1208" s="199"/>
      <c r="M1208" s="199"/>
      <c r="N1208" s="200"/>
      <c r="P1208" s="199"/>
    </row>
    <row r="1209" spans="7:16" x14ac:dyDescent="0.2">
      <c r="G1209" s="199"/>
      <c r="I1209" s="199"/>
      <c r="K1209" s="199"/>
      <c r="M1209" s="199"/>
      <c r="N1209" s="200"/>
      <c r="P1209" s="199"/>
    </row>
    <row r="1210" spans="7:16" x14ac:dyDescent="0.2">
      <c r="G1210" s="199"/>
      <c r="I1210" s="199"/>
      <c r="K1210" s="199"/>
      <c r="M1210" s="199"/>
      <c r="N1210" s="200"/>
      <c r="P1210" s="199"/>
    </row>
    <row r="1211" spans="7:16" x14ac:dyDescent="0.2">
      <c r="G1211" s="199"/>
      <c r="I1211" s="199"/>
      <c r="K1211" s="199"/>
      <c r="M1211" s="199"/>
      <c r="N1211" s="200"/>
      <c r="P1211" s="199"/>
    </row>
    <row r="1212" spans="7:16" x14ac:dyDescent="0.2">
      <c r="G1212" s="199"/>
      <c r="I1212" s="199"/>
      <c r="K1212" s="199"/>
      <c r="M1212" s="199"/>
      <c r="N1212" s="200"/>
      <c r="P1212" s="199"/>
    </row>
    <row r="1213" spans="7:16" x14ac:dyDescent="0.2">
      <c r="G1213" s="199"/>
      <c r="I1213" s="199"/>
      <c r="K1213" s="199"/>
      <c r="M1213" s="199"/>
      <c r="N1213" s="200"/>
      <c r="P1213" s="199"/>
    </row>
    <row r="1214" spans="7:16" x14ac:dyDescent="0.2">
      <c r="G1214" s="199"/>
      <c r="I1214" s="199"/>
      <c r="K1214" s="199"/>
      <c r="M1214" s="199"/>
      <c r="N1214" s="200"/>
      <c r="P1214" s="199"/>
    </row>
    <row r="1215" spans="7:16" x14ac:dyDescent="0.2">
      <c r="G1215" s="199"/>
      <c r="I1215" s="199"/>
      <c r="K1215" s="199"/>
      <c r="M1215" s="199"/>
      <c r="N1215" s="200"/>
      <c r="P1215" s="199"/>
    </row>
    <row r="1216" spans="7:16" x14ac:dyDescent="0.2">
      <c r="G1216" s="199"/>
      <c r="I1216" s="199"/>
      <c r="K1216" s="199"/>
      <c r="M1216" s="199"/>
      <c r="N1216" s="200"/>
      <c r="P1216" s="199"/>
    </row>
    <row r="1217" spans="7:16" x14ac:dyDescent="0.2">
      <c r="G1217" s="199"/>
      <c r="I1217" s="199"/>
      <c r="K1217" s="199"/>
      <c r="M1217" s="199"/>
      <c r="N1217" s="200"/>
      <c r="P1217" s="199"/>
    </row>
    <row r="1218" spans="7:16" x14ac:dyDescent="0.2">
      <c r="G1218" s="199"/>
      <c r="I1218" s="199"/>
      <c r="K1218" s="199"/>
      <c r="M1218" s="199"/>
      <c r="N1218" s="200"/>
      <c r="P1218" s="199"/>
    </row>
    <row r="1219" spans="7:16" x14ac:dyDescent="0.2">
      <c r="G1219" s="199"/>
      <c r="I1219" s="199"/>
      <c r="K1219" s="199"/>
      <c r="M1219" s="199"/>
      <c r="N1219" s="200"/>
      <c r="P1219" s="199"/>
    </row>
    <row r="1220" spans="7:16" x14ac:dyDescent="0.2">
      <c r="G1220" s="199"/>
      <c r="I1220" s="199"/>
      <c r="K1220" s="199"/>
      <c r="M1220" s="199"/>
      <c r="N1220" s="200"/>
      <c r="P1220" s="199"/>
    </row>
    <row r="1221" spans="7:16" x14ac:dyDescent="0.2">
      <c r="G1221" s="199"/>
      <c r="I1221" s="199"/>
      <c r="K1221" s="199"/>
      <c r="M1221" s="199"/>
      <c r="N1221" s="200"/>
      <c r="P1221" s="199"/>
    </row>
    <row r="1222" spans="7:16" x14ac:dyDescent="0.2">
      <c r="G1222" s="199"/>
      <c r="I1222" s="199"/>
      <c r="K1222" s="199"/>
      <c r="M1222" s="199"/>
      <c r="N1222" s="200"/>
      <c r="P1222" s="199"/>
    </row>
    <row r="1223" spans="7:16" x14ac:dyDescent="0.2">
      <c r="G1223" s="199"/>
      <c r="I1223" s="199"/>
      <c r="K1223" s="199"/>
      <c r="M1223" s="199"/>
      <c r="N1223" s="200"/>
      <c r="P1223" s="199"/>
    </row>
    <row r="1224" spans="7:16" x14ac:dyDescent="0.2">
      <c r="G1224" s="199"/>
      <c r="I1224" s="199"/>
      <c r="K1224" s="199"/>
      <c r="M1224" s="199"/>
      <c r="N1224" s="200"/>
      <c r="P1224" s="199"/>
    </row>
    <row r="1225" spans="7:16" x14ac:dyDescent="0.2">
      <c r="G1225" s="199"/>
      <c r="I1225" s="199"/>
      <c r="K1225" s="199"/>
      <c r="M1225" s="199"/>
      <c r="N1225" s="200"/>
      <c r="P1225" s="199"/>
    </row>
    <row r="1226" spans="7:16" x14ac:dyDescent="0.2">
      <c r="G1226" s="199"/>
      <c r="I1226" s="199"/>
      <c r="K1226" s="199"/>
      <c r="M1226" s="199"/>
      <c r="N1226" s="200"/>
      <c r="P1226" s="199"/>
    </row>
    <row r="1227" spans="7:16" x14ac:dyDescent="0.2">
      <c r="G1227" s="199"/>
      <c r="I1227" s="199"/>
      <c r="K1227" s="199"/>
      <c r="M1227" s="199"/>
      <c r="N1227" s="200"/>
      <c r="P1227" s="199"/>
    </row>
    <row r="1228" spans="7:16" x14ac:dyDescent="0.2">
      <c r="G1228" s="199"/>
      <c r="I1228" s="199"/>
      <c r="K1228" s="199"/>
      <c r="M1228" s="199"/>
      <c r="N1228" s="200"/>
      <c r="P1228" s="199"/>
    </row>
    <row r="1229" spans="7:16" x14ac:dyDescent="0.2">
      <c r="G1229" s="199"/>
      <c r="I1229" s="199"/>
      <c r="K1229" s="199"/>
      <c r="M1229" s="199"/>
      <c r="N1229" s="200"/>
      <c r="P1229" s="199"/>
    </row>
    <row r="1230" spans="7:16" x14ac:dyDescent="0.2">
      <c r="G1230" s="199"/>
      <c r="I1230" s="199"/>
      <c r="K1230" s="199"/>
      <c r="M1230" s="199"/>
      <c r="N1230" s="200"/>
      <c r="P1230" s="199"/>
    </row>
    <row r="1231" spans="7:16" x14ac:dyDescent="0.2">
      <c r="G1231" s="199"/>
      <c r="I1231" s="199"/>
      <c r="K1231" s="199"/>
      <c r="M1231" s="199"/>
      <c r="N1231" s="200"/>
      <c r="P1231" s="199"/>
    </row>
    <row r="1232" spans="7:16" x14ac:dyDescent="0.2">
      <c r="G1232" s="199"/>
      <c r="I1232" s="199"/>
      <c r="K1232" s="199"/>
      <c r="M1232" s="199"/>
      <c r="N1232" s="200"/>
      <c r="P1232" s="199"/>
    </row>
    <row r="1233" spans="7:16" x14ac:dyDescent="0.2">
      <c r="G1233" s="199"/>
      <c r="I1233" s="199"/>
      <c r="K1233" s="199"/>
      <c r="M1233" s="199"/>
      <c r="N1233" s="200"/>
      <c r="P1233" s="199"/>
    </row>
    <row r="1234" spans="7:16" x14ac:dyDescent="0.2">
      <c r="G1234" s="199"/>
      <c r="I1234" s="199"/>
      <c r="K1234" s="199"/>
      <c r="M1234" s="199"/>
      <c r="N1234" s="200"/>
      <c r="P1234" s="199"/>
    </row>
    <row r="1235" spans="7:16" x14ac:dyDescent="0.2">
      <c r="G1235" s="199"/>
      <c r="I1235" s="199"/>
      <c r="K1235" s="199"/>
      <c r="M1235" s="199"/>
      <c r="N1235" s="200"/>
      <c r="P1235" s="199"/>
    </row>
    <row r="1236" spans="7:16" x14ac:dyDescent="0.2">
      <c r="G1236" s="199"/>
      <c r="I1236" s="199"/>
      <c r="K1236" s="199"/>
      <c r="M1236" s="199"/>
      <c r="N1236" s="200"/>
      <c r="P1236" s="199"/>
    </row>
    <row r="1237" spans="7:16" x14ac:dyDescent="0.2">
      <c r="G1237" s="199"/>
      <c r="I1237" s="199"/>
      <c r="K1237" s="199"/>
      <c r="M1237" s="199"/>
      <c r="N1237" s="200"/>
      <c r="P1237" s="199"/>
    </row>
    <row r="1238" spans="7:16" x14ac:dyDescent="0.2">
      <c r="G1238" s="199"/>
      <c r="I1238" s="199"/>
      <c r="K1238" s="199"/>
      <c r="M1238" s="199"/>
      <c r="N1238" s="200"/>
      <c r="P1238" s="199"/>
    </row>
    <row r="1239" spans="7:16" x14ac:dyDescent="0.2">
      <c r="G1239" s="199"/>
      <c r="I1239" s="199"/>
      <c r="K1239" s="199"/>
      <c r="M1239" s="199"/>
      <c r="N1239" s="200"/>
      <c r="P1239" s="199"/>
    </row>
    <row r="1240" spans="7:16" x14ac:dyDescent="0.2">
      <c r="G1240" s="199"/>
      <c r="I1240" s="199"/>
      <c r="K1240" s="199"/>
      <c r="M1240" s="199"/>
      <c r="N1240" s="200"/>
      <c r="P1240" s="199"/>
    </row>
    <row r="1241" spans="7:16" x14ac:dyDescent="0.2">
      <c r="G1241" s="199"/>
      <c r="I1241" s="199"/>
      <c r="K1241" s="199"/>
      <c r="M1241" s="199"/>
      <c r="N1241" s="200"/>
      <c r="P1241" s="199"/>
    </row>
    <row r="1242" spans="7:16" x14ac:dyDescent="0.2">
      <c r="G1242" s="199"/>
      <c r="I1242" s="199"/>
      <c r="K1242" s="199"/>
      <c r="M1242" s="199"/>
      <c r="N1242" s="200"/>
      <c r="P1242" s="199"/>
    </row>
    <row r="1243" spans="7:16" x14ac:dyDescent="0.2">
      <c r="G1243" s="199"/>
      <c r="I1243" s="199"/>
      <c r="K1243" s="199"/>
      <c r="M1243" s="199"/>
      <c r="N1243" s="200"/>
      <c r="P1243" s="199"/>
    </row>
    <row r="1244" spans="7:16" x14ac:dyDescent="0.2">
      <c r="G1244" s="199"/>
      <c r="I1244" s="199"/>
      <c r="K1244" s="199"/>
      <c r="M1244" s="199"/>
      <c r="N1244" s="200"/>
      <c r="P1244" s="199"/>
    </row>
    <row r="1245" spans="7:16" x14ac:dyDescent="0.2">
      <c r="G1245" s="199"/>
      <c r="I1245" s="199"/>
      <c r="K1245" s="199"/>
      <c r="M1245" s="199"/>
      <c r="N1245" s="200"/>
      <c r="P1245" s="199"/>
    </row>
    <row r="1246" spans="7:16" x14ac:dyDescent="0.2">
      <c r="G1246" s="199"/>
      <c r="I1246" s="199"/>
      <c r="K1246" s="199"/>
      <c r="M1246" s="199"/>
      <c r="N1246" s="200"/>
      <c r="P1246" s="199"/>
    </row>
    <row r="1247" spans="7:16" x14ac:dyDescent="0.2">
      <c r="G1247" s="199"/>
      <c r="I1247" s="199"/>
      <c r="K1247" s="199"/>
      <c r="M1247" s="199"/>
      <c r="N1247" s="200"/>
      <c r="P1247" s="199"/>
    </row>
    <row r="1248" spans="7:16" x14ac:dyDescent="0.2">
      <c r="G1248" s="199"/>
      <c r="I1248" s="199"/>
      <c r="K1248" s="199"/>
      <c r="M1248" s="199"/>
      <c r="N1248" s="200"/>
      <c r="P1248" s="199"/>
    </row>
    <row r="1249" spans="7:16" x14ac:dyDescent="0.2">
      <c r="G1249" s="199"/>
      <c r="I1249" s="199"/>
      <c r="K1249" s="199"/>
      <c r="M1249" s="199"/>
      <c r="N1249" s="200"/>
      <c r="P1249" s="199"/>
    </row>
    <row r="1250" spans="7:16" x14ac:dyDescent="0.2">
      <c r="G1250" s="199"/>
      <c r="I1250" s="199"/>
      <c r="K1250" s="199"/>
      <c r="M1250" s="199"/>
      <c r="N1250" s="200"/>
      <c r="P1250" s="199"/>
    </row>
    <row r="1251" spans="7:16" x14ac:dyDescent="0.2">
      <c r="G1251" s="199"/>
      <c r="I1251" s="199"/>
      <c r="K1251" s="199"/>
      <c r="M1251" s="199"/>
      <c r="N1251" s="200"/>
      <c r="P1251" s="199"/>
    </row>
    <row r="1252" spans="7:16" x14ac:dyDescent="0.2">
      <c r="G1252" s="199"/>
      <c r="I1252" s="199"/>
      <c r="K1252" s="199"/>
      <c r="M1252" s="199"/>
      <c r="N1252" s="200"/>
      <c r="P1252" s="199"/>
    </row>
    <row r="1253" spans="7:16" x14ac:dyDescent="0.2">
      <c r="G1253" s="199"/>
      <c r="I1253" s="199"/>
      <c r="K1253" s="199"/>
      <c r="M1253" s="199"/>
      <c r="N1253" s="200"/>
      <c r="P1253" s="199"/>
    </row>
    <row r="1254" spans="7:16" x14ac:dyDescent="0.2">
      <c r="G1254" s="199"/>
      <c r="I1254" s="199"/>
      <c r="K1254" s="199"/>
      <c r="M1254" s="199"/>
      <c r="N1254" s="200"/>
      <c r="P1254" s="199"/>
    </row>
    <row r="1255" spans="7:16" x14ac:dyDescent="0.2">
      <c r="G1255" s="199"/>
      <c r="I1255" s="199"/>
      <c r="K1255" s="199"/>
      <c r="M1255" s="199"/>
      <c r="N1255" s="200"/>
      <c r="P1255" s="199"/>
    </row>
    <row r="1256" spans="7:16" x14ac:dyDescent="0.2">
      <c r="G1256" s="199"/>
      <c r="I1256" s="199"/>
      <c r="K1256" s="199"/>
      <c r="M1256" s="199"/>
      <c r="N1256" s="200"/>
      <c r="P1256" s="199"/>
    </row>
    <row r="1257" spans="7:16" x14ac:dyDescent="0.2">
      <c r="G1257" s="199"/>
      <c r="I1257" s="199"/>
      <c r="K1257" s="199"/>
      <c r="M1257" s="199"/>
      <c r="N1257" s="200"/>
      <c r="P1257" s="199"/>
    </row>
    <row r="1258" spans="7:16" x14ac:dyDescent="0.2">
      <c r="G1258" s="199"/>
      <c r="I1258" s="199"/>
      <c r="K1258" s="199"/>
      <c r="M1258" s="199"/>
      <c r="N1258" s="200"/>
      <c r="P1258" s="199"/>
    </row>
    <row r="1259" spans="7:16" x14ac:dyDescent="0.2">
      <c r="G1259" s="199"/>
      <c r="I1259" s="199"/>
      <c r="K1259" s="199"/>
      <c r="M1259" s="199"/>
      <c r="N1259" s="200"/>
      <c r="P1259" s="199"/>
    </row>
    <row r="1260" spans="7:16" x14ac:dyDescent="0.2">
      <c r="G1260" s="199"/>
      <c r="I1260" s="199"/>
      <c r="K1260" s="199"/>
      <c r="M1260" s="199"/>
      <c r="N1260" s="200"/>
      <c r="P1260" s="199"/>
    </row>
    <row r="1261" spans="7:16" x14ac:dyDescent="0.2">
      <c r="G1261" s="199"/>
      <c r="I1261" s="199"/>
      <c r="K1261" s="199"/>
      <c r="M1261" s="199"/>
      <c r="N1261" s="200"/>
      <c r="P1261" s="199"/>
    </row>
    <row r="1262" spans="7:16" x14ac:dyDescent="0.2">
      <c r="G1262" s="199"/>
      <c r="I1262" s="199"/>
      <c r="K1262" s="199"/>
      <c r="M1262" s="199"/>
      <c r="N1262" s="200"/>
      <c r="P1262" s="199"/>
    </row>
    <row r="1263" spans="7:16" x14ac:dyDescent="0.2">
      <c r="G1263" s="199"/>
      <c r="I1263" s="199"/>
      <c r="K1263" s="199"/>
      <c r="M1263" s="199"/>
      <c r="N1263" s="200"/>
      <c r="P1263" s="199"/>
    </row>
    <row r="1264" spans="7:16" x14ac:dyDescent="0.2">
      <c r="G1264" s="199"/>
      <c r="I1264" s="199"/>
      <c r="K1264" s="199"/>
      <c r="M1264" s="199"/>
      <c r="N1264" s="200"/>
      <c r="P1264" s="199"/>
    </row>
    <row r="1265" spans="7:16" x14ac:dyDescent="0.2">
      <c r="G1265" s="199"/>
      <c r="I1265" s="199"/>
      <c r="K1265" s="199"/>
      <c r="M1265" s="199"/>
      <c r="N1265" s="200"/>
      <c r="P1265" s="199"/>
    </row>
    <row r="1266" spans="7:16" x14ac:dyDescent="0.2">
      <c r="G1266" s="199"/>
      <c r="I1266" s="199"/>
      <c r="K1266" s="199"/>
      <c r="M1266" s="199"/>
      <c r="N1266" s="200"/>
      <c r="P1266" s="199"/>
    </row>
    <row r="1267" spans="7:16" x14ac:dyDescent="0.2">
      <c r="G1267" s="199"/>
      <c r="I1267" s="199"/>
      <c r="K1267" s="199"/>
      <c r="M1267" s="199"/>
      <c r="N1267" s="200"/>
      <c r="P1267" s="199"/>
    </row>
    <row r="1268" spans="7:16" x14ac:dyDescent="0.2">
      <c r="G1268" s="199"/>
      <c r="I1268" s="199"/>
      <c r="K1268" s="199"/>
      <c r="M1268" s="199"/>
      <c r="N1268" s="200"/>
      <c r="P1268" s="199"/>
    </row>
    <row r="1269" spans="7:16" x14ac:dyDescent="0.2">
      <c r="G1269" s="199"/>
      <c r="I1269" s="199"/>
      <c r="K1269" s="199"/>
      <c r="M1269" s="199"/>
      <c r="N1269" s="200"/>
      <c r="P1269" s="199"/>
    </row>
    <row r="1270" spans="7:16" x14ac:dyDescent="0.2">
      <c r="G1270" s="199"/>
      <c r="I1270" s="199"/>
      <c r="K1270" s="199"/>
      <c r="M1270" s="199"/>
      <c r="N1270" s="200"/>
      <c r="P1270" s="199"/>
    </row>
    <row r="1271" spans="7:16" x14ac:dyDescent="0.2">
      <c r="G1271" s="199"/>
      <c r="I1271" s="199"/>
      <c r="K1271" s="199"/>
      <c r="M1271" s="199"/>
      <c r="N1271" s="200"/>
      <c r="P1271" s="199"/>
    </row>
    <row r="1272" spans="7:16" x14ac:dyDescent="0.2">
      <c r="G1272" s="199"/>
      <c r="I1272" s="199"/>
      <c r="K1272" s="199"/>
      <c r="M1272" s="199"/>
      <c r="N1272" s="200"/>
      <c r="P1272" s="199"/>
    </row>
    <row r="1273" spans="7:16" x14ac:dyDescent="0.2">
      <c r="G1273" s="199"/>
      <c r="I1273" s="199"/>
      <c r="K1273" s="199"/>
      <c r="M1273" s="199"/>
      <c r="N1273" s="200"/>
      <c r="P1273" s="199"/>
    </row>
    <row r="1274" spans="7:16" x14ac:dyDescent="0.2">
      <c r="G1274" s="199"/>
      <c r="I1274" s="199"/>
      <c r="K1274" s="199"/>
      <c r="M1274" s="199"/>
      <c r="N1274" s="200"/>
      <c r="P1274" s="199"/>
    </row>
    <row r="1275" spans="7:16" x14ac:dyDescent="0.2">
      <c r="G1275" s="199"/>
      <c r="I1275" s="199"/>
      <c r="K1275" s="199"/>
      <c r="M1275" s="199"/>
      <c r="N1275" s="200"/>
      <c r="P1275" s="199"/>
    </row>
    <row r="1276" spans="7:16" x14ac:dyDescent="0.2">
      <c r="G1276" s="199"/>
      <c r="I1276" s="199"/>
      <c r="K1276" s="199"/>
      <c r="M1276" s="199"/>
      <c r="N1276" s="200"/>
      <c r="P1276" s="199"/>
    </row>
    <row r="1277" spans="7:16" x14ac:dyDescent="0.2">
      <c r="G1277" s="199"/>
      <c r="I1277" s="199"/>
      <c r="K1277" s="199"/>
      <c r="M1277" s="199"/>
      <c r="N1277" s="200"/>
      <c r="P1277" s="199"/>
    </row>
    <row r="1278" spans="7:16" x14ac:dyDescent="0.2">
      <c r="G1278" s="199"/>
      <c r="I1278" s="199"/>
      <c r="K1278" s="199"/>
      <c r="M1278" s="199"/>
      <c r="N1278" s="200"/>
      <c r="P1278" s="199"/>
    </row>
    <row r="1279" spans="7:16" x14ac:dyDescent="0.2">
      <c r="G1279" s="199"/>
      <c r="I1279" s="199"/>
      <c r="K1279" s="199"/>
      <c r="M1279" s="199"/>
      <c r="N1279" s="200"/>
      <c r="P1279" s="199"/>
    </row>
    <row r="1280" spans="7:16" x14ac:dyDescent="0.2">
      <c r="G1280" s="199"/>
      <c r="I1280" s="199"/>
      <c r="K1280" s="199"/>
      <c r="M1280" s="199"/>
      <c r="N1280" s="200"/>
      <c r="P1280" s="199"/>
    </row>
    <row r="1281" spans="7:16" x14ac:dyDescent="0.2">
      <c r="G1281" s="199"/>
      <c r="I1281" s="199"/>
      <c r="K1281" s="199"/>
      <c r="M1281" s="199"/>
      <c r="N1281" s="200"/>
      <c r="P1281" s="199"/>
    </row>
    <row r="1282" spans="7:16" x14ac:dyDescent="0.2">
      <c r="G1282" s="199"/>
      <c r="I1282" s="199"/>
      <c r="K1282" s="199"/>
      <c r="M1282" s="199"/>
      <c r="N1282" s="200"/>
      <c r="P1282" s="199"/>
    </row>
    <row r="1283" spans="7:16" x14ac:dyDescent="0.2">
      <c r="G1283" s="199"/>
      <c r="I1283" s="199"/>
      <c r="K1283" s="199"/>
      <c r="M1283" s="199"/>
      <c r="N1283" s="200"/>
      <c r="P1283" s="199"/>
    </row>
    <row r="1284" spans="7:16" x14ac:dyDescent="0.2">
      <c r="G1284" s="199"/>
      <c r="I1284" s="199"/>
      <c r="K1284" s="199"/>
      <c r="M1284" s="199"/>
      <c r="N1284" s="200"/>
      <c r="P1284" s="199"/>
    </row>
    <row r="1285" spans="7:16" x14ac:dyDescent="0.2">
      <c r="G1285" s="199"/>
      <c r="I1285" s="199"/>
      <c r="K1285" s="199"/>
      <c r="M1285" s="199"/>
      <c r="N1285" s="200"/>
      <c r="P1285" s="199"/>
    </row>
    <row r="1286" spans="7:16" x14ac:dyDescent="0.2">
      <c r="G1286" s="199"/>
      <c r="I1286" s="199"/>
      <c r="K1286" s="199"/>
      <c r="M1286" s="199"/>
      <c r="N1286" s="200"/>
      <c r="P1286" s="199"/>
    </row>
    <row r="1287" spans="7:16" x14ac:dyDescent="0.2">
      <c r="G1287" s="199"/>
      <c r="I1287" s="199"/>
      <c r="K1287" s="199"/>
      <c r="M1287" s="199"/>
      <c r="N1287" s="200"/>
      <c r="P1287" s="199"/>
    </row>
    <row r="1288" spans="7:16" x14ac:dyDescent="0.2">
      <c r="G1288" s="199"/>
      <c r="I1288" s="199"/>
      <c r="K1288" s="199"/>
      <c r="M1288" s="199"/>
      <c r="N1288" s="200"/>
      <c r="P1288" s="199"/>
    </row>
    <row r="1289" spans="7:16" x14ac:dyDescent="0.2">
      <c r="G1289" s="199"/>
      <c r="I1289" s="199"/>
      <c r="K1289" s="199"/>
      <c r="M1289" s="199"/>
      <c r="N1289" s="200"/>
      <c r="P1289" s="199"/>
    </row>
    <row r="1290" spans="7:16" x14ac:dyDescent="0.2">
      <c r="G1290" s="199"/>
      <c r="I1290" s="199"/>
      <c r="K1290" s="199"/>
      <c r="M1290" s="199"/>
      <c r="N1290" s="200"/>
      <c r="P1290" s="199"/>
    </row>
    <row r="1291" spans="7:16" x14ac:dyDescent="0.2">
      <c r="G1291" s="199"/>
      <c r="I1291" s="199"/>
      <c r="K1291" s="199"/>
      <c r="M1291" s="199"/>
      <c r="N1291" s="200"/>
      <c r="P1291" s="199"/>
    </row>
    <row r="1292" spans="7:16" x14ac:dyDescent="0.2">
      <c r="G1292" s="199"/>
      <c r="I1292" s="199"/>
      <c r="K1292" s="199"/>
      <c r="M1292" s="199"/>
      <c r="N1292" s="200"/>
      <c r="P1292" s="199"/>
    </row>
    <row r="1293" spans="7:16" x14ac:dyDescent="0.2">
      <c r="G1293" s="199"/>
      <c r="I1293" s="199"/>
      <c r="K1293" s="199"/>
      <c r="M1293" s="199"/>
      <c r="N1293" s="200"/>
      <c r="P1293" s="199"/>
    </row>
    <row r="1294" spans="7:16" x14ac:dyDescent="0.2">
      <c r="G1294" s="199"/>
      <c r="I1294" s="199"/>
      <c r="K1294" s="199"/>
      <c r="M1294" s="199"/>
      <c r="N1294" s="200"/>
      <c r="P1294" s="199"/>
    </row>
    <row r="1295" spans="7:16" x14ac:dyDescent="0.2">
      <c r="G1295" s="199"/>
      <c r="I1295" s="199"/>
      <c r="K1295" s="199"/>
      <c r="M1295" s="199"/>
      <c r="N1295" s="200"/>
      <c r="P1295" s="199"/>
    </row>
    <row r="1296" spans="7:16" x14ac:dyDescent="0.2">
      <c r="G1296" s="199"/>
      <c r="I1296" s="199"/>
      <c r="K1296" s="199"/>
      <c r="M1296" s="199"/>
      <c r="N1296" s="200"/>
      <c r="P1296" s="199"/>
    </row>
    <row r="1297" spans="7:16" x14ac:dyDescent="0.2">
      <c r="G1297" s="199"/>
      <c r="I1297" s="199"/>
      <c r="K1297" s="199"/>
      <c r="M1297" s="199"/>
      <c r="N1297" s="200"/>
      <c r="P1297" s="199"/>
    </row>
    <row r="1298" spans="7:16" x14ac:dyDescent="0.2">
      <c r="G1298" s="199"/>
      <c r="I1298" s="199"/>
      <c r="K1298" s="199"/>
      <c r="M1298" s="199"/>
      <c r="N1298" s="200"/>
      <c r="P1298" s="199"/>
    </row>
    <row r="1299" spans="7:16" x14ac:dyDescent="0.2">
      <c r="G1299" s="199"/>
      <c r="I1299" s="199"/>
      <c r="K1299" s="199"/>
      <c r="M1299" s="199"/>
      <c r="N1299" s="200"/>
      <c r="P1299" s="199"/>
    </row>
    <row r="1300" spans="7:16" x14ac:dyDescent="0.2">
      <c r="G1300" s="199"/>
      <c r="I1300" s="199"/>
      <c r="K1300" s="199"/>
      <c r="M1300" s="199"/>
      <c r="N1300" s="200"/>
      <c r="P1300" s="199"/>
    </row>
    <row r="1301" spans="7:16" x14ac:dyDescent="0.2">
      <c r="G1301" s="199"/>
      <c r="I1301" s="199"/>
      <c r="K1301" s="199"/>
      <c r="M1301" s="199"/>
      <c r="N1301" s="200"/>
      <c r="P1301" s="199"/>
    </row>
    <row r="1302" spans="7:16" x14ac:dyDescent="0.2">
      <c r="G1302" s="199"/>
      <c r="I1302" s="199"/>
      <c r="K1302" s="199"/>
      <c r="M1302" s="199"/>
      <c r="N1302" s="200"/>
      <c r="P1302" s="199"/>
    </row>
    <row r="1303" spans="7:16" x14ac:dyDescent="0.2">
      <c r="G1303" s="199"/>
      <c r="I1303" s="199"/>
      <c r="K1303" s="199"/>
      <c r="M1303" s="199"/>
      <c r="N1303" s="200"/>
      <c r="P1303" s="199"/>
    </row>
    <row r="1304" spans="7:16" x14ac:dyDescent="0.2">
      <c r="G1304" s="199"/>
      <c r="I1304" s="199"/>
      <c r="K1304" s="199"/>
      <c r="M1304" s="199"/>
      <c r="N1304" s="200"/>
      <c r="P1304" s="199"/>
    </row>
    <row r="1305" spans="7:16" x14ac:dyDescent="0.2">
      <c r="G1305" s="199"/>
      <c r="I1305" s="199"/>
      <c r="K1305" s="199"/>
      <c r="M1305" s="199"/>
      <c r="N1305" s="200"/>
      <c r="P1305" s="199"/>
    </row>
    <row r="1306" spans="7:16" x14ac:dyDescent="0.2">
      <c r="G1306" s="199"/>
      <c r="I1306" s="199"/>
      <c r="K1306" s="199"/>
      <c r="M1306" s="199"/>
      <c r="N1306" s="200"/>
      <c r="P1306" s="199"/>
    </row>
    <row r="1307" spans="7:16" x14ac:dyDescent="0.2">
      <c r="G1307" s="199"/>
      <c r="I1307" s="199"/>
      <c r="K1307" s="199"/>
      <c r="M1307" s="199"/>
      <c r="N1307" s="200"/>
      <c r="P1307" s="199"/>
    </row>
    <row r="1308" spans="7:16" x14ac:dyDescent="0.2">
      <c r="G1308" s="199"/>
      <c r="I1308" s="199"/>
      <c r="K1308" s="199"/>
      <c r="M1308" s="199"/>
      <c r="N1308" s="200"/>
      <c r="P1308" s="199"/>
    </row>
    <row r="1309" spans="7:16" x14ac:dyDescent="0.2">
      <c r="G1309" s="199"/>
      <c r="I1309" s="199"/>
      <c r="K1309" s="199"/>
      <c r="M1309" s="199"/>
      <c r="N1309" s="200"/>
      <c r="P1309" s="199"/>
    </row>
    <row r="1310" spans="7:16" x14ac:dyDescent="0.2">
      <c r="G1310" s="199"/>
      <c r="I1310" s="199"/>
      <c r="K1310" s="199"/>
      <c r="M1310" s="199"/>
      <c r="N1310" s="200"/>
      <c r="P1310" s="199"/>
    </row>
    <row r="1311" spans="7:16" x14ac:dyDescent="0.2">
      <c r="G1311" s="199"/>
      <c r="I1311" s="199"/>
      <c r="K1311" s="199"/>
      <c r="M1311" s="199"/>
      <c r="N1311" s="200"/>
      <c r="P1311" s="199"/>
    </row>
    <row r="1312" spans="7:16" x14ac:dyDescent="0.2">
      <c r="G1312" s="199"/>
      <c r="I1312" s="199"/>
      <c r="K1312" s="199"/>
      <c r="M1312" s="199"/>
      <c r="N1312" s="200"/>
      <c r="P1312" s="199"/>
    </row>
    <row r="1313" spans="7:16" x14ac:dyDescent="0.2">
      <c r="G1313" s="199"/>
      <c r="I1313" s="199"/>
      <c r="K1313" s="199"/>
      <c r="M1313" s="199"/>
      <c r="N1313" s="200"/>
      <c r="P1313" s="199"/>
    </row>
    <row r="1314" spans="7:16" x14ac:dyDescent="0.2">
      <c r="G1314" s="199"/>
      <c r="I1314" s="199"/>
      <c r="K1314" s="199"/>
      <c r="M1314" s="199"/>
      <c r="N1314" s="200"/>
      <c r="P1314" s="199"/>
    </row>
    <row r="1315" spans="7:16" x14ac:dyDescent="0.2">
      <c r="G1315" s="199"/>
      <c r="I1315" s="199"/>
      <c r="K1315" s="199"/>
      <c r="M1315" s="199"/>
      <c r="N1315" s="200"/>
      <c r="P1315" s="199"/>
    </row>
    <row r="1316" spans="7:16" x14ac:dyDescent="0.2">
      <c r="G1316" s="199"/>
      <c r="I1316" s="199"/>
      <c r="K1316" s="199"/>
      <c r="M1316" s="199"/>
      <c r="N1316" s="200"/>
      <c r="P1316" s="199"/>
    </row>
    <row r="1317" spans="7:16" x14ac:dyDescent="0.2">
      <c r="G1317" s="199"/>
      <c r="I1317" s="199"/>
      <c r="K1317" s="199"/>
      <c r="M1317" s="199"/>
      <c r="N1317" s="200"/>
      <c r="P1317" s="199"/>
    </row>
    <row r="1318" spans="7:16" x14ac:dyDescent="0.2">
      <c r="G1318" s="199"/>
      <c r="I1318" s="199"/>
      <c r="K1318" s="199"/>
      <c r="M1318" s="199"/>
      <c r="N1318" s="200"/>
      <c r="P1318" s="199"/>
    </row>
    <row r="1319" spans="7:16" x14ac:dyDescent="0.2">
      <c r="G1319" s="199"/>
      <c r="I1319" s="199"/>
      <c r="K1319" s="199"/>
      <c r="M1319" s="199"/>
      <c r="N1319" s="200"/>
      <c r="P1319" s="199"/>
    </row>
    <row r="1320" spans="7:16" x14ac:dyDescent="0.2">
      <c r="G1320" s="199"/>
      <c r="I1320" s="199"/>
      <c r="K1320" s="199"/>
      <c r="M1320" s="199"/>
      <c r="N1320" s="200"/>
      <c r="P1320" s="199"/>
    </row>
    <row r="1321" spans="7:16" x14ac:dyDescent="0.2">
      <c r="G1321" s="199"/>
      <c r="I1321" s="199"/>
      <c r="K1321" s="199"/>
      <c r="M1321" s="199"/>
      <c r="N1321" s="200"/>
      <c r="P1321" s="199"/>
    </row>
    <row r="1322" spans="7:16" x14ac:dyDescent="0.2">
      <c r="G1322" s="199"/>
      <c r="I1322" s="199"/>
      <c r="K1322" s="199"/>
      <c r="M1322" s="199"/>
      <c r="N1322" s="200"/>
      <c r="P1322" s="199"/>
    </row>
    <row r="1323" spans="7:16" x14ac:dyDescent="0.2">
      <c r="G1323" s="199"/>
      <c r="I1323" s="199"/>
      <c r="K1323" s="199"/>
      <c r="M1323" s="199"/>
      <c r="N1323" s="200"/>
      <c r="P1323" s="199"/>
    </row>
    <row r="1324" spans="7:16" x14ac:dyDescent="0.2">
      <c r="G1324" s="199"/>
      <c r="I1324" s="199"/>
      <c r="K1324" s="199"/>
      <c r="M1324" s="199"/>
      <c r="N1324" s="200"/>
      <c r="P1324" s="199"/>
    </row>
    <row r="1325" spans="7:16" x14ac:dyDescent="0.2">
      <c r="G1325" s="199"/>
      <c r="I1325" s="199"/>
      <c r="K1325" s="199"/>
      <c r="M1325" s="199"/>
      <c r="N1325" s="200"/>
      <c r="P1325" s="199"/>
    </row>
    <row r="1326" spans="7:16" x14ac:dyDescent="0.2">
      <c r="G1326" s="199"/>
      <c r="I1326" s="199"/>
      <c r="K1326" s="199"/>
      <c r="M1326" s="199"/>
      <c r="N1326" s="200"/>
      <c r="P1326" s="199"/>
    </row>
    <row r="1327" spans="7:16" x14ac:dyDescent="0.2">
      <c r="G1327" s="199"/>
      <c r="I1327" s="199"/>
      <c r="K1327" s="199"/>
      <c r="M1327" s="199"/>
      <c r="N1327" s="200"/>
      <c r="P1327" s="199"/>
    </row>
    <row r="1328" spans="7:16" x14ac:dyDescent="0.2">
      <c r="G1328" s="199"/>
      <c r="I1328" s="199"/>
      <c r="K1328" s="199"/>
      <c r="M1328" s="199"/>
      <c r="N1328" s="200"/>
      <c r="P1328" s="199"/>
    </row>
    <row r="1329" spans="7:16" x14ac:dyDescent="0.2">
      <c r="G1329" s="199"/>
      <c r="I1329" s="199"/>
      <c r="K1329" s="199"/>
      <c r="M1329" s="199"/>
      <c r="N1329" s="200"/>
      <c r="P1329" s="199"/>
    </row>
    <row r="1330" spans="7:16" x14ac:dyDescent="0.2">
      <c r="G1330" s="199"/>
      <c r="I1330" s="199"/>
      <c r="K1330" s="199"/>
      <c r="M1330" s="199"/>
      <c r="N1330" s="200"/>
      <c r="P1330" s="199"/>
    </row>
    <row r="1331" spans="7:16" x14ac:dyDescent="0.2">
      <c r="G1331" s="199"/>
      <c r="I1331" s="199"/>
      <c r="K1331" s="199"/>
      <c r="M1331" s="199"/>
      <c r="N1331" s="200"/>
      <c r="P1331" s="199"/>
    </row>
    <row r="1332" spans="7:16" x14ac:dyDescent="0.2">
      <c r="G1332" s="199"/>
      <c r="I1332" s="199"/>
      <c r="K1332" s="199"/>
      <c r="M1332" s="199"/>
      <c r="N1332" s="200"/>
      <c r="P1332" s="199"/>
    </row>
    <row r="1333" spans="7:16" x14ac:dyDescent="0.2">
      <c r="G1333" s="199"/>
      <c r="I1333" s="199"/>
      <c r="K1333" s="199"/>
      <c r="M1333" s="199"/>
      <c r="N1333" s="200"/>
      <c r="P1333" s="199"/>
    </row>
    <row r="1334" spans="7:16" x14ac:dyDescent="0.2">
      <c r="G1334" s="199"/>
      <c r="I1334" s="199"/>
      <c r="K1334" s="199"/>
      <c r="M1334" s="199"/>
      <c r="N1334" s="200"/>
      <c r="P1334" s="199"/>
    </row>
    <row r="1335" spans="7:16" x14ac:dyDescent="0.2">
      <c r="G1335" s="199"/>
      <c r="I1335" s="199"/>
      <c r="K1335" s="199"/>
      <c r="M1335" s="199"/>
      <c r="N1335" s="200"/>
      <c r="P1335" s="199"/>
    </row>
    <row r="1336" spans="7:16" x14ac:dyDescent="0.2">
      <c r="G1336" s="199"/>
      <c r="I1336" s="199"/>
      <c r="K1336" s="199"/>
      <c r="M1336" s="199"/>
      <c r="N1336" s="200"/>
      <c r="P1336" s="199"/>
    </row>
    <row r="1337" spans="7:16" x14ac:dyDescent="0.2">
      <c r="G1337" s="199"/>
      <c r="I1337" s="199"/>
      <c r="K1337" s="199"/>
      <c r="M1337" s="199"/>
      <c r="N1337" s="200"/>
      <c r="P1337" s="199"/>
    </row>
    <row r="1338" spans="7:16" x14ac:dyDescent="0.2">
      <c r="G1338" s="199"/>
      <c r="I1338" s="199"/>
      <c r="K1338" s="199"/>
      <c r="M1338" s="199"/>
      <c r="N1338" s="200"/>
      <c r="P1338" s="199"/>
    </row>
    <row r="1339" spans="7:16" x14ac:dyDescent="0.2">
      <c r="G1339" s="199"/>
      <c r="I1339" s="199"/>
      <c r="K1339" s="199"/>
      <c r="M1339" s="199"/>
      <c r="N1339" s="200"/>
      <c r="P1339" s="199"/>
    </row>
    <row r="1340" spans="7:16" x14ac:dyDescent="0.2">
      <c r="G1340" s="199"/>
      <c r="I1340" s="199"/>
      <c r="K1340" s="199"/>
      <c r="M1340" s="199"/>
      <c r="N1340" s="200"/>
      <c r="P1340" s="199"/>
    </row>
    <row r="1341" spans="7:16" x14ac:dyDescent="0.2">
      <c r="G1341" s="199"/>
      <c r="I1341" s="199"/>
      <c r="K1341" s="199"/>
      <c r="M1341" s="199"/>
      <c r="N1341" s="200"/>
      <c r="P1341" s="199"/>
    </row>
    <row r="1342" spans="7:16" x14ac:dyDescent="0.2">
      <c r="G1342" s="199"/>
      <c r="I1342" s="199"/>
      <c r="K1342" s="199"/>
      <c r="M1342" s="199"/>
      <c r="N1342" s="200"/>
      <c r="P1342" s="199"/>
    </row>
    <row r="1343" spans="7:16" x14ac:dyDescent="0.2">
      <c r="G1343" s="199"/>
      <c r="I1343" s="199"/>
      <c r="K1343" s="199"/>
      <c r="M1343" s="199"/>
      <c r="N1343" s="200"/>
      <c r="P1343" s="199"/>
    </row>
    <row r="1344" spans="7:16" x14ac:dyDescent="0.2">
      <c r="G1344" s="199"/>
      <c r="I1344" s="199"/>
      <c r="K1344" s="199"/>
      <c r="M1344" s="199"/>
      <c r="N1344" s="200"/>
      <c r="P1344" s="199"/>
    </row>
    <row r="1345" spans="7:16" x14ac:dyDescent="0.2">
      <c r="G1345" s="199"/>
      <c r="I1345" s="199"/>
      <c r="K1345" s="199"/>
      <c r="M1345" s="199"/>
      <c r="N1345" s="200"/>
      <c r="P1345" s="199"/>
    </row>
    <row r="1346" spans="7:16" x14ac:dyDescent="0.2">
      <c r="G1346" s="199"/>
      <c r="I1346" s="199"/>
      <c r="K1346" s="199"/>
      <c r="M1346" s="199"/>
      <c r="N1346" s="200"/>
      <c r="P1346" s="199"/>
    </row>
    <row r="1347" spans="7:16" x14ac:dyDescent="0.2">
      <c r="G1347" s="199"/>
      <c r="I1347" s="199"/>
      <c r="K1347" s="199"/>
      <c r="M1347" s="199"/>
      <c r="N1347" s="200"/>
      <c r="P1347" s="199"/>
    </row>
    <row r="1348" spans="7:16" x14ac:dyDescent="0.2">
      <c r="G1348" s="199"/>
      <c r="I1348" s="199"/>
      <c r="K1348" s="199"/>
      <c r="M1348" s="199"/>
      <c r="N1348" s="200"/>
      <c r="P1348" s="199"/>
    </row>
    <row r="1349" spans="7:16" x14ac:dyDescent="0.2">
      <c r="G1349" s="199"/>
      <c r="I1349" s="199"/>
      <c r="K1349" s="199"/>
      <c r="M1349" s="199"/>
      <c r="N1349" s="200"/>
      <c r="P1349" s="199"/>
    </row>
    <row r="1350" spans="7:16" x14ac:dyDescent="0.2">
      <c r="G1350" s="199"/>
      <c r="I1350" s="199"/>
      <c r="K1350" s="199"/>
      <c r="M1350" s="199"/>
      <c r="N1350" s="200"/>
      <c r="P1350" s="199"/>
    </row>
    <row r="1351" spans="7:16" x14ac:dyDescent="0.2">
      <c r="G1351" s="199"/>
      <c r="I1351" s="199"/>
      <c r="K1351" s="199"/>
      <c r="M1351" s="199"/>
      <c r="N1351" s="200"/>
      <c r="P1351" s="199"/>
    </row>
    <row r="1352" spans="7:16" x14ac:dyDescent="0.2">
      <c r="G1352" s="199"/>
      <c r="I1352" s="199"/>
      <c r="K1352" s="199"/>
      <c r="M1352" s="199"/>
      <c r="N1352" s="200"/>
      <c r="P1352" s="199"/>
    </row>
    <row r="1353" spans="7:16" x14ac:dyDescent="0.2">
      <c r="G1353" s="199"/>
      <c r="I1353" s="199"/>
      <c r="K1353" s="199"/>
      <c r="M1353" s="199"/>
      <c r="N1353" s="200"/>
      <c r="P1353" s="199"/>
    </row>
    <row r="1354" spans="7:16" x14ac:dyDescent="0.2">
      <c r="G1354" s="199"/>
      <c r="I1354" s="199"/>
      <c r="K1354" s="199"/>
      <c r="M1354" s="199"/>
      <c r="N1354" s="200"/>
      <c r="P1354" s="199"/>
    </row>
    <row r="1355" spans="7:16" x14ac:dyDescent="0.2">
      <c r="G1355" s="199"/>
      <c r="I1355" s="199"/>
      <c r="K1355" s="199"/>
      <c r="M1355" s="199"/>
      <c r="N1355" s="200"/>
      <c r="P1355" s="199"/>
    </row>
    <row r="1356" spans="7:16" x14ac:dyDescent="0.2">
      <c r="G1356" s="199"/>
      <c r="I1356" s="199"/>
      <c r="K1356" s="199"/>
      <c r="M1356" s="199"/>
      <c r="N1356" s="200"/>
      <c r="P1356" s="199"/>
    </row>
    <row r="1357" spans="7:16" x14ac:dyDescent="0.2">
      <c r="G1357" s="199"/>
      <c r="I1357" s="199"/>
      <c r="K1357" s="199"/>
      <c r="M1357" s="199"/>
      <c r="N1357" s="200"/>
      <c r="P1357" s="199"/>
    </row>
    <row r="1358" spans="7:16" x14ac:dyDescent="0.2">
      <c r="G1358" s="199"/>
      <c r="I1358" s="199"/>
      <c r="K1358" s="199"/>
      <c r="M1358" s="199"/>
      <c r="N1358" s="200"/>
      <c r="P1358" s="199"/>
    </row>
    <row r="1359" spans="7:16" x14ac:dyDescent="0.2">
      <c r="G1359" s="199"/>
      <c r="I1359" s="199"/>
      <c r="K1359" s="199"/>
      <c r="M1359" s="199"/>
      <c r="N1359" s="200"/>
      <c r="P1359" s="199"/>
    </row>
    <row r="1360" spans="7:16" x14ac:dyDescent="0.2">
      <c r="G1360" s="199"/>
      <c r="I1360" s="199"/>
      <c r="K1360" s="199"/>
      <c r="M1360" s="199"/>
      <c r="N1360" s="200"/>
      <c r="P1360" s="199"/>
    </row>
    <row r="1361" spans="7:16" x14ac:dyDescent="0.2">
      <c r="G1361" s="199"/>
      <c r="I1361" s="199"/>
      <c r="K1361" s="199"/>
      <c r="M1361" s="199"/>
      <c r="N1361" s="200"/>
      <c r="P1361" s="199"/>
    </row>
    <row r="1362" spans="7:16" x14ac:dyDescent="0.2">
      <c r="G1362" s="199"/>
      <c r="I1362" s="199"/>
      <c r="K1362" s="199"/>
      <c r="M1362" s="199"/>
      <c r="N1362" s="200"/>
      <c r="P1362" s="199"/>
    </row>
    <row r="1363" spans="7:16" x14ac:dyDescent="0.2">
      <c r="G1363" s="199"/>
      <c r="I1363" s="199"/>
      <c r="K1363" s="199"/>
      <c r="M1363" s="199"/>
      <c r="N1363" s="200"/>
      <c r="P1363" s="199"/>
    </row>
    <row r="1364" spans="7:16" x14ac:dyDescent="0.2">
      <c r="G1364" s="199"/>
      <c r="I1364" s="199"/>
      <c r="K1364" s="199"/>
      <c r="M1364" s="199"/>
      <c r="N1364" s="200"/>
      <c r="P1364" s="199"/>
    </row>
    <row r="1365" spans="7:16" x14ac:dyDescent="0.2">
      <c r="G1365" s="199"/>
      <c r="I1365" s="199"/>
      <c r="K1365" s="199"/>
      <c r="M1365" s="199"/>
      <c r="N1365" s="200"/>
      <c r="P1365" s="199"/>
    </row>
    <row r="1366" spans="7:16" x14ac:dyDescent="0.2">
      <c r="G1366" s="199"/>
      <c r="I1366" s="199"/>
      <c r="K1366" s="199"/>
      <c r="M1366" s="199"/>
      <c r="N1366" s="200"/>
      <c r="P1366" s="199"/>
    </row>
    <row r="1367" spans="7:16" x14ac:dyDescent="0.2">
      <c r="G1367" s="199"/>
      <c r="I1367" s="199"/>
      <c r="K1367" s="199"/>
      <c r="M1367" s="199"/>
      <c r="N1367" s="200"/>
      <c r="P1367" s="199"/>
    </row>
    <row r="1368" spans="7:16" x14ac:dyDescent="0.2">
      <c r="G1368" s="199"/>
      <c r="I1368" s="199"/>
      <c r="K1368" s="199"/>
      <c r="M1368" s="199"/>
      <c r="N1368" s="200"/>
      <c r="P1368" s="199"/>
    </row>
    <row r="1369" spans="7:16" x14ac:dyDescent="0.2">
      <c r="G1369" s="199"/>
      <c r="I1369" s="199"/>
      <c r="K1369" s="199"/>
      <c r="M1369" s="199"/>
      <c r="N1369" s="200"/>
      <c r="P1369" s="199"/>
    </row>
    <row r="1370" spans="7:16" x14ac:dyDescent="0.2">
      <c r="G1370" s="199"/>
      <c r="I1370" s="199"/>
      <c r="K1370" s="199"/>
      <c r="M1370" s="199"/>
      <c r="N1370" s="200"/>
      <c r="P1370" s="199"/>
    </row>
    <row r="1371" spans="7:16" x14ac:dyDescent="0.2">
      <c r="G1371" s="199"/>
      <c r="I1371" s="199"/>
      <c r="K1371" s="199"/>
      <c r="M1371" s="199"/>
      <c r="N1371" s="200"/>
      <c r="P1371" s="199"/>
    </row>
    <row r="1372" spans="7:16" x14ac:dyDescent="0.2">
      <c r="G1372" s="199"/>
      <c r="I1372" s="199"/>
      <c r="K1372" s="199"/>
      <c r="M1372" s="199"/>
      <c r="N1372" s="200"/>
      <c r="P1372" s="199"/>
    </row>
    <row r="1373" spans="7:16" x14ac:dyDescent="0.2">
      <c r="G1373" s="199"/>
      <c r="I1373" s="199"/>
      <c r="K1373" s="199"/>
      <c r="M1373" s="199"/>
      <c r="N1373" s="200"/>
      <c r="P1373" s="199"/>
    </row>
    <row r="1374" spans="7:16" x14ac:dyDescent="0.2">
      <c r="G1374" s="199"/>
      <c r="I1374" s="199"/>
      <c r="K1374" s="199"/>
      <c r="M1374" s="199"/>
      <c r="N1374" s="200"/>
      <c r="P1374" s="199"/>
    </row>
    <row r="1375" spans="7:16" x14ac:dyDescent="0.2">
      <c r="G1375" s="199"/>
      <c r="I1375" s="199"/>
      <c r="K1375" s="199"/>
      <c r="M1375" s="199"/>
      <c r="N1375" s="200"/>
      <c r="P1375" s="199"/>
    </row>
    <row r="1376" spans="7:16" x14ac:dyDescent="0.2">
      <c r="G1376" s="199"/>
      <c r="I1376" s="199"/>
      <c r="K1376" s="199"/>
      <c r="M1376" s="199"/>
      <c r="N1376" s="200"/>
      <c r="P1376" s="199"/>
    </row>
    <row r="1377" spans="7:16" x14ac:dyDescent="0.2">
      <c r="G1377" s="199"/>
      <c r="I1377" s="199"/>
      <c r="K1377" s="199"/>
      <c r="M1377" s="199"/>
      <c r="N1377" s="200"/>
      <c r="P1377" s="199"/>
    </row>
    <row r="1378" spans="7:16" x14ac:dyDescent="0.2">
      <c r="G1378" s="199"/>
      <c r="I1378" s="199"/>
      <c r="K1378" s="199"/>
      <c r="M1378" s="199"/>
      <c r="N1378" s="200"/>
      <c r="P1378" s="199"/>
    </row>
    <row r="1379" spans="7:16" x14ac:dyDescent="0.2">
      <c r="G1379" s="199"/>
      <c r="I1379" s="199"/>
      <c r="K1379" s="199"/>
      <c r="M1379" s="199"/>
      <c r="N1379" s="200"/>
      <c r="P1379" s="199"/>
    </row>
    <row r="1380" spans="7:16" x14ac:dyDescent="0.2">
      <c r="G1380" s="199"/>
      <c r="I1380" s="199"/>
      <c r="K1380" s="199"/>
      <c r="M1380" s="199"/>
      <c r="N1380" s="200"/>
      <c r="P1380" s="199"/>
    </row>
    <row r="1381" spans="7:16" x14ac:dyDescent="0.2">
      <c r="G1381" s="199"/>
      <c r="I1381" s="199"/>
      <c r="K1381" s="199"/>
      <c r="M1381" s="199"/>
      <c r="N1381" s="200"/>
      <c r="P1381" s="199"/>
    </row>
    <row r="1382" spans="7:16" x14ac:dyDescent="0.2">
      <c r="G1382" s="199"/>
      <c r="I1382" s="199"/>
      <c r="K1382" s="199"/>
      <c r="M1382" s="199"/>
      <c r="N1382" s="200"/>
      <c r="P1382" s="199"/>
    </row>
    <row r="1383" spans="7:16" x14ac:dyDescent="0.2">
      <c r="G1383" s="199"/>
      <c r="I1383" s="199"/>
      <c r="K1383" s="199"/>
      <c r="M1383" s="199"/>
      <c r="N1383" s="200"/>
      <c r="P1383" s="199"/>
    </row>
    <row r="1384" spans="7:16" x14ac:dyDescent="0.2">
      <c r="G1384" s="199"/>
      <c r="I1384" s="199"/>
      <c r="K1384" s="199"/>
      <c r="M1384" s="199"/>
      <c r="N1384" s="200"/>
      <c r="P1384" s="199"/>
    </row>
    <row r="1385" spans="7:16" x14ac:dyDescent="0.2">
      <c r="G1385" s="199"/>
      <c r="I1385" s="199"/>
      <c r="K1385" s="199"/>
      <c r="M1385" s="199"/>
      <c r="N1385" s="200"/>
      <c r="P1385" s="199"/>
    </row>
    <row r="1386" spans="7:16" x14ac:dyDescent="0.2">
      <c r="G1386" s="199"/>
      <c r="I1386" s="199"/>
      <c r="K1386" s="199"/>
      <c r="M1386" s="199"/>
      <c r="N1386" s="200"/>
      <c r="P1386" s="199"/>
    </row>
    <row r="1387" spans="7:16" x14ac:dyDescent="0.2">
      <c r="G1387" s="199"/>
      <c r="I1387" s="199"/>
      <c r="K1387" s="199"/>
      <c r="M1387" s="199"/>
      <c r="N1387" s="200"/>
      <c r="P1387" s="199"/>
    </row>
    <row r="1388" spans="7:16" x14ac:dyDescent="0.2">
      <c r="G1388" s="199"/>
      <c r="I1388" s="199"/>
      <c r="K1388" s="199"/>
      <c r="M1388" s="199"/>
      <c r="N1388" s="200"/>
      <c r="P1388" s="199"/>
    </row>
    <row r="1389" spans="7:16" x14ac:dyDescent="0.2">
      <c r="G1389" s="199"/>
      <c r="I1389" s="199"/>
      <c r="K1389" s="199"/>
      <c r="M1389" s="199"/>
      <c r="N1389" s="200"/>
      <c r="P1389" s="199"/>
    </row>
    <row r="1390" spans="7:16" x14ac:dyDescent="0.2">
      <c r="G1390" s="199"/>
      <c r="I1390" s="199"/>
      <c r="K1390" s="199"/>
      <c r="M1390" s="199"/>
      <c r="N1390" s="200"/>
      <c r="P1390" s="199"/>
    </row>
    <row r="1391" spans="7:16" x14ac:dyDescent="0.2">
      <c r="G1391" s="199"/>
      <c r="I1391" s="199"/>
      <c r="K1391" s="199"/>
      <c r="M1391" s="199"/>
      <c r="N1391" s="200"/>
      <c r="P1391" s="199"/>
    </row>
    <row r="1392" spans="7:16" x14ac:dyDescent="0.2">
      <c r="G1392" s="199"/>
      <c r="I1392" s="199"/>
      <c r="K1392" s="199"/>
      <c r="M1392" s="199"/>
      <c r="N1392" s="200"/>
      <c r="P1392" s="199"/>
    </row>
    <row r="1393" spans="7:16" x14ac:dyDescent="0.2">
      <c r="G1393" s="199"/>
      <c r="I1393" s="199"/>
      <c r="K1393" s="199"/>
      <c r="M1393" s="199"/>
      <c r="N1393" s="200"/>
      <c r="P1393" s="199"/>
    </row>
    <row r="1394" spans="7:16" x14ac:dyDescent="0.2">
      <c r="G1394" s="199"/>
      <c r="I1394" s="199"/>
      <c r="K1394" s="199"/>
      <c r="M1394" s="199"/>
      <c r="N1394" s="200"/>
      <c r="P1394" s="199"/>
    </row>
    <row r="1395" spans="7:16" x14ac:dyDescent="0.2">
      <c r="G1395" s="199"/>
      <c r="I1395" s="199"/>
      <c r="K1395" s="199"/>
      <c r="M1395" s="199"/>
      <c r="N1395" s="200"/>
      <c r="P1395" s="199"/>
    </row>
    <row r="1396" spans="7:16" x14ac:dyDescent="0.2">
      <c r="G1396" s="199"/>
      <c r="I1396" s="199"/>
      <c r="K1396" s="199"/>
      <c r="M1396" s="199"/>
      <c r="N1396" s="200"/>
      <c r="P1396" s="199"/>
    </row>
    <row r="1397" spans="7:16" x14ac:dyDescent="0.2">
      <c r="G1397" s="199"/>
      <c r="I1397" s="199"/>
      <c r="K1397" s="199"/>
      <c r="M1397" s="199"/>
      <c r="N1397" s="200"/>
      <c r="P1397" s="199"/>
    </row>
    <row r="1398" spans="7:16" x14ac:dyDescent="0.2">
      <c r="G1398" s="199"/>
      <c r="I1398" s="199"/>
      <c r="K1398" s="199"/>
      <c r="M1398" s="199"/>
      <c r="N1398" s="200"/>
      <c r="P1398" s="199"/>
    </row>
    <row r="1399" spans="7:16" x14ac:dyDescent="0.2">
      <c r="G1399" s="199"/>
      <c r="I1399" s="199"/>
      <c r="K1399" s="199"/>
      <c r="M1399" s="199"/>
      <c r="N1399" s="200"/>
      <c r="P1399" s="199"/>
    </row>
    <row r="1400" spans="7:16" x14ac:dyDescent="0.2">
      <c r="G1400" s="199"/>
      <c r="I1400" s="199"/>
      <c r="K1400" s="199"/>
      <c r="M1400" s="199"/>
      <c r="N1400" s="200"/>
      <c r="P1400" s="199"/>
    </row>
    <row r="1401" spans="7:16" x14ac:dyDescent="0.2">
      <c r="G1401" s="199"/>
      <c r="I1401" s="199"/>
      <c r="K1401" s="199"/>
      <c r="M1401" s="199"/>
      <c r="N1401" s="200"/>
      <c r="P1401" s="199"/>
    </row>
    <row r="1402" spans="7:16" x14ac:dyDescent="0.2">
      <c r="G1402" s="199"/>
      <c r="I1402" s="199"/>
      <c r="K1402" s="199"/>
      <c r="M1402" s="199"/>
      <c r="N1402" s="200"/>
      <c r="P1402" s="199"/>
    </row>
    <row r="1403" spans="7:16" x14ac:dyDescent="0.2">
      <c r="G1403" s="199"/>
      <c r="I1403" s="199"/>
      <c r="K1403" s="199"/>
      <c r="M1403" s="199"/>
      <c r="N1403" s="200"/>
      <c r="P1403" s="199"/>
    </row>
    <row r="1404" spans="7:16" x14ac:dyDescent="0.2">
      <c r="G1404" s="199"/>
      <c r="I1404" s="199"/>
      <c r="K1404" s="199"/>
      <c r="M1404" s="199"/>
      <c r="N1404" s="200"/>
      <c r="P1404" s="199"/>
    </row>
    <row r="1405" spans="7:16" x14ac:dyDescent="0.2">
      <c r="G1405" s="199"/>
      <c r="I1405" s="199"/>
      <c r="K1405" s="199"/>
      <c r="M1405" s="199"/>
      <c r="N1405" s="200"/>
      <c r="P1405" s="199"/>
    </row>
    <row r="1406" spans="7:16" x14ac:dyDescent="0.2">
      <c r="G1406" s="199"/>
      <c r="I1406" s="199"/>
      <c r="K1406" s="199"/>
      <c r="M1406" s="199"/>
      <c r="N1406" s="200"/>
      <c r="P1406" s="199"/>
    </row>
    <row r="1407" spans="7:16" x14ac:dyDescent="0.2">
      <c r="G1407" s="199"/>
      <c r="I1407" s="199"/>
      <c r="K1407" s="199"/>
      <c r="M1407" s="199"/>
      <c r="N1407" s="200"/>
      <c r="P1407" s="199"/>
    </row>
    <row r="1408" spans="7:16" x14ac:dyDescent="0.2">
      <c r="G1408" s="199"/>
      <c r="I1408" s="199"/>
      <c r="K1408" s="199"/>
      <c r="M1408" s="199"/>
      <c r="N1408" s="200"/>
      <c r="P1408" s="199"/>
    </row>
    <row r="1409" spans="7:16" x14ac:dyDescent="0.2">
      <c r="G1409" s="199"/>
      <c r="I1409" s="199"/>
      <c r="K1409" s="199"/>
      <c r="M1409" s="199"/>
      <c r="N1409" s="200"/>
      <c r="P1409" s="199"/>
    </row>
    <row r="1410" spans="7:16" x14ac:dyDescent="0.2">
      <c r="G1410" s="199"/>
      <c r="I1410" s="199"/>
      <c r="K1410" s="199"/>
      <c r="M1410" s="199"/>
      <c r="N1410" s="200"/>
      <c r="P1410" s="199"/>
    </row>
    <row r="1411" spans="7:16" x14ac:dyDescent="0.2">
      <c r="G1411" s="199"/>
      <c r="I1411" s="199"/>
      <c r="K1411" s="199"/>
      <c r="M1411" s="199"/>
      <c r="N1411" s="200"/>
      <c r="P1411" s="199"/>
    </row>
    <row r="1412" spans="7:16" x14ac:dyDescent="0.2">
      <c r="G1412" s="199"/>
      <c r="I1412" s="199"/>
      <c r="K1412" s="199"/>
      <c r="M1412" s="199"/>
      <c r="N1412" s="200"/>
      <c r="P1412" s="199"/>
    </row>
    <row r="1413" spans="7:16" x14ac:dyDescent="0.2">
      <c r="G1413" s="199"/>
      <c r="I1413" s="199"/>
      <c r="K1413" s="199"/>
      <c r="M1413" s="199"/>
      <c r="N1413" s="200"/>
      <c r="P1413" s="199"/>
    </row>
    <row r="1414" spans="7:16" x14ac:dyDescent="0.2">
      <c r="G1414" s="199"/>
      <c r="I1414" s="199"/>
      <c r="K1414" s="199"/>
      <c r="M1414" s="199"/>
      <c r="N1414" s="200"/>
      <c r="P1414" s="199"/>
    </row>
    <row r="1415" spans="7:16" x14ac:dyDescent="0.2">
      <c r="G1415" s="199"/>
      <c r="I1415" s="199"/>
      <c r="K1415" s="199"/>
      <c r="M1415" s="199"/>
      <c r="N1415" s="200"/>
      <c r="P1415" s="199"/>
    </row>
    <row r="1416" spans="7:16" x14ac:dyDescent="0.2">
      <c r="G1416" s="199"/>
      <c r="I1416" s="199"/>
      <c r="K1416" s="199"/>
      <c r="M1416" s="199"/>
      <c r="N1416" s="200"/>
      <c r="P1416" s="199"/>
    </row>
    <row r="1417" spans="7:16" x14ac:dyDescent="0.2">
      <c r="G1417" s="199"/>
      <c r="I1417" s="199"/>
      <c r="K1417" s="199"/>
      <c r="M1417" s="199"/>
      <c r="N1417" s="200"/>
      <c r="P1417" s="199"/>
    </row>
    <row r="1418" spans="7:16" x14ac:dyDescent="0.2">
      <c r="G1418" s="199"/>
      <c r="I1418" s="199"/>
      <c r="K1418" s="199"/>
      <c r="M1418" s="199"/>
      <c r="N1418" s="200"/>
      <c r="P1418" s="199"/>
    </row>
    <row r="1419" spans="7:16" x14ac:dyDescent="0.2">
      <c r="G1419" s="199"/>
      <c r="I1419" s="199"/>
      <c r="K1419" s="199"/>
      <c r="M1419" s="199"/>
      <c r="N1419" s="200"/>
      <c r="P1419" s="199"/>
    </row>
    <row r="1420" spans="7:16" x14ac:dyDescent="0.2">
      <c r="G1420" s="199"/>
      <c r="I1420" s="199"/>
      <c r="K1420" s="199"/>
      <c r="M1420" s="199"/>
      <c r="N1420" s="200"/>
      <c r="P1420" s="199"/>
    </row>
    <row r="1421" spans="7:16" x14ac:dyDescent="0.2">
      <c r="G1421" s="199"/>
      <c r="I1421" s="199"/>
      <c r="K1421" s="199"/>
      <c r="M1421" s="199"/>
      <c r="N1421" s="200"/>
      <c r="P1421" s="199"/>
    </row>
    <row r="1422" spans="7:16" x14ac:dyDescent="0.2">
      <c r="G1422" s="199"/>
      <c r="I1422" s="199"/>
      <c r="K1422" s="199"/>
      <c r="M1422" s="199"/>
      <c r="N1422" s="200"/>
      <c r="P1422" s="199"/>
    </row>
    <row r="1423" spans="7:16" x14ac:dyDescent="0.2">
      <c r="G1423" s="199"/>
      <c r="I1423" s="199"/>
      <c r="K1423" s="199"/>
      <c r="M1423" s="199"/>
      <c r="N1423" s="200"/>
      <c r="P1423" s="199"/>
    </row>
    <row r="1424" spans="7:16" x14ac:dyDescent="0.2">
      <c r="G1424" s="199"/>
      <c r="I1424" s="199"/>
      <c r="K1424" s="199"/>
      <c r="M1424" s="199"/>
      <c r="N1424" s="200"/>
      <c r="P1424" s="199"/>
    </row>
    <row r="1425" spans="7:16" x14ac:dyDescent="0.2">
      <c r="G1425" s="199"/>
      <c r="I1425" s="199"/>
      <c r="K1425" s="199"/>
      <c r="M1425" s="199"/>
      <c r="N1425" s="200"/>
      <c r="P1425" s="199"/>
    </row>
    <row r="1426" spans="7:16" x14ac:dyDescent="0.2">
      <c r="G1426" s="199"/>
      <c r="I1426" s="199"/>
      <c r="K1426" s="199"/>
      <c r="M1426" s="199"/>
      <c r="N1426" s="200"/>
      <c r="P1426" s="199"/>
    </row>
    <row r="1427" spans="7:16" x14ac:dyDescent="0.2">
      <c r="G1427" s="199"/>
      <c r="I1427" s="199"/>
      <c r="K1427" s="199"/>
      <c r="M1427" s="199"/>
      <c r="N1427" s="200"/>
      <c r="P1427" s="199"/>
    </row>
    <row r="1428" spans="7:16" x14ac:dyDescent="0.2">
      <c r="G1428" s="199"/>
      <c r="I1428" s="199"/>
      <c r="K1428" s="199"/>
      <c r="M1428" s="199"/>
      <c r="N1428" s="200"/>
      <c r="P1428" s="199"/>
    </row>
    <row r="1429" spans="7:16" x14ac:dyDescent="0.2">
      <c r="G1429" s="199"/>
      <c r="I1429" s="199"/>
      <c r="K1429" s="199"/>
      <c r="M1429" s="199"/>
      <c r="N1429" s="200"/>
      <c r="P1429" s="199"/>
    </row>
    <row r="1430" spans="7:16" x14ac:dyDescent="0.2">
      <c r="G1430" s="199"/>
      <c r="I1430" s="199"/>
      <c r="K1430" s="199"/>
      <c r="M1430" s="199"/>
      <c r="N1430" s="200"/>
      <c r="P1430" s="199"/>
    </row>
    <row r="1431" spans="7:16" x14ac:dyDescent="0.2">
      <c r="G1431" s="199"/>
      <c r="I1431" s="199"/>
      <c r="K1431" s="199"/>
      <c r="M1431" s="199"/>
      <c r="N1431" s="200"/>
      <c r="P1431" s="199"/>
    </row>
    <row r="1432" spans="7:16" x14ac:dyDescent="0.2">
      <c r="G1432" s="199"/>
      <c r="I1432" s="199"/>
      <c r="K1432" s="199"/>
      <c r="M1432" s="199"/>
      <c r="N1432" s="200"/>
      <c r="P1432" s="199"/>
    </row>
    <row r="1433" spans="7:16" x14ac:dyDescent="0.2">
      <c r="G1433" s="199"/>
      <c r="I1433" s="199"/>
      <c r="K1433" s="199"/>
      <c r="M1433" s="199"/>
      <c r="N1433" s="200"/>
      <c r="P1433" s="199"/>
    </row>
    <row r="1434" spans="7:16" x14ac:dyDescent="0.2">
      <c r="G1434" s="199"/>
      <c r="I1434" s="199"/>
      <c r="K1434" s="199"/>
      <c r="M1434" s="199"/>
      <c r="N1434" s="200"/>
      <c r="P1434" s="199"/>
    </row>
    <row r="1435" spans="7:16" x14ac:dyDescent="0.2">
      <c r="G1435" s="199"/>
      <c r="I1435" s="199"/>
      <c r="K1435" s="199"/>
      <c r="M1435" s="199"/>
      <c r="N1435" s="200"/>
      <c r="P1435" s="199"/>
    </row>
    <row r="1436" spans="7:16" x14ac:dyDescent="0.2">
      <c r="G1436" s="199"/>
      <c r="I1436" s="199"/>
      <c r="K1436" s="199"/>
      <c r="M1436" s="199"/>
      <c r="N1436" s="200"/>
      <c r="P1436" s="199"/>
    </row>
    <row r="1437" spans="7:16" x14ac:dyDescent="0.2">
      <c r="G1437" s="199"/>
      <c r="I1437" s="199"/>
      <c r="K1437" s="199"/>
      <c r="M1437" s="199"/>
      <c r="N1437" s="200"/>
      <c r="P1437" s="199"/>
    </row>
    <row r="1438" spans="7:16" x14ac:dyDescent="0.2">
      <c r="G1438" s="199"/>
      <c r="I1438" s="199"/>
      <c r="K1438" s="199"/>
      <c r="M1438" s="199"/>
      <c r="N1438" s="200"/>
      <c r="P1438" s="199"/>
    </row>
    <row r="1439" spans="7:16" x14ac:dyDescent="0.2">
      <c r="G1439" s="199"/>
      <c r="I1439" s="199"/>
      <c r="K1439" s="199"/>
      <c r="M1439" s="199"/>
      <c r="N1439" s="200"/>
      <c r="P1439" s="199"/>
    </row>
    <row r="1440" spans="7:16" x14ac:dyDescent="0.2">
      <c r="G1440" s="199"/>
      <c r="I1440" s="199"/>
      <c r="K1440" s="199"/>
      <c r="M1440" s="199"/>
      <c r="N1440" s="200"/>
      <c r="P1440" s="199"/>
    </row>
    <row r="1441" spans="7:16" x14ac:dyDescent="0.2">
      <c r="G1441" s="199"/>
      <c r="I1441" s="199"/>
      <c r="K1441" s="199"/>
      <c r="M1441" s="199"/>
      <c r="N1441" s="200"/>
      <c r="P1441" s="199"/>
    </row>
    <row r="1442" spans="7:16" x14ac:dyDescent="0.2">
      <c r="G1442" s="199"/>
      <c r="I1442" s="199"/>
      <c r="K1442" s="199"/>
      <c r="M1442" s="199"/>
      <c r="N1442" s="200"/>
      <c r="P1442" s="199"/>
    </row>
    <row r="1443" spans="7:16" x14ac:dyDescent="0.2">
      <c r="G1443" s="199"/>
      <c r="I1443" s="199"/>
      <c r="K1443" s="199"/>
      <c r="M1443" s="199"/>
      <c r="N1443" s="200"/>
      <c r="P1443" s="199"/>
    </row>
    <row r="1444" spans="7:16" x14ac:dyDescent="0.2">
      <c r="G1444" s="199"/>
      <c r="I1444" s="199"/>
      <c r="K1444" s="199"/>
      <c r="M1444" s="199"/>
      <c r="N1444" s="200"/>
      <c r="P1444" s="199"/>
    </row>
    <row r="1445" spans="7:16" x14ac:dyDescent="0.2">
      <c r="G1445" s="199"/>
      <c r="I1445" s="199"/>
      <c r="K1445" s="199"/>
      <c r="M1445" s="199"/>
      <c r="N1445" s="200"/>
      <c r="P1445" s="199"/>
    </row>
    <row r="1446" spans="7:16" x14ac:dyDescent="0.2">
      <c r="G1446" s="199"/>
      <c r="I1446" s="199"/>
      <c r="K1446" s="199"/>
      <c r="M1446" s="199"/>
      <c r="N1446" s="200"/>
      <c r="P1446" s="199"/>
    </row>
    <row r="1447" spans="7:16" x14ac:dyDescent="0.2">
      <c r="G1447" s="199"/>
      <c r="I1447" s="199"/>
      <c r="K1447" s="199"/>
      <c r="M1447" s="199"/>
      <c r="N1447" s="200"/>
      <c r="P1447" s="199"/>
    </row>
    <row r="1448" spans="7:16" x14ac:dyDescent="0.2">
      <c r="G1448" s="199"/>
      <c r="I1448" s="199"/>
      <c r="K1448" s="199"/>
      <c r="M1448" s="199"/>
      <c r="N1448" s="200"/>
      <c r="P1448" s="199"/>
    </row>
    <row r="1449" spans="7:16" x14ac:dyDescent="0.2">
      <c r="G1449" s="199"/>
      <c r="I1449" s="199"/>
      <c r="K1449" s="199"/>
      <c r="M1449" s="199"/>
      <c r="N1449" s="200"/>
      <c r="P1449" s="199"/>
    </row>
    <row r="1450" spans="7:16" x14ac:dyDescent="0.2">
      <c r="G1450" s="199"/>
      <c r="I1450" s="199"/>
      <c r="K1450" s="199"/>
      <c r="M1450" s="199"/>
      <c r="N1450" s="200"/>
      <c r="P1450" s="199"/>
    </row>
    <row r="1451" spans="7:16" x14ac:dyDescent="0.2">
      <c r="G1451" s="199"/>
      <c r="I1451" s="199"/>
      <c r="K1451" s="199"/>
      <c r="M1451" s="199"/>
      <c r="N1451" s="200"/>
      <c r="P1451" s="199"/>
    </row>
    <row r="1452" spans="7:16" x14ac:dyDescent="0.2">
      <c r="G1452" s="199"/>
      <c r="I1452" s="199"/>
      <c r="K1452" s="199"/>
      <c r="M1452" s="199"/>
      <c r="N1452" s="200"/>
      <c r="P1452" s="199"/>
    </row>
    <row r="1453" spans="7:16" x14ac:dyDescent="0.2">
      <c r="G1453" s="199"/>
      <c r="I1453" s="199"/>
      <c r="K1453" s="199"/>
      <c r="M1453" s="199"/>
      <c r="N1453" s="200"/>
      <c r="P1453" s="199"/>
    </row>
    <row r="1454" spans="7:16" x14ac:dyDescent="0.2">
      <c r="G1454" s="199"/>
      <c r="I1454" s="199"/>
      <c r="K1454" s="199"/>
      <c r="M1454" s="199"/>
      <c r="N1454" s="200"/>
      <c r="P1454" s="199"/>
    </row>
    <row r="1455" spans="7:16" x14ac:dyDescent="0.2">
      <c r="G1455" s="199"/>
      <c r="I1455" s="199"/>
      <c r="K1455" s="199"/>
      <c r="M1455" s="199"/>
      <c r="N1455" s="200"/>
      <c r="P1455" s="199"/>
    </row>
    <row r="1456" spans="7:16" x14ac:dyDescent="0.2">
      <c r="G1456" s="199"/>
      <c r="I1456" s="199"/>
      <c r="K1456" s="199"/>
      <c r="M1456" s="199"/>
      <c r="N1456" s="200"/>
      <c r="P1456" s="199"/>
    </row>
    <row r="1457" spans="7:16" x14ac:dyDescent="0.2">
      <c r="G1457" s="199"/>
      <c r="I1457" s="199"/>
      <c r="K1457" s="199"/>
      <c r="M1457" s="199"/>
      <c r="N1457" s="200"/>
      <c r="P1457" s="199"/>
    </row>
    <row r="1458" spans="7:16" x14ac:dyDescent="0.2">
      <c r="G1458" s="199"/>
      <c r="I1458" s="199"/>
      <c r="K1458" s="199"/>
      <c r="M1458" s="199"/>
      <c r="N1458" s="200"/>
      <c r="P1458" s="199"/>
    </row>
    <row r="1459" spans="7:16" x14ac:dyDescent="0.2">
      <c r="G1459" s="199"/>
      <c r="I1459" s="199"/>
      <c r="K1459" s="199"/>
      <c r="M1459" s="199"/>
      <c r="N1459" s="200"/>
      <c r="P1459" s="199"/>
    </row>
    <row r="1460" spans="7:16" x14ac:dyDescent="0.2">
      <c r="G1460" s="199"/>
      <c r="I1460" s="199"/>
      <c r="K1460" s="199"/>
      <c r="M1460" s="199"/>
      <c r="N1460" s="200"/>
      <c r="P1460" s="199"/>
    </row>
    <row r="1461" spans="7:16" x14ac:dyDescent="0.2">
      <c r="G1461" s="199"/>
      <c r="I1461" s="199"/>
      <c r="K1461" s="199"/>
      <c r="M1461" s="199"/>
      <c r="N1461" s="200"/>
      <c r="P1461" s="199"/>
    </row>
    <row r="1462" spans="7:16" x14ac:dyDescent="0.2">
      <c r="G1462" s="199"/>
      <c r="I1462" s="199"/>
      <c r="K1462" s="199"/>
      <c r="M1462" s="199"/>
      <c r="N1462" s="200"/>
      <c r="P1462" s="199"/>
    </row>
    <row r="1463" spans="7:16" x14ac:dyDescent="0.2">
      <c r="G1463" s="199"/>
      <c r="I1463" s="199"/>
      <c r="K1463" s="199"/>
      <c r="M1463" s="199"/>
      <c r="N1463" s="200"/>
      <c r="P1463" s="199"/>
    </row>
    <row r="1464" spans="7:16" x14ac:dyDescent="0.2">
      <c r="G1464" s="199"/>
      <c r="I1464" s="199"/>
      <c r="K1464" s="199"/>
      <c r="M1464" s="199"/>
      <c r="N1464" s="200"/>
      <c r="P1464" s="199"/>
    </row>
    <row r="1465" spans="7:16" x14ac:dyDescent="0.2">
      <c r="G1465" s="199"/>
      <c r="I1465" s="199"/>
      <c r="K1465" s="199"/>
      <c r="M1465" s="199"/>
      <c r="N1465" s="200"/>
      <c r="P1465" s="199"/>
    </row>
    <row r="1466" spans="7:16" x14ac:dyDescent="0.2">
      <c r="G1466" s="199"/>
      <c r="I1466" s="199"/>
      <c r="K1466" s="199"/>
      <c r="M1466" s="199"/>
      <c r="N1466" s="200"/>
      <c r="P1466" s="199"/>
    </row>
    <row r="1467" spans="7:16" x14ac:dyDescent="0.2">
      <c r="G1467" s="199"/>
      <c r="I1467" s="199"/>
      <c r="K1467" s="199"/>
      <c r="M1467" s="199"/>
      <c r="N1467" s="200"/>
      <c r="P1467" s="199"/>
    </row>
    <row r="1468" spans="7:16" x14ac:dyDescent="0.2">
      <c r="G1468" s="199"/>
      <c r="I1468" s="199"/>
      <c r="K1468" s="199"/>
      <c r="M1468" s="199"/>
      <c r="N1468" s="200"/>
      <c r="P1468" s="199"/>
    </row>
    <row r="1469" spans="7:16" x14ac:dyDescent="0.2">
      <c r="G1469" s="199"/>
      <c r="I1469" s="199"/>
      <c r="K1469" s="199"/>
      <c r="M1469" s="199"/>
      <c r="N1469" s="200"/>
      <c r="P1469" s="199"/>
    </row>
    <row r="1470" spans="7:16" x14ac:dyDescent="0.2">
      <c r="G1470" s="199"/>
      <c r="I1470" s="199"/>
      <c r="K1470" s="199"/>
      <c r="M1470" s="199"/>
      <c r="N1470" s="200"/>
      <c r="P1470" s="199"/>
    </row>
    <row r="1471" spans="7:16" x14ac:dyDescent="0.2">
      <c r="G1471" s="199"/>
      <c r="I1471" s="199"/>
      <c r="K1471" s="199"/>
      <c r="M1471" s="199"/>
      <c r="N1471" s="200"/>
      <c r="P1471" s="199"/>
    </row>
    <row r="1472" spans="7:16" x14ac:dyDescent="0.2">
      <c r="G1472" s="199"/>
      <c r="I1472" s="199"/>
      <c r="K1472" s="199"/>
      <c r="M1472" s="199"/>
      <c r="N1472" s="200"/>
      <c r="P1472" s="199"/>
    </row>
    <row r="1473" spans="7:16" x14ac:dyDescent="0.2">
      <c r="G1473" s="199"/>
      <c r="I1473" s="199"/>
      <c r="K1473" s="199"/>
      <c r="M1473" s="199"/>
      <c r="N1473" s="200"/>
      <c r="P1473" s="199"/>
    </row>
    <row r="1474" spans="7:16" x14ac:dyDescent="0.2">
      <c r="G1474" s="199"/>
      <c r="I1474" s="199"/>
      <c r="K1474" s="199"/>
      <c r="M1474" s="199"/>
      <c r="N1474" s="200"/>
      <c r="P1474" s="199"/>
    </row>
    <row r="1475" spans="7:16" x14ac:dyDescent="0.2">
      <c r="G1475" s="199"/>
      <c r="I1475" s="199"/>
      <c r="K1475" s="199"/>
      <c r="M1475" s="199"/>
      <c r="N1475" s="200"/>
      <c r="P1475" s="199"/>
    </row>
    <row r="1476" spans="7:16" x14ac:dyDescent="0.2">
      <c r="G1476" s="199"/>
      <c r="I1476" s="199"/>
      <c r="K1476" s="199"/>
      <c r="M1476" s="199"/>
      <c r="N1476" s="200"/>
      <c r="P1476" s="199"/>
    </row>
    <row r="1477" spans="7:16" x14ac:dyDescent="0.2">
      <c r="G1477" s="199"/>
      <c r="I1477" s="199"/>
      <c r="K1477" s="199"/>
      <c r="M1477" s="199"/>
      <c r="N1477" s="200"/>
      <c r="P1477" s="199"/>
    </row>
    <row r="1478" spans="7:16" x14ac:dyDescent="0.2">
      <c r="G1478" s="199"/>
      <c r="I1478" s="199"/>
      <c r="K1478" s="199"/>
      <c r="M1478" s="199"/>
      <c r="N1478" s="200"/>
      <c r="P1478" s="199"/>
    </row>
    <row r="1479" spans="7:16" x14ac:dyDescent="0.2">
      <c r="G1479" s="199"/>
      <c r="I1479" s="199"/>
      <c r="K1479" s="199"/>
      <c r="M1479" s="199"/>
      <c r="N1479" s="200"/>
      <c r="P1479" s="199"/>
    </row>
    <row r="1480" spans="7:16" x14ac:dyDescent="0.2">
      <c r="G1480" s="199"/>
      <c r="I1480" s="199"/>
      <c r="K1480" s="199"/>
      <c r="M1480" s="199"/>
      <c r="N1480" s="200"/>
      <c r="P1480" s="199"/>
    </row>
    <row r="1481" spans="7:16" x14ac:dyDescent="0.2">
      <c r="G1481" s="199"/>
      <c r="I1481" s="199"/>
      <c r="K1481" s="199"/>
      <c r="M1481" s="199"/>
      <c r="N1481" s="200"/>
      <c r="P1481" s="199"/>
    </row>
    <row r="1482" spans="7:16" x14ac:dyDescent="0.2">
      <c r="G1482" s="199"/>
      <c r="I1482" s="199"/>
      <c r="K1482" s="199"/>
      <c r="M1482" s="199"/>
      <c r="N1482" s="200"/>
      <c r="P1482" s="199"/>
    </row>
    <row r="1483" spans="7:16" x14ac:dyDescent="0.2">
      <c r="G1483" s="199"/>
      <c r="I1483" s="199"/>
      <c r="K1483" s="199"/>
      <c r="M1483" s="199"/>
      <c r="N1483" s="200"/>
      <c r="P1483" s="199"/>
    </row>
    <row r="1484" spans="7:16" x14ac:dyDescent="0.2">
      <c r="G1484" s="199"/>
      <c r="I1484" s="199"/>
      <c r="K1484" s="199"/>
      <c r="M1484" s="199"/>
      <c r="N1484" s="200"/>
      <c r="P1484" s="199"/>
    </row>
    <row r="1485" spans="7:16" x14ac:dyDescent="0.2">
      <c r="G1485" s="199"/>
      <c r="I1485" s="199"/>
      <c r="K1485" s="199"/>
      <c r="M1485" s="199"/>
      <c r="N1485" s="200"/>
      <c r="P1485" s="199"/>
    </row>
    <row r="1486" spans="7:16" x14ac:dyDescent="0.2">
      <c r="G1486" s="199"/>
      <c r="I1486" s="199"/>
      <c r="K1486" s="199"/>
      <c r="M1486" s="199"/>
      <c r="N1486" s="200"/>
      <c r="P1486" s="199"/>
    </row>
    <row r="1487" spans="7:16" x14ac:dyDescent="0.2">
      <c r="G1487" s="199"/>
      <c r="I1487" s="199"/>
      <c r="K1487" s="199"/>
      <c r="M1487" s="199"/>
      <c r="N1487" s="200"/>
      <c r="P1487" s="199"/>
    </row>
    <row r="1488" spans="7:16" x14ac:dyDescent="0.2">
      <c r="G1488" s="199"/>
      <c r="I1488" s="199"/>
      <c r="K1488" s="199"/>
      <c r="M1488" s="199"/>
      <c r="N1488" s="200"/>
      <c r="P1488" s="199"/>
    </row>
    <row r="1489" spans="7:16" x14ac:dyDescent="0.2">
      <c r="G1489" s="199"/>
      <c r="I1489" s="199"/>
      <c r="K1489" s="199"/>
      <c r="M1489" s="199"/>
      <c r="N1489" s="200"/>
      <c r="P1489" s="199"/>
    </row>
    <row r="1490" spans="7:16" x14ac:dyDescent="0.2">
      <c r="G1490" s="199"/>
      <c r="I1490" s="199"/>
      <c r="K1490" s="199"/>
      <c r="M1490" s="199"/>
      <c r="N1490" s="200"/>
      <c r="P1490" s="199"/>
    </row>
    <row r="1491" spans="7:16" x14ac:dyDescent="0.2">
      <c r="G1491" s="199"/>
      <c r="I1491" s="199"/>
      <c r="K1491" s="199"/>
      <c r="M1491" s="199"/>
      <c r="N1491" s="200"/>
      <c r="P1491" s="199"/>
    </row>
    <row r="1492" spans="7:16" x14ac:dyDescent="0.2">
      <c r="G1492" s="199"/>
      <c r="I1492" s="199"/>
      <c r="K1492" s="199"/>
      <c r="M1492" s="199"/>
      <c r="N1492" s="200"/>
      <c r="P1492" s="199"/>
    </row>
    <row r="1493" spans="7:16" x14ac:dyDescent="0.2">
      <c r="G1493" s="199"/>
      <c r="I1493" s="199"/>
      <c r="K1493" s="199"/>
      <c r="M1493" s="199"/>
      <c r="N1493" s="200"/>
      <c r="P1493" s="199"/>
    </row>
    <row r="1494" spans="7:16" x14ac:dyDescent="0.2">
      <c r="G1494" s="199"/>
      <c r="I1494" s="199"/>
      <c r="K1494" s="199"/>
      <c r="M1494" s="199"/>
      <c r="N1494" s="200"/>
      <c r="P1494" s="199"/>
    </row>
    <row r="1495" spans="7:16" x14ac:dyDescent="0.2">
      <c r="G1495" s="199"/>
      <c r="I1495" s="199"/>
      <c r="K1495" s="199"/>
      <c r="M1495" s="199"/>
      <c r="N1495" s="200"/>
      <c r="P1495" s="199"/>
    </row>
    <row r="1496" spans="7:16" x14ac:dyDescent="0.2">
      <c r="G1496" s="199"/>
      <c r="I1496" s="199"/>
      <c r="K1496" s="199"/>
      <c r="M1496" s="199"/>
      <c r="N1496" s="200"/>
      <c r="P1496" s="199"/>
    </row>
    <row r="1497" spans="7:16" x14ac:dyDescent="0.2">
      <c r="G1497" s="199"/>
      <c r="I1497" s="199"/>
      <c r="K1497" s="199"/>
      <c r="M1497" s="199"/>
      <c r="N1497" s="200"/>
      <c r="P1497" s="199"/>
    </row>
    <row r="1498" spans="7:16" x14ac:dyDescent="0.2">
      <c r="G1498" s="199"/>
      <c r="I1498" s="199"/>
      <c r="K1498" s="199"/>
      <c r="M1498" s="199"/>
      <c r="N1498" s="200"/>
      <c r="P1498" s="199"/>
    </row>
    <row r="1499" spans="7:16" x14ac:dyDescent="0.2">
      <c r="G1499" s="199"/>
      <c r="I1499" s="199"/>
      <c r="K1499" s="199"/>
      <c r="M1499" s="199"/>
      <c r="N1499" s="200"/>
      <c r="P1499" s="199"/>
    </row>
    <row r="1500" spans="7:16" x14ac:dyDescent="0.2">
      <c r="G1500" s="199"/>
      <c r="I1500" s="199"/>
      <c r="K1500" s="199"/>
      <c r="M1500" s="199"/>
      <c r="N1500" s="200"/>
      <c r="P1500" s="199"/>
    </row>
    <row r="1501" spans="7:16" x14ac:dyDescent="0.2">
      <c r="G1501" s="199"/>
      <c r="I1501" s="199"/>
      <c r="K1501" s="199"/>
      <c r="M1501" s="199"/>
      <c r="N1501" s="200"/>
      <c r="P1501" s="199"/>
    </row>
    <row r="1502" spans="7:16" x14ac:dyDescent="0.2">
      <c r="G1502" s="199"/>
      <c r="I1502" s="199"/>
      <c r="K1502" s="199"/>
      <c r="M1502" s="199"/>
      <c r="N1502" s="200"/>
      <c r="P1502" s="199"/>
    </row>
    <row r="1503" spans="7:16" x14ac:dyDescent="0.2">
      <c r="G1503" s="199"/>
      <c r="I1503" s="199"/>
      <c r="K1503" s="199"/>
      <c r="M1503" s="199"/>
      <c r="N1503" s="200"/>
      <c r="P1503" s="199"/>
    </row>
    <row r="1504" spans="7:16" x14ac:dyDescent="0.2">
      <c r="G1504" s="199"/>
      <c r="I1504" s="199"/>
      <c r="K1504" s="199"/>
      <c r="M1504" s="199"/>
      <c r="N1504" s="200"/>
      <c r="P1504" s="199"/>
    </row>
    <row r="1505" spans="7:16" x14ac:dyDescent="0.2">
      <c r="G1505" s="199"/>
      <c r="I1505" s="199"/>
      <c r="K1505" s="199"/>
      <c r="M1505" s="199"/>
      <c r="N1505" s="200"/>
      <c r="P1505" s="199"/>
    </row>
    <row r="1506" spans="7:16" x14ac:dyDescent="0.2">
      <c r="G1506" s="199"/>
      <c r="I1506" s="199"/>
      <c r="K1506" s="199"/>
      <c r="M1506" s="199"/>
      <c r="N1506" s="200"/>
      <c r="P1506" s="199"/>
    </row>
    <row r="1507" spans="7:16" x14ac:dyDescent="0.2">
      <c r="G1507" s="199"/>
      <c r="I1507" s="199"/>
      <c r="K1507" s="199"/>
      <c r="M1507" s="199"/>
      <c r="N1507" s="200"/>
      <c r="P1507" s="199"/>
    </row>
    <row r="1508" spans="7:16" x14ac:dyDescent="0.2">
      <c r="G1508" s="199"/>
      <c r="I1508" s="199"/>
      <c r="K1508" s="199"/>
      <c r="M1508" s="199"/>
      <c r="N1508" s="200"/>
      <c r="P1508" s="199"/>
    </row>
    <row r="1509" spans="7:16" x14ac:dyDescent="0.2">
      <c r="G1509" s="199"/>
      <c r="I1509" s="199"/>
      <c r="K1509" s="199"/>
      <c r="M1509" s="199"/>
      <c r="N1509" s="200"/>
      <c r="P1509" s="199"/>
    </row>
    <row r="1510" spans="7:16" x14ac:dyDescent="0.2">
      <c r="G1510" s="199"/>
      <c r="I1510" s="199"/>
      <c r="K1510" s="199"/>
      <c r="M1510" s="199"/>
      <c r="N1510" s="200"/>
      <c r="P1510" s="199"/>
    </row>
    <row r="1511" spans="7:16" x14ac:dyDescent="0.2">
      <c r="G1511" s="199"/>
      <c r="I1511" s="199"/>
      <c r="K1511" s="199"/>
      <c r="M1511" s="199"/>
      <c r="N1511" s="200"/>
      <c r="P1511" s="199"/>
    </row>
    <row r="1512" spans="7:16" x14ac:dyDescent="0.2">
      <c r="G1512" s="199"/>
      <c r="I1512" s="199"/>
      <c r="K1512" s="199"/>
      <c r="M1512" s="199"/>
      <c r="N1512" s="200"/>
      <c r="P1512" s="199"/>
    </row>
    <row r="1513" spans="7:16" x14ac:dyDescent="0.2">
      <c r="G1513" s="199"/>
      <c r="I1513" s="199"/>
      <c r="K1513" s="199"/>
      <c r="M1513" s="199"/>
      <c r="N1513" s="200"/>
      <c r="P1513" s="199"/>
    </row>
    <row r="1514" spans="7:16" x14ac:dyDescent="0.2">
      <c r="G1514" s="199"/>
      <c r="I1514" s="199"/>
      <c r="K1514" s="199"/>
      <c r="M1514" s="199"/>
      <c r="N1514" s="200"/>
      <c r="P1514" s="199"/>
    </row>
    <row r="1515" spans="7:16" x14ac:dyDescent="0.2">
      <c r="G1515" s="199"/>
      <c r="I1515" s="199"/>
      <c r="K1515" s="199"/>
      <c r="M1515" s="199"/>
      <c r="N1515" s="200"/>
      <c r="P1515" s="199"/>
    </row>
    <row r="1516" spans="7:16" x14ac:dyDescent="0.2">
      <c r="G1516" s="199"/>
      <c r="I1516" s="199"/>
      <c r="K1516" s="199"/>
      <c r="M1516" s="199"/>
      <c r="N1516" s="200"/>
      <c r="P1516" s="199"/>
    </row>
    <row r="1517" spans="7:16" x14ac:dyDescent="0.2">
      <c r="G1517" s="199"/>
      <c r="I1517" s="199"/>
      <c r="K1517" s="199"/>
      <c r="M1517" s="199"/>
      <c r="N1517" s="200"/>
      <c r="P1517" s="199"/>
    </row>
    <row r="1518" spans="7:16" x14ac:dyDescent="0.2">
      <c r="G1518" s="199"/>
      <c r="I1518" s="199"/>
      <c r="K1518" s="199"/>
      <c r="M1518" s="199"/>
      <c r="N1518" s="200"/>
      <c r="P1518" s="199"/>
    </row>
    <row r="1519" spans="7:16" x14ac:dyDescent="0.2">
      <c r="G1519" s="199"/>
      <c r="I1519" s="199"/>
      <c r="K1519" s="199"/>
      <c r="M1519" s="199"/>
      <c r="N1519" s="200"/>
      <c r="P1519" s="199"/>
    </row>
    <row r="1520" spans="7:16" x14ac:dyDescent="0.2">
      <c r="G1520" s="199"/>
      <c r="I1520" s="199"/>
      <c r="K1520" s="199"/>
      <c r="M1520" s="199"/>
      <c r="N1520" s="200"/>
      <c r="P1520" s="199"/>
    </row>
    <row r="1521" spans="7:16" x14ac:dyDescent="0.2">
      <c r="G1521" s="199"/>
      <c r="I1521" s="199"/>
      <c r="K1521" s="199"/>
      <c r="M1521" s="199"/>
      <c r="N1521" s="200"/>
      <c r="P1521" s="199"/>
    </row>
    <row r="1522" spans="7:16" x14ac:dyDescent="0.2">
      <c r="G1522" s="199"/>
      <c r="I1522" s="199"/>
      <c r="K1522" s="199"/>
      <c r="M1522" s="199"/>
      <c r="N1522" s="200"/>
      <c r="P1522" s="199"/>
    </row>
    <row r="1523" spans="7:16" x14ac:dyDescent="0.2">
      <c r="G1523" s="199"/>
      <c r="I1523" s="199"/>
      <c r="K1523" s="199"/>
      <c r="M1523" s="199"/>
      <c r="N1523" s="200"/>
      <c r="P1523" s="199"/>
    </row>
    <row r="1524" spans="7:16" x14ac:dyDescent="0.2">
      <c r="G1524" s="199"/>
      <c r="I1524" s="199"/>
      <c r="K1524" s="199"/>
      <c r="M1524" s="199"/>
      <c r="N1524" s="200"/>
      <c r="P1524" s="199"/>
    </row>
    <row r="1525" spans="7:16" x14ac:dyDescent="0.2">
      <c r="G1525" s="199"/>
      <c r="I1525" s="199"/>
      <c r="K1525" s="199"/>
      <c r="M1525" s="199"/>
      <c r="N1525" s="200"/>
      <c r="P1525" s="199"/>
    </row>
    <row r="1526" spans="7:16" x14ac:dyDescent="0.2">
      <c r="G1526" s="199"/>
      <c r="I1526" s="199"/>
      <c r="K1526" s="199"/>
      <c r="M1526" s="199"/>
      <c r="N1526" s="200"/>
      <c r="P1526" s="199"/>
    </row>
    <row r="1527" spans="7:16" x14ac:dyDescent="0.2">
      <c r="G1527" s="199"/>
      <c r="I1527" s="199"/>
      <c r="K1527" s="199"/>
      <c r="M1527" s="199"/>
      <c r="N1527" s="200"/>
      <c r="P1527" s="199"/>
    </row>
    <row r="1528" spans="7:16" x14ac:dyDescent="0.2">
      <c r="G1528" s="199"/>
      <c r="I1528" s="199"/>
      <c r="K1528" s="199"/>
      <c r="M1528" s="199"/>
      <c r="N1528" s="200"/>
      <c r="P1528" s="199"/>
    </row>
    <row r="1529" spans="7:16" x14ac:dyDescent="0.2">
      <c r="G1529" s="199"/>
      <c r="I1529" s="199"/>
      <c r="K1529" s="199"/>
      <c r="M1529" s="199"/>
      <c r="N1529" s="200"/>
      <c r="P1529" s="199"/>
    </row>
    <row r="1530" spans="7:16" x14ac:dyDescent="0.2">
      <c r="G1530" s="199"/>
      <c r="I1530" s="199"/>
      <c r="K1530" s="199"/>
      <c r="M1530" s="199"/>
      <c r="N1530" s="200"/>
      <c r="P1530" s="199"/>
    </row>
    <row r="1531" spans="7:16" x14ac:dyDescent="0.2">
      <c r="G1531" s="199"/>
      <c r="I1531" s="199"/>
      <c r="K1531" s="199"/>
      <c r="M1531" s="199"/>
      <c r="N1531" s="200"/>
      <c r="P1531" s="199"/>
    </row>
    <row r="1532" spans="7:16" x14ac:dyDescent="0.2">
      <c r="G1532" s="199"/>
      <c r="I1532" s="199"/>
      <c r="K1532" s="199"/>
      <c r="M1532" s="199"/>
      <c r="N1532" s="200"/>
      <c r="P1532" s="199"/>
    </row>
    <row r="1533" spans="7:16" x14ac:dyDescent="0.2">
      <c r="G1533" s="199"/>
      <c r="I1533" s="199"/>
      <c r="K1533" s="199"/>
      <c r="M1533" s="199"/>
      <c r="N1533" s="200"/>
      <c r="P1533" s="199"/>
    </row>
    <row r="1534" spans="7:16" x14ac:dyDescent="0.2">
      <c r="G1534" s="199"/>
      <c r="I1534" s="199"/>
      <c r="K1534" s="199"/>
      <c r="M1534" s="199"/>
      <c r="N1534" s="200"/>
      <c r="P1534" s="199"/>
    </row>
    <row r="1535" spans="7:16" x14ac:dyDescent="0.2">
      <c r="G1535" s="199"/>
      <c r="I1535" s="199"/>
      <c r="K1535" s="199"/>
      <c r="M1535" s="199"/>
      <c r="N1535" s="200"/>
      <c r="P1535" s="199"/>
    </row>
    <row r="1536" spans="7:16" x14ac:dyDescent="0.2">
      <c r="G1536" s="199"/>
      <c r="I1536" s="199"/>
      <c r="K1536" s="199"/>
      <c r="M1536" s="199"/>
      <c r="N1536" s="200"/>
      <c r="P1536" s="199"/>
    </row>
    <row r="1537" spans="7:16" x14ac:dyDescent="0.2">
      <c r="G1537" s="199"/>
      <c r="I1537" s="199"/>
      <c r="K1537" s="199"/>
      <c r="M1537" s="199"/>
      <c r="N1537" s="200"/>
      <c r="P1537" s="199"/>
    </row>
    <row r="1538" spans="7:16" x14ac:dyDescent="0.2">
      <c r="G1538" s="199"/>
      <c r="I1538" s="199"/>
      <c r="K1538" s="199"/>
      <c r="M1538" s="199"/>
      <c r="N1538" s="200"/>
      <c r="P1538" s="199"/>
    </row>
    <row r="1539" spans="7:16" x14ac:dyDescent="0.2">
      <c r="G1539" s="199"/>
      <c r="I1539" s="199"/>
      <c r="K1539" s="199"/>
      <c r="M1539" s="199"/>
      <c r="N1539" s="200"/>
      <c r="P1539" s="199"/>
    </row>
    <row r="1540" spans="7:16" x14ac:dyDescent="0.2">
      <c r="G1540" s="199"/>
      <c r="I1540" s="199"/>
      <c r="K1540" s="199"/>
      <c r="M1540" s="199"/>
      <c r="N1540" s="200"/>
      <c r="P1540" s="199"/>
    </row>
    <row r="1541" spans="7:16" x14ac:dyDescent="0.2">
      <c r="G1541" s="199"/>
      <c r="I1541" s="199"/>
      <c r="K1541" s="199"/>
      <c r="M1541" s="199"/>
      <c r="N1541" s="200"/>
      <c r="P1541" s="199"/>
    </row>
    <row r="1542" spans="7:16" x14ac:dyDescent="0.2">
      <c r="G1542" s="199"/>
      <c r="I1542" s="199"/>
      <c r="K1542" s="199"/>
      <c r="M1542" s="199"/>
      <c r="N1542" s="200"/>
      <c r="P1542" s="199"/>
    </row>
    <row r="1543" spans="7:16" x14ac:dyDescent="0.2">
      <c r="G1543" s="199"/>
      <c r="I1543" s="199"/>
      <c r="K1543" s="199"/>
      <c r="M1543" s="199"/>
      <c r="N1543" s="200"/>
      <c r="P1543" s="199"/>
    </row>
    <row r="1544" spans="7:16" x14ac:dyDescent="0.2">
      <c r="G1544" s="199"/>
      <c r="I1544" s="199"/>
      <c r="K1544" s="199"/>
      <c r="M1544" s="199"/>
      <c r="N1544" s="200"/>
      <c r="P1544" s="199"/>
    </row>
    <row r="1545" spans="7:16" x14ac:dyDescent="0.2">
      <c r="G1545" s="199"/>
      <c r="I1545" s="199"/>
      <c r="K1545" s="199"/>
      <c r="M1545" s="199"/>
      <c r="N1545" s="200"/>
      <c r="P1545" s="199"/>
    </row>
    <row r="1546" spans="7:16" x14ac:dyDescent="0.2">
      <c r="G1546" s="199"/>
      <c r="I1546" s="199"/>
      <c r="K1546" s="199"/>
      <c r="M1546" s="199"/>
      <c r="N1546" s="200"/>
      <c r="P1546" s="199"/>
    </row>
    <row r="1547" spans="7:16" x14ac:dyDescent="0.2">
      <c r="G1547" s="199"/>
      <c r="I1547" s="199"/>
      <c r="K1547" s="199"/>
      <c r="M1547" s="199"/>
      <c r="N1547" s="200"/>
      <c r="P1547" s="199"/>
    </row>
    <row r="1548" spans="7:16" x14ac:dyDescent="0.2">
      <c r="G1548" s="199"/>
      <c r="I1548" s="199"/>
      <c r="K1548" s="199"/>
      <c r="M1548" s="199"/>
      <c r="N1548" s="200"/>
      <c r="P1548" s="199"/>
    </row>
    <row r="1549" spans="7:16" x14ac:dyDescent="0.2">
      <c r="G1549" s="199"/>
      <c r="I1549" s="199"/>
      <c r="K1549" s="199"/>
      <c r="M1549" s="199"/>
      <c r="N1549" s="200"/>
      <c r="P1549" s="199"/>
    </row>
    <row r="1550" spans="7:16" x14ac:dyDescent="0.2">
      <c r="G1550" s="199"/>
      <c r="I1550" s="199"/>
      <c r="K1550" s="199"/>
      <c r="M1550" s="199"/>
      <c r="N1550" s="200"/>
      <c r="P1550" s="199"/>
    </row>
    <row r="1551" spans="7:16" x14ac:dyDescent="0.2">
      <c r="G1551" s="199"/>
      <c r="I1551" s="199"/>
      <c r="K1551" s="199"/>
      <c r="M1551" s="199"/>
      <c r="N1551" s="200"/>
      <c r="P1551" s="199"/>
    </row>
    <row r="1552" spans="7:16" x14ac:dyDescent="0.2">
      <c r="G1552" s="199"/>
      <c r="I1552" s="199"/>
      <c r="K1552" s="199"/>
      <c r="M1552" s="199"/>
      <c r="N1552" s="200"/>
      <c r="P1552" s="199"/>
    </row>
    <row r="1553" spans="7:16" x14ac:dyDescent="0.2">
      <c r="G1553" s="199"/>
      <c r="I1553" s="199"/>
      <c r="K1553" s="199"/>
      <c r="M1553" s="199"/>
      <c r="N1553" s="200"/>
      <c r="P1553" s="199"/>
    </row>
    <row r="1554" spans="7:16" x14ac:dyDescent="0.2">
      <c r="G1554" s="199"/>
      <c r="I1554" s="199"/>
      <c r="K1554" s="199"/>
      <c r="M1554" s="199"/>
      <c r="N1554" s="200"/>
      <c r="P1554" s="199"/>
    </row>
    <row r="1555" spans="7:16" x14ac:dyDescent="0.2">
      <c r="G1555" s="199"/>
      <c r="I1555" s="199"/>
      <c r="K1555" s="199"/>
      <c r="M1555" s="199"/>
      <c r="N1555" s="200"/>
      <c r="P1555" s="199"/>
    </row>
    <row r="1556" spans="7:16" x14ac:dyDescent="0.2">
      <c r="G1556" s="199"/>
      <c r="I1556" s="199"/>
      <c r="K1556" s="199"/>
      <c r="M1556" s="199"/>
      <c r="N1556" s="200"/>
      <c r="P1556" s="199"/>
    </row>
    <row r="1557" spans="7:16" x14ac:dyDescent="0.2">
      <c r="G1557" s="199"/>
      <c r="I1557" s="199"/>
      <c r="K1557" s="199"/>
      <c r="M1557" s="199"/>
      <c r="N1557" s="200"/>
      <c r="P1557" s="199"/>
    </row>
    <row r="1558" spans="7:16" x14ac:dyDescent="0.2">
      <c r="G1558" s="199"/>
      <c r="I1558" s="199"/>
      <c r="K1558" s="199"/>
      <c r="M1558" s="199"/>
      <c r="N1558" s="200"/>
      <c r="P1558" s="199"/>
    </row>
    <row r="1559" spans="7:16" x14ac:dyDescent="0.2">
      <c r="G1559" s="199"/>
      <c r="I1559" s="199"/>
      <c r="K1559" s="199"/>
      <c r="M1559" s="199"/>
      <c r="N1559" s="200"/>
      <c r="P1559" s="199"/>
    </row>
    <row r="1560" spans="7:16" x14ac:dyDescent="0.2">
      <c r="G1560" s="199"/>
      <c r="I1560" s="199"/>
      <c r="K1560" s="199"/>
      <c r="M1560" s="199"/>
      <c r="N1560" s="200"/>
      <c r="P1560" s="199"/>
    </row>
    <row r="1561" spans="7:16" x14ac:dyDescent="0.2">
      <c r="G1561" s="199"/>
      <c r="I1561" s="199"/>
      <c r="K1561" s="199"/>
      <c r="M1561" s="199"/>
      <c r="N1561" s="200"/>
      <c r="P1561" s="199"/>
    </row>
    <row r="1562" spans="7:16" x14ac:dyDescent="0.2">
      <c r="G1562" s="199"/>
      <c r="I1562" s="199"/>
      <c r="K1562" s="199"/>
      <c r="M1562" s="199"/>
      <c r="N1562" s="200"/>
      <c r="P1562" s="199"/>
    </row>
    <row r="1563" spans="7:16" x14ac:dyDescent="0.2">
      <c r="G1563" s="199"/>
      <c r="I1563" s="199"/>
      <c r="K1563" s="199"/>
      <c r="M1563" s="199"/>
      <c r="N1563" s="200"/>
      <c r="P1563" s="199"/>
    </row>
    <row r="1564" spans="7:16" x14ac:dyDescent="0.2">
      <c r="G1564" s="199"/>
      <c r="I1564" s="199"/>
      <c r="K1564" s="199"/>
      <c r="M1564" s="199"/>
      <c r="N1564" s="200"/>
      <c r="P1564" s="199"/>
    </row>
    <row r="1565" spans="7:16" x14ac:dyDescent="0.2">
      <c r="G1565" s="199"/>
      <c r="I1565" s="199"/>
      <c r="K1565" s="199"/>
      <c r="M1565" s="199"/>
      <c r="N1565" s="200"/>
      <c r="P1565" s="199"/>
    </row>
    <row r="1566" spans="7:16" x14ac:dyDescent="0.2">
      <c r="G1566" s="199"/>
      <c r="I1566" s="199"/>
      <c r="K1566" s="199"/>
      <c r="M1566" s="199"/>
      <c r="N1566" s="200"/>
      <c r="P1566" s="199"/>
    </row>
    <row r="1567" spans="7:16" x14ac:dyDescent="0.2">
      <c r="G1567" s="199"/>
      <c r="I1567" s="199"/>
      <c r="K1567" s="199"/>
      <c r="M1567" s="199"/>
      <c r="N1567" s="200"/>
      <c r="P1567" s="199"/>
    </row>
    <row r="1568" spans="7:16" x14ac:dyDescent="0.2">
      <c r="G1568" s="199"/>
      <c r="I1568" s="199"/>
      <c r="K1568" s="199"/>
      <c r="M1568" s="199"/>
      <c r="N1568" s="200"/>
      <c r="P1568" s="199"/>
    </row>
    <row r="1569" spans="7:16" x14ac:dyDescent="0.2">
      <c r="G1569" s="199"/>
      <c r="I1569" s="199"/>
      <c r="K1569" s="199"/>
      <c r="M1569" s="199"/>
      <c r="N1569" s="200"/>
      <c r="P1569" s="199"/>
    </row>
    <row r="1570" spans="7:16" x14ac:dyDescent="0.2">
      <c r="G1570" s="199"/>
      <c r="I1570" s="199"/>
      <c r="K1570" s="199"/>
      <c r="M1570" s="199"/>
      <c r="N1570" s="200"/>
      <c r="P1570" s="199"/>
    </row>
    <row r="1571" spans="7:16" x14ac:dyDescent="0.2">
      <c r="G1571" s="199"/>
      <c r="I1571" s="199"/>
      <c r="K1571" s="199"/>
      <c r="M1571" s="199"/>
      <c r="N1571" s="200"/>
      <c r="P1571" s="199"/>
    </row>
    <row r="1572" spans="7:16" x14ac:dyDescent="0.2">
      <c r="G1572" s="199"/>
      <c r="I1572" s="199"/>
      <c r="K1572" s="199"/>
      <c r="M1572" s="199"/>
      <c r="N1572" s="200"/>
      <c r="P1572" s="199"/>
    </row>
    <row r="1573" spans="7:16" x14ac:dyDescent="0.2">
      <c r="G1573" s="199"/>
      <c r="I1573" s="199"/>
      <c r="K1573" s="199"/>
      <c r="M1573" s="199"/>
      <c r="N1573" s="200"/>
      <c r="P1573" s="199"/>
    </row>
    <row r="1574" spans="7:16" x14ac:dyDescent="0.2">
      <c r="G1574" s="199"/>
      <c r="I1574" s="199"/>
      <c r="K1574" s="199"/>
      <c r="M1574" s="199"/>
      <c r="N1574" s="200"/>
      <c r="P1574" s="199"/>
    </row>
    <row r="1575" spans="7:16" x14ac:dyDescent="0.2">
      <c r="G1575" s="199"/>
      <c r="I1575" s="199"/>
      <c r="K1575" s="199"/>
      <c r="M1575" s="199"/>
      <c r="N1575" s="200"/>
      <c r="P1575" s="199"/>
    </row>
    <row r="1576" spans="7:16" x14ac:dyDescent="0.2">
      <c r="G1576" s="199"/>
      <c r="I1576" s="199"/>
      <c r="K1576" s="199"/>
      <c r="M1576" s="199"/>
      <c r="N1576" s="200"/>
      <c r="P1576" s="199"/>
    </row>
    <row r="1577" spans="7:16" x14ac:dyDescent="0.2">
      <c r="G1577" s="199"/>
      <c r="I1577" s="199"/>
      <c r="K1577" s="199"/>
      <c r="M1577" s="199"/>
      <c r="N1577" s="200"/>
      <c r="P1577" s="199"/>
    </row>
    <row r="1578" spans="7:16" x14ac:dyDescent="0.2">
      <c r="G1578" s="199"/>
      <c r="I1578" s="199"/>
      <c r="K1578" s="199"/>
      <c r="M1578" s="199"/>
      <c r="N1578" s="200"/>
      <c r="P1578" s="199"/>
    </row>
    <row r="1579" spans="7:16" x14ac:dyDescent="0.2">
      <c r="G1579" s="199"/>
      <c r="I1579" s="199"/>
      <c r="K1579" s="199"/>
      <c r="M1579" s="199"/>
      <c r="N1579" s="200"/>
      <c r="P1579" s="199"/>
    </row>
    <row r="1580" spans="7:16" x14ac:dyDescent="0.2">
      <c r="G1580" s="199"/>
      <c r="I1580" s="199"/>
      <c r="K1580" s="199"/>
      <c r="M1580" s="199"/>
      <c r="N1580" s="200"/>
      <c r="P1580" s="199"/>
    </row>
    <row r="1581" spans="7:16" x14ac:dyDescent="0.2">
      <c r="G1581" s="199"/>
      <c r="I1581" s="199"/>
      <c r="K1581" s="199"/>
      <c r="M1581" s="199"/>
      <c r="N1581" s="200"/>
      <c r="P1581" s="199"/>
    </row>
    <row r="1582" spans="7:16" x14ac:dyDescent="0.2">
      <c r="G1582" s="199"/>
      <c r="I1582" s="199"/>
      <c r="K1582" s="199"/>
      <c r="M1582" s="199"/>
      <c r="N1582" s="200"/>
      <c r="P1582" s="199"/>
    </row>
    <row r="1583" spans="7:16" x14ac:dyDescent="0.2">
      <c r="G1583" s="199"/>
      <c r="I1583" s="199"/>
      <c r="K1583" s="199"/>
      <c r="M1583" s="199"/>
      <c r="N1583" s="200"/>
      <c r="P1583" s="199"/>
    </row>
    <row r="1584" spans="7:16" x14ac:dyDescent="0.2">
      <c r="G1584" s="199"/>
      <c r="I1584" s="199"/>
      <c r="K1584" s="199"/>
      <c r="M1584" s="199"/>
      <c r="N1584" s="200"/>
      <c r="P1584" s="199"/>
    </row>
    <row r="1585" spans="7:16" x14ac:dyDescent="0.2">
      <c r="G1585" s="199"/>
      <c r="I1585" s="199"/>
      <c r="K1585" s="199"/>
      <c r="M1585" s="199"/>
      <c r="N1585" s="200"/>
      <c r="P1585" s="199"/>
    </row>
    <row r="1586" spans="7:16" x14ac:dyDescent="0.2">
      <c r="G1586" s="199"/>
      <c r="I1586" s="199"/>
      <c r="K1586" s="199"/>
      <c r="M1586" s="199"/>
      <c r="N1586" s="200"/>
      <c r="P1586" s="199"/>
    </row>
    <row r="1587" spans="7:16" x14ac:dyDescent="0.2">
      <c r="G1587" s="199"/>
      <c r="I1587" s="199"/>
      <c r="K1587" s="199"/>
      <c r="M1587" s="199"/>
      <c r="N1587" s="200"/>
      <c r="P1587" s="199"/>
    </row>
    <row r="1588" spans="7:16" x14ac:dyDescent="0.2">
      <c r="G1588" s="199"/>
      <c r="I1588" s="199"/>
      <c r="K1588" s="199"/>
      <c r="M1588" s="199"/>
      <c r="N1588" s="200"/>
      <c r="P1588" s="199"/>
    </row>
    <row r="1589" spans="7:16" x14ac:dyDescent="0.2">
      <c r="G1589" s="199"/>
      <c r="I1589" s="199"/>
      <c r="K1589" s="199"/>
      <c r="M1589" s="199"/>
      <c r="N1589" s="200"/>
      <c r="P1589" s="199"/>
    </row>
    <row r="1590" spans="7:16" x14ac:dyDescent="0.2">
      <c r="G1590" s="199"/>
      <c r="I1590" s="199"/>
      <c r="K1590" s="199"/>
      <c r="M1590" s="199"/>
      <c r="N1590" s="200"/>
      <c r="P1590" s="199"/>
    </row>
    <row r="1591" spans="7:16" x14ac:dyDescent="0.2">
      <c r="G1591" s="199"/>
      <c r="I1591" s="199"/>
      <c r="K1591" s="199"/>
      <c r="M1591" s="199"/>
      <c r="N1591" s="200"/>
      <c r="P1591" s="199"/>
    </row>
    <row r="1592" spans="7:16" x14ac:dyDescent="0.2">
      <c r="G1592" s="199"/>
      <c r="I1592" s="199"/>
      <c r="K1592" s="199"/>
      <c r="M1592" s="199"/>
      <c r="N1592" s="200"/>
      <c r="P1592" s="199"/>
    </row>
    <row r="1593" spans="7:16" x14ac:dyDescent="0.2">
      <c r="G1593" s="199"/>
      <c r="I1593" s="199"/>
      <c r="K1593" s="199"/>
      <c r="M1593" s="199"/>
      <c r="N1593" s="200"/>
      <c r="P1593" s="199"/>
    </row>
    <row r="1594" spans="7:16" x14ac:dyDescent="0.2">
      <c r="G1594" s="199"/>
      <c r="I1594" s="199"/>
      <c r="K1594" s="199"/>
      <c r="M1594" s="199"/>
      <c r="N1594" s="200"/>
      <c r="P1594" s="199"/>
    </row>
    <row r="1595" spans="7:16" x14ac:dyDescent="0.2">
      <c r="G1595" s="199"/>
      <c r="I1595" s="199"/>
      <c r="K1595" s="199"/>
      <c r="M1595" s="199"/>
      <c r="N1595" s="200"/>
      <c r="P1595" s="199"/>
    </row>
    <row r="1596" spans="7:16" x14ac:dyDescent="0.2">
      <c r="G1596" s="199"/>
      <c r="I1596" s="199"/>
      <c r="K1596" s="199"/>
      <c r="M1596" s="199"/>
      <c r="N1596" s="200"/>
      <c r="P1596" s="199"/>
    </row>
    <row r="1597" spans="7:16" x14ac:dyDescent="0.2">
      <c r="G1597" s="199"/>
      <c r="I1597" s="199"/>
      <c r="K1597" s="199"/>
      <c r="M1597" s="199"/>
      <c r="N1597" s="200"/>
      <c r="P1597" s="199"/>
    </row>
    <row r="1598" spans="7:16" x14ac:dyDescent="0.2">
      <c r="G1598" s="199"/>
      <c r="I1598" s="199"/>
      <c r="K1598" s="199"/>
      <c r="M1598" s="199"/>
      <c r="N1598" s="200"/>
      <c r="P1598" s="199"/>
    </row>
    <row r="1599" spans="7:16" x14ac:dyDescent="0.2">
      <c r="G1599" s="199"/>
      <c r="I1599" s="199"/>
      <c r="K1599" s="199"/>
      <c r="M1599" s="199"/>
      <c r="N1599" s="200"/>
      <c r="P1599" s="199"/>
    </row>
    <row r="1600" spans="7:16" x14ac:dyDescent="0.2">
      <c r="G1600" s="199"/>
      <c r="I1600" s="199"/>
      <c r="K1600" s="199"/>
      <c r="M1600" s="199"/>
      <c r="N1600" s="200"/>
      <c r="P1600" s="199"/>
    </row>
    <row r="1601" spans="7:16" x14ac:dyDescent="0.2">
      <c r="G1601" s="199"/>
      <c r="I1601" s="199"/>
      <c r="K1601" s="199"/>
      <c r="M1601" s="199"/>
      <c r="N1601" s="200"/>
      <c r="P1601" s="199"/>
    </row>
    <row r="1602" spans="7:16" x14ac:dyDescent="0.2">
      <c r="G1602" s="199"/>
      <c r="I1602" s="199"/>
      <c r="K1602" s="199"/>
      <c r="M1602" s="199"/>
      <c r="N1602" s="200"/>
      <c r="P1602" s="199"/>
    </row>
    <row r="1603" spans="7:16" x14ac:dyDescent="0.2">
      <c r="G1603" s="199"/>
      <c r="I1603" s="199"/>
      <c r="K1603" s="199"/>
      <c r="M1603" s="199"/>
      <c r="N1603" s="200"/>
      <c r="P1603" s="199"/>
    </row>
    <row r="1604" spans="7:16" x14ac:dyDescent="0.2">
      <c r="G1604" s="199"/>
      <c r="I1604" s="199"/>
      <c r="K1604" s="199"/>
      <c r="M1604" s="199"/>
      <c r="N1604" s="200"/>
      <c r="P1604" s="199"/>
    </row>
    <row r="1605" spans="7:16" x14ac:dyDescent="0.2">
      <c r="G1605" s="199"/>
      <c r="I1605" s="199"/>
      <c r="K1605" s="199"/>
      <c r="M1605" s="199"/>
      <c r="N1605" s="200"/>
      <c r="P1605" s="199"/>
    </row>
    <row r="1606" spans="7:16" x14ac:dyDescent="0.2">
      <c r="G1606" s="199"/>
      <c r="I1606" s="199"/>
      <c r="K1606" s="199"/>
      <c r="M1606" s="199"/>
      <c r="N1606" s="200"/>
      <c r="P1606" s="199"/>
    </row>
    <row r="1607" spans="7:16" x14ac:dyDescent="0.2">
      <c r="G1607" s="199"/>
      <c r="I1607" s="199"/>
      <c r="K1607" s="199"/>
      <c r="M1607" s="199"/>
      <c r="N1607" s="200"/>
      <c r="P1607" s="199"/>
    </row>
    <row r="1608" spans="7:16" x14ac:dyDescent="0.2">
      <c r="G1608" s="199"/>
      <c r="I1608" s="199"/>
      <c r="K1608" s="199"/>
      <c r="M1608" s="199"/>
      <c r="N1608" s="200"/>
      <c r="P1608" s="199"/>
    </row>
    <row r="1609" spans="7:16" x14ac:dyDescent="0.2">
      <c r="G1609" s="199"/>
      <c r="I1609" s="199"/>
      <c r="K1609" s="199"/>
      <c r="M1609" s="199"/>
      <c r="N1609" s="200"/>
      <c r="P1609" s="199"/>
    </row>
    <row r="1610" spans="7:16" x14ac:dyDescent="0.2">
      <c r="G1610" s="199"/>
      <c r="I1610" s="199"/>
      <c r="K1610" s="199"/>
      <c r="M1610" s="199"/>
      <c r="N1610" s="200"/>
      <c r="P1610" s="199"/>
    </row>
    <row r="1611" spans="7:16" x14ac:dyDescent="0.2">
      <c r="G1611" s="199"/>
      <c r="I1611" s="199"/>
      <c r="K1611" s="199"/>
      <c r="M1611" s="199"/>
      <c r="N1611" s="200"/>
      <c r="P1611" s="199"/>
    </row>
    <row r="1612" spans="7:16" x14ac:dyDescent="0.2">
      <c r="G1612" s="199"/>
      <c r="I1612" s="199"/>
      <c r="K1612" s="199"/>
      <c r="M1612" s="199"/>
      <c r="N1612" s="200"/>
      <c r="P1612" s="199"/>
    </row>
    <row r="1613" spans="7:16" x14ac:dyDescent="0.2">
      <c r="G1613" s="199"/>
      <c r="I1613" s="199"/>
      <c r="K1613" s="199"/>
      <c r="M1613" s="199"/>
      <c r="N1613" s="200"/>
      <c r="P1613" s="199"/>
    </row>
    <row r="1614" spans="7:16" x14ac:dyDescent="0.2">
      <c r="G1614" s="199"/>
      <c r="I1614" s="199"/>
      <c r="K1614" s="199"/>
      <c r="M1614" s="199"/>
      <c r="N1614" s="200"/>
      <c r="P1614" s="199"/>
    </row>
    <row r="1615" spans="7:16" x14ac:dyDescent="0.2">
      <c r="G1615" s="199"/>
      <c r="I1615" s="199"/>
      <c r="K1615" s="199"/>
      <c r="M1615" s="199"/>
      <c r="N1615" s="200"/>
      <c r="P1615" s="199"/>
    </row>
    <row r="1616" spans="7:16" x14ac:dyDescent="0.2">
      <c r="G1616" s="199"/>
      <c r="I1616" s="199"/>
      <c r="K1616" s="199"/>
      <c r="M1616" s="199"/>
      <c r="N1616" s="200"/>
      <c r="P1616" s="199"/>
    </row>
    <row r="1617" spans="7:16" x14ac:dyDescent="0.2">
      <c r="G1617" s="199"/>
      <c r="I1617" s="199"/>
      <c r="K1617" s="199"/>
      <c r="M1617" s="199"/>
      <c r="N1617" s="200"/>
      <c r="P1617" s="199"/>
    </row>
    <row r="1618" spans="7:16" x14ac:dyDescent="0.2">
      <c r="G1618" s="199"/>
      <c r="I1618" s="199"/>
      <c r="K1618" s="199"/>
      <c r="M1618" s="199"/>
      <c r="N1618" s="200"/>
      <c r="P1618" s="199"/>
    </row>
    <row r="1619" spans="7:16" x14ac:dyDescent="0.2">
      <c r="G1619" s="199"/>
      <c r="I1619" s="199"/>
      <c r="K1619" s="199"/>
      <c r="M1619" s="199"/>
      <c r="N1619" s="200"/>
      <c r="P1619" s="199"/>
    </row>
    <row r="1620" spans="7:16" x14ac:dyDescent="0.2">
      <c r="G1620" s="199"/>
      <c r="I1620" s="199"/>
      <c r="K1620" s="199"/>
      <c r="M1620" s="199"/>
      <c r="N1620" s="200"/>
      <c r="P1620" s="199"/>
    </row>
    <row r="1621" spans="7:16" x14ac:dyDescent="0.2">
      <c r="G1621" s="199"/>
      <c r="I1621" s="199"/>
      <c r="K1621" s="199"/>
      <c r="M1621" s="199"/>
      <c r="N1621" s="200"/>
      <c r="P1621" s="199"/>
    </row>
    <row r="1622" spans="7:16" x14ac:dyDescent="0.2">
      <c r="G1622" s="199"/>
      <c r="I1622" s="199"/>
      <c r="K1622" s="199"/>
      <c r="M1622" s="199"/>
      <c r="N1622" s="200"/>
      <c r="P1622" s="199"/>
    </row>
    <row r="1623" spans="7:16" x14ac:dyDescent="0.2">
      <c r="G1623" s="199"/>
      <c r="I1623" s="199"/>
      <c r="K1623" s="199"/>
      <c r="M1623" s="199"/>
      <c r="N1623" s="200"/>
      <c r="P1623" s="199"/>
    </row>
    <row r="1624" spans="7:16" x14ac:dyDescent="0.2">
      <c r="G1624" s="199"/>
      <c r="I1624" s="199"/>
      <c r="K1624" s="199"/>
      <c r="M1624" s="199"/>
      <c r="N1624" s="200"/>
      <c r="P1624" s="199"/>
    </row>
    <row r="1625" spans="7:16" x14ac:dyDescent="0.2">
      <c r="G1625" s="199"/>
      <c r="I1625" s="199"/>
      <c r="K1625" s="199"/>
      <c r="M1625" s="199"/>
      <c r="N1625" s="200"/>
      <c r="P1625" s="199"/>
    </row>
    <row r="1626" spans="7:16" x14ac:dyDescent="0.2">
      <c r="G1626" s="199"/>
      <c r="I1626" s="199"/>
      <c r="K1626" s="199"/>
      <c r="M1626" s="199"/>
      <c r="N1626" s="200"/>
      <c r="P1626" s="199"/>
    </row>
    <row r="1627" spans="7:16" x14ac:dyDescent="0.2">
      <c r="G1627" s="199"/>
      <c r="I1627" s="199"/>
      <c r="K1627" s="199"/>
      <c r="M1627" s="199"/>
      <c r="N1627" s="200"/>
      <c r="P1627" s="199"/>
    </row>
    <row r="1628" spans="7:16" x14ac:dyDescent="0.2">
      <c r="G1628" s="199"/>
      <c r="I1628" s="199"/>
      <c r="K1628" s="199"/>
      <c r="M1628" s="199"/>
      <c r="N1628" s="200"/>
      <c r="P1628" s="199"/>
    </row>
    <row r="1629" spans="7:16" x14ac:dyDescent="0.2">
      <c r="G1629" s="199"/>
      <c r="I1629" s="199"/>
      <c r="K1629" s="199"/>
      <c r="M1629" s="199"/>
      <c r="N1629" s="200"/>
      <c r="P1629" s="199"/>
    </row>
    <row r="1630" spans="7:16" x14ac:dyDescent="0.2">
      <c r="G1630" s="199"/>
      <c r="I1630" s="199"/>
      <c r="K1630" s="199"/>
      <c r="M1630" s="199"/>
      <c r="N1630" s="200"/>
      <c r="P1630" s="199"/>
    </row>
    <row r="1631" spans="7:16" x14ac:dyDescent="0.2">
      <c r="G1631" s="199"/>
      <c r="I1631" s="199"/>
      <c r="K1631" s="199"/>
      <c r="M1631" s="199"/>
      <c r="N1631" s="200"/>
      <c r="P1631" s="199"/>
    </row>
    <row r="1632" spans="7:16" x14ac:dyDescent="0.2">
      <c r="G1632" s="199"/>
      <c r="I1632" s="199"/>
      <c r="K1632" s="199"/>
      <c r="M1632" s="199"/>
      <c r="N1632" s="200"/>
      <c r="P1632" s="199"/>
    </row>
    <row r="1633" spans="7:16" x14ac:dyDescent="0.2">
      <c r="G1633" s="199"/>
      <c r="I1633" s="199"/>
      <c r="K1633" s="199"/>
      <c r="M1633" s="199"/>
      <c r="N1633" s="200"/>
      <c r="P1633" s="199"/>
    </row>
    <row r="1634" spans="7:16" x14ac:dyDescent="0.2">
      <c r="G1634" s="199"/>
      <c r="I1634" s="199"/>
      <c r="K1634" s="199"/>
      <c r="M1634" s="199"/>
      <c r="N1634" s="200"/>
      <c r="P1634" s="199"/>
    </row>
    <row r="1635" spans="7:16" x14ac:dyDescent="0.2">
      <c r="G1635" s="199"/>
      <c r="I1635" s="199"/>
      <c r="K1635" s="199"/>
      <c r="M1635" s="199"/>
      <c r="N1635" s="200"/>
      <c r="P1635" s="199"/>
    </row>
    <row r="1636" spans="7:16" x14ac:dyDescent="0.2">
      <c r="G1636" s="199"/>
      <c r="I1636" s="199"/>
      <c r="K1636" s="199"/>
      <c r="M1636" s="199"/>
      <c r="N1636" s="200"/>
      <c r="P1636" s="199"/>
    </row>
    <row r="1637" spans="7:16" x14ac:dyDescent="0.2">
      <c r="G1637" s="199"/>
      <c r="I1637" s="199"/>
      <c r="K1637" s="199"/>
      <c r="M1637" s="199"/>
      <c r="N1637" s="200"/>
      <c r="P1637" s="199"/>
    </row>
    <row r="1638" spans="7:16" x14ac:dyDescent="0.2">
      <c r="G1638" s="199"/>
      <c r="I1638" s="199"/>
      <c r="K1638" s="199"/>
      <c r="M1638" s="199"/>
      <c r="N1638" s="200"/>
      <c r="P1638" s="199"/>
    </row>
    <row r="1639" spans="7:16" x14ac:dyDescent="0.2">
      <c r="G1639" s="199"/>
      <c r="I1639" s="199"/>
      <c r="K1639" s="199"/>
      <c r="M1639" s="199"/>
      <c r="N1639" s="200"/>
      <c r="P1639" s="199"/>
    </row>
    <row r="1640" spans="7:16" x14ac:dyDescent="0.2">
      <c r="G1640" s="199"/>
      <c r="I1640" s="199"/>
      <c r="K1640" s="199"/>
      <c r="M1640" s="199"/>
      <c r="N1640" s="200"/>
      <c r="P1640" s="199"/>
    </row>
    <row r="1641" spans="7:16" x14ac:dyDescent="0.2">
      <c r="G1641" s="199"/>
      <c r="I1641" s="199"/>
      <c r="K1641" s="199"/>
      <c r="M1641" s="199"/>
      <c r="N1641" s="200"/>
      <c r="P1641" s="199"/>
    </row>
    <row r="1642" spans="7:16" x14ac:dyDescent="0.2">
      <c r="G1642" s="199"/>
      <c r="I1642" s="199"/>
      <c r="K1642" s="199"/>
      <c r="M1642" s="199"/>
      <c r="N1642" s="200"/>
      <c r="P1642" s="199"/>
    </row>
    <row r="1643" spans="7:16" x14ac:dyDescent="0.2">
      <c r="G1643" s="199"/>
      <c r="I1643" s="199"/>
      <c r="K1643" s="199"/>
      <c r="M1643" s="199"/>
      <c r="N1643" s="200"/>
      <c r="P1643" s="199"/>
    </row>
    <row r="1644" spans="7:16" x14ac:dyDescent="0.2">
      <c r="G1644" s="199"/>
      <c r="I1644" s="199"/>
      <c r="K1644" s="199"/>
      <c r="M1644" s="199"/>
      <c r="N1644" s="200"/>
      <c r="P1644" s="199"/>
    </row>
    <row r="1645" spans="7:16" x14ac:dyDescent="0.2">
      <c r="G1645" s="199"/>
      <c r="I1645" s="199"/>
      <c r="K1645" s="199"/>
      <c r="M1645" s="199"/>
      <c r="N1645" s="200"/>
      <c r="P1645" s="199"/>
    </row>
    <row r="1646" spans="7:16" x14ac:dyDescent="0.2">
      <c r="G1646" s="199"/>
      <c r="I1646" s="199"/>
      <c r="K1646" s="199"/>
      <c r="M1646" s="199"/>
      <c r="N1646" s="200"/>
      <c r="P1646" s="199"/>
    </row>
    <row r="1647" spans="7:16" x14ac:dyDescent="0.2">
      <c r="G1647" s="199"/>
      <c r="I1647" s="199"/>
      <c r="K1647" s="199"/>
      <c r="M1647" s="199"/>
      <c r="N1647" s="200"/>
      <c r="P1647" s="199"/>
    </row>
    <row r="1648" spans="7:16" x14ac:dyDescent="0.2">
      <c r="G1648" s="199"/>
      <c r="I1648" s="199"/>
      <c r="K1648" s="199"/>
      <c r="M1648" s="199"/>
      <c r="N1648" s="200"/>
      <c r="P1648" s="199"/>
    </row>
    <row r="1649" spans="7:16" x14ac:dyDescent="0.2">
      <c r="G1649" s="199"/>
      <c r="I1649" s="199"/>
      <c r="K1649" s="199"/>
      <c r="M1649" s="199"/>
      <c r="N1649" s="200"/>
      <c r="P1649" s="199"/>
    </row>
    <row r="1650" spans="7:16" x14ac:dyDescent="0.2">
      <c r="G1650" s="199"/>
      <c r="I1650" s="199"/>
      <c r="K1650" s="199"/>
      <c r="M1650" s="199"/>
      <c r="N1650" s="200"/>
      <c r="P1650" s="199"/>
    </row>
    <row r="1651" spans="7:16" x14ac:dyDescent="0.2">
      <c r="G1651" s="199"/>
      <c r="I1651" s="199"/>
      <c r="K1651" s="199"/>
      <c r="M1651" s="199"/>
      <c r="N1651" s="200"/>
      <c r="P1651" s="199"/>
    </row>
    <row r="1652" spans="7:16" x14ac:dyDescent="0.2">
      <c r="G1652" s="199"/>
      <c r="I1652" s="199"/>
      <c r="K1652" s="199"/>
      <c r="M1652" s="199"/>
      <c r="N1652" s="200"/>
      <c r="P1652" s="199"/>
    </row>
    <row r="1653" spans="7:16" x14ac:dyDescent="0.2">
      <c r="G1653" s="199"/>
      <c r="I1653" s="199"/>
      <c r="K1653" s="199"/>
      <c r="M1653" s="199"/>
      <c r="N1653" s="200"/>
      <c r="P1653" s="199"/>
    </row>
    <row r="1654" spans="7:16" x14ac:dyDescent="0.2">
      <c r="G1654" s="199"/>
      <c r="I1654" s="199"/>
      <c r="K1654" s="199"/>
      <c r="M1654" s="199"/>
      <c r="N1654" s="200"/>
      <c r="P1654" s="199"/>
    </row>
    <row r="1655" spans="7:16" x14ac:dyDescent="0.2">
      <c r="G1655" s="199"/>
      <c r="I1655" s="199"/>
      <c r="K1655" s="199"/>
      <c r="M1655" s="199"/>
      <c r="N1655" s="200"/>
      <c r="P1655" s="199"/>
    </row>
    <row r="1656" spans="7:16" x14ac:dyDescent="0.2">
      <c r="G1656" s="199"/>
      <c r="I1656" s="199"/>
      <c r="K1656" s="199"/>
      <c r="M1656" s="199"/>
      <c r="N1656" s="200"/>
      <c r="P1656" s="199"/>
    </row>
    <row r="1657" spans="7:16" x14ac:dyDescent="0.2">
      <c r="G1657" s="199"/>
      <c r="I1657" s="199"/>
      <c r="K1657" s="199"/>
      <c r="M1657" s="199"/>
      <c r="N1657" s="200"/>
      <c r="P1657" s="199"/>
    </row>
    <row r="1658" spans="7:16" x14ac:dyDescent="0.2">
      <c r="G1658" s="199"/>
      <c r="I1658" s="199"/>
      <c r="K1658" s="199"/>
      <c r="M1658" s="199"/>
      <c r="N1658" s="200"/>
      <c r="P1658" s="199"/>
    </row>
    <row r="1659" spans="7:16" x14ac:dyDescent="0.2">
      <c r="G1659" s="199"/>
      <c r="I1659" s="199"/>
      <c r="K1659" s="199"/>
      <c r="M1659" s="199"/>
      <c r="N1659" s="200"/>
      <c r="P1659" s="199"/>
    </row>
    <row r="1660" spans="7:16" x14ac:dyDescent="0.2">
      <c r="G1660" s="199"/>
      <c r="I1660" s="199"/>
      <c r="K1660" s="199"/>
      <c r="M1660" s="199"/>
      <c r="N1660" s="200"/>
      <c r="P1660" s="199"/>
    </row>
    <row r="1661" spans="7:16" x14ac:dyDescent="0.2">
      <c r="G1661" s="199"/>
      <c r="I1661" s="199"/>
      <c r="K1661" s="199"/>
      <c r="M1661" s="199"/>
      <c r="N1661" s="200"/>
      <c r="P1661" s="199"/>
    </row>
    <row r="1662" spans="7:16" x14ac:dyDescent="0.2">
      <c r="G1662" s="199"/>
      <c r="I1662" s="199"/>
      <c r="K1662" s="199"/>
      <c r="M1662" s="199"/>
      <c r="N1662" s="200"/>
      <c r="P1662" s="199"/>
    </row>
    <row r="1663" spans="7:16" x14ac:dyDescent="0.2">
      <c r="G1663" s="199"/>
      <c r="I1663" s="199"/>
      <c r="K1663" s="199"/>
      <c r="M1663" s="199"/>
      <c r="N1663" s="200"/>
      <c r="P1663" s="199"/>
    </row>
    <row r="1664" spans="7:16" x14ac:dyDescent="0.2">
      <c r="G1664" s="199"/>
      <c r="I1664" s="199"/>
      <c r="K1664" s="199"/>
      <c r="M1664" s="199"/>
      <c r="N1664" s="200"/>
      <c r="P1664" s="199"/>
    </row>
    <row r="1665" spans="7:16" x14ac:dyDescent="0.2">
      <c r="G1665" s="199"/>
      <c r="I1665" s="199"/>
      <c r="K1665" s="199"/>
      <c r="M1665" s="199"/>
      <c r="N1665" s="200"/>
      <c r="P1665" s="199"/>
    </row>
    <row r="1666" spans="7:16" x14ac:dyDescent="0.2">
      <c r="G1666" s="199"/>
      <c r="I1666" s="199"/>
      <c r="K1666" s="199"/>
      <c r="M1666" s="199"/>
      <c r="N1666" s="200"/>
      <c r="P1666" s="199"/>
    </row>
    <row r="1667" spans="7:16" x14ac:dyDescent="0.2">
      <c r="G1667" s="199"/>
      <c r="I1667" s="199"/>
      <c r="K1667" s="199"/>
      <c r="M1667" s="199"/>
      <c r="N1667" s="200"/>
      <c r="P1667" s="199"/>
    </row>
    <row r="1668" spans="7:16" x14ac:dyDescent="0.2">
      <c r="G1668" s="199"/>
      <c r="I1668" s="199"/>
      <c r="K1668" s="199"/>
      <c r="M1668" s="199"/>
      <c r="N1668" s="200"/>
      <c r="P1668" s="199"/>
    </row>
    <row r="1669" spans="7:16" x14ac:dyDescent="0.2">
      <c r="G1669" s="199"/>
      <c r="I1669" s="199"/>
      <c r="K1669" s="199"/>
      <c r="M1669" s="199"/>
      <c r="N1669" s="200"/>
      <c r="P1669" s="199"/>
    </row>
    <row r="1670" spans="7:16" x14ac:dyDescent="0.2">
      <c r="G1670" s="199"/>
      <c r="I1670" s="199"/>
      <c r="K1670" s="199"/>
      <c r="M1670" s="199"/>
      <c r="N1670" s="200"/>
      <c r="P1670" s="199"/>
    </row>
    <row r="1671" spans="7:16" x14ac:dyDescent="0.2">
      <c r="G1671" s="199"/>
      <c r="I1671" s="199"/>
      <c r="K1671" s="199"/>
      <c r="M1671" s="199"/>
      <c r="N1671" s="200"/>
      <c r="P1671" s="199"/>
    </row>
    <row r="1672" spans="7:16" x14ac:dyDescent="0.2">
      <c r="G1672" s="199"/>
      <c r="I1672" s="199"/>
      <c r="K1672" s="199"/>
      <c r="M1672" s="199"/>
      <c r="N1672" s="200"/>
      <c r="P1672" s="199"/>
    </row>
    <row r="1673" spans="7:16" x14ac:dyDescent="0.2">
      <c r="G1673" s="199"/>
      <c r="I1673" s="199"/>
      <c r="K1673" s="199"/>
      <c r="M1673" s="199"/>
      <c r="N1673" s="200"/>
      <c r="P1673" s="199"/>
    </row>
    <row r="1674" spans="7:16" x14ac:dyDescent="0.2">
      <c r="G1674" s="199"/>
      <c r="I1674" s="199"/>
      <c r="K1674" s="199"/>
      <c r="M1674" s="199"/>
      <c r="N1674" s="200"/>
      <c r="P1674" s="199"/>
    </row>
    <row r="1675" spans="7:16" x14ac:dyDescent="0.2">
      <c r="G1675" s="199"/>
      <c r="I1675" s="199"/>
      <c r="K1675" s="199"/>
      <c r="M1675" s="199"/>
      <c r="N1675" s="200"/>
      <c r="P1675" s="199"/>
    </row>
    <row r="1676" spans="7:16" x14ac:dyDescent="0.2">
      <c r="G1676" s="199"/>
      <c r="I1676" s="199"/>
      <c r="K1676" s="199"/>
      <c r="M1676" s="199"/>
      <c r="N1676" s="200"/>
      <c r="P1676" s="199"/>
    </row>
    <row r="1677" spans="7:16" x14ac:dyDescent="0.2">
      <c r="G1677" s="199"/>
      <c r="I1677" s="199"/>
      <c r="K1677" s="199"/>
      <c r="M1677" s="199"/>
      <c r="N1677" s="200"/>
      <c r="P1677" s="199"/>
    </row>
    <row r="1678" spans="7:16" x14ac:dyDescent="0.2">
      <c r="G1678" s="199"/>
      <c r="I1678" s="199"/>
      <c r="K1678" s="199"/>
      <c r="M1678" s="199"/>
      <c r="N1678" s="200"/>
      <c r="P1678" s="199"/>
    </row>
    <row r="1679" spans="7:16" x14ac:dyDescent="0.2">
      <c r="G1679" s="199"/>
      <c r="I1679" s="199"/>
      <c r="K1679" s="199"/>
      <c r="M1679" s="199"/>
      <c r="N1679" s="200"/>
      <c r="P1679" s="199"/>
    </row>
    <row r="1680" spans="7:16" x14ac:dyDescent="0.2">
      <c r="G1680" s="199"/>
      <c r="I1680" s="199"/>
      <c r="K1680" s="199"/>
      <c r="M1680" s="199"/>
      <c r="N1680" s="200"/>
      <c r="P1680" s="199"/>
    </row>
    <row r="1681" spans="7:16" x14ac:dyDescent="0.2">
      <c r="G1681" s="199"/>
      <c r="I1681" s="199"/>
      <c r="K1681" s="199"/>
      <c r="M1681" s="199"/>
      <c r="N1681" s="200"/>
      <c r="P1681" s="199"/>
    </row>
    <row r="1682" spans="7:16" x14ac:dyDescent="0.2">
      <c r="G1682" s="199"/>
      <c r="I1682" s="199"/>
      <c r="K1682" s="199"/>
      <c r="M1682" s="199"/>
      <c r="N1682" s="200"/>
      <c r="P1682" s="199"/>
    </row>
    <row r="1683" spans="7:16" x14ac:dyDescent="0.2">
      <c r="G1683" s="199"/>
      <c r="I1683" s="199"/>
      <c r="K1683" s="199"/>
      <c r="M1683" s="199"/>
      <c r="N1683" s="200"/>
      <c r="P1683" s="199"/>
    </row>
    <row r="1684" spans="7:16" x14ac:dyDescent="0.2">
      <c r="G1684" s="199"/>
      <c r="I1684" s="199"/>
      <c r="K1684" s="199"/>
      <c r="M1684" s="199"/>
      <c r="N1684" s="200"/>
      <c r="P1684" s="199"/>
    </row>
    <row r="1685" spans="7:16" x14ac:dyDescent="0.2">
      <c r="G1685" s="199"/>
      <c r="I1685" s="199"/>
      <c r="K1685" s="199"/>
      <c r="M1685" s="199"/>
      <c r="N1685" s="200"/>
      <c r="P1685" s="199"/>
    </row>
    <row r="1686" spans="7:16" x14ac:dyDescent="0.2">
      <c r="G1686" s="199"/>
      <c r="I1686" s="199"/>
      <c r="K1686" s="199"/>
      <c r="M1686" s="199"/>
      <c r="N1686" s="200"/>
      <c r="P1686" s="199"/>
    </row>
    <row r="1687" spans="7:16" x14ac:dyDescent="0.2">
      <c r="G1687" s="199"/>
      <c r="I1687" s="199"/>
      <c r="K1687" s="199"/>
      <c r="M1687" s="199"/>
      <c r="N1687" s="200"/>
      <c r="P1687" s="199"/>
    </row>
    <row r="1688" spans="7:16" x14ac:dyDescent="0.2">
      <c r="G1688" s="199"/>
      <c r="I1688" s="199"/>
      <c r="K1688" s="199"/>
      <c r="M1688" s="199"/>
      <c r="N1688" s="200"/>
      <c r="P1688" s="199"/>
    </row>
    <row r="1689" spans="7:16" x14ac:dyDescent="0.2">
      <c r="G1689" s="199"/>
      <c r="I1689" s="199"/>
      <c r="K1689" s="199"/>
      <c r="M1689" s="199"/>
      <c r="N1689" s="200"/>
      <c r="P1689" s="199"/>
    </row>
    <row r="1690" spans="7:16" x14ac:dyDescent="0.2">
      <c r="G1690" s="199"/>
      <c r="I1690" s="199"/>
      <c r="K1690" s="199"/>
      <c r="M1690" s="199"/>
      <c r="N1690" s="200"/>
      <c r="P1690" s="199"/>
    </row>
    <row r="1691" spans="7:16" x14ac:dyDescent="0.2">
      <c r="G1691" s="199"/>
      <c r="I1691" s="199"/>
      <c r="K1691" s="199"/>
      <c r="M1691" s="199"/>
      <c r="N1691" s="200"/>
      <c r="P1691" s="199"/>
    </row>
    <row r="1692" spans="7:16" x14ac:dyDescent="0.2">
      <c r="G1692" s="199"/>
      <c r="I1692" s="199"/>
      <c r="K1692" s="199"/>
      <c r="M1692" s="199"/>
      <c r="N1692" s="200"/>
      <c r="P1692" s="199"/>
    </row>
    <row r="1693" spans="7:16" x14ac:dyDescent="0.2">
      <c r="G1693" s="199"/>
      <c r="I1693" s="199"/>
      <c r="K1693" s="199"/>
      <c r="M1693" s="199"/>
      <c r="N1693" s="200"/>
      <c r="P1693" s="199"/>
    </row>
    <row r="1694" spans="7:16" x14ac:dyDescent="0.2">
      <c r="G1694" s="199"/>
      <c r="I1694" s="199"/>
      <c r="K1694" s="199"/>
      <c r="M1694" s="199"/>
      <c r="N1694" s="200"/>
      <c r="P1694" s="199"/>
    </row>
    <row r="1695" spans="7:16" x14ac:dyDescent="0.2">
      <c r="G1695" s="199"/>
      <c r="I1695" s="199"/>
      <c r="K1695" s="199"/>
      <c r="M1695" s="199"/>
      <c r="N1695" s="200"/>
      <c r="P1695" s="199"/>
    </row>
    <row r="1696" spans="7:16" x14ac:dyDescent="0.2">
      <c r="G1696" s="199"/>
      <c r="I1696" s="199"/>
      <c r="K1696" s="199"/>
      <c r="M1696" s="199"/>
      <c r="N1696" s="200"/>
      <c r="P1696" s="199"/>
    </row>
    <row r="1697" spans="7:16" x14ac:dyDescent="0.2">
      <c r="G1697" s="199"/>
      <c r="I1697" s="199"/>
      <c r="K1697" s="199"/>
      <c r="M1697" s="199"/>
      <c r="N1697" s="200"/>
      <c r="P1697" s="199"/>
    </row>
    <row r="1698" spans="7:16" x14ac:dyDescent="0.2">
      <c r="G1698" s="199"/>
      <c r="I1698" s="199"/>
      <c r="K1698" s="199"/>
      <c r="M1698" s="199"/>
      <c r="N1698" s="200"/>
      <c r="P1698" s="199"/>
    </row>
    <row r="1699" spans="7:16" x14ac:dyDescent="0.2">
      <c r="G1699" s="199"/>
      <c r="I1699" s="199"/>
      <c r="K1699" s="199"/>
      <c r="M1699" s="199"/>
      <c r="N1699" s="200"/>
      <c r="P1699" s="199"/>
    </row>
    <row r="1700" spans="7:16" x14ac:dyDescent="0.2">
      <c r="G1700" s="199"/>
      <c r="I1700" s="199"/>
      <c r="K1700" s="199"/>
      <c r="M1700" s="199"/>
      <c r="N1700" s="200"/>
      <c r="P1700" s="199"/>
    </row>
    <row r="1701" spans="7:16" x14ac:dyDescent="0.2">
      <c r="G1701" s="199"/>
      <c r="I1701" s="199"/>
      <c r="K1701" s="199"/>
      <c r="M1701" s="199"/>
      <c r="N1701" s="200"/>
      <c r="P1701" s="199"/>
    </row>
    <row r="1702" spans="7:16" x14ac:dyDescent="0.2">
      <c r="G1702" s="199"/>
      <c r="I1702" s="199"/>
      <c r="K1702" s="199"/>
      <c r="M1702" s="199"/>
      <c r="N1702" s="200"/>
      <c r="P1702" s="199"/>
    </row>
    <row r="1703" spans="7:16" x14ac:dyDescent="0.2">
      <c r="G1703" s="199"/>
      <c r="I1703" s="199"/>
      <c r="K1703" s="199"/>
      <c r="M1703" s="199"/>
      <c r="N1703" s="200"/>
      <c r="P1703" s="199"/>
    </row>
    <row r="1704" spans="7:16" x14ac:dyDescent="0.2">
      <c r="G1704" s="199"/>
      <c r="I1704" s="199"/>
      <c r="K1704" s="199"/>
      <c r="M1704" s="199"/>
      <c r="N1704" s="200"/>
      <c r="P1704" s="199"/>
    </row>
    <row r="1705" spans="7:16" x14ac:dyDescent="0.2">
      <c r="G1705" s="199"/>
      <c r="I1705" s="199"/>
      <c r="K1705" s="199"/>
      <c r="M1705" s="199"/>
      <c r="N1705" s="200"/>
      <c r="P1705" s="199"/>
    </row>
    <row r="1706" spans="7:16" x14ac:dyDescent="0.2">
      <c r="G1706" s="199"/>
      <c r="I1706" s="199"/>
      <c r="K1706" s="199"/>
      <c r="M1706" s="199"/>
      <c r="N1706" s="200"/>
      <c r="P1706" s="199"/>
    </row>
    <row r="1707" spans="7:16" x14ac:dyDescent="0.2">
      <c r="G1707" s="199"/>
      <c r="I1707" s="199"/>
      <c r="K1707" s="199"/>
      <c r="M1707" s="199"/>
      <c r="N1707" s="200"/>
      <c r="P1707" s="199"/>
    </row>
    <row r="1708" spans="7:16" x14ac:dyDescent="0.2">
      <c r="G1708" s="199"/>
      <c r="I1708" s="199"/>
      <c r="K1708" s="199"/>
      <c r="M1708" s="199"/>
      <c r="N1708" s="200"/>
      <c r="P1708" s="199"/>
    </row>
    <row r="1709" spans="7:16" x14ac:dyDescent="0.2">
      <c r="G1709" s="199"/>
      <c r="I1709" s="199"/>
      <c r="K1709" s="199"/>
      <c r="M1709" s="199"/>
      <c r="N1709" s="200"/>
      <c r="P1709" s="199"/>
    </row>
    <row r="1710" spans="7:16" x14ac:dyDescent="0.2">
      <c r="G1710" s="199"/>
      <c r="I1710" s="199"/>
      <c r="K1710" s="199"/>
      <c r="M1710" s="199"/>
      <c r="N1710" s="200"/>
      <c r="P1710" s="199"/>
    </row>
    <row r="1711" spans="7:16" x14ac:dyDescent="0.2">
      <c r="G1711" s="199"/>
      <c r="I1711" s="199"/>
      <c r="K1711" s="199"/>
      <c r="M1711" s="199"/>
      <c r="N1711" s="200"/>
      <c r="P1711" s="199"/>
    </row>
    <row r="1712" spans="7:16" x14ac:dyDescent="0.2">
      <c r="G1712" s="199"/>
      <c r="I1712" s="199"/>
      <c r="K1712" s="199"/>
      <c r="M1712" s="199"/>
      <c r="N1712" s="200"/>
      <c r="P1712" s="199"/>
    </row>
    <row r="1713" spans="7:16" x14ac:dyDescent="0.2">
      <c r="G1713" s="199"/>
      <c r="I1713" s="199"/>
      <c r="K1713" s="199"/>
      <c r="M1713" s="199"/>
      <c r="N1713" s="200"/>
      <c r="P1713" s="199"/>
    </row>
    <row r="1714" spans="7:16" x14ac:dyDescent="0.2">
      <c r="G1714" s="199"/>
      <c r="I1714" s="199"/>
      <c r="K1714" s="199"/>
      <c r="M1714" s="199"/>
      <c r="N1714" s="200"/>
      <c r="P1714" s="199"/>
    </row>
    <row r="1715" spans="7:16" x14ac:dyDescent="0.2">
      <c r="G1715" s="199"/>
      <c r="I1715" s="199"/>
      <c r="K1715" s="199"/>
      <c r="M1715" s="199"/>
      <c r="N1715" s="200"/>
      <c r="P1715" s="199"/>
    </row>
    <row r="1716" spans="7:16" x14ac:dyDescent="0.2">
      <c r="G1716" s="199"/>
      <c r="I1716" s="199"/>
      <c r="K1716" s="199"/>
      <c r="M1716" s="199"/>
      <c r="N1716" s="200"/>
      <c r="P1716" s="199"/>
    </row>
    <row r="1717" spans="7:16" x14ac:dyDescent="0.2">
      <c r="G1717" s="199"/>
      <c r="I1717" s="199"/>
      <c r="K1717" s="199"/>
      <c r="M1717" s="199"/>
      <c r="N1717" s="200"/>
      <c r="P1717" s="199"/>
    </row>
    <row r="1718" spans="7:16" x14ac:dyDescent="0.2">
      <c r="G1718" s="199"/>
      <c r="I1718" s="199"/>
      <c r="K1718" s="199"/>
      <c r="M1718" s="199"/>
      <c r="N1718" s="200"/>
      <c r="P1718" s="199"/>
    </row>
    <row r="1719" spans="7:16" x14ac:dyDescent="0.2">
      <c r="G1719" s="199"/>
      <c r="I1719" s="199"/>
      <c r="K1719" s="199"/>
      <c r="M1719" s="199"/>
      <c r="N1719" s="200"/>
      <c r="P1719" s="199"/>
    </row>
    <row r="1720" spans="7:16" x14ac:dyDescent="0.2">
      <c r="G1720" s="199"/>
      <c r="I1720" s="199"/>
      <c r="K1720" s="199"/>
      <c r="M1720" s="199"/>
      <c r="N1720" s="200"/>
      <c r="P1720" s="199"/>
    </row>
    <row r="1721" spans="7:16" x14ac:dyDescent="0.2">
      <c r="G1721" s="199"/>
      <c r="I1721" s="199"/>
      <c r="K1721" s="199"/>
      <c r="M1721" s="199"/>
      <c r="N1721" s="200"/>
      <c r="P1721" s="199"/>
    </row>
    <row r="1722" spans="7:16" x14ac:dyDescent="0.2">
      <c r="G1722" s="199"/>
      <c r="I1722" s="199"/>
      <c r="K1722" s="199"/>
      <c r="M1722" s="199"/>
      <c r="N1722" s="200"/>
      <c r="P1722" s="199"/>
    </row>
    <row r="1723" spans="7:16" x14ac:dyDescent="0.2">
      <c r="G1723" s="199"/>
      <c r="I1723" s="199"/>
      <c r="K1723" s="199"/>
      <c r="M1723" s="199"/>
      <c r="N1723" s="200"/>
      <c r="P1723" s="199"/>
    </row>
    <row r="1724" spans="7:16" x14ac:dyDescent="0.2">
      <c r="G1724" s="199"/>
      <c r="I1724" s="199"/>
      <c r="K1724" s="199"/>
      <c r="M1724" s="199"/>
      <c r="N1724" s="200"/>
      <c r="P1724" s="199"/>
    </row>
    <row r="1725" spans="7:16" x14ac:dyDescent="0.2">
      <c r="G1725" s="199"/>
      <c r="I1725" s="199"/>
      <c r="K1725" s="199"/>
      <c r="M1725" s="199"/>
      <c r="N1725" s="200"/>
      <c r="P1725" s="199"/>
    </row>
    <row r="1726" spans="7:16" x14ac:dyDescent="0.2">
      <c r="G1726" s="199"/>
      <c r="I1726" s="199"/>
      <c r="K1726" s="199"/>
      <c r="M1726" s="199"/>
      <c r="N1726" s="200"/>
      <c r="P1726" s="199"/>
    </row>
    <row r="1727" spans="7:16" x14ac:dyDescent="0.2">
      <c r="G1727" s="199"/>
      <c r="I1727" s="199"/>
      <c r="K1727" s="199"/>
      <c r="M1727" s="199"/>
      <c r="N1727" s="200"/>
      <c r="P1727" s="199"/>
    </row>
    <row r="1728" spans="7:16" x14ac:dyDescent="0.2">
      <c r="G1728" s="199"/>
      <c r="I1728" s="199"/>
      <c r="K1728" s="199"/>
      <c r="M1728" s="199"/>
      <c r="N1728" s="200"/>
      <c r="P1728" s="199"/>
    </row>
    <row r="1729" spans="7:16" x14ac:dyDescent="0.2">
      <c r="G1729" s="199"/>
      <c r="I1729" s="199"/>
      <c r="K1729" s="199"/>
      <c r="M1729" s="199"/>
      <c r="N1729" s="200"/>
      <c r="P1729" s="199"/>
    </row>
    <row r="1730" spans="7:16" x14ac:dyDescent="0.2">
      <c r="G1730" s="199"/>
      <c r="I1730" s="199"/>
      <c r="K1730" s="199"/>
      <c r="M1730" s="199"/>
      <c r="N1730" s="200"/>
      <c r="P1730" s="199"/>
    </row>
    <row r="1731" spans="7:16" x14ac:dyDescent="0.2">
      <c r="G1731" s="199"/>
      <c r="I1731" s="199"/>
      <c r="K1731" s="199"/>
      <c r="M1731" s="199"/>
      <c r="N1731" s="200"/>
      <c r="P1731" s="199"/>
    </row>
    <row r="1732" spans="7:16" x14ac:dyDescent="0.2">
      <c r="G1732" s="199"/>
      <c r="I1732" s="199"/>
      <c r="K1732" s="199"/>
      <c r="M1732" s="199"/>
      <c r="N1732" s="200"/>
      <c r="P1732" s="199"/>
    </row>
    <row r="1733" spans="7:16" x14ac:dyDescent="0.2">
      <c r="G1733" s="199"/>
      <c r="I1733" s="199"/>
      <c r="K1733" s="199"/>
      <c r="M1733" s="199"/>
      <c r="N1733" s="200"/>
      <c r="P1733" s="199"/>
    </row>
    <row r="1734" spans="7:16" x14ac:dyDescent="0.2">
      <c r="G1734" s="199"/>
      <c r="I1734" s="199"/>
      <c r="K1734" s="199"/>
      <c r="M1734" s="199"/>
      <c r="N1734" s="200"/>
      <c r="P1734" s="199"/>
    </row>
    <row r="1735" spans="7:16" x14ac:dyDescent="0.2">
      <c r="G1735" s="199"/>
      <c r="I1735" s="199"/>
      <c r="K1735" s="199"/>
      <c r="M1735" s="199"/>
      <c r="N1735" s="200"/>
      <c r="P1735" s="199"/>
    </row>
    <row r="1736" spans="7:16" x14ac:dyDescent="0.2">
      <c r="G1736" s="199"/>
      <c r="I1736" s="199"/>
      <c r="K1736" s="199"/>
      <c r="M1736" s="199"/>
      <c r="N1736" s="200"/>
      <c r="P1736" s="199"/>
    </row>
    <row r="1737" spans="7:16" x14ac:dyDescent="0.2">
      <c r="G1737" s="199"/>
      <c r="I1737" s="199"/>
      <c r="K1737" s="199"/>
      <c r="M1737" s="199"/>
      <c r="N1737" s="200"/>
      <c r="P1737" s="199"/>
    </row>
    <row r="1738" spans="7:16" x14ac:dyDescent="0.2">
      <c r="G1738" s="199"/>
      <c r="I1738" s="199"/>
      <c r="K1738" s="199"/>
      <c r="M1738" s="199"/>
      <c r="N1738" s="200"/>
      <c r="P1738" s="199"/>
    </row>
    <row r="1739" spans="7:16" x14ac:dyDescent="0.2">
      <c r="G1739" s="199"/>
      <c r="I1739" s="199"/>
      <c r="K1739" s="199"/>
      <c r="M1739" s="199"/>
      <c r="N1739" s="200"/>
      <c r="P1739" s="199"/>
    </row>
    <row r="1740" spans="7:16" x14ac:dyDescent="0.2">
      <c r="G1740" s="199"/>
      <c r="I1740" s="199"/>
      <c r="K1740" s="199"/>
      <c r="M1740" s="199"/>
      <c r="N1740" s="200"/>
      <c r="P1740" s="199"/>
    </row>
    <row r="1741" spans="7:16" x14ac:dyDescent="0.2">
      <c r="G1741" s="199"/>
      <c r="I1741" s="199"/>
      <c r="K1741" s="199"/>
      <c r="M1741" s="199"/>
      <c r="N1741" s="200"/>
      <c r="P1741" s="199"/>
    </row>
    <row r="1742" spans="7:16" x14ac:dyDescent="0.2">
      <c r="G1742" s="199"/>
      <c r="I1742" s="199"/>
      <c r="K1742" s="199"/>
      <c r="M1742" s="199"/>
      <c r="N1742" s="200"/>
      <c r="P1742" s="199"/>
    </row>
    <row r="1743" spans="7:16" x14ac:dyDescent="0.2">
      <c r="G1743" s="199"/>
      <c r="I1743" s="199"/>
      <c r="K1743" s="199"/>
      <c r="M1743" s="199"/>
      <c r="N1743" s="200"/>
      <c r="P1743" s="199"/>
    </row>
    <row r="1744" spans="7:16" x14ac:dyDescent="0.2">
      <c r="G1744" s="199"/>
      <c r="I1744" s="199"/>
      <c r="K1744" s="199"/>
      <c r="M1744" s="199"/>
      <c r="N1744" s="200"/>
      <c r="P1744" s="199"/>
    </row>
    <row r="1745" spans="7:16" x14ac:dyDescent="0.2">
      <c r="G1745" s="199"/>
      <c r="I1745" s="199"/>
      <c r="K1745" s="199"/>
      <c r="M1745" s="199"/>
      <c r="N1745" s="200"/>
      <c r="P1745" s="199"/>
    </row>
    <row r="1746" spans="7:16" x14ac:dyDescent="0.2">
      <c r="G1746" s="199"/>
      <c r="I1746" s="199"/>
      <c r="K1746" s="199"/>
      <c r="M1746" s="199"/>
      <c r="N1746" s="200"/>
      <c r="P1746" s="199"/>
    </row>
    <row r="1747" spans="7:16" x14ac:dyDescent="0.2">
      <c r="G1747" s="199"/>
      <c r="I1747" s="199"/>
      <c r="K1747" s="199"/>
      <c r="M1747" s="199"/>
      <c r="N1747" s="200"/>
      <c r="P1747" s="199"/>
    </row>
    <row r="1748" spans="7:16" x14ac:dyDescent="0.2">
      <c r="G1748" s="199"/>
      <c r="I1748" s="199"/>
      <c r="K1748" s="199"/>
      <c r="M1748" s="199"/>
      <c r="N1748" s="200"/>
      <c r="P1748" s="199"/>
    </row>
    <row r="1749" spans="7:16" x14ac:dyDescent="0.2">
      <c r="G1749" s="199"/>
      <c r="I1749" s="199"/>
      <c r="K1749" s="199"/>
      <c r="M1749" s="199"/>
      <c r="N1749" s="200"/>
      <c r="P1749" s="199"/>
    </row>
    <row r="1750" spans="7:16" x14ac:dyDescent="0.2">
      <c r="G1750" s="199"/>
      <c r="I1750" s="199"/>
      <c r="K1750" s="199"/>
      <c r="M1750" s="199"/>
      <c r="N1750" s="200"/>
      <c r="P1750" s="199"/>
    </row>
    <row r="1751" spans="7:16" x14ac:dyDescent="0.2">
      <c r="G1751" s="199"/>
      <c r="I1751" s="199"/>
      <c r="K1751" s="199"/>
      <c r="M1751" s="199"/>
      <c r="N1751" s="200"/>
      <c r="P1751" s="199"/>
    </row>
    <row r="1752" spans="7:16" x14ac:dyDescent="0.2">
      <c r="G1752" s="199"/>
      <c r="I1752" s="199"/>
      <c r="K1752" s="199"/>
      <c r="M1752" s="199"/>
      <c r="N1752" s="200"/>
      <c r="P1752" s="199"/>
    </row>
    <row r="1753" spans="7:16" x14ac:dyDescent="0.2">
      <c r="G1753" s="199"/>
      <c r="I1753" s="199"/>
      <c r="K1753" s="199"/>
      <c r="M1753" s="199"/>
      <c r="N1753" s="200"/>
      <c r="P1753" s="199"/>
    </row>
    <row r="1754" spans="7:16" x14ac:dyDescent="0.2">
      <c r="G1754" s="199"/>
      <c r="I1754" s="199"/>
      <c r="K1754" s="199"/>
      <c r="M1754" s="199"/>
      <c r="N1754" s="200"/>
      <c r="P1754" s="199"/>
    </row>
    <row r="1755" spans="7:16" x14ac:dyDescent="0.2">
      <c r="G1755" s="199"/>
      <c r="I1755" s="199"/>
      <c r="K1755" s="199"/>
      <c r="M1755" s="199"/>
      <c r="N1755" s="200"/>
      <c r="P1755" s="199"/>
    </row>
    <row r="1756" spans="7:16" x14ac:dyDescent="0.2">
      <c r="G1756" s="199"/>
      <c r="I1756" s="199"/>
      <c r="K1756" s="199"/>
      <c r="M1756" s="199"/>
      <c r="N1756" s="200"/>
      <c r="P1756" s="199"/>
    </row>
    <row r="1757" spans="7:16" x14ac:dyDescent="0.2">
      <c r="G1757" s="199"/>
      <c r="I1757" s="199"/>
      <c r="K1757" s="199"/>
      <c r="M1757" s="199"/>
      <c r="N1757" s="200"/>
      <c r="P1757" s="199"/>
    </row>
    <row r="1758" spans="7:16" x14ac:dyDescent="0.2">
      <c r="G1758" s="199"/>
      <c r="I1758" s="199"/>
      <c r="K1758" s="199"/>
      <c r="M1758" s="199"/>
      <c r="N1758" s="200"/>
      <c r="P1758" s="199"/>
    </row>
    <row r="1759" spans="7:16" x14ac:dyDescent="0.2">
      <c r="G1759" s="199"/>
      <c r="I1759" s="199"/>
      <c r="K1759" s="199"/>
      <c r="M1759" s="199"/>
      <c r="N1759" s="200"/>
      <c r="P1759" s="199"/>
    </row>
    <row r="1760" spans="7:16" x14ac:dyDescent="0.2">
      <c r="G1760" s="199"/>
      <c r="I1760" s="199"/>
      <c r="K1760" s="199"/>
      <c r="M1760" s="199"/>
      <c r="N1760" s="200"/>
      <c r="P1760" s="199"/>
    </row>
    <row r="1761" spans="7:16" x14ac:dyDescent="0.2">
      <c r="G1761" s="199"/>
      <c r="I1761" s="199"/>
      <c r="K1761" s="199"/>
      <c r="M1761" s="199"/>
      <c r="N1761" s="200"/>
      <c r="P1761" s="199"/>
    </row>
    <row r="1762" spans="7:16" x14ac:dyDescent="0.2">
      <c r="G1762" s="199"/>
      <c r="I1762" s="199"/>
      <c r="K1762" s="199"/>
      <c r="M1762" s="199"/>
      <c r="N1762" s="200"/>
      <c r="P1762" s="199"/>
    </row>
    <row r="1763" spans="7:16" x14ac:dyDescent="0.2">
      <c r="G1763" s="199"/>
      <c r="I1763" s="199"/>
      <c r="K1763" s="199"/>
      <c r="M1763" s="199"/>
      <c r="N1763" s="200"/>
      <c r="P1763" s="199"/>
    </row>
    <row r="1764" spans="7:16" x14ac:dyDescent="0.2">
      <c r="G1764" s="199"/>
      <c r="I1764" s="199"/>
      <c r="K1764" s="199"/>
      <c r="M1764" s="199"/>
      <c r="N1764" s="200"/>
      <c r="P1764" s="199"/>
    </row>
    <row r="1765" spans="7:16" x14ac:dyDescent="0.2">
      <c r="G1765" s="199"/>
      <c r="I1765" s="199"/>
      <c r="K1765" s="199"/>
      <c r="M1765" s="199"/>
      <c r="N1765" s="200"/>
      <c r="P1765" s="199"/>
    </row>
    <row r="1766" spans="7:16" x14ac:dyDescent="0.2">
      <c r="G1766" s="199"/>
      <c r="I1766" s="199"/>
      <c r="K1766" s="199"/>
      <c r="M1766" s="199"/>
      <c r="N1766" s="200"/>
      <c r="P1766" s="199"/>
    </row>
    <row r="1767" spans="7:16" x14ac:dyDescent="0.2">
      <c r="G1767" s="199"/>
      <c r="I1767" s="199"/>
      <c r="K1767" s="199"/>
      <c r="M1767" s="199"/>
      <c r="N1767" s="200"/>
      <c r="P1767" s="199"/>
    </row>
    <row r="1768" spans="7:16" x14ac:dyDescent="0.2">
      <c r="G1768" s="199"/>
      <c r="I1768" s="199"/>
      <c r="K1768" s="199"/>
      <c r="M1768" s="199"/>
      <c r="N1768" s="200"/>
      <c r="P1768" s="199"/>
    </row>
    <row r="1769" spans="7:16" x14ac:dyDescent="0.2">
      <c r="G1769" s="199"/>
      <c r="I1769" s="199"/>
      <c r="K1769" s="199"/>
      <c r="M1769" s="199"/>
      <c r="N1769" s="200"/>
      <c r="P1769" s="199"/>
    </row>
    <row r="1770" spans="7:16" x14ac:dyDescent="0.2">
      <c r="G1770" s="199"/>
      <c r="I1770" s="199"/>
      <c r="K1770" s="199"/>
      <c r="M1770" s="199"/>
      <c r="N1770" s="200"/>
      <c r="P1770" s="199"/>
    </row>
    <row r="1771" spans="7:16" x14ac:dyDescent="0.2">
      <c r="G1771" s="199"/>
      <c r="I1771" s="199"/>
      <c r="K1771" s="199"/>
      <c r="M1771" s="199"/>
      <c r="N1771" s="200"/>
      <c r="P1771" s="199"/>
    </row>
    <row r="1772" spans="7:16" x14ac:dyDescent="0.2">
      <c r="G1772" s="199"/>
      <c r="I1772" s="199"/>
      <c r="K1772" s="199"/>
      <c r="M1772" s="199"/>
      <c r="N1772" s="200"/>
      <c r="P1772" s="199"/>
    </row>
    <row r="1773" spans="7:16" x14ac:dyDescent="0.2">
      <c r="G1773" s="199"/>
      <c r="I1773" s="199"/>
      <c r="K1773" s="199"/>
      <c r="M1773" s="199"/>
      <c r="N1773" s="200"/>
      <c r="P1773" s="199"/>
    </row>
    <row r="1774" spans="7:16" x14ac:dyDescent="0.2">
      <c r="G1774" s="199"/>
      <c r="I1774" s="199"/>
      <c r="K1774" s="199"/>
      <c r="M1774" s="199"/>
      <c r="N1774" s="200"/>
      <c r="P1774" s="199"/>
    </row>
    <row r="1775" spans="7:16" x14ac:dyDescent="0.2">
      <c r="G1775" s="199"/>
      <c r="I1775" s="199"/>
      <c r="K1775" s="199"/>
      <c r="M1775" s="199"/>
      <c r="N1775" s="200"/>
      <c r="P1775" s="199"/>
    </row>
    <row r="1776" spans="7:16" x14ac:dyDescent="0.2">
      <c r="G1776" s="199"/>
      <c r="I1776" s="199"/>
      <c r="K1776" s="199"/>
      <c r="M1776" s="199"/>
      <c r="N1776" s="200"/>
      <c r="P1776" s="199"/>
    </row>
    <row r="1777" spans="7:16" x14ac:dyDescent="0.2">
      <c r="G1777" s="199"/>
      <c r="I1777" s="199"/>
      <c r="K1777" s="199"/>
      <c r="M1777" s="199"/>
      <c r="N1777" s="200"/>
      <c r="P1777" s="199"/>
    </row>
    <row r="1778" spans="7:16" x14ac:dyDescent="0.2">
      <c r="G1778" s="199"/>
      <c r="I1778" s="199"/>
      <c r="K1778" s="199"/>
      <c r="M1778" s="199"/>
      <c r="N1778" s="200"/>
      <c r="P1778" s="199"/>
    </row>
    <row r="1779" spans="7:16" x14ac:dyDescent="0.2">
      <c r="G1779" s="199"/>
      <c r="I1779" s="199"/>
      <c r="K1779" s="199"/>
      <c r="M1779" s="199"/>
      <c r="N1779" s="200"/>
      <c r="P1779" s="199"/>
    </row>
    <row r="1780" spans="7:16" x14ac:dyDescent="0.2">
      <c r="G1780" s="199"/>
      <c r="I1780" s="199"/>
      <c r="K1780" s="199"/>
      <c r="M1780" s="199"/>
      <c r="N1780" s="200"/>
      <c r="P1780" s="199"/>
    </row>
    <row r="1781" spans="7:16" x14ac:dyDescent="0.2">
      <c r="G1781" s="199"/>
      <c r="I1781" s="199"/>
      <c r="K1781" s="199"/>
      <c r="M1781" s="199"/>
      <c r="N1781" s="200"/>
      <c r="P1781" s="199"/>
    </row>
    <row r="1782" spans="7:16" x14ac:dyDescent="0.2">
      <c r="G1782" s="199"/>
      <c r="I1782" s="199"/>
      <c r="K1782" s="199"/>
      <c r="M1782" s="199"/>
      <c r="N1782" s="200"/>
      <c r="P1782" s="199"/>
    </row>
    <row r="1783" spans="7:16" x14ac:dyDescent="0.2">
      <c r="G1783" s="199"/>
      <c r="I1783" s="199"/>
      <c r="K1783" s="199"/>
      <c r="M1783" s="199"/>
      <c r="N1783" s="200"/>
      <c r="P1783" s="199"/>
    </row>
    <row r="1784" spans="7:16" x14ac:dyDescent="0.2">
      <c r="G1784" s="199"/>
      <c r="I1784" s="199"/>
      <c r="K1784" s="199"/>
      <c r="M1784" s="199"/>
      <c r="N1784" s="200"/>
      <c r="P1784" s="199"/>
    </row>
    <row r="1785" spans="7:16" x14ac:dyDescent="0.2">
      <c r="G1785" s="199"/>
      <c r="I1785" s="199"/>
      <c r="K1785" s="199"/>
      <c r="M1785" s="199"/>
      <c r="N1785" s="200"/>
      <c r="P1785" s="199"/>
    </row>
    <row r="1786" spans="7:16" x14ac:dyDescent="0.2">
      <c r="G1786" s="199"/>
      <c r="I1786" s="199"/>
      <c r="K1786" s="199"/>
      <c r="M1786" s="199"/>
      <c r="N1786" s="200"/>
      <c r="P1786" s="199"/>
    </row>
    <row r="1787" spans="7:16" x14ac:dyDescent="0.2">
      <c r="G1787" s="199"/>
      <c r="I1787" s="199"/>
      <c r="K1787" s="199"/>
      <c r="M1787" s="199"/>
      <c r="N1787" s="200"/>
      <c r="P1787" s="199"/>
    </row>
    <row r="1788" spans="7:16" x14ac:dyDescent="0.2">
      <c r="G1788" s="199"/>
      <c r="I1788" s="199"/>
      <c r="K1788" s="199"/>
      <c r="M1788" s="199"/>
      <c r="N1788" s="200"/>
      <c r="P1788" s="199"/>
    </row>
    <row r="1789" spans="7:16" x14ac:dyDescent="0.2">
      <c r="G1789" s="199"/>
      <c r="I1789" s="199"/>
      <c r="K1789" s="199"/>
      <c r="M1789" s="199"/>
      <c r="N1789" s="200"/>
      <c r="P1789" s="199"/>
    </row>
    <row r="1790" spans="7:16" x14ac:dyDescent="0.2">
      <c r="G1790" s="199"/>
      <c r="I1790" s="199"/>
      <c r="K1790" s="199"/>
      <c r="M1790" s="199"/>
      <c r="N1790" s="200"/>
      <c r="P1790" s="199"/>
    </row>
    <row r="1791" spans="7:16" x14ac:dyDescent="0.2">
      <c r="G1791" s="199"/>
      <c r="I1791" s="199"/>
      <c r="K1791" s="199"/>
      <c r="M1791" s="199"/>
      <c r="N1791" s="200"/>
      <c r="P1791" s="199"/>
    </row>
    <row r="1792" spans="7:16" x14ac:dyDescent="0.2">
      <c r="G1792" s="199"/>
      <c r="I1792" s="199"/>
      <c r="K1792" s="199"/>
      <c r="M1792" s="199"/>
      <c r="N1792" s="200"/>
      <c r="P1792" s="199"/>
    </row>
    <row r="1793" spans="7:16" x14ac:dyDescent="0.2">
      <c r="G1793" s="199"/>
      <c r="I1793" s="199"/>
      <c r="K1793" s="199"/>
      <c r="M1793" s="199"/>
      <c r="N1793" s="200"/>
      <c r="P1793" s="199"/>
    </row>
    <row r="1794" spans="7:16" x14ac:dyDescent="0.2">
      <c r="G1794" s="199"/>
      <c r="I1794" s="199"/>
      <c r="K1794" s="199"/>
      <c r="M1794" s="199"/>
      <c r="N1794" s="200"/>
      <c r="P1794" s="199"/>
    </row>
    <row r="1795" spans="7:16" x14ac:dyDescent="0.2">
      <c r="G1795" s="199"/>
      <c r="I1795" s="199"/>
      <c r="K1795" s="199"/>
      <c r="M1795" s="199"/>
      <c r="N1795" s="200"/>
      <c r="P1795" s="199"/>
    </row>
    <row r="1796" spans="7:16" x14ac:dyDescent="0.2">
      <c r="G1796" s="199"/>
      <c r="I1796" s="199"/>
      <c r="K1796" s="199"/>
      <c r="M1796" s="199"/>
      <c r="N1796" s="200"/>
      <c r="P1796" s="199"/>
    </row>
    <row r="1797" spans="7:16" x14ac:dyDescent="0.2">
      <c r="G1797" s="199"/>
      <c r="I1797" s="199"/>
      <c r="K1797" s="199"/>
      <c r="M1797" s="199"/>
      <c r="N1797" s="200"/>
      <c r="P1797" s="199"/>
    </row>
    <row r="1798" spans="7:16" x14ac:dyDescent="0.2">
      <c r="G1798" s="199"/>
      <c r="I1798" s="199"/>
      <c r="K1798" s="199"/>
      <c r="M1798" s="199"/>
      <c r="N1798" s="200"/>
      <c r="P1798" s="199"/>
    </row>
    <row r="1799" spans="7:16" x14ac:dyDescent="0.2">
      <c r="G1799" s="199"/>
      <c r="I1799" s="199"/>
      <c r="K1799" s="199"/>
      <c r="M1799" s="199"/>
      <c r="N1799" s="200"/>
      <c r="P1799" s="199"/>
    </row>
    <row r="1800" spans="7:16" x14ac:dyDescent="0.2">
      <c r="G1800" s="199"/>
      <c r="I1800" s="199"/>
      <c r="K1800" s="199"/>
      <c r="M1800" s="199"/>
      <c r="N1800" s="200"/>
      <c r="P1800" s="199"/>
    </row>
    <row r="1801" spans="7:16" x14ac:dyDescent="0.2">
      <c r="G1801" s="199"/>
      <c r="I1801" s="199"/>
      <c r="K1801" s="199"/>
      <c r="M1801" s="199"/>
      <c r="N1801" s="200"/>
      <c r="P1801" s="199"/>
    </row>
    <row r="1802" spans="7:16" x14ac:dyDescent="0.2">
      <c r="G1802" s="199"/>
      <c r="I1802" s="199"/>
      <c r="K1802" s="199"/>
      <c r="M1802" s="199"/>
      <c r="N1802" s="200"/>
      <c r="P1802" s="199"/>
    </row>
    <row r="1803" spans="7:16" x14ac:dyDescent="0.2">
      <c r="G1803" s="199"/>
      <c r="I1803" s="199"/>
      <c r="K1803" s="199"/>
      <c r="M1803" s="199"/>
      <c r="N1803" s="200"/>
      <c r="P1803" s="199"/>
    </row>
    <row r="1804" spans="7:16" x14ac:dyDescent="0.2">
      <c r="G1804" s="199"/>
      <c r="I1804" s="199"/>
      <c r="K1804" s="199"/>
      <c r="M1804" s="199"/>
      <c r="N1804" s="200"/>
      <c r="P1804" s="199"/>
    </row>
    <row r="1805" spans="7:16" x14ac:dyDescent="0.2">
      <c r="G1805" s="199"/>
      <c r="I1805" s="199"/>
      <c r="K1805" s="199"/>
      <c r="M1805" s="199"/>
      <c r="N1805" s="200"/>
      <c r="P1805" s="199"/>
    </row>
    <row r="1806" spans="7:16" x14ac:dyDescent="0.2">
      <c r="G1806" s="199"/>
      <c r="I1806" s="199"/>
      <c r="K1806" s="199"/>
      <c r="M1806" s="199"/>
      <c r="N1806" s="200"/>
      <c r="P1806" s="199"/>
    </row>
    <row r="1807" spans="7:16" x14ac:dyDescent="0.2">
      <c r="G1807" s="199"/>
      <c r="I1807" s="199"/>
      <c r="K1807" s="199"/>
      <c r="M1807" s="199"/>
      <c r="N1807" s="200"/>
      <c r="P1807" s="199"/>
    </row>
    <row r="1808" spans="7:16" x14ac:dyDescent="0.2">
      <c r="G1808" s="199"/>
      <c r="I1808" s="199"/>
      <c r="K1808" s="199"/>
      <c r="M1808" s="199"/>
      <c r="N1808" s="200"/>
      <c r="P1808" s="199"/>
    </row>
    <row r="1809" spans="7:16" x14ac:dyDescent="0.2">
      <c r="G1809" s="199"/>
      <c r="I1809" s="199"/>
      <c r="K1809" s="199"/>
      <c r="M1809" s="199"/>
      <c r="N1809" s="200"/>
      <c r="P1809" s="199"/>
    </row>
    <row r="1810" spans="7:16" x14ac:dyDescent="0.2">
      <c r="G1810" s="199"/>
      <c r="I1810" s="199"/>
      <c r="K1810" s="199"/>
      <c r="M1810" s="199"/>
      <c r="N1810" s="200"/>
      <c r="P1810" s="199"/>
    </row>
    <row r="1811" spans="7:16" x14ac:dyDescent="0.2">
      <c r="G1811" s="199"/>
      <c r="I1811" s="199"/>
      <c r="K1811" s="199"/>
      <c r="M1811" s="199"/>
      <c r="N1811" s="200"/>
      <c r="P1811" s="199"/>
    </row>
    <row r="1812" spans="7:16" x14ac:dyDescent="0.2">
      <c r="G1812" s="199"/>
      <c r="I1812" s="199"/>
      <c r="K1812" s="199"/>
      <c r="M1812" s="199"/>
      <c r="N1812" s="200"/>
      <c r="P1812" s="199"/>
    </row>
    <row r="1813" spans="7:16" x14ac:dyDescent="0.2">
      <c r="G1813" s="199"/>
      <c r="I1813" s="199"/>
      <c r="K1813" s="199"/>
      <c r="M1813" s="199"/>
      <c r="N1813" s="200"/>
      <c r="P1813" s="199"/>
    </row>
    <row r="1814" spans="7:16" x14ac:dyDescent="0.2">
      <c r="G1814" s="199"/>
      <c r="I1814" s="199"/>
      <c r="K1814" s="199"/>
      <c r="M1814" s="199"/>
      <c r="N1814" s="200"/>
      <c r="P1814" s="199"/>
    </row>
    <row r="1815" spans="7:16" x14ac:dyDescent="0.2">
      <c r="G1815" s="199"/>
      <c r="I1815" s="199"/>
      <c r="K1815" s="199"/>
      <c r="M1815" s="199"/>
      <c r="N1815" s="200"/>
      <c r="P1815" s="199"/>
    </row>
    <row r="1816" spans="7:16" x14ac:dyDescent="0.2">
      <c r="G1816" s="199"/>
      <c r="I1816" s="199"/>
      <c r="K1816" s="199"/>
      <c r="M1816" s="199"/>
      <c r="N1816" s="200"/>
      <c r="P1816" s="199"/>
    </row>
    <row r="1817" spans="7:16" x14ac:dyDescent="0.2">
      <c r="G1817" s="199"/>
      <c r="I1817" s="199"/>
      <c r="K1817" s="199"/>
      <c r="M1817" s="199"/>
      <c r="N1817" s="200"/>
      <c r="P1817" s="199"/>
    </row>
    <row r="1818" spans="7:16" x14ac:dyDescent="0.2">
      <c r="G1818" s="199"/>
      <c r="I1818" s="199"/>
      <c r="K1818" s="199"/>
      <c r="M1818" s="199"/>
      <c r="N1818" s="200"/>
      <c r="P1818" s="199"/>
    </row>
    <row r="1819" spans="7:16" x14ac:dyDescent="0.2">
      <c r="G1819" s="199"/>
      <c r="I1819" s="199"/>
      <c r="K1819" s="199"/>
      <c r="M1819" s="199"/>
      <c r="N1819" s="200"/>
      <c r="P1819" s="199"/>
    </row>
    <row r="1820" spans="7:16" x14ac:dyDescent="0.2">
      <c r="G1820" s="199"/>
      <c r="I1820" s="199"/>
      <c r="K1820" s="199"/>
      <c r="M1820" s="199"/>
      <c r="N1820" s="200"/>
      <c r="P1820" s="199"/>
    </row>
    <row r="1821" spans="7:16" x14ac:dyDescent="0.2">
      <c r="G1821" s="199"/>
      <c r="I1821" s="199"/>
      <c r="K1821" s="199"/>
      <c r="M1821" s="199"/>
      <c r="N1821" s="200"/>
      <c r="P1821" s="199"/>
    </row>
    <row r="1822" spans="7:16" x14ac:dyDescent="0.2">
      <c r="G1822" s="199"/>
      <c r="I1822" s="199"/>
      <c r="K1822" s="199"/>
      <c r="M1822" s="199"/>
      <c r="N1822" s="200"/>
      <c r="P1822" s="199"/>
    </row>
    <row r="1823" spans="7:16" x14ac:dyDescent="0.2">
      <c r="G1823" s="199"/>
      <c r="I1823" s="199"/>
      <c r="K1823" s="199"/>
      <c r="M1823" s="199"/>
      <c r="N1823" s="200"/>
      <c r="P1823" s="199"/>
    </row>
    <row r="1824" spans="7:16" x14ac:dyDescent="0.2">
      <c r="G1824" s="199"/>
      <c r="I1824" s="199"/>
      <c r="K1824" s="199"/>
      <c r="M1824" s="199"/>
      <c r="N1824" s="200"/>
      <c r="P1824" s="199"/>
    </row>
    <row r="1825" spans="7:16" x14ac:dyDescent="0.2">
      <c r="G1825" s="199"/>
      <c r="I1825" s="199"/>
      <c r="K1825" s="199"/>
      <c r="M1825" s="199"/>
      <c r="N1825" s="200"/>
      <c r="P1825" s="199"/>
    </row>
    <row r="1826" spans="7:16" x14ac:dyDescent="0.2">
      <c r="G1826" s="199"/>
      <c r="I1826" s="199"/>
      <c r="K1826" s="199"/>
      <c r="M1826" s="199"/>
      <c r="N1826" s="200"/>
      <c r="P1826" s="199"/>
    </row>
    <row r="1827" spans="7:16" x14ac:dyDescent="0.2">
      <c r="G1827" s="199"/>
      <c r="I1827" s="199"/>
      <c r="K1827" s="199"/>
      <c r="M1827" s="199"/>
      <c r="N1827" s="200"/>
      <c r="P1827" s="199"/>
    </row>
    <row r="1828" spans="7:16" x14ac:dyDescent="0.2">
      <c r="G1828" s="199"/>
      <c r="I1828" s="199"/>
      <c r="K1828" s="199"/>
      <c r="M1828" s="199"/>
      <c r="N1828" s="200"/>
      <c r="P1828" s="199"/>
    </row>
    <row r="1829" spans="7:16" x14ac:dyDescent="0.2">
      <c r="G1829" s="199"/>
      <c r="I1829" s="199"/>
      <c r="K1829" s="199"/>
      <c r="M1829" s="199"/>
      <c r="N1829" s="200"/>
      <c r="P1829" s="199"/>
    </row>
    <row r="1830" spans="7:16" x14ac:dyDescent="0.2">
      <c r="G1830" s="199"/>
      <c r="I1830" s="199"/>
      <c r="K1830" s="199"/>
      <c r="M1830" s="199"/>
      <c r="N1830" s="200"/>
      <c r="P1830" s="199"/>
    </row>
    <row r="1831" spans="7:16" x14ac:dyDescent="0.2">
      <c r="G1831" s="199"/>
      <c r="I1831" s="199"/>
      <c r="K1831" s="199"/>
      <c r="M1831" s="199"/>
      <c r="N1831" s="200"/>
      <c r="P1831" s="199"/>
    </row>
    <row r="1832" spans="7:16" x14ac:dyDescent="0.2">
      <c r="G1832" s="199"/>
      <c r="I1832" s="199"/>
      <c r="K1832" s="199"/>
      <c r="M1832" s="199"/>
      <c r="N1832" s="200"/>
      <c r="P1832" s="199"/>
    </row>
    <row r="1833" spans="7:16" x14ac:dyDescent="0.2">
      <c r="G1833" s="199"/>
      <c r="I1833" s="199"/>
      <c r="K1833" s="199"/>
      <c r="M1833" s="199"/>
      <c r="N1833" s="200"/>
      <c r="P1833" s="199"/>
    </row>
    <row r="1834" spans="7:16" x14ac:dyDescent="0.2">
      <c r="G1834" s="199"/>
      <c r="I1834" s="199"/>
      <c r="K1834" s="199"/>
      <c r="M1834" s="199"/>
      <c r="N1834" s="200"/>
      <c r="P1834" s="199"/>
    </row>
    <row r="1835" spans="7:16" x14ac:dyDescent="0.2">
      <c r="G1835" s="199"/>
      <c r="I1835" s="199"/>
      <c r="K1835" s="199"/>
      <c r="M1835" s="199"/>
      <c r="N1835" s="200"/>
      <c r="P1835" s="199"/>
    </row>
    <row r="1836" spans="7:16" x14ac:dyDescent="0.2">
      <c r="G1836" s="199"/>
      <c r="I1836" s="199"/>
      <c r="K1836" s="199"/>
      <c r="M1836" s="199"/>
      <c r="N1836" s="200"/>
      <c r="P1836" s="199"/>
    </row>
    <row r="1837" spans="7:16" x14ac:dyDescent="0.2">
      <c r="G1837" s="199"/>
      <c r="I1837" s="199"/>
      <c r="K1837" s="199"/>
      <c r="M1837" s="199"/>
      <c r="N1837" s="200"/>
      <c r="P1837" s="199"/>
    </row>
    <row r="1838" spans="7:16" x14ac:dyDescent="0.2">
      <c r="G1838" s="199"/>
      <c r="I1838" s="199"/>
      <c r="K1838" s="199"/>
      <c r="M1838" s="199"/>
      <c r="N1838" s="200"/>
      <c r="P1838" s="199"/>
    </row>
    <row r="1839" spans="7:16" x14ac:dyDescent="0.2">
      <c r="G1839" s="199"/>
      <c r="I1839" s="199"/>
      <c r="K1839" s="199"/>
      <c r="M1839" s="199"/>
      <c r="N1839" s="200"/>
      <c r="P1839" s="199"/>
    </row>
    <row r="1840" spans="7:16" x14ac:dyDescent="0.2">
      <c r="G1840" s="199"/>
      <c r="I1840" s="199"/>
      <c r="K1840" s="199"/>
      <c r="M1840" s="199"/>
      <c r="N1840" s="200"/>
      <c r="P1840" s="199"/>
    </row>
    <row r="1841" spans="7:16" x14ac:dyDescent="0.2">
      <c r="G1841" s="199"/>
      <c r="I1841" s="199"/>
      <c r="K1841" s="199"/>
      <c r="M1841" s="199"/>
      <c r="N1841" s="200"/>
      <c r="P1841" s="199"/>
    </row>
    <row r="1842" spans="7:16" x14ac:dyDescent="0.2">
      <c r="G1842" s="199"/>
      <c r="I1842" s="199"/>
      <c r="K1842" s="199"/>
      <c r="M1842" s="199"/>
      <c r="N1842" s="200"/>
      <c r="P1842" s="199"/>
    </row>
    <row r="1843" spans="7:16" x14ac:dyDescent="0.2">
      <c r="G1843" s="199"/>
      <c r="I1843" s="199"/>
      <c r="K1843" s="199"/>
      <c r="M1843" s="199"/>
      <c r="N1843" s="200"/>
      <c r="P1843" s="199"/>
    </row>
    <row r="1844" spans="7:16" x14ac:dyDescent="0.2">
      <c r="G1844" s="199"/>
      <c r="I1844" s="199"/>
      <c r="K1844" s="199"/>
      <c r="M1844" s="199"/>
      <c r="N1844" s="200"/>
      <c r="P1844" s="199"/>
    </row>
    <row r="1845" spans="7:16" x14ac:dyDescent="0.2">
      <c r="G1845" s="199"/>
      <c r="I1845" s="199"/>
      <c r="K1845" s="199"/>
      <c r="M1845" s="199"/>
      <c r="N1845" s="200"/>
      <c r="P1845" s="199"/>
    </row>
    <row r="1846" spans="7:16" x14ac:dyDescent="0.2">
      <c r="G1846" s="199"/>
      <c r="I1846" s="199"/>
      <c r="K1846" s="199"/>
      <c r="M1846" s="199"/>
      <c r="N1846" s="200"/>
      <c r="P1846" s="199"/>
    </row>
    <row r="1847" spans="7:16" x14ac:dyDescent="0.2">
      <c r="G1847" s="199"/>
      <c r="I1847" s="199"/>
      <c r="K1847" s="199"/>
      <c r="M1847" s="199"/>
      <c r="N1847" s="200"/>
      <c r="P1847" s="199"/>
    </row>
    <row r="1848" spans="7:16" x14ac:dyDescent="0.2">
      <c r="G1848" s="199"/>
      <c r="I1848" s="199"/>
      <c r="K1848" s="199"/>
      <c r="M1848" s="199"/>
      <c r="N1848" s="200"/>
      <c r="P1848" s="199"/>
    </row>
    <row r="1849" spans="7:16" x14ac:dyDescent="0.2">
      <c r="G1849" s="199"/>
      <c r="I1849" s="199"/>
      <c r="K1849" s="199"/>
      <c r="M1849" s="199"/>
      <c r="N1849" s="200"/>
      <c r="P1849" s="199"/>
    </row>
    <row r="1850" spans="7:16" x14ac:dyDescent="0.2">
      <c r="G1850" s="199"/>
      <c r="I1850" s="199"/>
      <c r="K1850" s="199"/>
      <c r="M1850" s="199"/>
      <c r="N1850" s="200"/>
      <c r="P1850" s="199"/>
    </row>
    <row r="1851" spans="7:16" x14ac:dyDescent="0.2">
      <c r="G1851" s="199"/>
      <c r="I1851" s="199"/>
      <c r="K1851" s="199"/>
      <c r="M1851" s="199"/>
      <c r="N1851" s="200"/>
      <c r="P1851" s="199"/>
    </row>
    <row r="1852" spans="7:16" x14ac:dyDescent="0.2">
      <c r="G1852" s="199"/>
      <c r="I1852" s="199"/>
      <c r="K1852" s="199"/>
      <c r="M1852" s="199"/>
      <c r="N1852" s="200"/>
      <c r="P1852" s="199"/>
    </row>
    <row r="1853" spans="7:16" x14ac:dyDescent="0.2">
      <c r="G1853" s="199"/>
      <c r="I1853" s="199"/>
      <c r="K1853" s="199"/>
      <c r="M1853" s="199"/>
      <c r="N1853" s="200"/>
      <c r="P1853" s="199"/>
    </row>
    <row r="1854" spans="7:16" x14ac:dyDescent="0.2">
      <c r="G1854" s="199"/>
      <c r="I1854" s="199"/>
      <c r="K1854" s="199"/>
      <c r="M1854" s="199"/>
      <c r="N1854" s="200"/>
      <c r="P1854" s="199"/>
    </row>
    <row r="1855" spans="7:16" x14ac:dyDescent="0.2">
      <c r="G1855" s="199"/>
      <c r="I1855" s="199"/>
      <c r="K1855" s="199"/>
      <c r="M1855" s="199"/>
      <c r="N1855" s="200"/>
      <c r="P1855" s="199"/>
    </row>
    <row r="1856" spans="7:16" x14ac:dyDescent="0.2">
      <c r="G1856" s="199"/>
      <c r="I1856" s="199"/>
      <c r="K1856" s="199"/>
      <c r="M1856" s="199"/>
      <c r="N1856" s="200"/>
      <c r="P1856" s="199"/>
    </row>
    <row r="1857" spans="7:16" x14ac:dyDescent="0.2">
      <c r="G1857" s="199"/>
      <c r="I1857" s="199"/>
      <c r="K1857" s="199"/>
      <c r="M1857" s="199"/>
      <c r="N1857" s="200"/>
      <c r="P1857" s="199"/>
    </row>
    <row r="1858" spans="7:16" x14ac:dyDescent="0.2">
      <c r="G1858" s="199"/>
      <c r="I1858" s="199"/>
      <c r="K1858" s="199"/>
      <c r="M1858" s="199"/>
      <c r="N1858" s="200"/>
      <c r="P1858" s="199"/>
    </row>
    <row r="1859" spans="7:16" x14ac:dyDescent="0.2">
      <c r="G1859" s="199"/>
      <c r="I1859" s="199"/>
      <c r="K1859" s="199"/>
      <c r="M1859" s="199"/>
      <c r="N1859" s="200"/>
      <c r="P1859" s="199"/>
    </row>
    <row r="1860" spans="7:16" x14ac:dyDescent="0.2">
      <c r="G1860" s="199"/>
      <c r="I1860" s="199"/>
      <c r="K1860" s="199"/>
      <c r="M1860" s="199"/>
      <c r="N1860" s="200"/>
      <c r="P1860" s="199"/>
    </row>
    <row r="1861" spans="7:16" x14ac:dyDescent="0.2">
      <c r="G1861" s="199"/>
      <c r="I1861" s="199"/>
      <c r="K1861" s="199"/>
      <c r="M1861" s="199"/>
      <c r="N1861" s="200"/>
      <c r="P1861" s="199"/>
    </row>
    <row r="1862" spans="7:16" x14ac:dyDescent="0.2">
      <c r="G1862" s="199"/>
      <c r="I1862" s="199"/>
      <c r="K1862" s="199"/>
      <c r="M1862" s="199"/>
      <c r="N1862" s="200"/>
      <c r="P1862" s="199"/>
    </row>
    <row r="1863" spans="7:16" x14ac:dyDescent="0.2">
      <c r="G1863" s="199"/>
      <c r="I1863" s="199"/>
      <c r="K1863" s="199"/>
      <c r="M1863" s="199"/>
      <c r="N1863" s="200"/>
      <c r="P1863" s="199"/>
    </row>
    <row r="1864" spans="7:16" x14ac:dyDescent="0.2">
      <c r="G1864" s="199"/>
      <c r="I1864" s="199"/>
      <c r="K1864" s="199"/>
      <c r="M1864" s="199"/>
      <c r="N1864" s="200"/>
      <c r="P1864" s="199"/>
    </row>
    <row r="1865" spans="7:16" x14ac:dyDescent="0.2">
      <c r="G1865" s="199"/>
      <c r="I1865" s="199"/>
      <c r="K1865" s="199"/>
      <c r="M1865" s="199"/>
      <c r="N1865" s="200"/>
      <c r="P1865" s="199"/>
    </row>
    <row r="1866" spans="7:16" x14ac:dyDescent="0.2">
      <c r="G1866" s="199"/>
      <c r="I1866" s="199"/>
      <c r="K1866" s="199"/>
      <c r="M1866" s="199"/>
      <c r="N1866" s="200"/>
      <c r="P1866" s="199"/>
    </row>
    <row r="1867" spans="7:16" x14ac:dyDescent="0.2">
      <c r="G1867" s="199"/>
      <c r="I1867" s="199"/>
      <c r="K1867" s="199"/>
      <c r="M1867" s="199"/>
      <c r="N1867" s="200"/>
      <c r="P1867" s="199"/>
    </row>
    <row r="1868" spans="7:16" x14ac:dyDescent="0.2">
      <c r="G1868" s="199"/>
      <c r="I1868" s="199"/>
      <c r="K1868" s="199"/>
      <c r="M1868" s="199"/>
      <c r="N1868" s="200"/>
      <c r="P1868" s="199"/>
    </row>
    <row r="1869" spans="7:16" x14ac:dyDescent="0.2">
      <c r="G1869" s="199"/>
      <c r="I1869" s="199"/>
      <c r="K1869" s="199"/>
      <c r="M1869" s="199"/>
      <c r="N1869" s="200"/>
      <c r="P1869" s="199"/>
    </row>
    <row r="1870" spans="7:16" x14ac:dyDescent="0.2">
      <c r="G1870" s="199"/>
      <c r="I1870" s="199"/>
      <c r="K1870" s="199"/>
      <c r="M1870" s="199"/>
      <c r="N1870" s="200"/>
      <c r="P1870" s="199"/>
    </row>
    <row r="1871" spans="7:16" x14ac:dyDescent="0.2">
      <c r="G1871" s="199"/>
      <c r="I1871" s="199"/>
      <c r="K1871" s="199"/>
      <c r="M1871" s="199"/>
      <c r="N1871" s="200"/>
      <c r="P1871" s="199"/>
    </row>
    <row r="1872" spans="7:16" x14ac:dyDescent="0.2">
      <c r="G1872" s="199"/>
      <c r="I1872" s="199"/>
      <c r="K1872" s="199"/>
      <c r="M1872" s="199"/>
      <c r="N1872" s="200"/>
      <c r="P1872" s="199"/>
    </row>
    <row r="1873" spans="7:16" x14ac:dyDescent="0.2">
      <c r="G1873" s="199"/>
      <c r="I1873" s="199"/>
      <c r="K1873" s="199"/>
      <c r="M1873" s="199"/>
      <c r="N1873" s="200"/>
      <c r="P1873" s="199"/>
    </row>
    <row r="1874" spans="7:16" x14ac:dyDescent="0.2">
      <c r="G1874" s="199"/>
      <c r="I1874" s="199"/>
      <c r="K1874" s="199"/>
      <c r="M1874" s="199"/>
      <c r="N1874" s="200"/>
      <c r="P1874" s="199"/>
    </row>
    <row r="1875" spans="7:16" x14ac:dyDescent="0.2">
      <c r="G1875" s="199"/>
      <c r="I1875" s="199"/>
      <c r="K1875" s="199"/>
      <c r="M1875" s="199"/>
      <c r="N1875" s="200"/>
      <c r="P1875" s="199"/>
    </row>
    <row r="1876" spans="7:16" x14ac:dyDescent="0.2">
      <c r="G1876" s="199"/>
      <c r="I1876" s="199"/>
      <c r="K1876" s="199"/>
      <c r="M1876" s="199"/>
      <c r="N1876" s="200"/>
      <c r="P1876" s="199"/>
    </row>
    <row r="1877" spans="7:16" x14ac:dyDescent="0.2">
      <c r="G1877" s="199"/>
      <c r="I1877" s="199"/>
      <c r="K1877" s="199"/>
      <c r="M1877" s="199"/>
      <c r="N1877" s="200"/>
      <c r="P1877" s="199"/>
    </row>
    <row r="1878" spans="7:16" x14ac:dyDescent="0.2">
      <c r="G1878" s="199"/>
      <c r="I1878" s="199"/>
      <c r="K1878" s="199"/>
      <c r="M1878" s="199"/>
      <c r="N1878" s="200"/>
      <c r="P1878" s="199"/>
    </row>
    <row r="1879" spans="7:16" x14ac:dyDescent="0.2">
      <c r="G1879" s="199"/>
      <c r="I1879" s="199"/>
      <c r="K1879" s="199"/>
      <c r="M1879" s="199"/>
      <c r="N1879" s="200"/>
      <c r="P1879" s="199"/>
    </row>
    <row r="1880" spans="7:16" x14ac:dyDescent="0.2">
      <c r="G1880" s="199"/>
      <c r="I1880" s="199"/>
      <c r="K1880" s="199"/>
      <c r="M1880" s="199"/>
      <c r="N1880" s="200"/>
      <c r="P1880" s="199"/>
    </row>
    <row r="1881" spans="7:16" x14ac:dyDescent="0.2">
      <c r="G1881" s="199"/>
      <c r="I1881" s="199"/>
      <c r="K1881" s="199"/>
      <c r="M1881" s="199"/>
      <c r="N1881" s="200"/>
      <c r="P1881" s="199"/>
    </row>
    <row r="1882" spans="7:16" x14ac:dyDescent="0.2">
      <c r="G1882" s="199"/>
      <c r="I1882" s="199"/>
      <c r="K1882" s="199"/>
      <c r="M1882" s="199"/>
      <c r="N1882" s="200"/>
      <c r="P1882" s="199"/>
    </row>
    <row r="1883" spans="7:16" x14ac:dyDescent="0.2">
      <c r="G1883" s="199"/>
      <c r="I1883" s="199"/>
      <c r="K1883" s="199"/>
      <c r="M1883" s="199"/>
      <c r="N1883" s="200"/>
      <c r="P1883" s="199"/>
    </row>
    <row r="1884" spans="7:16" x14ac:dyDescent="0.2">
      <c r="G1884" s="199"/>
      <c r="I1884" s="199"/>
      <c r="K1884" s="199"/>
      <c r="M1884" s="199"/>
      <c r="N1884" s="200"/>
      <c r="P1884" s="199"/>
    </row>
    <row r="1885" spans="7:16" x14ac:dyDescent="0.2">
      <c r="G1885" s="199"/>
      <c r="I1885" s="199"/>
      <c r="K1885" s="199"/>
      <c r="M1885" s="199"/>
      <c r="N1885" s="200"/>
      <c r="P1885" s="199"/>
    </row>
    <row r="1886" spans="7:16" x14ac:dyDescent="0.2">
      <c r="G1886" s="199"/>
      <c r="I1886" s="199"/>
      <c r="K1886" s="199"/>
      <c r="M1886" s="199"/>
      <c r="N1886" s="200"/>
      <c r="P1886" s="199"/>
    </row>
    <row r="1887" spans="7:16" x14ac:dyDescent="0.2">
      <c r="G1887" s="199"/>
      <c r="I1887" s="199"/>
      <c r="K1887" s="199"/>
      <c r="M1887" s="199"/>
      <c r="N1887" s="200"/>
      <c r="P1887" s="199"/>
    </row>
    <row r="1888" spans="7:16" x14ac:dyDescent="0.2">
      <c r="G1888" s="199"/>
      <c r="I1888" s="199"/>
      <c r="K1888" s="199"/>
      <c r="M1888" s="199"/>
      <c r="N1888" s="200"/>
      <c r="P1888" s="199"/>
    </row>
    <row r="1889" spans="7:16" x14ac:dyDescent="0.2">
      <c r="G1889" s="199"/>
      <c r="I1889" s="199"/>
      <c r="K1889" s="199"/>
      <c r="M1889" s="199"/>
      <c r="N1889" s="200"/>
      <c r="P1889" s="199"/>
    </row>
    <row r="1890" spans="7:16" x14ac:dyDescent="0.2">
      <c r="G1890" s="199"/>
      <c r="I1890" s="199"/>
      <c r="K1890" s="199"/>
      <c r="M1890" s="199"/>
      <c r="N1890" s="200"/>
      <c r="P1890" s="199"/>
    </row>
    <row r="1891" spans="7:16" x14ac:dyDescent="0.2">
      <c r="G1891" s="199"/>
      <c r="I1891" s="199"/>
      <c r="K1891" s="199"/>
      <c r="M1891" s="199"/>
      <c r="N1891" s="200"/>
      <c r="P1891" s="199"/>
    </row>
    <row r="1892" spans="7:16" x14ac:dyDescent="0.2">
      <c r="G1892" s="199"/>
      <c r="I1892" s="199"/>
      <c r="K1892" s="199"/>
      <c r="M1892" s="199"/>
      <c r="N1892" s="200"/>
      <c r="P1892" s="199"/>
    </row>
    <row r="1893" spans="7:16" x14ac:dyDescent="0.2">
      <c r="G1893" s="199"/>
      <c r="I1893" s="199"/>
      <c r="K1893" s="199"/>
      <c r="M1893" s="199"/>
      <c r="N1893" s="200"/>
      <c r="P1893" s="199"/>
    </row>
    <row r="1894" spans="7:16" x14ac:dyDescent="0.2">
      <c r="G1894" s="199"/>
      <c r="I1894" s="199"/>
      <c r="K1894" s="199"/>
      <c r="M1894" s="199"/>
      <c r="N1894" s="200"/>
      <c r="P1894" s="199"/>
    </row>
    <row r="1895" spans="7:16" x14ac:dyDescent="0.2">
      <c r="G1895" s="199"/>
      <c r="I1895" s="199"/>
      <c r="K1895" s="199"/>
      <c r="M1895" s="199"/>
      <c r="N1895" s="200"/>
      <c r="P1895" s="199"/>
    </row>
    <row r="1896" spans="7:16" x14ac:dyDescent="0.2">
      <c r="G1896" s="199"/>
      <c r="I1896" s="199"/>
      <c r="K1896" s="199"/>
      <c r="M1896" s="199"/>
      <c r="N1896" s="200"/>
      <c r="P1896" s="199"/>
    </row>
    <row r="1897" spans="7:16" x14ac:dyDescent="0.2">
      <c r="G1897" s="199"/>
      <c r="I1897" s="199"/>
      <c r="K1897" s="199"/>
      <c r="M1897" s="199"/>
      <c r="N1897" s="200"/>
      <c r="P1897" s="199"/>
    </row>
    <row r="1898" spans="7:16" x14ac:dyDescent="0.2">
      <c r="G1898" s="199"/>
      <c r="I1898" s="199"/>
      <c r="K1898" s="199"/>
      <c r="M1898" s="199"/>
      <c r="N1898" s="200"/>
      <c r="P1898" s="199"/>
    </row>
    <row r="1899" spans="7:16" x14ac:dyDescent="0.2">
      <c r="G1899" s="199"/>
      <c r="I1899" s="199"/>
      <c r="K1899" s="199"/>
      <c r="M1899" s="199"/>
      <c r="N1899" s="200"/>
      <c r="P1899" s="199"/>
    </row>
    <row r="1900" spans="7:16" x14ac:dyDescent="0.2">
      <c r="G1900" s="199"/>
      <c r="I1900" s="199"/>
      <c r="K1900" s="199"/>
      <c r="M1900" s="199"/>
      <c r="N1900" s="200"/>
      <c r="P1900" s="199"/>
    </row>
    <row r="1901" spans="7:16" x14ac:dyDescent="0.2">
      <c r="G1901" s="199"/>
      <c r="I1901" s="199"/>
      <c r="K1901" s="199"/>
      <c r="M1901" s="199"/>
      <c r="N1901" s="200"/>
      <c r="P1901" s="199"/>
    </row>
    <row r="1902" spans="7:16" x14ac:dyDescent="0.2">
      <c r="G1902" s="199"/>
      <c r="I1902" s="199"/>
      <c r="K1902" s="199"/>
      <c r="M1902" s="199"/>
      <c r="N1902" s="200"/>
      <c r="P1902" s="199"/>
    </row>
    <row r="1903" spans="7:16" x14ac:dyDescent="0.2">
      <c r="G1903" s="199"/>
      <c r="I1903" s="199"/>
      <c r="K1903" s="199"/>
      <c r="M1903" s="199"/>
      <c r="N1903" s="200"/>
      <c r="P1903" s="199"/>
    </row>
    <row r="1904" spans="7:16" x14ac:dyDescent="0.2">
      <c r="G1904" s="199"/>
      <c r="I1904" s="199"/>
      <c r="K1904" s="199"/>
      <c r="M1904" s="199"/>
      <c r="N1904" s="200"/>
      <c r="P1904" s="199"/>
    </row>
    <row r="1905" spans="7:16" x14ac:dyDescent="0.2">
      <c r="G1905" s="199"/>
      <c r="I1905" s="199"/>
      <c r="K1905" s="199"/>
      <c r="M1905" s="199"/>
      <c r="N1905" s="200"/>
      <c r="P1905" s="199"/>
    </row>
    <row r="1906" spans="7:16" x14ac:dyDescent="0.2">
      <c r="G1906" s="199"/>
      <c r="I1906" s="199"/>
      <c r="K1906" s="199"/>
      <c r="M1906" s="199"/>
      <c r="N1906" s="200"/>
      <c r="P1906" s="199"/>
    </row>
    <row r="1907" spans="7:16" x14ac:dyDescent="0.2">
      <c r="G1907" s="199"/>
      <c r="I1907" s="199"/>
      <c r="K1907" s="199"/>
      <c r="M1907" s="199"/>
      <c r="N1907" s="200"/>
      <c r="P1907" s="199"/>
    </row>
    <row r="1908" spans="7:16" x14ac:dyDescent="0.2">
      <c r="G1908" s="199"/>
      <c r="I1908" s="199"/>
      <c r="K1908" s="199"/>
      <c r="M1908" s="199"/>
      <c r="N1908" s="200"/>
      <c r="P1908" s="199"/>
    </row>
    <row r="1909" spans="7:16" x14ac:dyDescent="0.2">
      <c r="G1909" s="199"/>
      <c r="I1909" s="199"/>
      <c r="K1909" s="199"/>
      <c r="M1909" s="199"/>
      <c r="N1909" s="200"/>
      <c r="P1909" s="199"/>
    </row>
    <row r="1910" spans="7:16" x14ac:dyDescent="0.2">
      <c r="G1910" s="199"/>
      <c r="I1910" s="199"/>
      <c r="K1910" s="199"/>
      <c r="M1910" s="199"/>
      <c r="N1910" s="200"/>
      <c r="P1910" s="199"/>
    </row>
    <row r="1911" spans="7:16" x14ac:dyDescent="0.2">
      <c r="G1911" s="199"/>
      <c r="I1911" s="199"/>
      <c r="K1911" s="199"/>
      <c r="M1911" s="199"/>
      <c r="N1911" s="200"/>
      <c r="P1911" s="199"/>
    </row>
    <row r="1912" spans="7:16" x14ac:dyDescent="0.2">
      <c r="G1912" s="199"/>
      <c r="I1912" s="199"/>
      <c r="K1912" s="199"/>
      <c r="M1912" s="199"/>
      <c r="N1912" s="200"/>
      <c r="P1912" s="199"/>
    </row>
    <row r="1913" spans="7:16" x14ac:dyDescent="0.2">
      <c r="G1913" s="199"/>
      <c r="I1913" s="199"/>
      <c r="K1913" s="199"/>
      <c r="M1913" s="199"/>
      <c r="N1913" s="200"/>
      <c r="P1913" s="199"/>
    </row>
    <row r="1914" spans="7:16" x14ac:dyDescent="0.2">
      <c r="G1914" s="199"/>
      <c r="I1914" s="199"/>
      <c r="K1914" s="199"/>
      <c r="M1914" s="199"/>
      <c r="N1914" s="200"/>
      <c r="P1914" s="199"/>
    </row>
    <row r="1915" spans="7:16" x14ac:dyDescent="0.2">
      <c r="G1915" s="199"/>
      <c r="I1915" s="199"/>
      <c r="K1915" s="199"/>
      <c r="M1915" s="199"/>
      <c r="N1915" s="200"/>
      <c r="P1915" s="199"/>
    </row>
    <row r="1916" spans="7:16" x14ac:dyDescent="0.2">
      <c r="G1916" s="199"/>
      <c r="I1916" s="199"/>
      <c r="K1916" s="199"/>
      <c r="M1916" s="199"/>
      <c r="N1916" s="200"/>
      <c r="P1916" s="199"/>
    </row>
    <row r="1917" spans="7:16" x14ac:dyDescent="0.2">
      <c r="G1917" s="199"/>
      <c r="I1917" s="199"/>
      <c r="K1917" s="199"/>
      <c r="M1917" s="199"/>
      <c r="N1917" s="200"/>
      <c r="P1917" s="199"/>
    </row>
    <row r="1918" spans="7:16" x14ac:dyDescent="0.2">
      <c r="G1918" s="199"/>
      <c r="I1918" s="199"/>
      <c r="K1918" s="199"/>
      <c r="M1918" s="199"/>
      <c r="N1918" s="200"/>
      <c r="P1918" s="199"/>
    </row>
    <row r="1919" spans="7:16" x14ac:dyDescent="0.2">
      <c r="G1919" s="199"/>
      <c r="I1919" s="199"/>
      <c r="K1919" s="199"/>
      <c r="M1919" s="199"/>
      <c r="N1919" s="200"/>
      <c r="P1919" s="199"/>
    </row>
    <row r="1920" spans="7:16" x14ac:dyDescent="0.2">
      <c r="G1920" s="199"/>
      <c r="I1920" s="199"/>
      <c r="K1920" s="199"/>
      <c r="M1920" s="199"/>
      <c r="N1920" s="200"/>
      <c r="P1920" s="199"/>
    </row>
    <row r="1921" spans="7:16" x14ac:dyDescent="0.2">
      <c r="G1921" s="199"/>
      <c r="I1921" s="199"/>
      <c r="K1921" s="199"/>
      <c r="M1921" s="199"/>
      <c r="N1921" s="200"/>
      <c r="P1921" s="199"/>
    </row>
    <row r="1922" spans="7:16" x14ac:dyDescent="0.2">
      <c r="G1922" s="199"/>
      <c r="I1922" s="199"/>
      <c r="K1922" s="199"/>
      <c r="M1922" s="199"/>
      <c r="N1922" s="200"/>
      <c r="P1922" s="199"/>
    </row>
    <row r="1923" spans="7:16" x14ac:dyDescent="0.2">
      <c r="G1923" s="199"/>
      <c r="I1923" s="199"/>
      <c r="K1923" s="199"/>
      <c r="M1923" s="199"/>
      <c r="N1923" s="200"/>
      <c r="P1923" s="199"/>
    </row>
    <row r="1924" spans="7:16" x14ac:dyDescent="0.2">
      <c r="G1924" s="199"/>
      <c r="I1924" s="199"/>
      <c r="K1924" s="199"/>
      <c r="M1924" s="199"/>
      <c r="N1924" s="200"/>
      <c r="P1924" s="199"/>
    </row>
    <row r="1925" spans="7:16" x14ac:dyDescent="0.2">
      <c r="G1925" s="199"/>
      <c r="I1925" s="199"/>
      <c r="K1925" s="199"/>
      <c r="M1925" s="199"/>
      <c r="N1925" s="200"/>
      <c r="P1925" s="199"/>
    </row>
    <row r="1926" spans="7:16" x14ac:dyDescent="0.2">
      <c r="G1926" s="199"/>
      <c r="I1926" s="199"/>
      <c r="K1926" s="199"/>
      <c r="M1926" s="199"/>
      <c r="N1926" s="200"/>
      <c r="P1926" s="199"/>
    </row>
    <row r="1927" spans="7:16" x14ac:dyDescent="0.2">
      <c r="G1927" s="199"/>
      <c r="I1927" s="199"/>
      <c r="K1927" s="199"/>
      <c r="M1927" s="199"/>
      <c r="N1927" s="200"/>
      <c r="P1927" s="199"/>
    </row>
    <row r="1928" spans="7:16" x14ac:dyDescent="0.2">
      <c r="G1928" s="199"/>
      <c r="I1928" s="199"/>
      <c r="K1928" s="199"/>
      <c r="M1928" s="199"/>
      <c r="N1928" s="200"/>
      <c r="P1928" s="199"/>
    </row>
    <row r="1929" spans="7:16" x14ac:dyDescent="0.2">
      <c r="G1929" s="199"/>
      <c r="I1929" s="199"/>
      <c r="K1929" s="199"/>
      <c r="M1929" s="199"/>
      <c r="N1929" s="200"/>
      <c r="P1929" s="199"/>
    </row>
    <row r="1930" spans="7:16" x14ac:dyDescent="0.2">
      <c r="G1930" s="199"/>
      <c r="I1930" s="199"/>
      <c r="K1930" s="199"/>
      <c r="M1930" s="199"/>
      <c r="N1930" s="200"/>
      <c r="P1930" s="199"/>
    </row>
    <row r="1931" spans="7:16" x14ac:dyDescent="0.2">
      <c r="G1931" s="199"/>
      <c r="I1931" s="199"/>
      <c r="K1931" s="199"/>
      <c r="M1931" s="199"/>
      <c r="N1931" s="200"/>
      <c r="P1931" s="199"/>
    </row>
    <row r="1932" spans="7:16" x14ac:dyDescent="0.2">
      <c r="G1932" s="199"/>
      <c r="I1932" s="199"/>
      <c r="K1932" s="199"/>
      <c r="M1932" s="199"/>
      <c r="N1932" s="200"/>
      <c r="P1932" s="199"/>
    </row>
    <row r="1933" spans="7:16" x14ac:dyDescent="0.2">
      <c r="G1933" s="199"/>
      <c r="I1933" s="199"/>
      <c r="K1933" s="199"/>
      <c r="M1933" s="199"/>
      <c r="N1933" s="200"/>
      <c r="P1933" s="199"/>
    </row>
    <row r="1934" spans="7:16" x14ac:dyDescent="0.2">
      <c r="G1934" s="199"/>
      <c r="I1934" s="199"/>
      <c r="K1934" s="199"/>
      <c r="M1934" s="199"/>
      <c r="N1934" s="200"/>
      <c r="P1934" s="199"/>
    </row>
    <row r="1935" spans="7:16" x14ac:dyDescent="0.2">
      <c r="G1935" s="199"/>
      <c r="I1935" s="199"/>
      <c r="K1935" s="199"/>
      <c r="M1935" s="199"/>
      <c r="N1935" s="200"/>
      <c r="P1935" s="199"/>
    </row>
    <row r="1936" spans="7:16" x14ac:dyDescent="0.2">
      <c r="G1936" s="199"/>
      <c r="I1936" s="199"/>
      <c r="K1936" s="199"/>
      <c r="M1936" s="199"/>
      <c r="N1936" s="200"/>
      <c r="P1936" s="199"/>
    </row>
    <row r="1937" spans="7:16" x14ac:dyDescent="0.2">
      <c r="G1937" s="199"/>
      <c r="I1937" s="199"/>
      <c r="K1937" s="199"/>
      <c r="M1937" s="199"/>
      <c r="N1937" s="200"/>
      <c r="P1937" s="199"/>
    </row>
    <row r="1938" spans="7:16" x14ac:dyDescent="0.2">
      <c r="G1938" s="199"/>
      <c r="I1938" s="199"/>
      <c r="K1938" s="199"/>
      <c r="M1938" s="199"/>
      <c r="N1938" s="200"/>
      <c r="P1938" s="199"/>
    </row>
    <row r="1939" spans="7:16" x14ac:dyDescent="0.2">
      <c r="G1939" s="199"/>
      <c r="I1939" s="199"/>
      <c r="K1939" s="199"/>
      <c r="M1939" s="199"/>
      <c r="N1939" s="200"/>
      <c r="P1939" s="199"/>
    </row>
    <row r="1940" spans="7:16" x14ac:dyDescent="0.2">
      <c r="G1940" s="199"/>
      <c r="I1940" s="199"/>
      <c r="K1940" s="199"/>
      <c r="M1940" s="199"/>
      <c r="N1940" s="200"/>
      <c r="P1940" s="199"/>
    </row>
    <row r="1941" spans="7:16" x14ac:dyDescent="0.2">
      <c r="G1941" s="199"/>
      <c r="I1941" s="199"/>
      <c r="K1941" s="199"/>
      <c r="M1941" s="199"/>
      <c r="N1941" s="200"/>
      <c r="P1941" s="199"/>
    </row>
    <row r="1942" spans="7:16" x14ac:dyDescent="0.2">
      <c r="G1942" s="199"/>
      <c r="I1942" s="199"/>
      <c r="K1942" s="199"/>
      <c r="M1942" s="199"/>
      <c r="N1942" s="200"/>
      <c r="P1942" s="199"/>
    </row>
    <row r="1943" spans="7:16" x14ac:dyDescent="0.2">
      <c r="G1943" s="199"/>
      <c r="I1943" s="199"/>
      <c r="K1943" s="199"/>
      <c r="M1943" s="199"/>
      <c r="N1943" s="200"/>
      <c r="P1943" s="199"/>
    </row>
    <row r="1944" spans="7:16" x14ac:dyDescent="0.2">
      <c r="G1944" s="199"/>
      <c r="I1944" s="199"/>
      <c r="K1944" s="199"/>
      <c r="M1944" s="199"/>
      <c r="N1944" s="200"/>
      <c r="P1944" s="199"/>
    </row>
    <row r="1945" spans="7:16" x14ac:dyDescent="0.2">
      <c r="G1945" s="199"/>
      <c r="I1945" s="199"/>
      <c r="K1945" s="199"/>
      <c r="M1945" s="199"/>
      <c r="N1945" s="200"/>
      <c r="P1945" s="199"/>
    </row>
    <row r="1946" spans="7:16" x14ac:dyDescent="0.2">
      <c r="G1946" s="199"/>
      <c r="I1946" s="199"/>
      <c r="K1946" s="199"/>
      <c r="M1946" s="199"/>
      <c r="N1946" s="200"/>
      <c r="P1946" s="199"/>
    </row>
    <row r="1947" spans="7:16" x14ac:dyDescent="0.2">
      <c r="G1947" s="199"/>
      <c r="I1947" s="199"/>
      <c r="K1947" s="199"/>
      <c r="M1947" s="199"/>
      <c r="N1947" s="200"/>
      <c r="P1947" s="199"/>
    </row>
    <row r="1948" spans="7:16" x14ac:dyDescent="0.2">
      <c r="G1948" s="199"/>
      <c r="I1948" s="199"/>
      <c r="K1948" s="199"/>
      <c r="M1948" s="199"/>
      <c r="N1948" s="200"/>
      <c r="P1948" s="199"/>
    </row>
    <row r="1949" spans="7:16" x14ac:dyDescent="0.2">
      <c r="G1949" s="199"/>
      <c r="I1949" s="199"/>
      <c r="K1949" s="199"/>
      <c r="M1949" s="199"/>
      <c r="N1949" s="200"/>
      <c r="P1949" s="199"/>
    </row>
    <row r="1950" spans="7:16" x14ac:dyDescent="0.2">
      <c r="G1950" s="199"/>
      <c r="I1950" s="199"/>
      <c r="K1950" s="199"/>
      <c r="M1950" s="199"/>
      <c r="N1950" s="200"/>
      <c r="P1950" s="199"/>
    </row>
    <row r="1951" spans="7:16" x14ac:dyDescent="0.2">
      <c r="G1951" s="199"/>
      <c r="I1951" s="199"/>
      <c r="K1951" s="199"/>
      <c r="M1951" s="199"/>
      <c r="N1951" s="200"/>
      <c r="P1951" s="199"/>
    </row>
    <row r="1952" spans="7:16" x14ac:dyDescent="0.2">
      <c r="G1952" s="199"/>
      <c r="I1952" s="199"/>
      <c r="K1952" s="199"/>
      <c r="M1952" s="199"/>
      <c r="N1952" s="200"/>
      <c r="P1952" s="199"/>
    </row>
    <row r="1953" spans="7:16" x14ac:dyDescent="0.2">
      <c r="G1953" s="199"/>
      <c r="I1953" s="199"/>
      <c r="K1953" s="199"/>
      <c r="M1953" s="199"/>
      <c r="N1953" s="200"/>
      <c r="P1953" s="199"/>
    </row>
    <row r="1954" spans="7:16" x14ac:dyDescent="0.2">
      <c r="G1954" s="199"/>
      <c r="I1954" s="199"/>
      <c r="K1954" s="199"/>
      <c r="M1954" s="199"/>
      <c r="N1954" s="200"/>
      <c r="P1954" s="199"/>
    </row>
    <row r="1955" spans="7:16" x14ac:dyDescent="0.2">
      <c r="G1955" s="199"/>
      <c r="I1955" s="199"/>
      <c r="K1955" s="199"/>
      <c r="M1955" s="199"/>
      <c r="N1955" s="200"/>
      <c r="P1955" s="199"/>
    </row>
    <row r="1956" spans="7:16" x14ac:dyDescent="0.2">
      <c r="G1956" s="199"/>
      <c r="I1956" s="199"/>
      <c r="K1956" s="199"/>
      <c r="M1956" s="199"/>
      <c r="N1956" s="200"/>
      <c r="P1956" s="199"/>
    </row>
    <row r="1957" spans="7:16" x14ac:dyDescent="0.2">
      <c r="G1957" s="199"/>
      <c r="I1957" s="199"/>
      <c r="K1957" s="199"/>
      <c r="M1957" s="199"/>
      <c r="N1957" s="200"/>
      <c r="P1957" s="199"/>
    </row>
    <row r="1958" spans="7:16" x14ac:dyDescent="0.2">
      <c r="G1958" s="199"/>
      <c r="I1958" s="199"/>
      <c r="K1958" s="199"/>
      <c r="M1958" s="199"/>
      <c r="N1958" s="200"/>
      <c r="P1958" s="199"/>
    </row>
    <row r="1959" spans="7:16" x14ac:dyDescent="0.2">
      <c r="G1959" s="199"/>
      <c r="I1959" s="199"/>
      <c r="K1959" s="199"/>
      <c r="M1959" s="199"/>
      <c r="N1959" s="200"/>
      <c r="P1959" s="199"/>
    </row>
    <row r="1960" spans="7:16" x14ac:dyDescent="0.2">
      <c r="G1960" s="199"/>
      <c r="I1960" s="199"/>
      <c r="K1960" s="199"/>
      <c r="M1960" s="199"/>
      <c r="N1960" s="200"/>
      <c r="P1960" s="199"/>
    </row>
    <row r="1961" spans="7:16" x14ac:dyDescent="0.2">
      <c r="G1961" s="199"/>
      <c r="I1961" s="199"/>
      <c r="K1961" s="199"/>
      <c r="M1961" s="199"/>
      <c r="N1961" s="200"/>
      <c r="P1961" s="199"/>
    </row>
    <row r="1962" spans="7:16" x14ac:dyDescent="0.2">
      <c r="G1962" s="199"/>
      <c r="I1962" s="199"/>
      <c r="K1962" s="199"/>
      <c r="M1962" s="199"/>
      <c r="N1962" s="200"/>
      <c r="P1962" s="199"/>
    </row>
    <row r="1963" spans="7:16" x14ac:dyDescent="0.2">
      <c r="G1963" s="199"/>
      <c r="I1963" s="199"/>
      <c r="K1963" s="199"/>
      <c r="M1963" s="199"/>
      <c r="N1963" s="200"/>
      <c r="P1963" s="199"/>
    </row>
    <row r="1964" spans="7:16" x14ac:dyDescent="0.2">
      <c r="G1964" s="199"/>
      <c r="I1964" s="199"/>
      <c r="K1964" s="199"/>
      <c r="M1964" s="199"/>
      <c r="N1964" s="200"/>
      <c r="P1964" s="199"/>
    </row>
    <row r="1965" spans="7:16" x14ac:dyDescent="0.2">
      <c r="G1965" s="199"/>
      <c r="I1965" s="199"/>
      <c r="K1965" s="199"/>
      <c r="M1965" s="199"/>
      <c r="N1965" s="200"/>
      <c r="P1965" s="199"/>
    </row>
    <row r="1966" spans="7:16" x14ac:dyDescent="0.2">
      <c r="G1966" s="199"/>
      <c r="I1966" s="199"/>
      <c r="K1966" s="199"/>
      <c r="M1966" s="199"/>
      <c r="N1966" s="200"/>
      <c r="P1966" s="199"/>
    </row>
    <row r="1967" spans="7:16" x14ac:dyDescent="0.2">
      <c r="G1967" s="199"/>
      <c r="I1967" s="199"/>
      <c r="K1967" s="199"/>
      <c r="M1967" s="199"/>
      <c r="N1967" s="200"/>
      <c r="P1967" s="199"/>
    </row>
    <row r="1968" spans="7:16" x14ac:dyDescent="0.2">
      <c r="G1968" s="199"/>
      <c r="I1968" s="199"/>
      <c r="K1968" s="199"/>
      <c r="M1968" s="199"/>
      <c r="N1968" s="200"/>
      <c r="P1968" s="199"/>
    </row>
    <row r="1969" spans="7:16" x14ac:dyDescent="0.2">
      <c r="G1969" s="199"/>
      <c r="I1969" s="199"/>
      <c r="K1969" s="199"/>
      <c r="M1969" s="199"/>
      <c r="N1969" s="200"/>
      <c r="P1969" s="199"/>
    </row>
    <row r="1970" spans="7:16" x14ac:dyDescent="0.2">
      <c r="G1970" s="199"/>
      <c r="I1970" s="199"/>
      <c r="K1970" s="199"/>
      <c r="M1970" s="199"/>
      <c r="N1970" s="200"/>
      <c r="P1970" s="199"/>
    </row>
    <row r="1971" spans="7:16" x14ac:dyDescent="0.2">
      <c r="G1971" s="199"/>
      <c r="I1971" s="199"/>
      <c r="K1971" s="199"/>
      <c r="M1971" s="199"/>
      <c r="N1971" s="200"/>
      <c r="P1971" s="199"/>
    </row>
    <row r="1972" spans="7:16" x14ac:dyDescent="0.2">
      <c r="G1972" s="199"/>
      <c r="I1972" s="199"/>
      <c r="K1972" s="199"/>
      <c r="M1972" s="199"/>
      <c r="N1972" s="200"/>
      <c r="P1972" s="199"/>
    </row>
    <row r="1973" spans="7:16" x14ac:dyDescent="0.2">
      <c r="G1973" s="199"/>
      <c r="I1973" s="199"/>
      <c r="K1973" s="199"/>
      <c r="M1973" s="199"/>
      <c r="N1973" s="200"/>
      <c r="P1973" s="199"/>
    </row>
    <row r="1974" spans="7:16" x14ac:dyDescent="0.2">
      <c r="G1974" s="199"/>
      <c r="I1974" s="199"/>
      <c r="K1974" s="199"/>
      <c r="M1974" s="199"/>
      <c r="N1974" s="200"/>
      <c r="P1974" s="199"/>
    </row>
    <row r="1975" spans="7:16" x14ac:dyDescent="0.2">
      <c r="G1975" s="199"/>
      <c r="I1975" s="199"/>
      <c r="K1975" s="199"/>
      <c r="M1975" s="199"/>
      <c r="N1975" s="200"/>
      <c r="P1975" s="199"/>
    </row>
    <row r="1976" spans="7:16" x14ac:dyDescent="0.2">
      <c r="G1976" s="199"/>
      <c r="I1976" s="199"/>
      <c r="K1976" s="199"/>
      <c r="M1976" s="199"/>
      <c r="N1976" s="200"/>
      <c r="P1976" s="199"/>
    </row>
    <row r="1977" spans="7:16" x14ac:dyDescent="0.2">
      <c r="G1977" s="199"/>
      <c r="I1977" s="199"/>
      <c r="K1977" s="199"/>
      <c r="M1977" s="199"/>
      <c r="N1977" s="200"/>
      <c r="P1977" s="199"/>
    </row>
    <row r="1978" spans="7:16" x14ac:dyDescent="0.2">
      <c r="G1978" s="199"/>
      <c r="I1978" s="199"/>
      <c r="K1978" s="199"/>
      <c r="M1978" s="199"/>
      <c r="N1978" s="200"/>
      <c r="P1978" s="199"/>
    </row>
    <row r="1979" spans="7:16" x14ac:dyDescent="0.2">
      <c r="G1979" s="199"/>
      <c r="I1979" s="199"/>
      <c r="K1979" s="199"/>
      <c r="M1979" s="199"/>
      <c r="N1979" s="200"/>
      <c r="P1979" s="199"/>
    </row>
    <row r="1980" spans="7:16" x14ac:dyDescent="0.2">
      <c r="G1980" s="199"/>
      <c r="I1980" s="199"/>
      <c r="K1980" s="199"/>
      <c r="M1980" s="199"/>
      <c r="N1980" s="200"/>
      <c r="P1980" s="199"/>
    </row>
    <row r="1981" spans="7:16" x14ac:dyDescent="0.2">
      <c r="G1981" s="199"/>
      <c r="I1981" s="199"/>
      <c r="K1981" s="199"/>
      <c r="M1981" s="199"/>
      <c r="N1981" s="200"/>
      <c r="P1981" s="199"/>
    </row>
    <row r="1982" spans="7:16" x14ac:dyDescent="0.2">
      <c r="G1982" s="199"/>
      <c r="I1982" s="199"/>
      <c r="K1982" s="199"/>
      <c r="M1982" s="199"/>
      <c r="N1982" s="200"/>
      <c r="P1982" s="199"/>
    </row>
    <row r="1983" spans="7:16" x14ac:dyDescent="0.2">
      <c r="G1983" s="199"/>
      <c r="I1983" s="199"/>
      <c r="K1983" s="199"/>
      <c r="M1983" s="199"/>
      <c r="N1983" s="200"/>
      <c r="P1983" s="199"/>
    </row>
    <row r="1984" spans="7:16" x14ac:dyDescent="0.2">
      <c r="G1984" s="199"/>
      <c r="I1984" s="199"/>
      <c r="K1984" s="199"/>
      <c r="M1984" s="199"/>
      <c r="N1984" s="200"/>
      <c r="P1984" s="199"/>
    </row>
    <row r="1985" spans="7:16" x14ac:dyDescent="0.2">
      <c r="G1985" s="199"/>
      <c r="I1985" s="199"/>
      <c r="K1985" s="199"/>
      <c r="M1985" s="199"/>
      <c r="N1985" s="200"/>
      <c r="P1985" s="199"/>
    </row>
    <row r="1986" spans="7:16" x14ac:dyDescent="0.2">
      <c r="G1986" s="199"/>
      <c r="I1986" s="199"/>
      <c r="K1986" s="199"/>
      <c r="M1986" s="199"/>
      <c r="N1986" s="200"/>
      <c r="P1986" s="199"/>
    </row>
    <row r="1987" spans="7:16" x14ac:dyDescent="0.2">
      <c r="G1987" s="199"/>
      <c r="I1987" s="199"/>
      <c r="K1987" s="199"/>
      <c r="M1987" s="199"/>
      <c r="N1987" s="200"/>
      <c r="P1987" s="199"/>
    </row>
    <row r="1988" spans="7:16" x14ac:dyDescent="0.2">
      <c r="G1988" s="199"/>
      <c r="I1988" s="199"/>
      <c r="K1988" s="199"/>
      <c r="M1988" s="199"/>
      <c r="N1988" s="200"/>
      <c r="P1988" s="199"/>
    </row>
    <row r="1989" spans="7:16" x14ac:dyDescent="0.2">
      <c r="G1989" s="199"/>
      <c r="I1989" s="199"/>
      <c r="K1989" s="199"/>
      <c r="M1989" s="199"/>
      <c r="N1989" s="200"/>
      <c r="P1989" s="199"/>
    </row>
    <row r="1990" spans="7:16" x14ac:dyDescent="0.2">
      <c r="G1990" s="199"/>
      <c r="I1990" s="199"/>
      <c r="K1990" s="199"/>
      <c r="M1990" s="199"/>
      <c r="N1990" s="200"/>
      <c r="P1990" s="199"/>
    </row>
    <row r="1991" spans="7:16" x14ac:dyDescent="0.2">
      <c r="G1991" s="199"/>
      <c r="I1991" s="199"/>
      <c r="K1991" s="199"/>
      <c r="M1991" s="199"/>
      <c r="N1991" s="200"/>
      <c r="P1991" s="199"/>
    </row>
    <row r="1992" spans="7:16" x14ac:dyDescent="0.2">
      <c r="G1992" s="199"/>
      <c r="I1992" s="199"/>
      <c r="K1992" s="199"/>
      <c r="M1992" s="199"/>
      <c r="N1992" s="200"/>
      <c r="P1992" s="199"/>
    </row>
    <row r="1993" spans="7:16" x14ac:dyDescent="0.2">
      <c r="G1993" s="199"/>
      <c r="I1993" s="199"/>
      <c r="K1993" s="199"/>
      <c r="M1993" s="199"/>
      <c r="N1993" s="200"/>
      <c r="P1993" s="199"/>
    </row>
    <row r="1994" spans="7:16" x14ac:dyDescent="0.2">
      <c r="G1994" s="199"/>
      <c r="I1994" s="199"/>
      <c r="K1994" s="199"/>
      <c r="M1994" s="199"/>
      <c r="N1994" s="200"/>
      <c r="P1994" s="199"/>
    </row>
    <row r="1995" spans="7:16" x14ac:dyDescent="0.2">
      <c r="G1995" s="199"/>
      <c r="I1995" s="199"/>
      <c r="K1995" s="199"/>
      <c r="M1995" s="199"/>
      <c r="N1995" s="200"/>
      <c r="P1995" s="199"/>
    </row>
    <row r="1996" spans="7:16" x14ac:dyDescent="0.2">
      <c r="G1996" s="199"/>
      <c r="I1996" s="199"/>
      <c r="K1996" s="199"/>
      <c r="M1996" s="199"/>
      <c r="N1996" s="200"/>
      <c r="P1996" s="199"/>
    </row>
    <row r="1997" spans="7:16" x14ac:dyDescent="0.2">
      <c r="G1997" s="199"/>
      <c r="I1997" s="199"/>
      <c r="K1997" s="199"/>
      <c r="M1997" s="199"/>
      <c r="N1997" s="200"/>
      <c r="P1997" s="199"/>
    </row>
    <row r="1998" spans="7:16" x14ac:dyDescent="0.2">
      <c r="G1998" s="199"/>
      <c r="I1998" s="199"/>
      <c r="K1998" s="199"/>
      <c r="M1998" s="199"/>
      <c r="N1998" s="200"/>
      <c r="P1998" s="199"/>
    </row>
    <row r="1999" spans="7:16" x14ac:dyDescent="0.2">
      <c r="G1999" s="199"/>
      <c r="I1999" s="199"/>
      <c r="K1999" s="199"/>
      <c r="M1999" s="199"/>
      <c r="N1999" s="200"/>
      <c r="P1999" s="199"/>
    </row>
    <row r="2000" spans="7:16" x14ac:dyDescent="0.2">
      <c r="G2000" s="199"/>
      <c r="I2000" s="199"/>
      <c r="K2000" s="199"/>
      <c r="M2000" s="199"/>
      <c r="N2000" s="200"/>
      <c r="P2000" s="199"/>
    </row>
    <row r="2001" spans="7:16" x14ac:dyDescent="0.2">
      <c r="G2001" s="199"/>
      <c r="I2001" s="199"/>
      <c r="K2001" s="199"/>
      <c r="M2001" s="199"/>
      <c r="N2001" s="200"/>
      <c r="P2001" s="199"/>
    </row>
    <row r="2002" spans="7:16" x14ac:dyDescent="0.2">
      <c r="G2002" s="199"/>
      <c r="I2002" s="199"/>
      <c r="K2002" s="199"/>
      <c r="M2002" s="199"/>
      <c r="N2002" s="200"/>
      <c r="P2002" s="199"/>
    </row>
    <row r="2003" spans="7:16" x14ac:dyDescent="0.2">
      <c r="G2003" s="199"/>
      <c r="I2003" s="199"/>
      <c r="K2003" s="199"/>
      <c r="M2003" s="199"/>
      <c r="N2003" s="200"/>
      <c r="P2003" s="199"/>
    </row>
    <row r="2004" spans="7:16" x14ac:dyDescent="0.2">
      <c r="G2004" s="199"/>
      <c r="I2004" s="199"/>
      <c r="K2004" s="199"/>
      <c r="M2004" s="199"/>
      <c r="N2004" s="200"/>
      <c r="P2004" s="199"/>
    </row>
    <row r="2005" spans="7:16" x14ac:dyDescent="0.2">
      <c r="G2005" s="199"/>
      <c r="I2005" s="199"/>
      <c r="K2005" s="199"/>
      <c r="M2005" s="199"/>
      <c r="N2005" s="200"/>
      <c r="P2005" s="199"/>
    </row>
    <row r="2006" spans="7:16" x14ac:dyDescent="0.2">
      <c r="G2006" s="199"/>
      <c r="I2006" s="199"/>
      <c r="K2006" s="199"/>
      <c r="M2006" s="199"/>
      <c r="N2006" s="200"/>
      <c r="P2006" s="199"/>
    </row>
    <row r="2007" spans="7:16" x14ac:dyDescent="0.2">
      <c r="G2007" s="199"/>
      <c r="I2007" s="199"/>
      <c r="K2007" s="199"/>
      <c r="M2007" s="199"/>
      <c r="N2007" s="200"/>
      <c r="P2007" s="199"/>
    </row>
    <row r="2008" spans="7:16" x14ac:dyDescent="0.2">
      <c r="G2008" s="199"/>
      <c r="I2008" s="199"/>
      <c r="K2008" s="199"/>
      <c r="M2008" s="199"/>
      <c r="N2008" s="200"/>
      <c r="P2008" s="199"/>
    </row>
    <row r="2009" spans="7:16" x14ac:dyDescent="0.2">
      <c r="G2009" s="199"/>
      <c r="I2009" s="199"/>
      <c r="K2009" s="199"/>
      <c r="M2009" s="199"/>
      <c r="N2009" s="200"/>
      <c r="P2009" s="199"/>
    </row>
    <row r="2010" spans="7:16" x14ac:dyDescent="0.2">
      <c r="G2010" s="199"/>
      <c r="I2010" s="199"/>
      <c r="K2010" s="199"/>
      <c r="M2010" s="199"/>
      <c r="N2010" s="200"/>
      <c r="P2010" s="199"/>
    </row>
    <row r="2011" spans="7:16" x14ac:dyDescent="0.2">
      <c r="G2011" s="199"/>
      <c r="I2011" s="199"/>
      <c r="K2011" s="199"/>
      <c r="M2011" s="199"/>
      <c r="N2011" s="200"/>
      <c r="P2011" s="199"/>
    </row>
    <row r="2012" spans="7:16" x14ac:dyDescent="0.2">
      <c r="G2012" s="199"/>
      <c r="I2012" s="199"/>
      <c r="K2012" s="199"/>
      <c r="M2012" s="199"/>
      <c r="N2012" s="200"/>
      <c r="P2012" s="199"/>
    </row>
    <row r="2013" spans="7:16" x14ac:dyDescent="0.2">
      <c r="G2013" s="199"/>
      <c r="I2013" s="199"/>
      <c r="K2013" s="199"/>
      <c r="M2013" s="199"/>
      <c r="N2013" s="200"/>
      <c r="P2013" s="199"/>
    </row>
    <row r="2014" spans="7:16" x14ac:dyDescent="0.2">
      <c r="G2014" s="199"/>
      <c r="I2014" s="199"/>
      <c r="K2014" s="199"/>
      <c r="M2014" s="199"/>
      <c r="N2014" s="200"/>
      <c r="P2014" s="199"/>
    </row>
    <row r="2015" spans="7:16" x14ac:dyDescent="0.2">
      <c r="G2015" s="199"/>
      <c r="I2015" s="199"/>
      <c r="K2015" s="199"/>
      <c r="M2015" s="199"/>
      <c r="N2015" s="200"/>
      <c r="P2015" s="199"/>
    </row>
    <row r="2016" spans="7:16" x14ac:dyDescent="0.2">
      <c r="G2016" s="199"/>
      <c r="I2016" s="199"/>
      <c r="K2016" s="199"/>
      <c r="M2016" s="199"/>
      <c r="N2016" s="200"/>
      <c r="P2016" s="199"/>
    </row>
    <row r="2017" spans="7:16" x14ac:dyDescent="0.2">
      <c r="G2017" s="199"/>
      <c r="I2017" s="199"/>
      <c r="K2017" s="199"/>
      <c r="M2017" s="199"/>
      <c r="N2017" s="200"/>
      <c r="P2017" s="199"/>
    </row>
    <row r="2018" spans="7:16" x14ac:dyDescent="0.2">
      <c r="G2018" s="199"/>
      <c r="I2018" s="199"/>
      <c r="K2018" s="199"/>
      <c r="M2018" s="199"/>
      <c r="N2018" s="200"/>
      <c r="P2018" s="199"/>
    </row>
    <row r="2019" spans="7:16" x14ac:dyDescent="0.2">
      <c r="G2019" s="199"/>
      <c r="I2019" s="199"/>
      <c r="K2019" s="199"/>
      <c r="M2019" s="199"/>
      <c r="N2019" s="200"/>
      <c r="P2019" s="199"/>
    </row>
    <row r="2020" spans="7:16" x14ac:dyDescent="0.2">
      <c r="G2020" s="199"/>
      <c r="I2020" s="199"/>
      <c r="K2020" s="199"/>
      <c r="M2020" s="199"/>
      <c r="N2020" s="200"/>
      <c r="P2020" s="199"/>
    </row>
    <row r="2021" spans="7:16" x14ac:dyDescent="0.2">
      <c r="G2021" s="199"/>
      <c r="I2021" s="199"/>
      <c r="K2021" s="199"/>
      <c r="M2021" s="199"/>
      <c r="N2021" s="200"/>
      <c r="P2021" s="199"/>
    </row>
    <row r="2022" spans="7:16" x14ac:dyDescent="0.2">
      <c r="G2022" s="199"/>
      <c r="I2022" s="199"/>
      <c r="K2022" s="199"/>
      <c r="M2022" s="199"/>
      <c r="N2022" s="200"/>
      <c r="P2022" s="199"/>
    </row>
    <row r="2023" spans="7:16" x14ac:dyDescent="0.2">
      <c r="G2023" s="199"/>
      <c r="I2023" s="199"/>
      <c r="K2023" s="199"/>
      <c r="M2023" s="199"/>
      <c r="N2023" s="200"/>
      <c r="P2023" s="199"/>
    </row>
    <row r="2024" spans="7:16" x14ac:dyDescent="0.2">
      <c r="G2024" s="199"/>
      <c r="I2024" s="199"/>
      <c r="K2024" s="199"/>
      <c r="M2024" s="199"/>
      <c r="N2024" s="200"/>
      <c r="P2024" s="199"/>
    </row>
    <row r="2025" spans="7:16" x14ac:dyDescent="0.2">
      <c r="G2025" s="199"/>
      <c r="I2025" s="199"/>
      <c r="K2025" s="199"/>
      <c r="M2025" s="199"/>
      <c r="N2025" s="200"/>
      <c r="P2025" s="199"/>
    </row>
    <row r="2026" spans="7:16" x14ac:dyDescent="0.2">
      <c r="G2026" s="199"/>
      <c r="I2026" s="199"/>
      <c r="K2026" s="199"/>
      <c r="M2026" s="199"/>
      <c r="N2026" s="200"/>
      <c r="P2026" s="199"/>
    </row>
    <row r="2027" spans="7:16" x14ac:dyDescent="0.2">
      <c r="G2027" s="199"/>
      <c r="I2027" s="199"/>
      <c r="K2027" s="199"/>
      <c r="M2027" s="199"/>
      <c r="N2027" s="200"/>
      <c r="P2027" s="199"/>
    </row>
    <row r="2028" spans="7:16" x14ac:dyDescent="0.2">
      <c r="G2028" s="199"/>
      <c r="I2028" s="199"/>
      <c r="K2028" s="199"/>
      <c r="M2028" s="199"/>
      <c r="N2028" s="200"/>
      <c r="P2028" s="199"/>
    </row>
    <row r="2029" spans="7:16" x14ac:dyDescent="0.2">
      <c r="G2029" s="199"/>
      <c r="I2029" s="199"/>
      <c r="K2029" s="199"/>
      <c r="M2029" s="199"/>
      <c r="N2029" s="200"/>
      <c r="P2029" s="199"/>
    </row>
    <row r="2030" spans="7:16" x14ac:dyDescent="0.2">
      <c r="G2030" s="199"/>
      <c r="I2030" s="199"/>
      <c r="K2030" s="199"/>
      <c r="M2030" s="199"/>
      <c r="N2030" s="200"/>
      <c r="P2030" s="199"/>
    </row>
    <row r="2031" spans="7:16" x14ac:dyDescent="0.2">
      <c r="G2031" s="199"/>
      <c r="I2031" s="199"/>
      <c r="K2031" s="199"/>
      <c r="M2031" s="199"/>
      <c r="N2031" s="200"/>
      <c r="P2031" s="199"/>
    </row>
    <row r="2032" spans="7:16" x14ac:dyDescent="0.2">
      <c r="G2032" s="199"/>
      <c r="I2032" s="199"/>
      <c r="K2032" s="199"/>
      <c r="M2032" s="199"/>
      <c r="N2032" s="200"/>
      <c r="P2032" s="199"/>
    </row>
    <row r="2033" spans="7:16" x14ac:dyDescent="0.2">
      <c r="G2033" s="199"/>
      <c r="I2033" s="199"/>
      <c r="K2033" s="199"/>
      <c r="M2033" s="199"/>
      <c r="N2033" s="200"/>
      <c r="P2033" s="199"/>
    </row>
    <row r="2034" spans="7:16" x14ac:dyDescent="0.2">
      <c r="G2034" s="199"/>
      <c r="I2034" s="199"/>
      <c r="K2034" s="199"/>
      <c r="M2034" s="199"/>
      <c r="N2034" s="200"/>
      <c r="P2034" s="199"/>
    </row>
    <row r="2035" spans="7:16" x14ac:dyDescent="0.2">
      <c r="G2035" s="199"/>
      <c r="I2035" s="199"/>
      <c r="K2035" s="199"/>
      <c r="M2035" s="199"/>
      <c r="N2035" s="200"/>
      <c r="P2035" s="199"/>
    </row>
    <row r="2036" spans="7:16" x14ac:dyDescent="0.2">
      <c r="G2036" s="199"/>
      <c r="I2036" s="199"/>
      <c r="K2036" s="199"/>
      <c r="M2036" s="199"/>
      <c r="N2036" s="200"/>
      <c r="P2036" s="199"/>
    </row>
    <row r="2037" spans="7:16" x14ac:dyDescent="0.2">
      <c r="G2037" s="199"/>
      <c r="I2037" s="199"/>
      <c r="K2037" s="199"/>
      <c r="M2037" s="199"/>
      <c r="N2037" s="200"/>
      <c r="P2037" s="199"/>
    </row>
    <row r="2038" spans="7:16" x14ac:dyDescent="0.2">
      <c r="G2038" s="199"/>
      <c r="I2038" s="199"/>
      <c r="K2038" s="199"/>
      <c r="M2038" s="199"/>
      <c r="N2038" s="200"/>
      <c r="P2038" s="199"/>
    </row>
    <row r="2039" spans="7:16" x14ac:dyDescent="0.2">
      <c r="G2039" s="199"/>
      <c r="I2039" s="199"/>
      <c r="K2039" s="199"/>
      <c r="M2039" s="199"/>
      <c r="N2039" s="200"/>
      <c r="P2039" s="199"/>
    </row>
    <row r="2040" spans="7:16" x14ac:dyDescent="0.2">
      <c r="G2040" s="199"/>
      <c r="I2040" s="199"/>
      <c r="K2040" s="199"/>
      <c r="M2040" s="199"/>
      <c r="N2040" s="200"/>
      <c r="P2040" s="199"/>
    </row>
    <row r="2041" spans="7:16" x14ac:dyDescent="0.2">
      <c r="G2041" s="199"/>
      <c r="I2041" s="199"/>
      <c r="K2041" s="199"/>
      <c r="M2041" s="199"/>
      <c r="N2041" s="200"/>
      <c r="P2041" s="199"/>
    </row>
    <row r="2042" spans="7:16" x14ac:dyDescent="0.2">
      <c r="G2042" s="199"/>
      <c r="I2042" s="199"/>
      <c r="K2042" s="199"/>
      <c r="M2042" s="199"/>
      <c r="N2042" s="200"/>
      <c r="P2042" s="199"/>
    </row>
    <row r="2043" spans="7:16" x14ac:dyDescent="0.2">
      <c r="G2043" s="199"/>
      <c r="I2043" s="199"/>
      <c r="K2043" s="199"/>
      <c r="M2043" s="199"/>
      <c r="N2043" s="200"/>
      <c r="P2043" s="199"/>
    </row>
    <row r="2044" spans="7:16" x14ac:dyDescent="0.2">
      <c r="G2044" s="199"/>
      <c r="I2044" s="199"/>
      <c r="K2044" s="199"/>
      <c r="M2044" s="199"/>
      <c r="N2044" s="200"/>
      <c r="P2044" s="199"/>
    </row>
    <row r="2045" spans="7:16" x14ac:dyDescent="0.2">
      <c r="G2045" s="199"/>
      <c r="I2045" s="199"/>
      <c r="K2045" s="199"/>
      <c r="M2045" s="199"/>
      <c r="N2045" s="200"/>
      <c r="P2045" s="199"/>
    </row>
    <row r="2046" spans="7:16" x14ac:dyDescent="0.2">
      <c r="G2046" s="199"/>
      <c r="I2046" s="199"/>
      <c r="K2046" s="199"/>
      <c r="M2046" s="199"/>
      <c r="N2046" s="200"/>
      <c r="P2046" s="199"/>
    </row>
    <row r="2047" spans="7:16" x14ac:dyDescent="0.2">
      <c r="G2047" s="199"/>
      <c r="I2047" s="199"/>
      <c r="K2047" s="199"/>
      <c r="M2047" s="199"/>
      <c r="N2047" s="200"/>
      <c r="P2047" s="199"/>
    </row>
    <row r="2048" spans="7:16" x14ac:dyDescent="0.2">
      <c r="G2048" s="199"/>
      <c r="I2048" s="199"/>
      <c r="K2048" s="199"/>
      <c r="M2048" s="199"/>
      <c r="N2048" s="200"/>
      <c r="P2048" s="199"/>
    </row>
    <row r="2049" spans="7:16" x14ac:dyDescent="0.2">
      <c r="G2049" s="199"/>
      <c r="I2049" s="199"/>
      <c r="K2049" s="199"/>
      <c r="M2049" s="199"/>
      <c r="N2049" s="200"/>
      <c r="P2049" s="199"/>
    </row>
    <row r="2050" spans="7:16" x14ac:dyDescent="0.2">
      <c r="G2050" s="199"/>
      <c r="I2050" s="199"/>
      <c r="K2050" s="199"/>
      <c r="M2050" s="199"/>
      <c r="N2050" s="200"/>
      <c r="P2050" s="199"/>
    </row>
    <row r="2051" spans="7:16" x14ac:dyDescent="0.2">
      <c r="G2051" s="199"/>
      <c r="I2051" s="199"/>
      <c r="K2051" s="199"/>
      <c r="M2051" s="199"/>
      <c r="N2051" s="200"/>
      <c r="P2051" s="199"/>
    </row>
    <row r="2052" spans="7:16" x14ac:dyDescent="0.2">
      <c r="G2052" s="199"/>
      <c r="I2052" s="199"/>
      <c r="K2052" s="199"/>
      <c r="M2052" s="199"/>
      <c r="N2052" s="200"/>
      <c r="P2052" s="199"/>
    </row>
    <row r="2053" spans="7:16" x14ac:dyDescent="0.2">
      <c r="G2053" s="199"/>
      <c r="I2053" s="199"/>
      <c r="K2053" s="199"/>
      <c r="M2053" s="199"/>
      <c r="N2053" s="200"/>
      <c r="P2053" s="199"/>
    </row>
    <row r="2054" spans="7:16" x14ac:dyDescent="0.2">
      <c r="G2054" s="199"/>
      <c r="I2054" s="199"/>
      <c r="K2054" s="199"/>
      <c r="M2054" s="199"/>
      <c r="N2054" s="200"/>
      <c r="P2054" s="199"/>
    </row>
    <row r="2055" spans="7:16" x14ac:dyDescent="0.2">
      <c r="G2055" s="199"/>
      <c r="I2055" s="199"/>
      <c r="K2055" s="199"/>
      <c r="M2055" s="199"/>
      <c r="N2055" s="200"/>
      <c r="P2055" s="199"/>
    </row>
    <row r="2056" spans="7:16" x14ac:dyDescent="0.2">
      <c r="G2056" s="199"/>
      <c r="I2056" s="199"/>
      <c r="K2056" s="199"/>
      <c r="M2056" s="199"/>
      <c r="N2056" s="200"/>
      <c r="P2056" s="199"/>
    </row>
    <row r="2057" spans="7:16" x14ac:dyDescent="0.2">
      <c r="G2057" s="199"/>
      <c r="I2057" s="199"/>
      <c r="K2057" s="199"/>
      <c r="M2057" s="199"/>
      <c r="N2057" s="200"/>
      <c r="P2057" s="199"/>
    </row>
    <row r="2058" spans="7:16" x14ac:dyDescent="0.2">
      <c r="G2058" s="199"/>
      <c r="I2058" s="199"/>
      <c r="K2058" s="199"/>
      <c r="M2058" s="199"/>
      <c r="N2058" s="200"/>
      <c r="P2058" s="199"/>
    </row>
    <row r="2059" spans="7:16" x14ac:dyDescent="0.2">
      <c r="G2059" s="199"/>
      <c r="I2059" s="199"/>
      <c r="K2059" s="199"/>
      <c r="M2059" s="199"/>
      <c r="N2059" s="200"/>
      <c r="P2059" s="199"/>
    </row>
    <row r="2060" spans="7:16" x14ac:dyDescent="0.2">
      <c r="G2060" s="199"/>
      <c r="I2060" s="199"/>
      <c r="K2060" s="199"/>
      <c r="M2060" s="199"/>
      <c r="N2060" s="200"/>
      <c r="P2060" s="199"/>
    </row>
    <row r="2061" spans="7:16" x14ac:dyDescent="0.2">
      <c r="G2061" s="199"/>
      <c r="I2061" s="199"/>
      <c r="K2061" s="199"/>
      <c r="M2061" s="199"/>
      <c r="N2061" s="200"/>
      <c r="P2061" s="199"/>
    </row>
    <row r="2062" spans="7:16" x14ac:dyDescent="0.2">
      <c r="G2062" s="199"/>
      <c r="I2062" s="199"/>
      <c r="K2062" s="199"/>
      <c r="M2062" s="199"/>
      <c r="N2062" s="200"/>
      <c r="P2062" s="199"/>
    </row>
    <row r="2063" spans="7:16" x14ac:dyDescent="0.2">
      <c r="G2063" s="199"/>
      <c r="I2063" s="199"/>
      <c r="K2063" s="199"/>
      <c r="M2063" s="199"/>
      <c r="N2063" s="200"/>
      <c r="P2063" s="199"/>
    </row>
    <row r="2064" spans="7:16" x14ac:dyDescent="0.2">
      <c r="G2064" s="199"/>
      <c r="I2064" s="199"/>
      <c r="K2064" s="199"/>
      <c r="M2064" s="199"/>
      <c r="N2064" s="200"/>
      <c r="P2064" s="199"/>
    </row>
    <row r="2065" spans="7:16" x14ac:dyDescent="0.2">
      <c r="G2065" s="199"/>
      <c r="I2065" s="199"/>
      <c r="K2065" s="199"/>
      <c r="M2065" s="199"/>
      <c r="N2065" s="200"/>
      <c r="P2065" s="199"/>
    </row>
    <row r="2066" spans="7:16" x14ac:dyDescent="0.2">
      <c r="G2066" s="199"/>
      <c r="I2066" s="199"/>
      <c r="K2066" s="199"/>
      <c r="M2066" s="199"/>
      <c r="N2066" s="200"/>
      <c r="P2066" s="199"/>
    </row>
    <row r="2067" spans="7:16" x14ac:dyDescent="0.2">
      <c r="G2067" s="199"/>
      <c r="I2067" s="199"/>
      <c r="K2067" s="199"/>
      <c r="M2067" s="199"/>
      <c r="N2067" s="200"/>
      <c r="P2067" s="199"/>
    </row>
    <row r="2068" spans="7:16" x14ac:dyDescent="0.2">
      <c r="G2068" s="199"/>
      <c r="I2068" s="199"/>
      <c r="K2068" s="199"/>
      <c r="M2068" s="199"/>
      <c r="N2068" s="200"/>
      <c r="P2068" s="199"/>
    </row>
    <row r="2069" spans="7:16" x14ac:dyDescent="0.2">
      <c r="G2069" s="199"/>
      <c r="I2069" s="199"/>
      <c r="K2069" s="199"/>
      <c r="M2069" s="199"/>
      <c r="N2069" s="200"/>
      <c r="P2069" s="199"/>
    </row>
    <row r="2070" spans="7:16" x14ac:dyDescent="0.2">
      <c r="G2070" s="199"/>
      <c r="I2070" s="199"/>
      <c r="K2070" s="199"/>
      <c r="M2070" s="199"/>
      <c r="N2070" s="200"/>
      <c r="P2070" s="199"/>
    </row>
    <row r="2071" spans="7:16" x14ac:dyDescent="0.2">
      <c r="G2071" s="199"/>
      <c r="I2071" s="199"/>
      <c r="K2071" s="199"/>
      <c r="M2071" s="199"/>
      <c r="N2071" s="200"/>
      <c r="P2071" s="199"/>
    </row>
    <row r="2072" spans="7:16" x14ac:dyDescent="0.2">
      <c r="G2072" s="199"/>
      <c r="I2072" s="199"/>
      <c r="K2072" s="199"/>
      <c r="M2072" s="199"/>
      <c r="N2072" s="200"/>
      <c r="P2072" s="199"/>
    </row>
    <row r="2073" spans="7:16" x14ac:dyDescent="0.2">
      <c r="G2073" s="199"/>
      <c r="I2073" s="199"/>
      <c r="K2073" s="199"/>
      <c r="M2073" s="199"/>
      <c r="N2073" s="200"/>
      <c r="P2073" s="199"/>
    </row>
    <row r="2074" spans="7:16" x14ac:dyDescent="0.2">
      <c r="G2074" s="199"/>
      <c r="I2074" s="199"/>
      <c r="K2074" s="199"/>
      <c r="M2074" s="199"/>
      <c r="N2074" s="200"/>
      <c r="P2074" s="199"/>
    </row>
    <row r="2075" spans="7:16" x14ac:dyDescent="0.2">
      <c r="G2075" s="199"/>
      <c r="I2075" s="199"/>
      <c r="K2075" s="199"/>
      <c r="M2075" s="199"/>
      <c r="N2075" s="200"/>
      <c r="P2075" s="199"/>
    </row>
    <row r="2076" spans="7:16" x14ac:dyDescent="0.2">
      <c r="G2076" s="199"/>
      <c r="I2076" s="199"/>
      <c r="K2076" s="199"/>
      <c r="M2076" s="199"/>
      <c r="N2076" s="200"/>
      <c r="P2076" s="199"/>
    </row>
    <row r="2077" spans="7:16" x14ac:dyDescent="0.2">
      <c r="G2077" s="199"/>
      <c r="I2077" s="199"/>
      <c r="K2077" s="199"/>
      <c r="M2077" s="199"/>
      <c r="N2077" s="200"/>
      <c r="P2077" s="199"/>
    </row>
    <row r="2078" spans="7:16" x14ac:dyDescent="0.2">
      <c r="G2078" s="199"/>
      <c r="I2078" s="199"/>
      <c r="K2078" s="199"/>
      <c r="M2078" s="199"/>
      <c r="N2078" s="200"/>
      <c r="P2078" s="199"/>
    </row>
    <row r="2079" spans="7:16" x14ac:dyDescent="0.2">
      <c r="G2079" s="199"/>
      <c r="I2079" s="199"/>
      <c r="K2079" s="199"/>
      <c r="M2079" s="199"/>
      <c r="N2079" s="200"/>
      <c r="P2079" s="199"/>
    </row>
    <row r="2080" spans="7:16" x14ac:dyDescent="0.2">
      <c r="G2080" s="199"/>
      <c r="I2080" s="199"/>
      <c r="K2080" s="199"/>
      <c r="M2080" s="199"/>
      <c r="N2080" s="200"/>
      <c r="P2080" s="199"/>
    </row>
    <row r="2081" spans="7:16" x14ac:dyDescent="0.2">
      <c r="G2081" s="199"/>
      <c r="I2081" s="199"/>
      <c r="K2081" s="199"/>
      <c r="M2081" s="199"/>
      <c r="N2081" s="200"/>
      <c r="P2081" s="199"/>
    </row>
    <row r="2082" spans="7:16" x14ac:dyDescent="0.2">
      <c r="G2082" s="199"/>
      <c r="I2082" s="199"/>
      <c r="K2082" s="199"/>
      <c r="M2082" s="199"/>
      <c r="N2082" s="200"/>
      <c r="P2082" s="199"/>
    </row>
    <row r="2083" spans="7:16" x14ac:dyDescent="0.2">
      <c r="G2083" s="199"/>
      <c r="I2083" s="199"/>
      <c r="K2083" s="199"/>
      <c r="M2083" s="199"/>
      <c r="N2083" s="200"/>
      <c r="P2083" s="199"/>
    </row>
    <row r="2084" spans="7:16" x14ac:dyDescent="0.2">
      <c r="G2084" s="199"/>
      <c r="I2084" s="199"/>
      <c r="K2084" s="199"/>
      <c r="M2084" s="199"/>
      <c r="N2084" s="200"/>
      <c r="P2084" s="199"/>
    </row>
    <row r="2085" spans="7:16" x14ac:dyDescent="0.2">
      <c r="G2085" s="199"/>
      <c r="I2085" s="199"/>
      <c r="K2085" s="199"/>
      <c r="M2085" s="199"/>
      <c r="N2085" s="200"/>
      <c r="P2085" s="199"/>
    </row>
    <row r="2086" spans="7:16" x14ac:dyDescent="0.2">
      <c r="G2086" s="199"/>
      <c r="I2086" s="199"/>
      <c r="K2086" s="199"/>
      <c r="M2086" s="199"/>
      <c r="N2086" s="200"/>
      <c r="P2086" s="199"/>
    </row>
    <row r="2087" spans="7:16" x14ac:dyDescent="0.2">
      <c r="G2087" s="199"/>
      <c r="I2087" s="199"/>
      <c r="K2087" s="199"/>
      <c r="M2087" s="199"/>
      <c r="N2087" s="200"/>
      <c r="P2087" s="199"/>
    </row>
    <row r="2088" spans="7:16" x14ac:dyDescent="0.2">
      <c r="G2088" s="199"/>
      <c r="I2088" s="199"/>
      <c r="K2088" s="199"/>
      <c r="M2088" s="199"/>
      <c r="N2088" s="200"/>
      <c r="P2088" s="199"/>
    </row>
    <row r="2089" spans="7:16" x14ac:dyDescent="0.2">
      <c r="G2089" s="199"/>
      <c r="I2089" s="199"/>
      <c r="K2089" s="199"/>
      <c r="M2089" s="199"/>
      <c r="N2089" s="200"/>
      <c r="P2089" s="199"/>
    </row>
    <row r="2090" spans="7:16" x14ac:dyDescent="0.2">
      <c r="G2090" s="199"/>
      <c r="I2090" s="199"/>
      <c r="K2090" s="199"/>
      <c r="M2090" s="199"/>
      <c r="N2090" s="200"/>
      <c r="P2090" s="199"/>
    </row>
    <row r="2091" spans="7:16" x14ac:dyDescent="0.2">
      <c r="G2091" s="199"/>
      <c r="I2091" s="199"/>
      <c r="K2091" s="199"/>
      <c r="M2091" s="199"/>
      <c r="N2091" s="200"/>
      <c r="P2091" s="199"/>
    </row>
    <row r="2092" spans="7:16" x14ac:dyDescent="0.2">
      <c r="G2092" s="199"/>
      <c r="I2092" s="199"/>
      <c r="K2092" s="199"/>
      <c r="M2092" s="199"/>
      <c r="N2092" s="200"/>
      <c r="P2092" s="199"/>
    </row>
    <row r="2093" spans="7:16" x14ac:dyDescent="0.2">
      <c r="G2093" s="199"/>
      <c r="I2093" s="199"/>
      <c r="K2093" s="199"/>
      <c r="M2093" s="199"/>
      <c r="N2093" s="200"/>
      <c r="P2093" s="199"/>
    </row>
    <row r="2094" spans="7:16" x14ac:dyDescent="0.2">
      <c r="G2094" s="199"/>
      <c r="I2094" s="199"/>
      <c r="K2094" s="199"/>
      <c r="M2094" s="199"/>
      <c r="N2094" s="200"/>
      <c r="P2094" s="199"/>
    </row>
    <row r="2095" spans="7:16" x14ac:dyDescent="0.2">
      <c r="G2095" s="199"/>
      <c r="I2095" s="199"/>
      <c r="K2095" s="199"/>
      <c r="M2095" s="199"/>
      <c r="N2095" s="200"/>
      <c r="P2095" s="199"/>
    </row>
    <row r="2096" spans="7:16" x14ac:dyDescent="0.2">
      <c r="G2096" s="199"/>
      <c r="I2096" s="199"/>
      <c r="K2096" s="199"/>
      <c r="M2096" s="199"/>
      <c r="N2096" s="200"/>
      <c r="P2096" s="199"/>
    </row>
    <row r="2097" spans="7:16" x14ac:dyDescent="0.2">
      <c r="G2097" s="199"/>
      <c r="I2097" s="199"/>
      <c r="K2097" s="199"/>
      <c r="M2097" s="199"/>
      <c r="N2097" s="200"/>
      <c r="P2097" s="199"/>
    </row>
    <row r="2098" spans="7:16" x14ac:dyDescent="0.2">
      <c r="G2098" s="199"/>
      <c r="I2098" s="199"/>
      <c r="K2098" s="199"/>
      <c r="M2098" s="199"/>
      <c r="N2098" s="200"/>
      <c r="P2098" s="199"/>
    </row>
    <row r="2099" spans="7:16" x14ac:dyDescent="0.2">
      <c r="G2099" s="199"/>
      <c r="I2099" s="199"/>
      <c r="K2099" s="199"/>
      <c r="M2099" s="199"/>
      <c r="N2099" s="200"/>
      <c r="P2099" s="199"/>
    </row>
    <row r="2100" spans="7:16" x14ac:dyDescent="0.2">
      <c r="G2100" s="199"/>
      <c r="I2100" s="199"/>
      <c r="K2100" s="199"/>
      <c r="M2100" s="199"/>
      <c r="N2100" s="200"/>
      <c r="P2100" s="199"/>
    </row>
    <row r="2101" spans="7:16" x14ac:dyDescent="0.2">
      <c r="G2101" s="199"/>
      <c r="I2101" s="199"/>
      <c r="K2101" s="199"/>
      <c r="M2101" s="199"/>
      <c r="N2101" s="200"/>
      <c r="P2101" s="199"/>
    </row>
    <row r="2102" spans="7:16" x14ac:dyDescent="0.2">
      <c r="G2102" s="199"/>
      <c r="I2102" s="199"/>
      <c r="K2102" s="199"/>
      <c r="M2102" s="199"/>
      <c r="N2102" s="200"/>
      <c r="P2102" s="199"/>
    </row>
    <row r="2103" spans="7:16" x14ac:dyDescent="0.2">
      <c r="G2103" s="199"/>
      <c r="I2103" s="199"/>
      <c r="K2103" s="199"/>
      <c r="M2103" s="199"/>
      <c r="N2103" s="200"/>
      <c r="P2103" s="199"/>
    </row>
    <row r="2104" spans="7:16" x14ac:dyDescent="0.2">
      <c r="G2104" s="199"/>
      <c r="I2104" s="199"/>
      <c r="K2104" s="199"/>
      <c r="M2104" s="199"/>
      <c r="N2104" s="200"/>
      <c r="P2104" s="199"/>
    </row>
    <row r="2105" spans="7:16" x14ac:dyDescent="0.2">
      <c r="G2105" s="199"/>
      <c r="I2105" s="199"/>
      <c r="K2105" s="199"/>
      <c r="M2105" s="199"/>
      <c r="N2105" s="200"/>
      <c r="P2105" s="199"/>
    </row>
    <row r="2106" spans="7:16" x14ac:dyDescent="0.2">
      <c r="G2106" s="199"/>
      <c r="I2106" s="199"/>
      <c r="K2106" s="199"/>
      <c r="M2106" s="199"/>
      <c r="N2106" s="200"/>
      <c r="P2106" s="199"/>
    </row>
    <row r="2107" spans="7:16" x14ac:dyDescent="0.2">
      <c r="G2107" s="199"/>
      <c r="I2107" s="199"/>
      <c r="K2107" s="199"/>
      <c r="M2107" s="199"/>
      <c r="N2107" s="200"/>
      <c r="P2107" s="199"/>
    </row>
    <row r="2108" spans="7:16" x14ac:dyDescent="0.2">
      <c r="G2108" s="199"/>
      <c r="I2108" s="199"/>
      <c r="K2108" s="199"/>
      <c r="M2108" s="199"/>
      <c r="N2108" s="200"/>
      <c r="P2108" s="199"/>
    </row>
    <row r="2109" spans="7:16" x14ac:dyDescent="0.2">
      <c r="G2109" s="199"/>
      <c r="I2109" s="199"/>
      <c r="K2109" s="199"/>
      <c r="M2109" s="199"/>
      <c r="N2109" s="200"/>
      <c r="P2109" s="199"/>
    </row>
    <row r="2110" spans="7:16" x14ac:dyDescent="0.2">
      <c r="G2110" s="199"/>
      <c r="I2110" s="199"/>
      <c r="K2110" s="199"/>
      <c r="M2110" s="199"/>
      <c r="N2110" s="200"/>
      <c r="P2110" s="199"/>
    </row>
    <row r="2111" spans="7:16" x14ac:dyDescent="0.2">
      <c r="G2111" s="199"/>
      <c r="I2111" s="199"/>
      <c r="K2111" s="199"/>
      <c r="M2111" s="199"/>
      <c r="N2111" s="200"/>
      <c r="P2111" s="199"/>
    </row>
    <row r="2112" spans="7:16" x14ac:dyDescent="0.2">
      <c r="G2112" s="199"/>
      <c r="I2112" s="199"/>
      <c r="K2112" s="199"/>
      <c r="M2112" s="199"/>
      <c r="N2112" s="200"/>
      <c r="P2112" s="199"/>
    </row>
    <row r="2113" spans="7:16" x14ac:dyDescent="0.2">
      <c r="G2113" s="199"/>
      <c r="I2113" s="199"/>
      <c r="K2113" s="199"/>
      <c r="M2113" s="199"/>
      <c r="N2113" s="200"/>
      <c r="P2113" s="199"/>
    </row>
    <row r="2114" spans="7:16" x14ac:dyDescent="0.2">
      <c r="G2114" s="199"/>
      <c r="I2114" s="199"/>
      <c r="K2114" s="199"/>
      <c r="M2114" s="199"/>
      <c r="N2114" s="200"/>
      <c r="P2114" s="199"/>
    </row>
    <row r="2115" spans="7:16" x14ac:dyDescent="0.2">
      <c r="G2115" s="199"/>
      <c r="I2115" s="199"/>
      <c r="K2115" s="199"/>
      <c r="M2115" s="199"/>
      <c r="N2115" s="200"/>
      <c r="P2115" s="199"/>
    </row>
    <row r="2116" spans="7:16" x14ac:dyDescent="0.2">
      <c r="G2116" s="199"/>
      <c r="I2116" s="199"/>
      <c r="K2116" s="199"/>
      <c r="M2116" s="199"/>
      <c r="N2116" s="200"/>
      <c r="P2116" s="199"/>
    </row>
    <row r="2117" spans="7:16" x14ac:dyDescent="0.2">
      <c r="G2117" s="199"/>
      <c r="I2117" s="199"/>
      <c r="K2117" s="199"/>
      <c r="M2117" s="199"/>
      <c r="N2117" s="200"/>
      <c r="P2117" s="199"/>
    </row>
    <row r="2118" spans="7:16" x14ac:dyDescent="0.2">
      <c r="G2118" s="199"/>
      <c r="I2118" s="199"/>
      <c r="K2118" s="199"/>
      <c r="M2118" s="199"/>
      <c r="N2118" s="200"/>
      <c r="P2118" s="199"/>
    </row>
    <row r="2119" spans="7:16" x14ac:dyDescent="0.2">
      <c r="G2119" s="199"/>
      <c r="I2119" s="199"/>
      <c r="K2119" s="199"/>
      <c r="M2119" s="199"/>
      <c r="N2119" s="200"/>
      <c r="P2119" s="199"/>
    </row>
    <row r="2120" spans="7:16" x14ac:dyDescent="0.2">
      <c r="G2120" s="199"/>
      <c r="I2120" s="199"/>
      <c r="K2120" s="199"/>
      <c r="M2120" s="199"/>
      <c r="N2120" s="200"/>
      <c r="P2120" s="199"/>
    </row>
    <row r="2121" spans="7:16" x14ac:dyDescent="0.2">
      <c r="G2121" s="199"/>
      <c r="I2121" s="199"/>
      <c r="K2121" s="199"/>
      <c r="M2121" s="199"/>
      <c r="N2121" s="200"/>
      <c r="P2121" s="199"/>
    </row>
    <row r="2122" spans="7:16" x14ac:dyDescent="0.2">
      <c r="G2122" s="199"/>
      <c r="I2122" s="199"/>
      <c r="K2122" s="199"/>
      <c r="M2122" s="199"/>
      <c r="N2122" s="200"/>
      <c r="P2122" s="199"/>
    </row>
    <row r="2123" spans="7:16" x14ac:dyDescent="0.2">
      <c r="G2123" s="199"/>
      <c r="I2123" s="199"/>
      <c r="K2123" s="199"/>
      <c r="M2123" s="199"/>
      <c r="N2123" s="200"/>
      <c r="P2123" s="199"/>
    </row>
    <row r="2124" spans="7:16" x14ac:dyDescent="0.2">
      <c r="G2124" s="199"/>
      <c r="I2124" s="199"/>
      <c r="K2124" s="199"/>
      <c r="M2124" s="199"/>
      <c r="N2124" s="200"/>
      <c r="P2124" s="199"/>
    </row>
    <row r="2125" spans="7:16" x14ac:dyDescent="0.2">
      <c r="G2125" s="199"/>
      <c r="I2125" s="199"/>
      <c r="K2125" s="199"/>
      <c r="M2125" s="199"/>
      <c r="N2125" s="200"/>
      <c r="P2125" s="199"/>
    </row>
    <row r="2126" spans="7:16" x14ac:dyDescent="0.2">
      <c r="G2126" s="199"/>
      <c r="I2126" s="199"/>
      <c r="K2126" s="199"/>
      <c r="M2126" s="199"/>
      <c r="N2126" s="200"/>
      <c r="P2126" s="199"/>
    </row>
    <row r="2127" spans="7:16" x14ac:dyDescent="0.2">
      <c r="G2127" s="199"/>
      <c r="I2127" s="199"/>
      <c r="K2127" s="199"/>
      <c r="M2127" s="199"/>
      <c r="N2127" s="200"/>
      <c r="P2127" s="199"/>
    </row>
    <row r="2128" spans="7:16" x14ac:dyDescent="0.2">
      <c r="G2128" s="199"/>
      <c r="I2128" s="199"/>
      <c r="K2128" s="199"/>
      <c r="M2128" s="199"/>
      <c r="N2128" s="200"/>
      <c r="P2128" s="199"/>
    </row>
    <row r="2129" spans="7:16" x14ac:dyDescent="0.2">
      <c r="G2129" s="199"/>
      <c r="I2129" s="199"/>
      <c r="K2129" s="199"/>
      <c r="M2129" s="199"/>
      <c r="N2129" s="200"/>
      <c r="P2129" s="199"/>
    </row>
    <row r="2130" spans="7:16" x14ac:dyDescent="0.2">
      <c r="G2130" s="199"/>
      <c r="I2130" s="199"/>
      <c r="K2130" s="199"/>
      <c r="M2130" s="199"/>
      <c r="N2130" s="200"/>
      <c r="P2130" s="199"/>
    </row>
    <row r="2131" spans="7:16" x14ac:dyDescent="0.2">
      <c r="G2131" s="199"/>
      <c r="I2131" s="199"/>
      <c r="K2131" s="199"/>
      <c r="M2131" s="199"/>
      <c r="N2131" s="200"/>
      <c r="P2131" s="199"/>
    </row>
    <row r="2132" spans="7:16" x14ac:dyDescent="0.2">
      <c r="G2132" s="199"/>
      <c r="I2132" s="199"/>
      <c r="K2132" s="199"/>
      <c r="M2132" s="199"/>
      <c r="N2132" s="200"/>
      <c r="P2132" s="199"/>
    </row>
    <row r="2133" spans="7:16" x14ac:dyDescent="0.2">
      <c r="G2133" s="199"/>
      <c r="I2133" s="199"/>
      <c r="K2133" s="199"/>
      <c r="M2133" s="199"/>
      <c r="N2133" s="200"/>
      <c r="P2133" s="199"/>
    </row>
    <row r="2134" spans="7:16" x14ac:dyDescent="0.2">
      <c r="G2134" s="199"/>
      <c r="I2134" s="199"/>
      <c r="K2134" s="199"/>
      <c r="M2134" s="199"/>
      <c r="N2134" s="200"/>
      <c r="P2134" s="199"/>
    </row>
    <row r="2135" spans="7:16" x14ac:dyDescent="0.2">
      <c r="G2135" s="199"/>
      <c r="I2135" s="199"/>
      <c r="K2135" s="199"/>
      <c r="M2135" s="199"/>
      <c r="N2135" s="200"/>
      <c r="P2135" s="199"/>
    </row>
    <row r="2136" spans="7:16" x14ac:dyDescent="0.2">
      <c r="G2136" s="199"/>
      <c r="I2136" s="199"/>
      <c r="K2136" s="199"/>
      <c r="M2136" s="199"/>
      <c r="N2136" s="200"/>
      <c r="P2136" s="199"/>
    </row>
    <row r="2137" spans="7:16" x14ac:dyDescent="0.2">
      <c r="G2137" s="199"/>
      <c r="I2137" s="199"/>
      <c r="K2137" s="199"/>
      <c r="M2137" s="199"/>
      <c r="N2137" s="200"/>
      <c r="P2137" s="199"/>
    </row>
    <row r="2138" spans="7:16" x14ac:dyDescent="0.2">
      <c r="G2138" s="199"/>
      <c r="I2138" s="199"/>
      <c r="K2138" s="199"/>
      <c r="M2138" s="199"/>
      <c r="N2138" s="200"/>
      <c r="P2138" s="199"/>
    </row>
    <row r="2139" spans="7:16" x14ac:dyDescent="0.2">
      <c r="G2139" s="199"/>
      <c r="I2139" s="199"/>
      <c r="K2139" s="199"/>
      <c r="M2139" s="199"/>
      <c r="N2139" s="200"/>
      <c r="P2139" s="199"/>
    </row>
    <row r="2140" spans="7:16" x14ac:dyDescent="0.2">
      <c r="G2140" s="199"/>
      <c r="I2140" s="199"/>
      <c r="K2140" s="199"/>
      <c r="M2140" s="199"/>
      <c r="N2140" s="200"/>
      <c r="P2140" s="199"/>
    </row>
    <row r="2141" spans="7:16" x14ac:dyDescent="0.2">
      <c r="G2141" s="199"/>
      <c r="I2141" s="199"/>
      <c r="K2141" s="199"/>
      <c r="M2141" s="199"/>
      <c r="N2141" s="200"/>
      <c r="P2141" s="199"/>
    </row>
    <row r="2142" spans="7:16" x14ac:dyDescent="0.2">
      <c r="G2142" s="199"/>
      <c r="I2142" s="199"/>
      <c r="K2142" s="199"/>
      <c r="M2142" s="199"/>
      <c r="N2142" s="200"/>
      <c r="P2142" s="199"/>
    </row>
    <row r="2143" spans="7:16" x14ac:dyDescent="0.2">
      <c r="G2143" s="199"/>
      <c r="I2143" s="199"/>
      <c r="K2143" s="199"/>
      <c r="M2143" s="199"/>
      <c r="N2143" s="200"/>
      <c r="P2143" s="199"/>
    </row>
    <row r="2144" spans="7:16" x14ac:dyDescent="0.2">
      <c r="G2144" s="199"/>
      <c r="I2144" s="199"/>
      <c r="K2144" s="199"/>
      <c r="M2144" s="199"/>
      <c r="N2144" s="200"/>
      <c r="P2144" s="199"/>
    </row>
    <row r="2145" spans="7:16" x14ac:dyDescent="0.2">
      <c r="G2145" s="199"/>
      <c r="I2145" s="199"/>
      <c r="K2145" s="199"/>
      <c r="M2145" s="199"/>
      <c r="N2145" s="200"/>
      <c r="P2145" s="199"/>
    </row>
    <row r="2146" spans="7:16" x14ac:dyDescent="0.2">
      <c r="G2146" s="199"/>
      <c r="I2146" s="199"/>
      <c r="K2146" s="199"/>
      <c r="M2146" s="199"/>
      <c r="N2146" s="200"/>
      <c r="P2146" s="199"/>
    </row>
    <row r="2147" spans="7:16" x14ac:dyDescent="0.2">
      <c r="G2147" s="199"/>
      <c r="I2147" s="199"/>
      <c r="K2147" s="199"/>
      <c r="M2147" s="199"/>
      <c r="N2147" s="200"/>
      <c r="P2147" s="199"/>
    </row>
    <row r="2148" spans="7:16" x14ac:dyDescent="0.2">
      <c r="G2148" s="199"/>
      <c r="I2148" s="199"/>
      <c r="K2148" s="199"/>
      <c r="M2148" s="199"/>
      <c r="N2148" s="200"/>
      <c r="P2148" s="199"/>
    </row>
    <row r="2149" spans="7:16" x14ac:dyDescent="0.2">
      <c r="G2149" s="199"/>
      <c r="I2149" s="199"/>
      <c r="K2149" s="199"/>
      <c r="M2149" s="199"/>
      <c r="N2149" s="200"/>
      <c r="P2149" s="199"/>
    </row>
    <row r="2150" spans="7:16" x14ac:dyDescent="0.2">
      <c r="G2150" s="199"/>
      <c r="I2150" s="199"/>
      <c r="K2150" s="199"/>
      <c r="M2150" s="199"/>
      <c r="N2150" s="200"/>
      <c r="P2150" s="199"/>
    </row>
    <row r="2151" spans="7:16" x14ac:dyDescent="0.2">
      <c r="G2151" s="199"/>
      <c r="I2151" s="199"/>
      <c r="K2151" s="199"/>
      <c r="M2151" s="199"/>
      <c r="N2151" s="200"/>
      <c r="P2151" s="199"/>
    </row>
    <row r="2152" spans="7:16" x14ac:dyDescent="0.2">
      <c r="G2152" s="199"/>
      <c r="I2152" s="199"/>
      <c r="K2152" s="199"/>
      <c r="M2152" s="199"/>
      <c r="N2152" s="200"/>
      <c r="P2152" s="199"/>
    </row>
    <row r="2153" spans="7:16" x14ac:dyDescent="0.2">
      <c r="G2153" s="199"/>
      <c r="I2153" s="199"/>
      <c r="K2153" s="199"/>
      <c r="M2153" s="199"/>
      <c r="N2153" s="200"/>
      <c r="P2153" s="199"/>
    </row>
    <row r="2154" spans="7:16" x14ac:dyDescent="0.2">
      <c r="G2154" s="199"/>
      <c r="I2154" s="199"/>
      <c r="K2154" s="199"/>
      <c r="M2154" s="199"/>
      <c r="N2154" s="200"/>
      <c r="P2154" s="199"/>
    </row>
    <row r="2155" spans="7:16" x14ac:dyDescent="0.2">
      <c r="G2155" s="199"/>
      <c r="I2155" s="199"/>
      <c r="K2155" s="199"/>
      <c r="M2155" s="199"/>
      <c r="N2155" s="200"/>
      <c r="P2155" s="199"/>
    </row>
    <row r="2156" spans="7:16" x14ac:dyDescent="0.2">
      <c r="G2156" s="199"/>
      <c r="I2156" s="199"/>
      <c r="K2156" s="199"/>
      <c r="M2156" s="199"/>
      <c r="N2156" s="200"/>
      <c r="P2156" s="199"/>
    </row>
    <row r="2157" spans="7:16" x14ac:dyDescent="0.2">
      <c r="G2157" s="199"/>
      <c r="I2157" s="199"/>
      <c r="K2157" s="199"/>
      <c r="M2157" s="199"/>
      <c r="N2157" s="200"/>
      <c r="P2157" s="199"/>
    </row>
    <row r="2158" spans="7:16" x14ac:dyDescent="0.2">
      <c r="G2158" s="199"/>
      <c r="I2158" s="199"/>
      <c r="K2158" s="199"/>
      <c r="M2158" s="199"/>
      <c r="N2158" s="200"/>
      <c r="P2158" s="199"/>
    </row>
    <row r="2159" spans="7:16" x14ac:dyDescent="0.2">
      <c r="G2159" s="199"/>
      <c r="I2159" s="199"/>
      <c r="K2159" s="199"/>
      <c r="M2159" s="199"/>
      <c r="N2159" s="200"/>
      <c r="P2159" s="199"/>
    </row>
    <row r="2160" spans="7:16" x14ac:dyDescent="0.2">
      <c r="G2160" s="199"/>
      <c r="I2160" s="199"/>
      <c r="K2160" s="199"/>
      <c r="M2160" s="199"/>
      <c r="N2160" s="200"/>
      <c r="P2160" s="199"/>
    </row>
    <row r="2161" spans="7:16" x14ac:dyDescent="0.2">
      <c r="G2161" s="199"/>
      <c r="I2161" s="199"/>
      <c r="K2161" s="199"/>
      <c r="M2161" s="199"/>
      <c r="N2161" s="200"/>
      <c r="P2161" s="199"/>
    </row>
    <row r="2162" spans="7:16" x14ac:dyDescent="0.2">
      <c r="G2162" s="199"/>
      <c r="I2162" s="199"/>
      <c r="K2162" s="199"/>
      <c r="M2162" s="199"/>
      <c r="N2162" s="200"/>
      <c r="P2162" s="199"/>
    </row>
    <row r="2163" spans="7:16" x14ac:dyDescent="0.2">
      <c r="G2163" s="199"/>
      <c r="I2163" s="199"/>
      <c r="K2163" s="199"/>
      <c r="M2163" s="199"/>
      <c r="N2163" s="200"/>
      <c r="P2163" s="199"/>
    </row>
    <row r="2164" spans="7:16" x14ac:dyDescent="0.2">
      <c r="G2164" s="199"/>
      <c r="I2164" s="199"/>
      <c r="K2164" s="199"/>
      <c r="M2164" s="199"/>
      <c r="N2164" s="200"/>
      <c r="P2164" s="199"/>
    </row>
    <row r="2165" spans="7:16" x14ac:dyDescent="0.2">
      <c r="G2165" s="199"/>
      <c r="I2165" s="199"/>
      <c r="K2165" s="199"/>
      <c r="M2165" s="199"/>
      <c r="N2165" s="200"/>
      <c r="P2165" s="199"/>
    </row>
    <row r="2166" spans="7:16" x14ac:dyDescent="0.2">
      <c r="G2166" s="199"/>
      <c r="I2166" s="199"/>
      <c r="K2166" s="199"/>
      <c r="M2166" s="199"/>
      <c r="N2166" s="200"/>
      <c r="P2166" s="199"/>
    </row>
    <row r="2167" spans="7:16" x14ac:dyDescent="0.2">
      <c r="G2167" s="199"/>
      <c r="I2167" s="199"/>
      <c r="K2167" s="199"/>
      <c r="M2167" s="199"/>
      <c r="N2167" s="200"/>
      <c r="P2167" s="199"/>
    </row>
    <row r="2168" spans="7:16" x14ac:dyDescent="0.2">
      <c r="G2168" s="199"/>
      <c r="I2168" s="199"/>
      <c r="K2168" s="199"/>
      <c r="M2168" s="199"/>
      <c r="N2168" s="200"/>
      <c r="P2168" s="199"/>
    </row>
    <row r="2169" spans="7:16" x14ac:dyDescent="0.2">
      <c r="G2169" s="199"/>
      <c r="I2169" s="199"/>
      <c r="K2169" s="199"/>
      <c r="M2169" s="199"/>
      <c r="N2169" s="200"/>
      <c r="P2169" s="199"/>
    </row>
    <row r="2170" spans="7:16" x14ac:dyDescent="0.2">
      <c r="G2170" s="199"/>
      <c r="I2170" s="199"/>
      <c r="K2170" s="199"/>
      <c r="M2170" s="199"/>
      <c r="N2170" s="200"/>
      <c r="P2170" s="199"/>
    </row>
    <row r="2171" spans="7:16" x14ac:dyDescent="0.2">
      <c r="G2171" s="199"/>
      <c r="I2171" s="199"/>
      <c r="K2171" s="199"/>
      <c r="M2171" s="199"/>
      <c r="N2171" s="200"/>
      <c r="P2171" s="199"/>
    </row>
    <row r="2172" spans="7:16" x14ac:dyDescent="0.2">
      <c r="G2172" s="199"/>
      <c r="I2172" s="199"/>
      <c r="K2172" s="199"/>
      <c r="M2172" s="199"/>
      <c r="N2172" s="200"/>
      <c r="P2172" s="199"/>
    </row>
    <row r="2173" spans="7:16" x14ac:dyDescent="0.2">
      <c r="G2173" s="199"/>
      <c r="I2173" s="199"/>
      <c r="K2173" s="199"/>
      <c r="M2173" s="199"/>
      <c r="N2173" s="200"/>
      <c r="P2173" s="199"/>
    </row>
    <row r="2174" spans="7:16" x14ac:dyDescent="0.2">
      <c r="G2174" s="199"/>
      <c r="I2174" s="199"/>
      <c r="K2174" s="199"/>
      <c r="M2174" s="199"/>
      <c r="N2174" s="200"/>
      <c r="P2174" s="199"/>
    </row>
    <row r="2175" spans="7:16" x14ac:dyDescent="0.2">
      <c r="G2175" s="199"/>
      <c r="I2175" s="199"/>
      <c r="K2175" s="199"/>
      <c r="M2175" s="199"/>
      <c r="N2175" s="200"/>
      <c r="P2175" s="199"/>
    </row>
    <row r="2176" spans="7:16" x14ac:dyDescent="0.2">
      <c r="G2176" s="199"/>
      <c r="I2176" s="199"/>
      <c r="K2176" s="199"/>
      <c r="M2176" s="199"/>
      <c r="N2176" s="200"/>
      <c r="P2176" s="199"/>
    </row>
    <row r="2177" spans="7:16" x14ac:dyDescent="0.2">
      <c r="G2177" s="199"/>
      <c r="I2177" s="199"/>
      <c r="K2177" s="199"/>
      <c r="M2177" s="199"/>
      <c r="N2177" s="200"/>
      <c r="P2177" s="199"/>
    </row>
    <row r="2178" spans="7:16" x14ac:dyDescent="0.2">
      <c r="G2178" s="199"/>
      <c r="I2178" s="199"/>
      <c r="K2178" s="199"/>
      <c r="M2178" s="199"/>
      <c r="N2178" s="200"/>
      <c r="P2178" s="199"/>
    </row>
    <row r="2179" spans="7:16" x14ac:dyDescent="0.2">
      <c r="G2179" s="199"/>
      <c r="I2179" s="199"/>
      <c r="K2179" s="199"/>
      <c r="M2179" s="199"/>
      <c r="N2179" s="200"/>
      <c r="P2179" s="199"/>
    </row>
    <row r="2180" spans="7:16" x14ac:dyDescent="0.2">
      <c r="G2180" s="199"/>
      <c r="I2180" s="199"/>
      <c r="K2180" s="199"/>
      <c r="M2180" s="199"/>
      <c r="N2180" s="200"/>
      <c r="P2180" s="199"/>
    </row>
    <row r="2181" spans="7:16" x14ac:dyDescent="0.2">
      <c r="G2181" s="199"/>
      <c r="I2181" s="199"/>
      <c r="K2181" s="199"/>
      <c r="M2181" s="199"/>
      <c r="N2181" s="200"/>
      <c r="P2181" s="199"/>
    </row>
    <row r="2182" spans="7:16" x14ac:dyDescent="0.2">
      <c r="G2182" s="199"/>
      <c r="I2182" s="199"/>
      <c r="K2182" s="199"/>
      <c r="M2182" s="199"/>
      <c r="N2182" s="200"/>
      <c r="P2182" s="199"/>
    </row>
    <row r="2183" spans="7:16" x14ac:dyDescent="0.2">
      <c r="G2183" s="199"/>
      <c r="I2183" s="199"/>
      <c r="K2183" s="199"/>
      <c r="M2183" s="199"/>
      <c r="N2183" s="200"/>
      <c r="P2183" s="199"/>
    </row>
    <row r="2184" spans="7:16" x14ac:dyDescent="0.2">
      <c r="G2184" s="199"/>
      <c r="I2184" s="199"/>
      <c r="K2184" s="199"/>
      <c r="M2184" s="199"/>
      <c r="N2184" s="200"/>
      <c r="P2184" s="199"/>
    </row>
    <row r="2185" spans="7:16" x14ac:dyDescent="0.2">
      <c r="G2185" s="199"/>
      <c r="I2185" s="199"/>
      <c r="K2185" s="199"/>
      <c r="M2185" s="199"/>
      <c r="N2185" s="200"/>
      <c r="P2185" s="199"/>
    </row>
    <row r="2186" spans="7:16" x14ac:dyDescent="0.2">
      <c r="G2186" s="199"/>
      <c r="I2186" s="199"/>
      <c r="K2186" s="199"/>
      <c r="M2186" s="199"/>
      <c r="N2186" s="200"/>
      <c r="P2186" s="199"/>
    </row>
    <row r="2187" spans="7:16" x14ac:dyDescent="0.2">
      <c r="G2187" s="199"/>
      <c r="I2187" s="199"/>
      <c r="K2187" s="199"/>
      <c r="M2187" s="199"/>
      <c r="N2187" s="200"/>
      <c r="P2187" s="199"/>
    </row>
    <row r="2188" spans="7:16" x14ac:dyDescent="0.2">
      <c r="G2188" s="199"/>
      <c r="I2188" s="199"/>
      <c r="K2188" s="199"/>
      <c r="M2188" s="199"/>
      <c r="N2188" s="200"/>
      <c r="P2188" s="199"/>
    </row>
    <row r="2189" spans="7:16" x14ac:dyDescent="0.2">
      <c r="G2189" s="199"/>
      <c r="I2189" s="199"/>
      <c r="K2189" s="199"/>
      <c r="M2189" s="199"/>
      <c r="N2189" s="200"/>
      <c r="P2189" s="199"/>
    </row>
    <row r="2190" spans="7:16" x14ac:dyDescent="0.2">
      <c r="G2190" s="199"/>
      <c r="I2190" s="199"/>
      <c r="K2190" s="199"/>
      <c r="M2190" s="199"/>
      <c r="N2190" s="200"/>
      <c r="P2190" s="199"/>
    </row>
    <row r="2191" spans="7:16" x14ac:dyDescent="0.2">
      <c r="G2191" s="199"/>
      <c r="I2191" s="199"/>
      <c r="K2191" s="199"/>
      <c r="M2191" s="199"/>
      <c r="N2191" s="200"/>
      <c r="P2191" s="199"/>
    </row>
    <row r="2192" spans="7:16" x14ac:dyDescent="0.2">
      <c r="G2192" s="199"/>
      <c r="I2192" s="199"/>
      <c r="K2192" s="199"/>
      <c r="M2192" s="199"/>
      <c r="N2192" s="200"/>
      <c r="P2192" s="199"/>
    </row>
    <row r="2193" spans="7:16" x14ac:dyDescent="0.2">
      <c r="G2193" s="199"/>
      <c r="I2193" s="199"/>
      <c r="K2193" s="199"/>
      <c r="M2193" s="199"/>
      <c r="N2193" s="200"/>
      <c r="P2193" s="199"/>
    </row>
    <row r="2194" spans="7:16" x14ac:dyDescent="0.2">
      <c r="G2194" s="199"/>
      <c r="I2194" s="199"/>
      <c r="K2194" s="199"/>
      <c r="M2194" s="199"/>
      <c r="N2194" s="200"/>
      <c r="P2194" s="199"/>
    </row>
    <row r="2195" spans="7:16" x14ac:dyDescent="0.2">
      <c r="G2195" s="199"/>
      <c r="I2195" s="199"/>
      <c r="K2195" s="199"/>
      <c r="M2195" s="199"/>
      <c r="N2195" s="200"/>
      <c r="P2195" s="199"/>
    </row>
    <row r="2196" spans="7:16" x14ac:dyDescent="0.2">
      <c r="G2196" s="199"/>
      <c r="I2196" s="199"/>
      <c r="K2196" s="199"/>
      <c r="M2196" s="199"/>
      <c r="N2196" s="200"/>
      <c r="P2196" s="199"/>
    </row>
    <row r="2197" spans="7:16" x14ac:dyDescent="0.2">
      <c r="G2197" s="199"/>
      <c r="I2197" s="199"/>
      <c r="K2197" s="199"/>
      <c r="M2197" s="199"/>
      <c r="N2197" s="200"/>
      <c r="P2197" s="199"/>
    </row>
    <row r="2198" spans="7:16" x14ac:dyDescent="0.2">
      <c r="G2198" s="199"/>
      <c r="I2198" s="199"/>
      <c r="K2198" s="199"/>
      <c r="M2198" s="199"/>
      <c r="N2198" s="200"/>
      <c r="P2198" s="199"/>
    </row>
    <row r="2199" spans="7:16" x14ac:dyDescent="0.2">
      <c r="G2199" s="199"/>
      <c r="I2199" s="199"/>
      <c r="K2199" s="199"/>
      <c r="M2199" s="199"/>
      <c r="N2199" s="200"/>
      <c r="P2199" s="199"/>
    </row>
    <row r="2200" spans="7:16" x14ac:dyDescent="0.2">
      <c r="G2200" s="199"/>
      <c r="I2200" s="199"/>
      <c r="K2200" s="199"/>
      <c r="M2200" s="199"/>
      <c r="N2200" s="200"/>
      <c r="P2200" s="199"/>
    </row>
    <row r="2201" spans="7:16" x14ac:dyDescent="0.2">
      <c r="G2201" s="199"/>
      <c r="I2201" s="199"/>
      <c r="K2201" s="199"/>
      <c r="M2201" s="199"/>
      <c r="N2201" s="200"/>
      <c r="P2201" s="199"/>
    </row>
    <row r="2202" spans="7:16" x14ac:dyDescent="0.2">
      <c r="G2202" s="199"/>
      <c r="I2202" s="199"/>
      <c r="K2202" s="199"/>
      <c r="M2202" s="199"/>
      <c r="N2202" s="200"/>
      <c r="P2202" s="199"/>
    </row>
    <row r="2203" spans="7:16" x14ac:dyDescent="0.2">
      <c r="G2203" s="199"/>
      <c r="I2203" s="199"/>
      <c r="K2203" s="199"/>
      <c r="M2203" s="199"/>
      <c r="N2203" s="200"/>
      <c r="P2203" s="199"/>
    </row>
    <row r="2204" spans="7:16" x14ac:dyDescent="0.2">
      <c r="G2204" s="199"/>
      <c r="I2204" s="199"/>
      <c r="K2204" s="199"/>
      <c r="M2204" s="199"/>
      <c r="N2204" s="200"/>
      <c r="P2204" s="199"/>
    </row>
    <row r="2205" spans="7:16" x14ac:dyDescent="0.2">
      <c r="G2205" s="199"/>
      <c r="I2205" s="199"/>
      <c r="K2205" s="199"/>
      <c r="M2205" s="199"/>
      <c r="N2205" s="200"/>
      <c r="P2205" s="199"/>
    </row>
    <row r="2206" spans="7:16" x14ac:dyDescent="0.2">
      <c r="G2206" s="199"/>
      <c r="I2206" s="199"/>
      <c r="K2206" s="199"/>
      <c r="M2206" s="199"/>
      <c r="N2206" s="200"/>
      <c r="P2206" s="199"/>
    </row>
    <row r="2207" spans="7:16" x14ac:dyDescent="0.2">
      <c r="G2207" s="199"/>
      <c r="I2207" s="199"/>
      <c r="K2207" s="199"/>
      <c r="M2207" s="199"/>
      <c r="N2207" s="200"/>
      <c r="P2207" s="199"/>
    </row>
    <row r="2208" spans="7:16" x14ac:dyDescent="0.2">
      <c r="G2208" s="199"/>
      <c r="I2208" s="199"/>
      <c r="K2208" s="199"/>
      <c r="M2208" s="199"/>
      <c r="N2208" s="200"/>
      <c r="P2208" s="199"/>
    </row>
    <row r="2209" spans="7:16" x14ac:dyDescent="0.2">
      <c r="G2209" s="199"/>
      <c r="I2209" s="199"/>
      <c r="K2209" s="199"/>
      <c r="M2209" s="199"/>
      <c r="N2209" s="200"/>
      <c r="P2209" s="199"/>
    </row>
    <row r="2210" spans="7:16" x14ac:dyDescent="0.2">
      <c r="G2210" s="199"/>
      <c r="I2210" s="199"/>
      <c r="K2210" s="199"/>
      <c r="M2210" s="199"/>
      <c r="N2210" s="200"/>
      <c r="P2210" s="199"/>
    </row>
    <row r="2211" spans="7:16" x14ac:dyDescent="0.2">
      <c r="G2211" s="199"/>
      <c r="I2211" s="199"/>
      <c r="K2211" s="199"/>
      <c r="M2211" s="199"/>
      <c r="N2211" s="200"/>
      <c r="P2211" s="199"/>
    </row>
    <row r="2212" spans="7:16" x14ac:dyDescent="0.2">
      <c r="G2212" s="199"/>
      <c r="I2212" s="199"/>
      <c r="K2212" s="199"/>
      <c r="M2212" s="199"/>
      <c r="N2212" s="200"/>
      <c r="P2212" s="199"/>
    </row>
    <row r="2213" spans="7:16" x14ac:dyDescent="0.2">
      <c r="G2213" s="199"/>
      <c r="I2213" s="199"/>
      <c r="K2213" s="199"/>
      <c r="M2213" s="199"/>
      <c r="N2213" s="200"/>
      <c r="P2213" s="199"/>
    </row>
    <row r="2214" spans="7:16" x14ac:dyDescent="0.2">
      <c r="G2214" s="199"/>
      <c r="I2214" s="199"/>
      <c r="K2214" s="199"/>
      <c r="M2214" s="199"/>
      <c r="N2214" s="200"/>
      <c r="P2214" s="199"/>
    </row>
    <row r="2215" spans="7:16" x14ac:dyDescent="0.2">
      <c r="G2215" s="199"/>
      <c r="I2215" s="199"/>
      <c r="K2215" s="199"/>
      <c r="M2215" s="199"/>
      <c r="N2215" s="200"/>
      <c r="P2215" s="199"/>
    </row>
    <row r="2216" spans="7:16" x14ac:dyDescent="0.2">
      <c r="G2216" s="199"/>
      <c r="I2216" s="199"/>
      <c r="K2216" s="199"/>
      <c r="M2216" s="199"/>
      <c r="N2216" s="200"/>
      <c r="P2216" s="199"/>
    </row>
    <row r="2217" spans="7:16" x14ac:dyDescent="0.2">
      <c r="G2217" s="199"/>
      <c r="I2217" s="199"/>
      <c r="K2217" s="199"/>
      <c r="M2217" s="199"/>
      <c r="N2217" s="200"/>
      <c r="P2217" s="199"/>
    </row>
    <row r="2218" spans="7:16" x14ac:dyDescent="0.2">
      <c r="G2218" s="199"/>
      <c r="I2218" s="199"/>
      <c r="K2218" s="199"/>
      <c r="M2218" s="199"/>
      <c r="N2218" s="200"/>
      <c r="P2218" s="199"/>
    </row>
    <row r="2219" spans="7:16" x14ac:dyDescent="0.2">
      <c r="G2219" s="199"/>
      <c r="I2219" s="199"/>
      <c r="K2219" s="199"/>
      <c r="M2219" s="199"/>
      <c r="N2219" s="200"/>
      <c r="P2219" s="199"/>
    </row>
    <row r="2220" spans="7:16" x14ac:dyDescent="0.2">
      <c r="G2220" s="199"/>
      <c r="I2220" s="199"/>
      <c r="K2220" s="199"/>
      <c r="M2220" s="199"/>
      <c r="N2220" s="200"/>
      <c r="P2220" s="199"/>
    </row>
    <row r="2221" spans="7:16" x14ac:dyDescent="0.2">
      <c r="G2221" s="199"/>
      <c r="I2221" s="199"/>
      <c r="K2221" s="199"/>
      <c r="M2221" s="199"/>
      <c r="N2221" s="200"/>
      <c r="P2221" s="199"/>
    </row>
    <row r="2222" spans="7:16" x14ac:dyDescent="0.2">
      <c r="G2222" s="199"/>
      <c r="I2222" s="199"/>
      <c r="K2222" s="199"/>
      <c r="M2222" s="199"/>
      <c r="N2222" s="200"/>
      <c r="P2222" s="199"/>
    </row>
    <row r="2223" spans="7:16" x14ac:dyDescent="0.2">
      <c r="G2223" s="199"/>
      <c r="I2223" s="199"/>
      <c r="K2223" s="199"/>
      <c r="M2223" s="199"/>
      <c r="N2223" s="200"/>
      <c r="P2223" s="199"/>
    </row>
    <row r="2224" spans="7:16" x14ac:dyDescent="0.2">
      <c r="G2224" s="199"/>
      <c r="I2224" s="199"/>
      <c r="K2224" s="199"/>
      <c r="M2224" s="199"/>
      <c r="N2224" s="200"/>
      <c r="P2224" s="199"/>
    </row>
    <row r="2225" spans="7:16" x14ac:dyDescent="0.2">
      <c r="G2225" s="199"/>
      <c r="I2225" s="199"/>
      <c r="K2225" s="199"/>
      <c r="M2225" s="199"/>
      <c r="N2225" s="200"/>
      <c r="P2225" s="199"/>
    </row>
    <row r="2226" spans="7:16" x14ac:dyDescent="0.2">
      <c r="G2226" s="199"/>
      <c r="I2226" s="199"/>
      <c r="K2226" s="199"/>
      <c r="M2226" s="199"/>
      <c r="N2226" s="200"/>
      <c r="P2226" s="199"/>
    </row>
    <row r="2227" spans="7:16" x14ac:dyDescent="0.2">
      <c r="G2227" s="199"/>
      <c r="I2227" s="199"/>
      <c r="K2227" s="199"/>
      <c r="M2227" s="199"/>
      <c r="N2227" s="200"/>
      <c r="P2227" s="199"/>
    </row>
    <row r="2228" spans="7:16" x14ac:dyDescent="0.2">
      <c r="G2228" s="199"/>
      <c r="I2228" s="199"/>
      <c r="K2228" s="199"/>
      <c r="M2228" s="199"/>
      <c r="N2228" s="200"/>
      <c r="P2228" s="199"/>
    </row>
    <row r="2229" spans="7:16" x14ac:dyDescent="0.2">
      <c r="G2229" s="199"/>
      <c r="I2229" s="199"/>
      <c r="K2229" s="199"/>
      <c r="M2229" s="199"/>
      <c r="N2229" s="200"/>
      <c r="P2229" s="199"/>
    </row>
    <row r="2230" spans="7:16" x14ac:dyDescent="0.2">
      <c r="G2230" s="199"/>
      <c r="I2230" s="199"/>
      <c r="K2230" s="199"/>
      <c r="M2230" s="199"/>
      <c r="N2230" s="200"/>
      <c r="P2230" s="199"/>
    </row>
    <row r="2231" spans="7:16" x14ac:dyDescent="0.2">
      <c r="G2231" s="199"/>
      <c r="I2231" s="199"/>
      <c r="K2231" s="199"/>
      <c r="M2231" s="199"/>
      <c r="N2231" s="200"/>
      <c r="P2231" s="199"/>
    </row>
    <row r="2232" spans="7:16" x14ac:dyDescent="0.2">
      <c r="G2232" s="199"/>
      <c r="I2232" s="199"/>
      <c r="K2232" s="199"/>
      <c r="M2232" s="199"/>
      <c r="N2232" s="200"/>
      <c r="P2232" s="199"/>
    </row>
    <row r="2233" spans="7:16" x14ac:dyDescent="0.2">
      <c r="G2233" s="199"/>
      <c r="I2233" s="199"/>
      <c r="K2233" s="199"/>
      <c r="M2233" s="199"/>
      <c r="N2233" s="200"/>
      <c r="P2233" s="199"/>
    </row>
    <row r="2234" spans="7:16" x14ac:dyDescent="0.2">
      <c r="G2234" s="199"/>
      <c r="I2234" s="199"/>
      <c r="K2234" s="199"/>
      <c r="M2234" s="199"/>
      <c r="N2234" s="200"/>
      <c r="P2234" s="199"/>
    </row>
    <row r="2235" spans="7:16" x14ac:dyDescent="0.2">
      <c r="G2235" s="199"/>
      <c r="I2235" s="199"/>
      <c r="K2235" s="199"/>
      <c r="M2235" s="199"/>
      <c r="N2235" s="200"/>
      <c r="P2235" s="199"/>
    </row>
    <row r="2236" spans="7:16" x14ac:dyDescent="0.2">
      <c r="G2236" s="199"/>
      <c r="I2236" s="199"/>
      <c r="K2236" s="199"/>
      <c r="M2236" s="199"/>
      <c r="N2236" s="200"/>
      <c r="P2236" s="199"/>
    </row>
    <row r="2237" spans="7:16" x14ac:dyDescent="0.2">
      <c r="G2237" s="199"/>
      <c r="I2237" s="199"/>
      <c r="K2237" s="199"/>
      <c r="M2237" s="199"/>
      <c r="N2237" s="200"/>
      <c r="P2237" s="199"/>
    </row>
    <row r="2238" spans="7:16" x14ac:dyDescent="0.2">
      <c r="G2238" s="199"/>
      <c r="I2238" s="199"/>
      <c r="K2238" s="199"/>
      <c r="M2238" s="199"/>
      <c r="N2238" s="200"/>
      <c r="P2238" s="199"/>
    </row>
    <row r="2239" spans="7:16" x14ac:dyDescent="0.2">
      <c r="G2239" s="199"/>
      <c r="I2239" s="199"/>
      <c r="K2239" s="199"/>
      <c r="M2239" s="199"/>
      <c r="N2239" s="200"/>
      <c r="P2239" s="199"/>
    </row>
    <row r="2240" spans="7:16" x14ac:dyDescent="0.2">
      <c r="G2240" s="199"/>
      <c r="I2240" s="199"/>
      <c r="K2240" s="199"/>
      <c r="M2240" s="199"/>
      <c r="N2240" s="200"/>
      <c r="P2240" s="199"/>
    </row>
    <row r="2241" spans="7:16" x14ac:dyDescent="0.2">
      <c r="G2241" s="199"/>
      <c r="I2241" s="199"/>
      <c r="K2241" s="199"/>
      <c r="M2241" s="199"/>
      <c r="N2241" s="200"/>
      <c r="P2241" s="199"/>
    </row>
    <row r="2242" spans="7:16" x14ac:dyDescent="0.2">
      <c r="G2242" s="199"/>
      <c r="I2242" s="199"/>
      <c r="K2242" s="199"/>
      <c r="M2242" s="199"/>
      <c r="N2242" s="200"/>
      <c r="P2242" s="199"/>
    </row>
    <row r="2243" spans="7:16" x14ac:dyDescent="0.2">
      <c r="G2243" s="199"/>
      <c r="I2243" s="199"/>
      <c r="K2243" s="199"/>
      <c r="M2243" s="199"/>
      <c r="N2243" s="200"/>
      <c r="P2243" s="199"/>
    </row>
    <row r="2244" spans="7:16" x14ac:dyDescent="0.2">
      <c r="G2244" s="199"/>
      <c r="I2244" s="199"/>
      <c r="K2244" s="199"/>
      <c r="M2244" s="199"/>
      <c r="N2244" s="200"/>
      <c r="P2244" s="199"/>
    </row>
    <row r="2245" spans="7:16" x14ac:dyDescent="0.2">
      <c r="G2245" s="199"/>
      <c r="I2245" s="199"/>
      <c r="K2245" s="199"/>
      <c r="M2245" s="199"/>
      <c r="N2245" s="200"/>
      <c r="P2245" s="199"/>
    </row>
    <row r="2246" spans="7:16" x14ac:dyDescent="0.2">
      <c r="G2246" s="199"/>
      <c r="I2246" s="199"/>
      <c r="K2246" s="199"/>
      <c r="M2246" s="199"/>
      <c r="N2246" s="200"/>
      <c r="P2246" s="199"/>
    </row>
    <row r="2247" spans="7:16" x14ac:dyDescent="0.2">
      <c r="G2247" s="199"/>
      <c r="I2247" s="199"/>
      <c r="K2247" s="199"/>
      <c r="M2247" s="199"/>
      <c r="N2247" s="200"/>
      <c r="P2247" s="199"/>
    </row>
    <row r="2248" spans="7:16" x14ac:dyDescent="0.2">
      <c r="G2248" s="199"/>
      <c r="I2248" s="199"/>
      <c r="K2248" s="199"/>
      <c r="M2248" s="199"/>
      <c r="N2248" s="200"/>
      <c r="P2248" s="199"/>
    </row>
    <row r="2249" spans="7:16" x14ac:dyDescent="0.2">
      <c r="G2249" s="199"/>
      <c r="I2249" s="199"/>
      <c r="K2249" s="199"/>
      <c r="M2249" s="199"/>
      <c r="N2249" s="200"/>
      <c r="P2249" s="199"/>
    </row>
    <row r="2250" spans="7:16" x14ac:dyDescent="0.2">
      <c r="G2250" s="199"/>
      <c r="I2250" s="199"/>
      <c r="K2250" s="199"/>
      <c r="M2250" s="199"/>
      <c r="N2250" s="200"/>
      <c r="P2250" s="199"/>
    </row>
    <row r="2251" spans="7:16" x14ac:dyDescent="0.2">
      <c r="G2251" s="199"/>
      <c r="I2251" s="199"/>
      <c r="K2251" s="199"/>
      <c r="M2251" s="199"/>
      <c r="N2251" s="200"/>
      <c r="P2251" s="199"/>
    </row>
    <row r="2252" spans="7:16" x14ac:dyDescent="0.2">
      <c r="G2252" s="199"/>
      <c r="I2252" s="199"/>
      <c r="K2252" s="199"/>
      <c r="M2252" s="199"/>
      <c r="N2252" s="200"/>
      <c r="P2252" s="199"/>
    </row>
    <row r="2253" spans="7:16" x14ac:dyDescent="0.2">
      <c r="G2253" s="199"/>
      <c r="I2253" s="199"/>
      <c r="K2253" s="199"/>
      <c r="M2253" s="199"/>
      <c r="N2253" s="200"/>
      <c r="P2253" s="199"/>
    </row>
    <row r="2254" spans="7:16" x14ac:dyDescent="0.2">
      <c r="G2254" s="199"/>
      <c r="I2254" s="199"/>
      <c r="K2254" s="199"/>
      <c r="M2254" s="199"/>
      <c r="N2254" s="200"/>
      <c r="P2254" s="199"/>
    </row>
    <row r="2255" spans="7:16" x14ac:dyDescent="0.2">
      <c r="G2255" s="199"/>
      <c r="I2255" s="199"/>
      <c r="K2255" s="199"/>
      <c r="M2255" s="199"/>
      <c r="N2255" s="200"/>
      <c r="P2255" s="199"/>
    </row>
    <row r="2256" spans="7:16" x14ac:dyDescent="0.2">
      <c r="G2256" s="199"/>
      <c r="I2256" s="199"/>
      <c r="K2256" s="199"/>
      <c r="M2256" s="199"/>
      <c r="N2256" s="200"/>
      <c r="P2256" s="199"/>
    </row>
    <row r="2257" spans="7:16" x14ac:dyDescent="0.2">
      <c r="G2257" s="199"/>
      <c r="I2257" s="199"/>
      <c r="K2257" s="199"/>
      <c r="M2257" s="199"/>
      <c r="N2257" s="200"/>
      <c r="P2257" s="199"/>
    </row>
    <row r="2258" spans="7:16" x14ac:dyDescent="0.2">
      <c r="G2258" s="199"/>
      <c r="I2258" s="199"/>
      <c r="K2258" s="199"/>
      <c r="M2258" s="199"/>
      <c r="N2258" s="200"/>
      <c r="P2258" s="199"/>
    </row>
    <row r="2259" spans="7:16" x14ac:dyDescent="0.2">
      <c r="G2259" s="199"/>
      <c r="I2259" s="199"/>
      <c r="K2259" s="199"/>
      <c r="M2259" s="199"/>
      <c r="N2259" s="200"/>
      <c r="P2259" s="199"/>
    </row>
    <row r="2260" spans="7:16" x14ac:dyDescent="0.2">
      <c r="G2260" s="199"/>
      <c r="I2260" s="199"/>
      <c r="K2260" s="199"/>
      <c r="M2260" s="199"/>
      <c r="N2260" s="200"/>
      <c r="P2260" s="199"/>
    </row>
    <row r="2261" spans="7:16" x14ac:dyDescent="0.2">
      <c r="G2261" s="199"/>
      <c r="I2261" s="199"/>
      <c r="K2261" s="199"/>
      <c r="M2261" s="199"/>
      <c r="N2261" s="200"/>
      <c r="P2261" s="199"/>
    </row>
    <row r="2262" spans="7:16" x14ac:dyDescent="0.2">
      <c r="G2262" s="199"/>
      <c r="I2262" s="199"/>
      <c r="K2262" s="199"/>
      <c r="M2262" s="199"/>
      <c r="N2262" s="200"/>
      <c r="P2262" s="199"/>
    </row>
    <row r="2263" spans="7:16" x14ac:dyDescent="0.2">
      <c r="G2263" s="199"/>
      <c r="I2263" s="199"/>
      <c r="K2263" s="199"/>
      <c r="M2263" s="199"/>
      <c r="N2263" s="200"/>
      <c r="P2263" s="199"/>
    </row>
    <row r="2264" spans="7:16" x14ac:dyDescent="0.2">
      <c r="G2264" s="199"/>
      <c r="I2264" s="199"/>
      <c r="K2264" s="199"/>
      <c r="M2264" s="199"/>
      <c r="N2264" s="200"/>
      <c r="P2264" s="199"/>
    </row>
    <row r="2265" spans="7:16" x14ac:dyDescent="0.2">
      <c r="G2265" s="199"/>
      <c r="I2265" s="199"/>
      <c r="K2265" s="199"/>
      <c r="M2265" s="199"/>
      <c r="N2265" s="200"/>
      <c r="P2265" s="199"/>
    </row>
    <row r="2266" spans="7:16" x14ac:dyDescent="0.2">
      <c r="G2266" s="199"/>
      <c r="I2266" s="199"/>
      <c r="K2266" s="199"/>
      <c r="M2266" s="199"/>
      <c r="N2266" s="200"/>
      <c r="P2266" s="199"/>
    </row>
    <row r="2267" spans="7:16" x14ac:dyDescent="0.2">
      <c r="G2267" s="199"/>
      <c r="I2267" s="199"/>
      <c r="K2267" s="199"/>
      <c r="M2267" s="199"/>
      <c r="N2267" s="200"/>
      <c r="P2267" s="199"/>
    </row>
    <row r="2268" spans="7:16" x14ac:dyDescent="0.2">
      <c r="G2268" s="199"/>
      <c r="I2268" s="199"/>
      <c r="K2268" s="199"/>
      <c r="M2268" s="199"/>
      <c r="N2268" s="200"/>
      <c r="P2268" s="199"/>
    </row>
    <row r="2269" spans="7:16" x14ac:dyDescent="0.2">
      <c r="G2269" s="199"/>
      <c r="I2269" s="199"/>
      <c r="K2269" s="199"/>
      <c r="M2269" s="199"/>
      <c r="N2269" s="200"/>
      <c r="P2269" s="199"/>
    </row>
    <row r="2270" spans="7:16" x14ac:dyDescent="0.2">
      <c r="G2270" s="199"/>
      <c r="I2270" s="199"/>
      <c r="K2270" s="199"/>
      <c r="M2270" s="199"/>
      <c r="N2270" s="200"/>
      <c r="P2270" s="199"/>
    </row>
    <row r="2271" spans="7:16" x14ac:dyDescent="0.2">
      <c r="G2271" s="199"/>
      <c r="I2271" s="199"/>
      <c r="K2271" s="199"/>
      <c r="M2271" s="199"/>
      <c r="N2271" s="200"/>
      <c r="P2271" s="199"/>
    </row>
    <row r="2272" spans="7:16" x14ac:dyDescent="0.2">
      <c r="G2272" s="199"/>
      <c r="I2272" s="199"/>
      <c r="K2272" s="199"/>
      <c r="M2272" s="199"/>
      <c r="N2272" s="200"/>
      <c r="P2272" s="199"/>
    </row>
    <row r="2273" spans="7:16" x14ac:dyDescent="0.2">
      <c r="G2273" s="199"/>
      <c r="I2273" s="199"/>
      <c r="K2273" s="199"/>
      <c r="M2273" s="199"/>
      <c r="N2273" s="200"/>
      <c r="P2273" s="199"/>
    </row>
    <row r="2274" spans="7:16" x14ac:dyDescent="0.2">
      <c r="G2274" s="199"/>
      <c r="I2274" s="199"/>
      <c r="K2274" s="199"/>
      <c r="M2274" s="199"/>
      <c r="N2274" s="200"/>
      <c r="P2274" s="199"/>
    </row>
    <row r="2275" spans="7:16" x14ac:dyDescent="0.2">
      <c r="G2275" s="199"/>
      <c r="I2275" s="199"/>
      <c r="K2275" s="199"/>
      <c r="M2275" s="199"/>
      <c r="N2275" s="200"/>
      <c r="P2275" s="199"/>
    </row>
    <row r="2276" spans="7:16" x14ac:dyDescent="0.2">
      <c r="G2276" s="199"/>
      <c r="I2276" s="199"/>
      <c r="K2276" s="199"/>
      <c r="M2276" s="199"/>
      <c r="N2276" s="200"/>
      <c r="P2276" s="199"/>
    </row>
    <row r="2277" spans="7:16" x14ac:dyDescent="0.2">
      <c r="G2277" s="199"/>
      <c r="I2277" s="199"/>
      <c r="K2277" s="199"/>
      <c r="M2277" s="199"/>
      <c r="N2277" s="200"/>
      <c r="P2277" s="199"/>
    </row>
    <row r="2278" spans="7:16" x14ac:dyDescent="0.2">
      <c r="G2278" s="199"/>
      <c r="I2278" s="199"/>
      <c r="K2278" s="199"/>
      <c r="M2278" s="199"/>
      <c r="N2278" s="200"/>
      <c r="P2278" s="199"/>
    </row>
    <row r="2279" spans="7:16" x14ac:dyDescent="0.2">
      <c r="G2279" s="199"/>
      <c r="I2279" s="199"/>
      <c r="K2279" s="199"/>
      <c r="M2279" s="199"/>
      <c r="N2279" s="200"/>
      <c r="P2279" s="199"/>
    </row>
    <row r="2280" spans="7:16" x14ac:dyDescent="0.2">
      <c r="G2280" s="199"/>
      <c r="I2280" s="199"/>
      <c r="K2280" s="199"/>
      <c r="M2280" s="199"/>
      <c r="N2280" s="200"/>
      <c r="P2280" s="199"/>
    </row>
    <row r="2281" spans="7:16" x14ac:dyDescent="0.2">
      <c r="G2281" s="199"/>
      <c r="I2281" s="199"/>
      <c r="K2281" s="199"/>
      <c r="M2281" s="199"/>
      <c r="N2281" s="200"/>
      <c r="P2281" s="199"/>
    </row>
    <row r="2282" spans="7:16" x14ac:dyDescent="0.2">
      <c r="G2282" s="199"/>
      <c r="I2282" s="199"/>
      <c r="K2282" s="199"/>
      <c r="M2282" s="199"/>
      <c r="N2282" s="200"/>
      <c r="P2282" s="199"/>
    </row>
    <row r="2283" spans="7:16" x14ac:dyDescent="0.2">
      <c r="G2283" s="199"/>
      <c r="I2283" s="199"/>
      <c r="K2283" s="199"/>
      <c r="M2283" s="199"/>
      <c r="N2283" s="200"/>
      <c r="P2283" s="199"/>
    </row>
    <row r="2284" spans="7:16" x14ac:dyDescent="0.2">
      <c r="G2284" s="199"/>
      <c r="I2284" s="199"/>
      <c r="K2284" s="199"/>
      <c r="M2284" s="199"/>
      <c r="N2284" s="200"/>
      <c r="P2284" s="199"/>
    </row>
    <row r="2285" spans="7:16" x14ac:dyDescent="0.2">
      <c r="G2285" s="199"/>
      <c r="I2285" s="199"/>
      <c r="K2285" s="199"/>
      <c r="M2285" s="199"/>
      <c r="N2285" s="200"/>
      <c r="P2285" s="199"/>
    </row>
    <row r="2286" spans="7:16" x14ac:dyDescent="0.2">
      <c r="G2286" s="199"/>
      <c r="I2286" s="199"/>
      <c r="K2286" s="199"/>
      <c r="M2286" s="199"/>
      <c r="N2286" s="200"/>
      <c r="P2286" s="199"/>
    </row>
    <row r="2287" spans="7:16" x14ac:dyDescent="0.2">
      <c r="G2287" s="199"/>
      <c r="I2287" s="199"/>
      <c r="K2287" s="199"/>
      <c r="M2287" s="199"/>
      <c r="N2287" s="200"/>
      <c r="P2287" s="199"/>
    </row>
    <row r="2288" spans="7:16" x14ac:dyDescent="0.2">
      <c r="G2288" s="199"/>
      <c r="I2288" s="199"/>
      <c r="K2288" s="199"/>
      <c r="M2288" s="199"/>
      <c r="N2288" s="200"/>
      <c r="P2288" s="199"/>
    </row>
    <row r="2289" spans="7:16" x14ac:dyDescent="0.2">
      <c r="G2289" s="199"/>
      <c r="I2289" s="199"/>
      <c r="K2289" s="199"/>
      <c r="M2289" s="199"/>
      <c r="N2289" s="200"/>
      <c r="P2289" s="199"/>
    </row>
    <row r="2290" spans="7:16" x14ac:dyDescent="0.2">
      <c r="G2290" s="199"/>
      <c r="I2290" s="199"/>
      <c r="K2290" s="199"/>
      <c r="M2290" s="199"/>
      <c r="N2290" s="200"/>
      <c r="P2290" s="199"/>
    </row>
    <row r="2291" spans="7:16" x14ac:dyDescent="0.2">
      <c r="G2291" s="199"/>
      <c r="I2291" s="199"/>
      <c r="K2291" s="199"/>
      <c r="M2291" s="199"/>
      <c r="N2291" s="200"/>
      <c r="P2291" s="199"/>
    </row>
    <row r="2292" spans="7:16" x14ac:dyDescent="0.2">
      <c r="G2292" s="199"/>
      <c r="I2292" s="199"/>
      <c r="K2292" s="199"/>
      <c r="M2292" s="199"/>
      <c r="N2292" s="200"/>
      <c r="P2292" s="199"/>
    </row>
    <row r="2293" spans="7:16" x14ac:dyDescent="0.2">
      <c r="G2293" s="199"/>
      <c r="I2293" s="199"/>
      <c r="K2293" s="199"/>
      <c r="M2293" s="199"/>
      <c r="N2293" s="200"/>
      <c r="P2293" s="199"/>
    </row>
    <row r="2294" spans="7:16" x14ac:dyDescent="0.2">
      <c r="G2294" s="199"/>
      <c r="I2294" s="199"/>
      <c r="K2294" s="199"/>
      <c r="M2294" s="199"/>
      <c r="N2294" s="200"/>
      <c r="P2294" s="199"/>
    </row>
    <row r="2295" spans="7:16" x14ac:dyDescent="0.2">
      <c r="G2295" s="199"/>
      <c r="I2295" s="199"/>
      <c r="K2295" s="199"/>
      <c r="M2295" s="199"/>
      <c r="N2295" s="200"/>
      <c r="P2295" s="199"/>
    </row>
    <row r="2296" spans="7:16" x14ac:dyDescent="0.2">
      <c r="G2296" s="199"/>
      <c r="I2296" s="199"/>
      <c r="K2296" s="199"/>
      <c r="M2296" s="199"/>
      <c r="N2296" s="200"/>
      <c r="P2296" s="199"/>
    </row>
    <row r="2297" spans="7:16" x14ac:dyDescent="0.2">
      <c r="G2297" s="199"/>
      <c r="I2297" s="199"/>
      <c r="K2297" s="199"/>
      <c r="M2297" s="199"/>
      <c r="N2297" s="200"/>
      <c r="P2297" s="199"/>
    </row>
    <row r="2298" spans="7:16" x14ac:dyDescent="0.2">
      <c r="G2298" s="199"/>
      <c r="I2298" s="199"/>
      <c r="K2298" s="199"/>
      <c r="M2298" s="199"/>
      <c r="N2298" s="200"/>
      <c r="P2298" s="199"/>
    </row>
    <row r="2299" spans="7:16" x14ac:dyDescent="0.2">
      <c r="G2299" s="199"/>
      <c r="I2299" s="199"/>
      <c r="K2299" s="199"/>
      <c r="M2299" s="199"/>
      <c r="N2299" s="200"/>
      <c r="P2299" s="199"/>
    </row>
    <row r="2300" spans="7:16" x14ac:dyDescent="0.2">
      <c r="G2300" s="199"/>
      <c r="I2300" s="199"/>
      <c r="K2300" s="199"/>
      <c r="M2300" s="199"/>
      <c r="N2300" s="200"/>
      <c r="P2300" s="199"/>
    </row>
    <row r="2301" spans="7:16" x14ac:dyDescent="0.2">
      <c r="G2301" s="199"/>
      <c r="I2301" s="199"/>
      <c r="K2301" s="199"/>
      <c r="M2301" s="199"/>
      <c r="N2301" s="200"/>
      <c r="P2301" s="199"/>
    </row>
    <row r="2302" spans="7:16" x14ac:dyDescent="0.2">
      <c r="G2302" s="199"/>
      <c r="I2302" s="199"/>
      <c r="K2302" s="199"/>
      <c r="M2302" s="199"/>
      <c r="N2302" s="200"/>
      <c r="P2302" s="199"/>
    </row>
    <row r="2303" spans="7:16" x14ac:dyDescent="0.2">
      <c r="G2303" s="199"/>
      <c r="I2303" s="199"/>
      <c r="K2303" s="199"/>
      <c r="M2303" s="199"/>
      <c r="N2303" s="200"/>
      <c r="P2303" s="199"/>
    </row>
    <row r="2304" spans="7:16" x14ac:dyDescent="0.2">
      <c r="G2304" s="199"/>
      <c r="I2304" s="199"/>
      <c r="K2304" s="199"/>
      <c r="M2304" s="199"/>
      <c r="N2304" s="200"/>
      <c r="P2304" s="199"/>
    </row>
    <row r="2305" spans="7:16" x14ac:dyDescent="0.2">
      <c r="G2305" s="199"/>
      <c r="I2305" s="199"/>
      <c r="K2305" s="199"/>
      <c r="M2305" s="199"/>
      <c r="N2305" s="200"/>
      <c r="P2305" s="199"/>
    </row>
    <row r="2306" spans="7:16" x14ac:dyDescent="0.2">
      <c r="G2306" s="199"/>
      <c r="I2306" s="199"/>
      <c r="K2306" s="199"/>
      <c r="M2306" s="199"/>
      <c r="N2306" s="200"/>
      <c r="P2306" s="199"/>
    </row>
    <row r="2307" spans="7:16" x14ac:dyDescent="0.2">
      <c r="G2307" s="199"/>
      <c r="I2307" s="199"/>
      <c r="K2307" s="199"/>
      <c r="M2307" s="199"/>
      <c r="N2307" s="200"/>
      <c r="P2307" s="199"/>
    </row>
    <row r="2308" spans="7:16" x14ac:dyDescent="0.2">
      <c r="G2308" s="199"/>
      <c r="I2308" s="199"/>
      <c r="K2308" s="199"/>
      <c r="M2308" s="199"/>
      <c r="N2308" s="200"/>
      <c r="P2308" s="199"/>
    </row>
    <row r="2309" spans="7:16" x14ac:dyDescent="0.2">
      <c r="G2309" s="199"/>
      <c r="I2309" s="199"/>
      <c r="K2309" s="199"/>
      <c r="M2309" s="199"/>
      <c r="N2309" s="200"/>
      <c r="P2309" s="199"/>
    </row>
    <row r="2310" spans="7:16" x14ac:dyDescent="0.2">
      <c r="G2310" s="199"/>
      <c r="I2310" s="199"/>
      <c r="K2310" s="199"/>
      <c r="M2310" s="199"/>
      <c r="N2310" s="200"/>
      <c r="P2310" s="199"/>
    </row>
    <row r="2311" spans="7:16" x14ac:dyDescent="0.2">
      <c r="G2311" s="199"/>
      <c r="I2311" s="199"/>
      <c r="K2311" s="199"/>
      <c r="M2311" s="199"/>
      <c r="N2311" s="200"/>
      <c r="P2311" s="199"/>
    </row>
    <row r="2312" spans="7:16" x14ac:dyDescent="0.2">
      <c r="G2312" s="199"/>
      <c r="I2312" s="199"/>
      <c r="K2312" s="199"/>
      <c r="M2312" s="199"/>
      <c r="N2312" s="200"/>
      <c r="P2312" s="199"/>
    </row>
    <row r="2313" spans="7:16" x14ac:dyDescent="0.2">
      <c r="G2313" s="199"/>
      <c r="I2313" s="199"/>
      <c r="K2313" s="199"/>
      <c r="M2313" s="199"/>
      <c r="N2313" s="200"/>
      <c r="P2313" s="199"/>
    </row>
    <row r="2314" spans="7:16" x14ac:dyDescent="0.2">
      <c r="G2314" s="199"/>
      <c r="I2314" s="199"/>
      <c r="K2314" s="199"/>
      <c r="M2314" s="199"/>
      <c r="N2314" s="200"/>
      <c r="P2314" s="199"/>
    </row>
    <row r="2315" spans="7:16" x14ac:dyDescent="0.2">
      <c r="G2315" s="199"/>
      <c r="I2315" s="199"/>
      <c r="K2315" s="199"/>
      <c r="M2315" s="199"/>
      <c r="N2315" s="200"/>
      <c r="P2315" s="199"/>
    </row>
    <row r="2316" spans="7:16" x14ac:dyDescent="0.2">
      <c r="G2316" s="199"/>
      <c r="I2316" s="199"/>
      <c r="K2316" s="199"/>
      <c r="M2316" s="199"/>
      <c r="N2316" s="200"/>
      <c r="P2316" s="199"/>
    </row>
    <row r="2317" spans="7:16" x14ac:dyDescent="0.2">
      <c r="G2317" s="199"/>
      <c r="I2317" s="199"/>
      <c r="K2317" s="199"/>
      <c r="M2317" s="199"/>
      <c r="N2317" s="200"/>
      <c r="P2317" s="199"/>
    </row>
    <row r="2318" spans="7:16" x14ac:dyDescent="0.2">
      <c r="G2318" s="199"/>
      <c r="I2318" s="199"/>
      <c r="K2318" s="199"/>
      <c r="M2318" s="199"/>
      <c r="N2318" s="200"/>
      <c r="P2318" s="199"/>
    </row>
    <row r="2319" spans="7:16" x14ac:dyDescent="0.2">
      <c r="G2319" s="199"/>
      <c r="I2319" s="199"/>
      <c r="K2319" s="199"/>
      <c r="M2319" s="199"/>
      <c r="N2319" s="200"/>
      <c r="P2319" s="199"/>
    </row>
    <row r="2320" spans="7:16" x14ac:dyDescent="0.2">
      <c r="G2320" s="199"/>
      <c r="I2320" s="199"/>
      <c r="K2320" s="199"/>
      <c r="M2320" s="199"/>
      <c r="N2320" s="200"/>
      <c r="P2320" s="199"/>
    </row>
    <row r="2321" spans="7:16" x14ac:dyDescent="0.2">
      <c r="G2321" s="199"/>
      <c r="I2321" s="199"/>
      <c r="K2321" s="199"/>
      <c r="M2321" s="199"/>
      <c r="N2321" s="200"/>
      <c r="P2321" s="199"/>
    </row>
    <row r="2322" spans="7:16" x14ac:dyDescent="0.2">
      <c r="G2322" s="199"/>
      <c r="I2322" s="199"/>
      <c r="K2322" s="199"/>
      <c r="M2322" s="199"/>
      <c r="N2322" s="200"/>
      <c r="P2322" s="199"/>
    </row>
    <row r="2323" spans="7:16" x14ac:dyDescent="0.2">
      <c r="G2323" s="199"/>
      <c r="I2323" s="199"/>
      <c r="K2323" s="199"/>
      <c r="M2323" s="199"/>
      <c r="N2323" s="200"/>
      <c r="P2323" s="199"/>
    </row>
    <row r="2324" spans="7:16" x14ac:dyDescent="0.2">
      <c r="G2324" s="199"/>
      <c r="I2324" s="199"/>
      <c r="K2324" s="199"/>
      <c r="M2324" s="199"/>
      <c r="N2324" s="200"/>
      <c r="P2324" s="199"/>
    </row>
    <row r="2325" spans="7:16" x14ac:dyDescent="0.2">
      <c r="G2325" s="199"/>
      <c r="I2325" s="199"/>
      <c r="K2325" s="199"/>
      <c r="M2325" s="199"/>
      <c r="N2325" s="200"/>
      <c r="P2325" s="199"/>
    </row>
    <row r="2326" spans="7:16" x14ac:dyDescent="0.2">
      <c r="G2326" s="199"/>
      <c r="I2326" s="199"/>
      <c r="K2326" s="199"/>
      <c r="M2326" s="199"/>
      <c r="N2326" s="200"/>
      <c r="P2326" s="199"/>
    </row>
    <row r="2327" spans="7:16" x14ac:dyDescent="0.2">
      <c r="G2327" s="199"/>
      <c r="I2327" s="199"/>
      <c r="K2327" s="199"/>
      <c r="M2327" s="199"/>
      <c r="N2327" s="200"/>
      <c r="P2327" s="199"/>
    </row>
    <row r="2328" spans="7:16" x14ac:dyDescent="0.2">
      <c r="G2328" s="199"/>
      <c r="I2328" s="199"/>
      <c r="K2328" s="199"/>
      <c r="M2328" s="199"/>
      <c r="N2328" s="200"/>
      <c r="P2328" s="199"/>
    </row>
    <row r="2329" spans="7:16" x14ac:dyDescent="0.2">
      <c r="G2329" s="199"/>
      <c r="I2329" s="199"/>
      <c r="K2329" s="199"/>
      <c r="M2329" s="199"/>
      <c r="N2329" s="200"/>
      <c r="P2329" s="199"/>
    </row>
    <row r="2330" spans="7:16" x14ac:dyDescent="0.2">
      <c r="G2330" s="199"/>
      <c r="I2330" s="199"/>
      <c r="K2330" s="199"/>
      <c r="M2330" s="199"/>
      <c r="N2330" s="200"/>
      <c r="P2330" s="199"/>
    </row>
    <row r="2331" spans="7:16" x14ac:dyDescent="0.2">
      <c r="G2331" s="199"/>
      <c r="I2331" s="199"/>
      <c r="K2331" s="199"/>
      <c r="M2331" s="199"/>
      <c r="N2331" s="200"/>
      <c r="P2331" s="199"/>
    </row>
    <row r="2332" spans="7:16" x14ac:dyDescent="0.2">
      <c r="G2332" s="199"/>
      <c r="I2332" s="199"/>
      <c r="K2332" s="199"/>
      <c r="M2332" s="199"/>
      <c r="N2332" s="200"/>
      <c r="P2332" s="199"/>
    </row>
    <row r="2333" spans="7:16" x14ac:dyDescent="0.2">
      <c r="G2333" s="199"/>
      <c r="I2333" s="199"/>
      <c r="K2333" s="199"/>
      <c r="M2333" s="199"/>
      <c r="N2333" s="200"/>
      <c r="P2333" s="199"/>
    </row>
    <row r="2334" spans="7:16" x14ac:dyDescent="0.2">
      <c r="G2334" s="199"/>
      <c r="I2334" s="199"/>
      <c r="K2334" s="199"/>
      <c r="M2334" s="199"/>
      <c r="N2334" s="200"/>
      <c r="P2334" s="199"/>
    </row>
    <row r="2335" spans="7:16" x14ac:dyDescent="0.2">
      <c r="G2335" s="199"/>
      <c r="I2335" s="199"/>
      <c r="K2335" s="199"/>
      <c r="M2335" s="199"/>
      <c r="N2335" s="200"/>
      <c r="P2335" s="199"/>
    </row>
    <row r="2336" spans="7:16" x14ac:dyDescent="0.2">
      <c r="G2336" s="199"/>
      <c r="I2336" s="199"/>
      <c r="K2336" s="199"/>
      <c r="M2336" s="199"/>
      <c r="N2336" s="200"/>
      <c r="P2336" s="199"/>
    </row>
    <row r="2337" spans="7:16" x14ac:dyDescent="0.2">
      <c r="G2337" s="199"/>
      <c r="I2337" s="199"/>
      <c r="K2337" s="199"/>
      <c r="M2337" s="199"/>
      <c r="N2337" s="200"/>
      <c r="P2337" s="199"/>
    </row>
    <row r="2338" spans="7:16" x14ac:dyDescent="0.2">
      <c r="G2338" s="199"/>
      <c r="I2338" s="199"/>
      <c r="K2338" s="199"/>
      <c r="M2338" s="199"/>
      <c r="N2338" s="200"/>
      <c r="P2338" s="199"/>
    </row>
    <row r="2339" spans="7:16" x14ac:dyDescent="0.2">
      <c r="G2339" s="199"/>
      <c r="I2339" s="199"/>
      <c r="K2339" s="199"/>
      <c r="M2339" s="199"/>
      <c r="N2339" s="200"/>
      <c r="P2339" s="199"/>
    </row>
    <row r="2340" spans="7:16" x14ac:dyDescent="0.2">
      <c r="G2340" s="199"/>
      <c r="I2340" s="199"/>
      <c r="K2340" s="199"/>
      <c r="M2340" s="199"/>
      <c r="N2340" s="200"/>
      <c r="P2340" s="199"/>
    </row>
    <row r="2341" spans="7:16" x14ac:dyDescent="0.2">
      <c r="G2341" s="199"/>
      <c r="I2341" s="199"/>
      <c r="K2341" s="199"/>
      <c r="M2341" s="199"/>
      <c r="N2341" s="200"/>
      <c r="P2341" s="199"/>
    </row>
    <row r="2342" spans="7:16" x14ac:dyDescent="0.2">
      <c r="G2342" s="199"/>
      <c r="I2342" s="199"/>
      <c r="K2342" s="199"/>
      <c r="M2342" s="199"/>
      <c r="N2342" s="200"/>
      <c r="P2342" s="199"/>
    </row>
    <row r="2343" spans="7:16" x14ac:dyDescent="0.2">
      <c r="G2343" s="199"/>
      <c r="I2343" s="199"/>
      <c r="K2343" s="199"/>
      <c r="M2343" s="199"/>
      <c r="N2343" s="200"/>
      <c r="P2343" s="199"/>
    </row>
    <row r="2344" spans="7:16" x14ac:dyDescent="0.2">
      <c r="G2344" s="199"/>
      <c r="I2344" s="199"/>
      <c r="K2344" s="199"/>
      <c r="M2344" s="199"/>
      <c r="N2344" s="200"/>
      <c r="P2344" s="199"/>
    </row>
    <row r="2345" spans="7:16" x14ac:dyDescent="0.2">
      <c r="G2345" s="199"/>
      <c r="I2345" s="199"/>
      <c r="K2345" s="199"/>
      <c r="M2345" s="199"/>
      <c r="N2345" s="200"/>
      <c r="P2345" s="199"/>
    </row>
    <row r="2346" spans="7:16" x14ac:dyDescent="0.2">
      <c r="G2346" s="199"/>
      <c r="I2346" s="199"/>
      <c r="K2346" s="199"/>
      <c r="M2346" s="199"/>
      <c r="N2346" s="200"/>
      <c r="P2346" s="199"/>
    </row>
    <row r="2347" spans="7:16" x14ac:dyDescent="0.2">
      <c r="G2347" s="199"/>
      <c r="I2347" s="199"/>
      <c r="K2347" s="199"/>
      <c r="M2347" s="199"/>
      <c r="N2347" s="200"/>
      <c r="P2347" s="199"/>
    </row>
    <row r="2348" spans="7:16" x14ac:dyDescent="0.2">
      <c r="G2348" s="199"/>
      <c r="I2348" s="199"/>
      <c r="K2348" s="199"/>
      <c r="M2348" s="199"/>
      <c r="N2348" s="200"/>
      <c r="P2348" s="199"/>
    </row>
    <row r="2349" spans="7:16" x14ac:dyDescent="0.2">
      <c r="G2349" s="199"/>
      <c r="I2349" s="199"/>
      <c r="K2349" s="199"/>
      <c r="M2349" s="199"/>
      <c r="N2349" s="200"/>
      <c r="P2349" s="199"/>
    </row>
    <row r="2350" spans="7:16" x14ac:dyDescent="0.2">
      <c r="G2350" s="199"/>
      <c r="I2350" s="199"/>
      <c r="K2350" s="199"/>
      <c r="M2350" s="199"/>
      <c r="N2350" s="200"/>
      <c r="P2350" s="199"/>
    </row>
    <row r="2351" spans="7:16" x14ac:dyDescent="0.2">
      <c r="G2351" s="199"/>
      <c r="I2351" s="199"/>
      <c r="K2351" s="199"/>
      <c r="M2351" s="199"/>
      <c r="N2351" s="200"/>
      <c r="P2351" s="199"/>
    </row>
    <row r="2352" spans="7:16" x14ac:dyDescent="0.2">
      <c r="G2352" s="199"/>
      <c r="I2352" s="199"/>
      <c r="K2352" s="199"/>
      <c r="M2352" s="199"/>
      <c r="N2352" s="200"/>
      <c r="P2352" s="199"/>
    </row>
    <row r="2353" spans="7:16" x14ac:dyDescent="0.2">
      <c r="G2353" s="199"/>
      <c r="I2353" s="199"/>
      <c r="K2353" s="199"/>
      <c r="M2353" s="199"/>
      <c r="N2353" s="200"/>
      <c r="P2353" s="199"/>
    </row>
    <row r="2354" spans="7:16" x14ac:dyDescent="0.2">
      <c r="G2354" s="199"/>
      <c r="I2354" s="199"/>
      <c r="K2354" s="199"/>
      <c r="M2354" s="199"/>
      <c r="N2354" s="200"/>
      <c r="P2354" s="199"/>
    </row>
    <row r="2355" spans="7:16" x14ac:dyDescent="0.2">
      <c r="G2355" s="199"/>
      <c r="I2355" s="199"/>
      <c r="K2355" s="199"/>
      <c r="M2355" s="199"/>
      <c r="N2355" s="200"/>
      <c r="P2355" s="199"/>
    </row>
    <row r="2356" spans="7:16" x14ac:dyDescent="0.2">
      <c r="G2356" s="199"/>
      <c r="I2356" s="199"/>
      <c r="K2356" s="199"/>
      <c r="M2356" s="199"/>
      <c r="N2356" s="200"/>
      <c r="P2356" s="199"/>
    </row>
    <row r="2357" spans="7:16" x14ac:dyDescent="0.2">
      <c r="G2357" s="199"/>
      <c r="I2357" s="199"/>
      <c r="K2357" s="199"/>
      <c r="M2357" s="199"/>
      <c r="N2357" s="200"/>
      <c r="P2357" s="199"/>
    </row>
    <row r="2358" spans="7:16" x14ac:dyDescent="0.2">
      <c r="G2358" s="199"/>
      <c r="I2358" s="199"/>
      <c r="K2358" s="199"/>
      <c r="M2358" s="199"/>
      <c r="N2358" s="200"/>
      <c r="P2358" s="199"/>
    </row>
    <row r="2359" spans="7:16" x14ac:dyDescent="0.2">
      <c r="G2359" s="199"/>
      <c r="I2359" s="199"/>
      <c r="K2359" s="199"/>
      <c r="M2359" s="199"/>
      <c r="N2359" s="200"/>
      <c r="P2359" s="199"/>
    </row>
    <row r="2360" spans="7:16" x14ac:dyDescent="0.2">
      <c r="G2360" s="199"/>
      <c r="I2360" s="199"/>
      <c r="K2360" s="199"/>
      <c r="M2360" s="199"/>
      <c r="N2360" s="200"/>
      <c r="P2360" s="199"/>
    </row>
    <row r="2361" spans="7:16" x14ac:dyDescent="0.2">
      <c r="G2361" s="199"/>
      <c r="I2361" s="199"/>
      <c r="K2361" s="199"/>
      <c r="M2361" s="199"/>
      <c r="N2361" s="200"/>
      <c r="P2361" s="199"/>
    </row>
    <row r="2362" spans="7:16" x14ac:dyDescent="0.2">
      <c r="G2362" s="199"/>
      <c r="I2362" s="199"/>
      <c r="K2362" s="199"/>
      <c r="M2362" s="199"/>
      <c r="N2362" s="200"/>
      <c r="P2362" s="199"/>
    </row>
    <row r="2363" spans="7:16" x14ac:dyDescent="0.2">
      <c r="G2363" s="199"/>
      <c r="I2363" s="199"/>
      <c r="K2363" s="199"/>
      <c r="M2363" s="199"/>
      <c r="N2363" s="200"/>
      <c r="P2363" s="199"/>
    </row>
    <row r="2364" spans="7:16" x14ac:dyDescent="0.2">
      <c r="G2364" s="199"/>
      <c r="I2364" s="199"/>
      <c r="K2364" s="199"/>
      <c r="M2364" s="199"/>
      <c r="N2364" s="200"/>
      <c r="P2364" s="199"/>
    </row>
    <row r="2365" spans="7:16" x14ac:dyDescent="0.2">
      <c r="G2365" s="199"/>
      <c r="I2365" s="199"/>
      <c r="K2365" s="199"/>
      <c r="M2365" s="199"/>
      <c r="N2365" s="200"/>
      <c r="P2365" s="199"/>
    </row>
    <row r="2366" spans="7:16" x14ac:dyDescent="0.2">
      <c r="G2366" s="199"/>
      <c r="I2366" s="199"/>
      <c r="K2366" s="199"/>
      <c r="M2366" s="199"/>
      <c r="N2366" s="200"/>
      <c r="P2366" s="199"/>
    </row>
    <row r="2367" spans="7:16" x14ac:dyDescent="0.2">
      <c r="G2367" s="199"/>
      <c r="I2367" s="199"/>
      <c r="K2367" s="199"/>
      <c r="M2367" s="199"/>
      <c r="N2367" s="200"/>
      <c r="P2367" s="199"/>
    </row>
    <row r="2368" spans="7:16" x14ac:dyDescent="0.2">
      <c r="G2368" s="199"/>
      <c r="I2368" s="199"/>
      <c r="K2368" s="199"/>
      <c r="M2368" s="199"/>
      <c r="N2368" s="200"/>
      <c r="P2368" s="199"/>
    </row>
    <row r="2369" spans="7:16" x14ac:dyDescent="0.2">
      <c r="G2369" s="199"/>
      <c r="I2369" s="199"/>
      <c r="K2369" s="199"/>
      <c r="M2369" s="199"/>
      <c r="N2369" s="200"/>
      <c r="P2369" s="199"/>
    </row>
    <row r="2370" spans="7:16" x14ac:dyDescent="0.2">
      <c r="G2370" s="199"/>
      <c r="I2370" s="199"/>
      <c r="K2370" s="199"/>
      <c r="M2370" s="199"/>
      <c r="N2370" s="200"/>
      <c r="P2370" s="199"/>
    </row>
    <row r="2371" spans="7:16" x14ac:dyDescent="0.2">
      <c r="G2371" s="199"/>
      <c r="I2371" s="199"/>
      <c r="K2371" s="199"/>
      <c r="M2371" s="199"/>
      <c r="N2371" s="200"/>
      <c r="P2371" s="199"/>
    </row>
    <row r="2372" spans="7:16" x14ac:dyDescent="0.2">
      <c r="G2372" s="199"/>
      <c r="I2372" s="199"/>
      <c r="K2372" s="199"/>
      <c r="M2372" s="199"/>
      <c r="N2372" s="200"/>
      <c r="P2372" s="199"/>
    </row>
    <row r="2373" spans="7:16" x14ac:dyDescent="0.2">
      <c r="G2373" s="199"/>
      <c r="I2373" s="199"/>
      <c r="K2373" s="199"/>
      <c r="M2373" s="199"/>
      <c r="N2373" s="200"/>
      <c r="P2373" s="199"/>
    </row>
    <row r="2374" spans="7:16" x14ac:dyDescent="0.2">
      <c r="G2374" s="199"/>
      <c r="I2374" s="199"/>
      <c r="K2374" s="199"/>
      <c r="M2374" s="199"/>
      <c r="N2374" s="200"/>
      <c r="P2374" s="199"/>
    </row>
    <row r="2375" spans="7:16" x14ac:dyDescent="0.2">
      <c r="G2375" s="199"/>
      <c r="I2375" s="199"/>
      <c r="K2375" s="199"/>
      <c r="M2375" s="199"/>
      <c r="N2375" s="200"/>
      <c r="P2375" s="199"/>
    </row>
    <row r="2376" spans="7:16" x14ac:dyDescent="0.2">
      <c r="G2376" s="199"/>
      <c r="I2376" s="199"/>
      <c r="K2376" s="199"/>
      <c r="M2376" s="199"/>
      <c r="N2376" s="200"/>
      <c r="P2376" s="199"/>
    </row>
    <row r="2377" spans="7:16" x14ac:dyDescent="0.2">
      <c r="G2377" s="199"/>
      <c r="I2377" s="199"/>
      <c r="K2377" s="199"/>
      <c r="M2377" s="199"/>
      <c r="N2377" s="200"/>
      <c r="P2377" s="199"/>
    </row>
    <row r="2378" spans="7:16" x14ac:dyDescent="0.2">
      <c r="G2378" s="199"/>
      <c r="I2378" s="199"/>
      <c r="K2378" s="199"/>
      <c r="M2378" s="199"/>
      <c r="N2378" s="200"/>
      <c r="P2378" s="199"/>
    </row>
    <row r="2379" spans="7:16" x14ac:dyDescent="0.2">
      <c r="G2379" s="199"/>
      <c r="I2379" s="199"/>
      <c r="K2379" s="199"/>
      <c r="M2379" s="199"/>
      <c r="N2379" s="200"/>
      <c r="P2379" s="199"/>
    </row>
    <row r="2380" spans="7:16" x14ac:dyDescent="0.2">
      <c r="G2380" s="199"/>
      <c r="I2380" s="199"/>
      <c r="K2380" s="199"/>
      <c r="M2380" s="199"/>
      <c r="N2380" s="200"/>
      <c r="P2380" s="199"/>
    </row>
    <row r="2381" spans="7:16" x14ac:dyDescent="0.2">
      <c r="G2381" s="199"/>
      <c r="I2381" s="199"/>
      <c r="K2381" s="199"/>
      <c r="M2381" s="199"/>
      <c r="N2381" s="200"/>
      <c r="P2381" s="199"/>
    </row>
    <row r="2382" spans="7:16" x14ac:dyDescent="0.2">
      <c r="G2382" s="199"/>
      <c r="I2382" s="199"/>
      <c r="K2382" s="199"/>
      <c r="M2382" s="199"/>
      <c r="N2382" s="200"/>
      <c r="P2382" s="199"/>
    </row>
    <row r="2383" spans="7:16" x14ac:dyDescent="0.2">
      <c r="G2383" s="199"/>
      <c r="I2383" s="199"/>
      <c r="K2383" s="199"/>
      <c r="M2383" s="199"/>
      <c r="N2383" s="200"/>
      <c r="P2383" s="199"/>
    </row>
    <row r="2384" spans="7:16" x14ac:dyDescent="0.2">
      <c r="G2384" s="199"/>
      <c r="I2384" s="199"/>
      <c r="K2384" s="199"/>
      <c r="M2384" s="199"/>
      <c r="N2384" s="200"/>
      <c r="P2384" s="199"/>
    </row>
    <row r="2385" spans="7:16" x14ac:dyDescent="0.2">
      <c r="G2385" s="199"/>
      <c r="I2385" s="199"/>
      <c r="K2385" s="199"/>
      <c r="M2385" s="199"/>
      <c r="N2385" s="200"/>
      <c r="P2385" s="199"/>
    </row>
    <row r="2386" spans="7:16" x14ac:dyDescent="0.2">
      <c r="G2386" s="199"/>
      <c r="I2386" s="199"/>
      <c r="K2386" s="199"/>
      <c r="M2386" s="199"/>
      <c r="N2386" s="200"/>
      <c r="P2386" s="199"/>
    </row>
    <row r="2387" spans="7:16" x14ac:dyDescent="0.2">
      <c r="G2387" s="199"/>
      <c r="I2387" s="199"/>
      <c r="K2387" s="199"/>
      <c r="M2387" s="199"/>
      <c r="N2387" s="200"/>
      <c r="P2387" s="199"/>
    </row>
    <row r="2388" spans="7:16" x14ac:dyDescent="0.2">
      <c r="G2388" s="199"/>
      <c r="I2388" s="199"/>
      <c r="K2388" s="199"/>
      <c r="M2388" s="199"/>
      <c r="N2388" s="200"/>
      <c r="P2388" s="199"/>
    </row>
    <row r="2389" spans="7:16" x14ac:dyDescent="0.2">
      <c r="G2389" s="199"/>
      <c r="I2389" s="199"/>
      <c r="K2389" s="199"/>
      <c r="M2389" s="199"/>
      <c r="N2389" s="200"/>
      <c r="P2389" s="199"/>
    </row>
    <row r="2390" spans="7:16" x14ac:dyDescent="0.2">
      <c r="G2390" s="199"/>
      <c r="I2390" s="199"/>
      <c r="K2390" s="199"/>
      <c r="M2390" s="199"/>
      <c r="N2390" s="200"/>
      <c r="P2390" s="199"/>
    </row>
    <row r="2391" spans="7:16" x14ac:dyDescent="0.2">
      <c r="G2391" s="199"/>
      <c r="I2391" s="199"/>
      <c r="K2391" s="199"/>
      <c r="M2391" s="199"/>
      <c r="N2391" s="200"/>
      <c r="P2391" s="199"/>
    </row>
    <row r="2392" spans="7:16" x14ac:dyDescent="0.2">
      <c r="G2392" s="199"/>
      <c r="I2392" s="199"/>
      <c r="K2392" s="199"/>
      <c r="M2392" s="199"/>
      <c r="N2392" s="200"/>
      <c r="P2392" s="199"/>
    </row>
    <row r="2393" spans="7:16" x14ac:dyDescent="0.2">
      <c r="G2393" s="199"/>
      <c r="I2393" s="199"/>
      <c r="K2393" s="199"/>
      <c r="M2393" s="199"/>
      <c r="N2393" s="200"/>
      <c r="P2393" s="199"/>
    </row>
    <row r="2394" spans="7:16" x14ac:dyDescent="0.2">
      <c r="G2394" s="199"/>
      <c r="I2394" s="199"/>
      <c r="K2394" s="199"/>
      <c r="M2394" s="199"/>
      <c r="N2394" s="200"/>
      <c r="P2394" s="199"/>
    </row>
    <row r="2395" spans="7:16" x14ac:dyDescent="0.2">
      <c r="G2395" s="199"/>
      <c r="I2395" s="199"/>
      <c r="K2395" s="199"/>
      <c r="M2395" s="199"/>
      <c r="N2395" s="200"/>
      <c r="P2395" s="199"/>
    </row>
    <row r="2396" spans="7:16" x14ac:dyDescent="0.2">
      <c r="G2396" s="199"/>
      <c r="I2396" s="199"/>
      <c r="K2396" s="199"/>
      <c r="M2396" s="199"/>
      <c r="N2396" s="200"/>
      <c r="P2396" s="199"/>
    </row>
    <row r="2397" spans="7:16" x14ac:dyDescent="0.2">
      <c r="G2397" s="199"/>
      <c r="I2397" s="199"/>
      <c r="K2397" s="199"/>
      <c r="M2397" s="199"/>
      <c r="N2397" s="200"/>
      <c r="P2397" s="199"/>
    </row>
    <row r="2398" spans="7:16" x14ac:dyDescent="0.2">
      <c r="G2398" s="199"/>
      <c r="I2398" s="199"/>
      <c r="K2398" s="199"/>
      <c r="M2398" s="199"/>
      <c r="N2398" s="200"/>
      <c r="P2398" s="199"/>
    </row>
    <row r="2399" spans="7:16" x14ac:dyDescent="0.2">
      <c r="G2399" s="199"/>
      <c r="I2399" s="199"/>
      <c r="K2399" s="199"/>
      <c r="M2399" s="199"/>
      <c r="N2399" s="200"/>
      <c r="P2399" s="199"/>
    </row>
    <row r="2400" spans="7:16" x14ac:dyDescent="0.2">
      <c r="G2400" s="199"/>
      <c r="I2400" s="199"/>
      <c r="K2400" s="199"/>
      <c r="M2400" s="199"/>
      <c r="N2400" s="200"/>
      <c r="P2400" s="199"/>
    </row>
    <row r="2401" spans="7:16" x14ac:dyDescent="0.2">
      <c r="G2401" s="199"/>
      <c r="I2401" s="199"/>
      <c r="K2401" s="199"/>
      <c r="M2401" s="199"/>
      <c r="N2401" s="200"/>
      <c r="P2401" s="199"/>
    </row>
    <row r="2402" spans="7:16" x14ac:dyDescent="0.2">
      <c r="G2402" s="199"/>
      <c r="I2402" s="199"/>
      <c r="K2402" s="199"/>
      <c r="M2402" s="199"/>
      <c r="N2402" s="200"/>
      <c r="P2402" s="199"/>
    </row>
    <row r="2403" spans="7:16" x14ac:dyDescent="0.2">
      <c r="G2403" s="199"/>
      <c r="I2403" s="199"/>
      <c r="K2403" s="199"/>
      <c r="M2403" s="199"/>
      <c r="N2403" s="200"/>
      <c r="P2403" s="199"/>
    </row>
    <row r="2404" spans="7:16" x14ac:dyDescent="0.2">
      <c r="G2404" s="199"/>
      <c r="I2404" s="199"/>
      <c r="K2404" s="199"/>
      <c r="M2404" s="199"/>
      <c r="N2404" s="200"/>
      <c r="P2404" s="199"/>
    </row>
    <row r="2405" spans="7:16" x14ac:dyDescent="0.2">
      <c r="G2405" s="199"/>
      <c r="I2405" s="199"/>
      <c r="K2405" s="199"/>
      <c r="M2405" s="199"/>
      <c r="N2405" s="200"/>
      <c r="P2405" s="199"/>
    </row>
    <row r="2406" spans="7:16" x14ac:dyDescent="0.2">
      <c r="G2406" s="199"/>
      <c r="I2406" s="199"/>
      <c r="K2406" s="199"/>
      <c r="M2406" s="199"/>
      <c r="N2406" s="200"/>
      <c r="P2406" s="199"/>
    </row>
    <row r="2407" spans="7:16" x14ac:dyDescent="0.2">
      <c r="G2407" s="199"/>
      <c r="I2407" s="199"/>
      <c r="K2407" s="199"/>
      <c r="M2407" s="199"/>
      <c r="N2407" s="200"/>
      <c r="P2407" s="199"/>
    </row>
    <row r="2408" spans="7:16" x14ac:dyDescent="0.2">
      <c r="G2408" s="199"/>
      <c r="I2408" s="199"/>
      <c r="K2408" s="199"/>
      <c r="M2408" s="199"/>
      <c r="N2408" s="200"/>
      <c r="P2408" s="199"/>
    </row>
    <row r="2409" spans="7:16" x14ac:dyDescent="0.2">
      <c r="G2409" s="199"/>
      <c r="I2409" s="199"/>
      <c r="K2409" s="199"/>
      <c r="M2409" s="199"/>
      <c r="N2409" s="200"/>
      <c r="P2409" s="199"/>
    </row>
    <row r="2410" spans="7:16" x14ac:dyDescent="0.2">
      <c r="G2410" s="199"/>
      <c r="I2410" s="199"/>
      <c r="K2410" s="199"/>
      <c r="M2410" s="199"/>
      <c r="N2410" s="200"/>
      <c r="P2410" s="199"/>
    </row>
    <row r="2411" spans="7:16" x14ac:dyDescent="0.2">
      <c r="G2411" s="199"/>
      <c r="I2411" s="199"/>
      <c r="K2411" s="199"/>
      <c r="M2411" s="199"/>
      <c r="N2411" s="200"/>
      <c r="P2411" s="199"/>
    </row>
    <row r="2412" spans="7:16" x14ac:dyDescent="0.2">
      <c r="G2412" s="199"/>
      <c r="I2412" s="199"/>
      <c r="K2412" s="199"/>
      <c r="M2412" s="199"/>
      <c r="N2412" s="200"/>
      <c r="P2412" s="199"/>
    </row>
    <row r="2413" spans="7:16" x14ac:dyDescent="0.2">
      <c r="G2413" s="199"/>
      <c r="I2413" s="199"/>
      <c r="K2413" s="199"/>
      <c r="M2413" s="199"/>
      <c r="N2413" s="200"/>
      <c r="P2413" s="199"/>
    </row>
    <row r="2414" spans="7:16" x14ac:dyDescent="0.2">
      <c r="G2414" s="199"/>
      <c r="I2414" s="199"/>
      <c r="K2414" s="199"/>
      <c r="M2414" s="199"/>
      <c r="N2414" s="200"/>
      <c r="P2414" s="199"/>
    </row>
    <row r="2415" spans="7:16" x14ac:dyDescent="0.2">
      <c r="G2415" s="199"/>
      <c r="I2415" s="199"/>
      <c r="K2415" s="199"/>
      <c r="M2415" s="199"/>
      <c r="N2415" s="200"/>
      <c r="P2415" s="199"/>
    </row>
    <row r="2416" spans="7:16" x14ac:dyDescent="0.2">
      <c r="G2416" s="199"/>
      <c r="I2416" s="199"/>
      <c r="K2416" s="199"/>
      <c r="M2416" s="199"/>
      <c r="N2416" s="200"/>
      <c r="P2416" s="199"/>
    </row>
    <row r="2417" spans="7:16" x14ac:dyDescent="0.2">
      <c r="G2417" s="199"/>
      <c r="I2417" s="199"/>
      <c r="K2417" s="199"/>
      <c r="M2417" s="199"/>
      <c r="N2417" s="200"/>
      <c r="P2417" s="199"/>
    </row>
    <row r="2418" spans="7:16" x14ac:dyDescent="0.2">
      <c r="G2418" s="199"/>
      <c r="I2418" s="199"/>
      <c r="K2418" s="199"/>
      <c r="M2418" s="199"/>
      <c r="N2418" s="200"/>
      <c r="P2418" s="199"/>
    </row>
    <row r="2419" spans="7:16" x14ac:dyDescent="0.2">
      <c r="G2419" s="199"/>
      <c r="I2419" s="199"/>
      <c r="K2419" s="199"/>
      <c r="M2419" s="199"/>
      <c r="N2419" s="200"/>
      <c r="P2419" s="199"/>
    </row>
    <row r="2420" spans="7:16" x14ac:dyDescent="0.2">
      <c r="G2420" s="199"/>
      <c r="I2420" s="199"/>
      <c r="K2420" s="199"/>
      <c r="M2420" s="199"/>
      <c r="N2420" s="200"/>
      <c r="P2420" s="199"/>
    </row>
    <row r="2421" spans="7:16" x14ac:dyDescent="0.2">
      <c r="G2421" s="199"/>
      <c r="I2421" s="199"/>
      <c r="K2421" s="199"/>
      <c r="M2421" s="199"/>
      <c r="N2421" s="200"/>
      <c r="P2421" s="199"/>
    </row>
    <row r="2422" spans="7:16" x14ac:dyDescent="0.2">
      <c r="G2422" s="199"/>
      <c r="I2422" s="199"/>
      <c r="K2422" s="199"/>
      <c r="M2422" s="199"/>
      <c r="N2422" s="200"/>
      <c r="P2422" s="199"/>
    </row>
    <row r="2423" spans="7:16" x14ac:dyDescent="0.2">
      <c r="G2423" s="199"/>
      <c r="I2423" s="199"/>
      <c r="K2423" s="199"/>
      <c r="M2423" s="199"/>
      <c r="N2423" s="200"/>
      <c r="P2423" s="199"/>
    </row>
    <row r="2424" spans="7:16" x14ac:dyDescent="0.2">
      <c r="G2424" s="199"/>
      <c r="I2424" s="199"/>
      <c r="K2424" s="199"/>
      <c r="M2424" s="199"/>
      <c r="N2424" s="200"/>
      <c r="P2424" s="199"/>
    </row>
    <row r="2425" spans="7:16" x14ac:dyDescent="0.2">
      <c r="G2425" s="199"/>
      <c r="I2425" s="199"/>
      <c r="K2425" s="199"/>
      <c r="M2425" s="199"/>
      <c r="N2425" s="200"/>
      <c r="P2425" s="199"/>
    </row>
    <row r="2426" spans="7:16" x14ac:dyDescent="0.2">
      <c r="G2426" s="199"/>
      <c r="I2426" s="199"/>
      <c r="K2426" s="199"/>
      <c r="M2426" s="199"/>
      <c r="N2426" s="200"/>
      <c r="P2426" s="199"/>
    </row>
    <row r="2427" spans="7:16" x14ac:dyDescent="0.2">
      <c r="G2427" s="199"/>
      <c r="I2427" s="199"/>
      <c r="K2427" s="199"/>
      <c r="M2427" s="199"/>
      <c r="N2427" s="200"/>
      <c r="P2427" s="199"/>
    </row>
    <row r="2428" spans="7:16" x14ac:dyDescent="0.2">
      <c r="G2428" s="199"/>
      <c r="I2428" s="199"/>
      <c r="K2428" s="199"/>
      <c r="M2428" s="199"/>
      <c r="N2428" s="200"/>
      <c r="P2428" s="199"/>
    </row>
    <row r="2429" spans="7:16" x14ac:dyDescent="0.2">
      <c r="G2429" s="199"/>
      <c r="I2429" s="199"/>
      <c r="K2429" s="199"/>
      <c r="M2429" s="199"/>
      <c r="N2429" s="200"/>
      <c r="P2429" s="199"/>
    </row>
    <row r="2430" spans="7:16" x14ac:dyDescent="0.2">
      <c r="G2430" s="199"/>
      <c r="I2430" s="199"/>
      <c r="K2430" s="199"/>
      <c r="M2430" s="199"/>
      <c r="N2430" s="200"/>
      <c r="P2430" s="199"/>
    </row>
    <row r="2431" spans="7:16" x14ac:dyDescent="0.2">
      <c r="G2431" s="199"/>
      <c r="I2431" s="199"/>
      <c r="K2431" s="199"/>
      <c r="M2431" s="199"/>
      <c r="N2431" s="200"/>
      <c r="P2431" s="199"/>
    </row>
    <row r="2432" spans="7:16" x14ac:dyDescent="0.2">
      <c r="G2432" s="199"/>
      <c r="I2432" s="199"/>
      <c r="K2432" s="199"/>
      <c r="M2432" s="199"/>
      <c r="N2432" s="200"/>
      <c r="P2432" s="199"/>
    </row>
    <row r="2433" spans="7:16" x14ac:dyDescent="0.2">
      <c r="G2433" s="199"/>
      <c r="I2433" s="199"/>
      <c r="K2433" s="199"/>
      <c r="M2433" s="199"/>
      <c r="N2433" s="200"/>
      <c r="P2433" s="199"/>
    </row>
    <row r="2434" spans="7:16" x14ac:dyDescent="0.2">
      <c r="G2434" s="199"/>
      <c r="I2434" s="199"/>
      <c r="K2434" s="199"/>
      <c r="M2434" s="199"/>
      <c r="N2434" s="200"/>
      <c r="P2434" s="199"/>
    </row>
    <row r="2435" spans="7:16" x14ac:dyDescent="0.2">
      <c r="G2435" s="199"/>
      <c r="I2435" s="199"/>
      <c r="K2435" s="199"/>
      <c r="M2435" s="199"/>
      <c r="N2435" s="200"/>
      <c r="P2435" s="199"/>
    </row>
    <row r="2436" spans="7:16" x14ac:dyDescent="0.2">
      <c r="G2436" s="199"/>
      <c r="I2436" s="199"/>
      <c r="K2436" s="199"/>
      <c r="M2436" s="199"/>
      <c r="N2436" s="200"/>
      <c r="P2436" s="199"/>
    </row>
    <row r="2437" spans="7:16" x14ac:dyDescent="0.2">
      <c r="G2437" s="199"/>
      <c r="I2437" s="199"/>
      <c r="K2437" s="199"/>
      <c r="M2437" s="199"/>
      <c r="N2437" s="200"/>
      <c r="P2437" s="199"/>
    </row>
    <row r="2438" spans="7:16" x14ac:dyDescent="0.2">
      <c r="G2438" s="199"/>
      <c r="I2438" s="199"/>
      <c r="K2438" s="199"/>
      <c r="M2438" s="199"/>
      <c r="N2438" s="200"/>
      <c r="P2438" s="199"/>
    </row>
    <row r="2439" spans="7:16" x14ac:dyDescent="0.2">
      <c r="G2439" s="199"/>
      <c r="I2439" s="199"/>
      <c r="K2439" s="199"/>
      <c r="M2439" s="199"/>
      <c r="N2439" s="200"/>
      <c r="P2439" s="199"/>
    </row>
    <row r="2440" spans="7:16" x14ac:dyDescent="0.2">
      <c r="G2440" s="199"/>
      <c r="I2440" s="199"/>
      <c r="K2440" s="199"/>
      <c r="M2440" s="199"/>
      <c r="N2440" s="200"/>
      <c r="P2440" s="199"/>
    </row>
    <row r="2441" spans="7:16" x14ac:dyDescent="0.2">
      <c r="G2441" s="199"/>
      <c r="I2441" s="199"/>
      <c r="K2441" s="199"/>
      <c r="M2441" s="199"/>
      <c r="N2441" s="200"/>
      <c r="P2441" s="199"/>
    </row>
    <row r="2442" spans="7:16" x14ac:dyDescent="0.2">
      <c r="G2442" s="199"/>
      <c r="I2442" s="199"/>
      <c r="K2442" s="199"/>
      <c r="M2442" s="199"/>
      <c r="N2442" s="200"/>
      <c r="P2442" s="199"/>
    </row>
    <row r="2443" spans="7:16" x14ac:dyDescent="0.2">
      <c r="G2443" s="199"/>
      <c r="I2443" s="199"/>
      <c r="K2443" s="199"/>
      <c r="M2443" s="199"/>
      <c r="N2443" s="200"/>
      <c r="P2443" s="199"/>
    </row>
    <row r="2444" spans="7:16" x14ac:dyDescent="0.2">
      <c r="G2444" s="199"/>
      <c r="I2444" s="199"/>
      <c r="K2444" s="199"/>
      <c r="M2444" s="199"/>
      <c r="N2444" s="200"/>
      <c r="P2444" s="199"/>
    </row>
    <row r="2445" spans="7:16" x14ac:dyDescent="0.2">
      <c r="G2445" s="199"/>
      <c r="I2445" s="199"/>
      <c r="K2445" s="199"/>
      <c r="M2445" s="199"/>
      <c r="N2445" s="200"/>
      <c r="P2445" s="199"/>
    </row>
    <row r="2446" spans="7:16" x14ac:dyDescent="0.2">
      <c r="G2446" s="199"/>
      <c r="I2446" s="199"/>
      <c r="K2446" s="199"/>
      <c r="M2446" s="199"/>
      <c r="N2446" s="200"/>
      <c r="P2446" s="199"/>
    </row>
    <row r="2447" spans="7:16" x14ac:dyDescent="0.2">
      <c r="G2447" s="199"/>
      <c r="I2447" s="199"/>
      <c r="K2447" s="199"/>
      <c r="M2447" s="199"/>
      <c r="N2447" s="200"/>
      <c r="P2447" s="199"/>
    </row>
    <row r="2448" spans="7:16" x14ac:dyDescent="0.2">
      <c r="G2448" s="199"/>
      <c r="I2448" s="199"/>
      <c r="K2448" s="199"/>
      <c r="M2448" s="199"/>
      <c r="N2448" s="200"/>
      <c r="P2448" s="199"/>
    </row>
    <row r="2449" spans="7:16" x14ac:dyDescent="0.2">
      <c r="G2449" s="199"/>
      <c r="I2449" s="199"/>
      <c r="K2449" s="199"/>
      <c r="M2449" s="199"/>
      <c r="N2449" s="200"/>
      <c r="P2449" s="199"/>
    </row>
    <row r="2450" spans="7:16" x14ac:dyDescent="0.2">
      <c r="G2450" s="199"/>
      <c r="I2450" s="199"/>
      <c r="K2450" s="199"/>
      <c r="M2450" s="199"/>
      <c r="N2450" s="200"/>
      <c r="P2450" s="199"/>
    </row>
    <row r="2451" spans="7:16" x14ac:dyDescent="0.2">
      <c r="G2451" s="199"/>
      <c r="I2451" s="199"/>
      <c r="K2451" s="199"/>
      <c r="M2451" s="199"/>
      <c r="N2451" s="200"/>
      <c r="P2451" s="199"/>
    </row>
    <row r="2452" spans="7:16" x14ac:dyDescent="0.2">
      <c r="G2452" s="199"/>
      <c r="I2452" s="199"/>
      <c r="K2452" s="199"/>
      <c r="M2452" s="199"/>
      <c r="N2452" s="200"/>
      <c r="P2452" s="199"/>
    </row>
    <row r="2453" spans="7:16" x14ac:dyDescent="0.2">
      <c r="G2453" s="199"/>
      <c r="I2453" s="199"/>
      <c r="K2453" s="199"/>
      <c r="M2453" s="199"/>
      <c r="N2453" s="200"/>
      <c r="P2453" s="199"/>
    </row>
    <row r="2454" spans="7:16" x14ac:dyDescent="0.2">
      <c r="G2454" s="199"/>
      <c r="I2454" s="199"/>
      <c r="K2454" s="199"/>
      <c r="M2454" s="199"/>
      <c r="N2454" s="200"/>
      <c r="P2454" s="199"/>
    </row>
    <row r="2455" spans="7:16" x14ac:dyDescent="0.2">
      <c r="G2455" s="199"/>
      <c r="I2455" s="199"/>
      <c r="K2455" s="199"/>
      <c r="M2455" s="199"/>
      <c r="N2455" s="200"/>
      <c r="P2455" s="199"/>
    </row>
    <row r="2456" spans="7:16" x14ac:dyDescent="0.2">
      <c r="G2456" s="199"/>
      <c r="I2456" s="199"/>
      <c r="K2456" s="199"/>
      <c r="M2456" s="199"/>
      <c r="N2456" s="200"/>
      <c r="P2456" s="199"/>
    </row>
    <row r="2457" spans="7:16" x14ac:dyDescent="0.2">
      <c r="G2457" s="199"/>
      <c r="I2457" s="199"/>
      <c r="K2457" s="199"/>
      <c r="M2457" s="199"/>
      <c r="N2457" s="200"/>
      <c r="P2457" s="199"/>
    </row>
    <row r="2458" spans="7:16" x14ac:dyDescent="0.2">
      <c r="G2458" s="199"/>
      <c r="I2458" s="199"/>
      <c r="K2458" s="199"/>
      <c r="M2458" s="199"/>
      <c r="N2458" s="200"/>
      <c r="P2458" s="199"/>
    </row>
    <row r="2459" spans="7:16" x14ac:dyDescent="0.2">
      <c r="G2459" s="199"/>
      <c r="I2459" s="199"/>
      <c r="K2459" s="199"/>
      <c r="M2459" s="199"/>
      <c r="N2459" s="200"/>
      <c r="P2459" s="199"/>
    </row>
    <row r="2460" spans="7:16" x14ac:dyDescent="0.2">
      <c r="G2460" s="199"/>
      <c r="I2460" s="199"/>
      <c r="K2460" s="199"/>
      <c r="M2460" s="199"/>
      <c r="N2460" s="200"/>
      <c r="P2460" s="199"/>
    </row>
    <row r="2461" spans="7:16" x14ac:dyDescent="0.2">
      <c r="G2461" s="199"/>
      <c r="I2461" s="199"/>
      <c r="K2461" s="199"/>
      <c r="M2461" s="199"/>
      <c r="N2461" s="200"/>
      <c r="P2461" s="199"/>
    </row>
    <row r="2462" spans="7:16" x14ac:dyDescent="0.2">
      <c r="G2462" s="199"/>
      <c r="I2462" s="199"/>
      <c r="K2462" s="199"/>
      <c r="M2462" s="199"/>
      <c r="N2462" s="200"/>
      <c r="P2462" s="199"/>
    </row>
    <row r="2463" spans="7:16" x14ac:dyDescent="0.2">
      <c r="G2463" s="199"/>
      <c r="I2463" s="199"/>
      <c r="K2463" s="199"/>
      <c r="M2463" s="199"/>
      <c r="N2463" s="200"/>
      <c r="P2463" s="199"/>
    </row>
    <row r="2464" spans="7:16" x14ac:dyDescent="0.2">
      <c r="G2464" s="199"/>
      <c r="I2464" s="199"/>
      <c r="K2464" s="199"/>
      <c r="M2464" s="199"/>
      <c r="N2464" s="200"/>
      <c r="P2464" s="199"/>
    </row>
    <row r="2465" spans="7:16" x14ac:dyDescent="0.2">
      <c r="G2465" s="199"/>
      <c r="I2465" s="199"/>
      <c r="K2465" s="199"/>
      <c r="M2465" s="199"/>
      <c r="N2465" s="200"/>
      <c r="P2465" s="199"/>
    </row>
    <row r="2466" spans="7:16" x14ac:dyDescent="0.2">
      <c r="G2466" s="199"/>
      <c r="I2466" s="199"/>
      <c r="K2466" s="199"/>
      <c r="M2466" s="199"/>
      <c r="N2466" s="200"/>
      <c r="P2466" s="199"/>
    </row>
    <row r="2467" spans="7:16" x14ac:dyDescent="0.2">
      <c r="G2467" s="199"/>
      <c r="I2467" s="199"/>
      <c r="K2467" s="199"/>
      <c r="M2467" s="199"/>
      <c r="N2467" s="200"/>
      <c r="P2467" s="199"/>
    </row>
    <row r="2468" spans="7:16" x14ac:dyDescent="0.2">
      <c r="G2468" s="199"/>
      <c r="I2468" s="199"/>
      <c r="K2468" s="199"/>
      <c r="M2468" s="199"/>
      <c r="N2468" s="200"/>
      <c r="P2468" s="199"/>
    </row>
    <row r="2469" spans="7:16" x14ac:dyDescent="0.2">
      <c r="G2469" s="199"/>
      <c r="I2469" s="199"/>
      <c r="K2469" s="199"/>
      <c r="M2469" s="199"/>
      <c r="N2469" s="200"/>
      <c r="P2469" s="199"/>
    </row>
    <row r="2470" spans="7:16" x14ac:dyDescent="0.2">
      <c r="G2470" s="199"/>
      <c r="I2470" s="199"/>
      <c r="K2470" s="199"/>
      <c r="M2470" s="199"/>
      <c r="N2470" s="200"/>
      <c r="P2470" s="199"/>
    </row>
    <row r="2471" spans="7:16" x14ac:dyDescent="0.2">
      <c r="G2471" s="199"/>
      <c r="I2471" s="199"/>
      <c r="K2471" s="199"/>
      <c r="M2471" s="199"/>
      <c r="N2471" s="200"/>
      <c r="P2471" s="199"/>
    </row>
    <row r="2472" spans="7:16" x14ac:dyDescent="0.2">
      <c r="G2472" s="199"/>
      <c r="I2472" s="199"/>
      <c r="K2472" s="199"/>
      <c r="M2472" s="199"/>
      <c r="N2472" s="200"/>
      <c r="P2472" s="199"/>
    </row>
    <row r="2473" spans="7:16" x14ac:dyDescent="0.2">
      <c r="G2473" s="199"/>
      <c r="I2473" s="199"/>
      <c r="K2473" s="199"/>
      <c r="M2473" s="199"/>
      <c r="N2473" s="200"/>
      <c r="P2473" s="199"/>
    </row>
    <row r="2474" spans="7:16" x14ac:dyDescent="0.2">
      <c r="G2474" s="199"/>
      <c r="I2474" s="199"/>
      <c r="K2474" s="199"/>
      <c r="M2474" s="199"/>
      <c r="N2474" s="200"/>
      <c r="P2474" s="199"/>
    </row>
    <row r="2475" spans="7:16" x14ac:dyDescent="0.2">
      <c r="G2475" s="199"/>
      <c r="I2475" s="199"/>
      <c r="K2475" s="199"/>
      <c r="M2475" s="199"/>
      <c r="N2475" s="200"/>
      <c r="P2475" s="199"/>
    </row>
    <row r="2476" spans="7:16" x14ac:dyDescent="0.2">
      <c r="G2476" s="199"/>
      <c r="I2476" s="199"/>
      <c r="K2476" s="199"/>
      <c r="M2476" s="199"/>
      <c r="N2476" s="200"/>
      <c r="P2476" s="199"/>
    </row>
    <row r="2477" spans="7:16" x14ac:dyDescent="0.2">
      <c r="G2477" s="199"/>
      <c r="I2477" s="199"/>
      <c r="K2477" s="199"/>
      <c r="M2477" s="199"/>
      <c r="N2477" s="200"/>
      <c r="P2477" s="199"/>
    </row>
    <row r="2478" spans="7:16" x14ac:dyDescent="0.2">
      <c r="G2478" s="199"/>
      <c r="I2478" s="199"/>
      <c r="K2478" s="199"/>
      <c r="M2478" s="199"/>
      <c r="N2478" s="200"/>
      <c r="P2478" s="199"/>
    </row>
    <row r="2479" spans="7:16" x14ac:dyDescent="0.2">
      <c r="G2479" s="199"/>
      <c r="I2479" s="199"/>
      <c r="K2479" s="199"/>
      <c r="M2479" s="199"/>
      <c r="N2479" s="200"/>
      <c r="P2479" s="199"/>
    </row>
    <row r="2480" spans="7:16" x14ac:dyDescent="0.2">
      <c r="G2480" s="199"/>
      <c r="I2480" s="199"/>
      <c r="K2480" s="199"/>
      <c r="M2480" s="199"/>
      <c r="N2480" s="200"/>
      <c r="P2480" s="199"/>
    </row>
    <row r="2481" spans="7:16" x14ac:dyDescent="0.2">
      <c r="G2481" s="199"/>
      <c r="I2481" s="199"/>
      <c r="K2481" s="199"/>
      <c r="M2481" s="199"/>
      <c r="N2481" s="200"/>
      <c r="P2481" s="199"/>
    </row>
    <row r="2482" spans="7:16" x14ac:dyDescent="0.2">
      <c r="G2482" s="199"/>
      <c r="I2482" s="199"/>
      <c r="K2482" s="199"/>
      <c r="M2482" s="199"/>
      <c r="N2482" s="200"/>
      <c r="P2482" s="199"/>
    </row>
    <row r="2483" spans="7:16" x14ac:dyDescent="0.2">
      <c r="G2483" s="199"/>
      <c r="I2483" s="199"/>
      <c r="K2483" s="199"/>
      <c r="M2483" s="199"/>
      <c r="N2483" s="200"/>
      <c r="P2483" s="199"/>
    </row>
    <row r="2484" spans="7:16" x14ac:dyDescent="0.2">
      <c r="G2484" s="199"/>
      <c r="I2484" s="199"/>
      <c r="K2484" s="199"/>
      <c r="M2484" s="199"/>
      <c r="N2484" s="200"/>
      <c r="P2484" s="199"/>
    </row>
    <row r="2485" spans="7:16" x14ac:dyDescent="0.2">
      <c r="G2485" s="199"/>
      <c r="I2485" s="199"/>
      <c r="K2485" s="199"/>
      <c r="M2485" s="199"/>
      <c r="N2485" s="200"/>
      <c r="P2485" s="199"/>
    </row>
    <row r="2486" spans="7:16" x14ac:dyDescent="0.2">
      <c r="G2486" s="199"/>
      <c r="I2486" s="199"/>
      <c r="K2486" s="199"/>
      <c r="M2486" s="199"/>
      <c r="N2486" s="200"/>
      <c r="P2486" s="199"/>
    </row>
    <row r="2487" spans="7:16" x14ac:dyDescent="0.2">
      <c r="G2487" s="199"/>
      <c r="I2487" s="199"/>
      <c r="K2487" s="199"/>
      <c r="M2487" s="199"/>
      <c r="N2487" s="200"/>
      <c r="P2487" s="199"/>
    </row>
    <row r="2488" spans="7:16" x14ac:dyDescent="0.2">
      <c r="G2488" s="199"/>
      <c r="I2488" s="199"/>
      <c r="K2488" s="199"/>
      <c r="M2488" s="199"/>
      <c r="N2488" s="200"/>
      <c r="P2488" s="199"/>
    </row>
    <row r="2489" spans="7:16" x14ac:dyDescent="0.2">
      <c r="G2489" s="199"/>
      <c r="I2489" s="199"/>
      <c r="K2489" s="199"/>
      <c r="M2489" s="199"/>
      <c r="N2489" s="200"/>
      <c r="P2489" s="199"/>
    </row>
    <row r="2490" spans="7:16" x14ac:dyDescent="0.2">
      <c r="G2490" s="199"/>
      <c r="I2490" s="199"/>
      <c r="K2490" s="199"/>
      <c r="M2490" s="199"/>
      <c r="N2490" s="200"/>
      <c r="P2490" s="199"/>
    </row>
    <row r="2491" spans="7:16" x14ac:dyDescent="0.2">
      <c r="G2491" s="199"/>
      <c r="I2491" s="199"/>
      <c r="K2491" s="199"/>
      <c r="M2491" s="199"/>
      <c r="N2491" s="200"/>
      <c r="P2491" s="199"/>
    </row>
    <row r="2492" spans="7:16" x14ac:dyDescent="0.2">
      <c r="G2492" s="199"/>
      <c r="I2492" s="199"/>
      <c r="K2492" s="199"/>
      <c r="M2492" s="199"/>
      <c r="N2492" s="200"/>
      <c r="P2492" s="199"/>
    </row>
    <row r="2493" spans="7:16" x14ac:dyDescent="0.2">
      <c r="G2493" s="199"/>
      <c r="I2493" s="199"/>
      <c r="K2493" s="199"/>
      <c r="M2493" s="199"/>
      <c r="N2493" s="200"/>
      <c r="P2493" s="199"/>
    </row>
    <row r="2494" spans="7:16" x14ac:dyDescent="0.2">
      <c r="G2494" s="199"/>
      <c r="I2494" s="199"/>
      <c r="K2494" s="199"/>
      <c r="M2494" s="199"/>
      <c r="N2494" s="200"/>
      <c r="P2494" s="199"/>
    </row>
    <row r="2495" spans="7:16" x14ac:dyDescent="0.2">
      <c r="G2495" s="199"/>
      <c r="I2495" s="199"/>
      <c r="K2495" s="199"/>
      <c r="M2495" s="199"/>
      <c r="N2495" s="200"/>
      <c r="P2495" s="199"/>
    </row>
    <row r="2496" spans="7:16" x14ac:dyDescent="0.2">
      <c r="G2496" s="199"/>
      <c r="I2496" s="199"/>
      <c r="K2496" s="199"/>
      <c r="M2496" s="199"/>
      <c r="N2496" s="200"/>
      <c r="P2496" s="199"/>
    </row>
    <row r="2497" spans="7:16" x14ac:dyDescent="0.2">
      <c r="G2497" s="199"/>
      <c r="I2497" s="199"/>
      <c r="K2497" s="199"/>
      <c r="M2497" s="199"/>
      <c r="N2497" s="200"/>
      <c r="P2497" s="199"/>
    </row>
    <row r="2498" spans="7:16" x14ac:dyDescent="0.2">
      <c r="G2498" s="199"/>
      <c r="I2498" s="199"/>
      <c r="K2498" s="199"/>
      <c r="M2498" s="199"/>
      <c r="N2498" s="200"/>
      <c r="P2498" s="199"/>
    </row>
    <row r="2499" spans="7:16" x14ac:dyDescent="0.2">
      <c r="G2499" s="199"/>
      <c r="I2499" s="199"/>
      <c r="K2499" s="199"/>
      <c r="M2499" s="199"/>
      <c r="N2499" s="200"/>
      <c r="P2499" s="199"/>
    </row>
    <row r="2500" spans="7:16" x14ac:dyDescent="0.2">
      <c r="G2500" s="199"/>
      <c r="I2500" s="199"/>
      <c r="K2500" s="199"/>
      <c r="M2500" s="199"/>
      <c r="N2500" s="200"/>
      <c r="P2500" s="199"/>
    </row>
    <row r="2501" spans="7:16" x14ac:dyDescent="0.2">
      <c r="G2501" s="199"/>
      <c r="I2501" s="199"/>
      <c r="K2501" s="199"/>
      <c r="M2501" s="199"/>
      <c r="N2501" s="200"/>
      <c r="P2501" s="199"/>
    </row>
    <row r="2502" spans="7:16" x14ac:dyDescent="0.2">
      <c r="G2502" s="199"/>
      <c r="I2502" s="199"/>
      <c r="K2502" s="199"/>
      <c r="M2502" s="199"/>
      <c r="N2502" s="200"/>
      <c r="P2502" s="199"/>
    </row>
    <row r="2503" spans="7:16" x14ac:dyDescent="0.2">
      <c r="G2503" s="199"/>
      <c r="I2503" s="199"/>
      <c r="K2503" s="199"/>
      <c r="M2503" s="199"/>
      <c r="N2503" s="200"/>
      <c r="P2503" s="199"/>
    </row>
    <row r="2504" spans="7:16" x14ac:dyDescent="0.2">
      <c r="G2504" s="199"/>
      <c r="I2504" s="199"/>
      <c r="K2504" s="199"/>
      <c r="M2504" s="199"/>
      <c r="N2504" s="200"/>
      <c r="P2504" s="199"/>
    </row>
    <row r="2505" spans="7:16" x14ac:dyDescent="0.2">
      <c r="G2505" s="199"/>
      <c r="I2505" s="199"/>
      <c r="K2505" s="199"/>
      <c r="M2505" s="199"/>
      <c r="N2505" s="200"/>
      <c r="P2505" s="199"/>
    </row>
    <row r="2506" spans="7:16" x14ac:dyDescent="0.2">
      <c r="G2506" s="199"/>
      <c r="I2506" s="199"/>
      <c r="K2506" s="199"/>
      <c r="M2506" s="199"/>
      <c r="N2506" s="200"/>
      <c r="P2506" s="199"/>
    </row>
    <row r="2507" spans="7:16" x14ac:dyDescent="0.2">
      <c r="G2507" s="199"/>
      <c r="I2507" s="199"/>
      <c r="K2507" s="199"/>
      <c r="M2507" s="199"/>
      <c r="N2507" s="200"/>
      <c r="P2507" s="199"/>
    </row>
    <row r="2508" spans="7:16" x14ac:dyDescent="0.2">
      <c r="G2508" s="199"/>
      <c r="I2508" s="199"/>
      <c r="K2508" s="199"/>
      <c r="M2508" s="199"/>
      <c r="N2508" s="200"/>
      <c r="P2508" s="199"/>
    </row>
    <row r="2509" spans="7:16" x14ac:dyDescent="0.2">
      <c r="G2509" s="199"/>
      <c r="I2509" s="199"/>
      <c r="K2509" s="199"/>
      <c r="M2509" s="199"/>
      <c r="N2509" s="200"/>
      <c r="P2509" s="199"/>
    </row>
    <row r="2510" spans="7:16" x14ac:dyDescent="0.2">
      <c r="G2510" s="199"/>
      <c r="I2510" s="199"/>
      <c r="K2510" s="199"/>
      <c r="M2510" s="199"/>
      <c r="N2510" s="200"/>
      <c r="P2510" s="199"/>
    </row>
    <row r="2511" spans="7:16" x14ac:dyDescent="0.2">
      <c r="G2511" s="199"/>
      <c r="I2511" s="199"/>
      <c r="K2511" s="199"/>
      <c r="M2511" s="199"/>
      <c r="N2511" s="200"/>
      <c r="P2511" s="199"/>
    </row>
    <row r="2512" spans="7:16" x14ac:dyDescent="0.2">
      <c r="G2512" s="199"/>
      <c r="I2512" s="199"/>
      <c r="K2512" s="199"/>
      <c r="M2512" s="199"/>
      <c r="N2512" s="200"/>
      <c r="P2512" s="199"/>
    </row>
    <row r="2513" spans="7:16" x14ac:dyDescent="0.2">
      <c r="G2513" s="199"/>
      <c r="I2513" s="199"/>
      <c r="K2513" s="199"/>
      <c r="M2513" s="199"/>
      <c r="N2513" s="200"/>
      <c r="P2513" s="199"/>
    </row>
    <row r="2514" spans="7:16" x14ac:dyDescent="0.2">
      <c r="G2514" s="199"/>
      <c r="I2514" s="199"/>
      <c r="K2514" s="199"/>
      <c r="M2514" s="199"/>
      <c r="N2514" s="200"/>
      <c r="P2514" s="199"/>
    </row>
    <row r="2515" spans="7:16" x14ac:dyDescent="0.2">
      <c r="G2515" s="199"/>
      <c r="I2515" s="199"/>
      <c r="K2515" s="199"/>
      <c r="M2515" s="199"/>
      <c r="N2515" s="200"/>
      <c r="P2515" s="199"/>
    </row>
    <row r="2516" spans="7:16" x14ac:dyDescent="0.2">
      <c r="G2516" s="199"/>
      <c r="I2516" s="199"/>
      <c r="K2516" s="199"/>
      <c r="M2516" s="199"/>
      <c r="N2516" s="200"/>
      <c r="P2516" s="199"/>
    </row>
    <row r="2517" spans="7:16" x14ac:dyDescent="0.2">
      <c r="G2517" s="199"/>
      <c r="I2517" s="199"/>
      <c r="K2517" s="199"/>
      <c r="M2517" s="199"/>
      <c r="N2517" s="200"/>
      <c r="P2517" s="199"/>
    </row>
    <row r="2518" spans="7:16" x14ac:dyDescent="0.2">
      <c r="G2518" s="199"/>
      <c r="I2518" s="199"/>
      <c r="K2518" s="199"/>
      <c r="M2518" s="199"/>
      <c r="N2518" s="200"/>
      <c r="P2518" s="199"/>
    </row>
    <row r="2519" spans="7:16" x14ac:dyDescent="0.2">
      <c r="G2519" s="199"/>
      <c r="I2519" s="199"/>
      <c r="K2519" s="199"/>
      <c r="M2519" s="199"/>
      <c r="N2519" s="200"/>
      <c r="P2519" s="199"/>
    </row>
    <row r="2520" spans="7:16" x14ac:dyDescent="0.2">
      <c r="G2520" s="199"/>
      <c r="I2520" s="199"/>
      <c r="K2520" s="199"/>
      <c r="M2520" s="199"/>
      <c r="N2520" s="200"/>
      <c r="P2520" s="199"/>
    </row>
    <row r="2521" spans="7:16" x14ac:dyDescent="0.2">
      <c r="G2521" s="199"/>
      <c r="I2521" s="199"/>
      <c r="K2521" s="199"/>
      <c r="M2521" s="199"/>
      <c r="N2521" s="200"/>
      <c r="P2521" s="199"/>
    </row>
    <row r="2522" spans="7:16" x14ac:dyDescent="0.2">
      <c r="G2522" s="199"/>
      <c r="I2522" s="199"/>
      <c r="K2522" s="199"/>
      <c r="M2522" s="199"/>
      <c r="N2522" s="200"/>
      <c r="P2522" s="199"/>
    </row>
    <row r="2523" spans="7:16" x14ac:dyDescent="0.2">
      <c r="G2523" s="199"/>
      <c r="I2523" s="199"/>
      <c r="K2523" s="199"/>
      <c r="M2523" s="199"/>
      <c r="N2523" s="200"/>
      <c r="P2523" s="199"/>
    </row>
    <row r="2524" spans="7:16" x14ac:dyDescent="0.2">
      <c r="G2524" s="199"/>
      <c r="I2524" s="199"/>
      <c r="K2524" s="199"/>
      <c r="M2524" s="199"/>
      <c r="N2524" s="200"/>
      <c r="P2524" s="199"/>
    </row>
    <row r="2525" spans="7:16" x14ac:dyDescent="0.2">
      <c r="G2525" s="199"/>
      <c r="I2525" s="199"/>
      <c r="K2525" s="199"/>
      <c r="M2525" s="199"/>
      <c r="N2525" s="200"/>
      <c r="P2525" s="199"/>
    </row>
    <row r="2526" spans="7:16" x14ac:dyDescent="0.2">
      <c r="G2526" s="199"/>
      <c r="I2526" s="199"/>
      <c r="K2526" s="199"/>
      <c r="M2526" s="199"/>
      <c r="N2526" s="200"/>
      <c r="P2526" s="199"/>
    </row>
    <row r="2527" spans="7:16" x14ac:dyDescent="0.2">
      <c r="G2527" s="199"/>
      <c r="I2527" s="199"/>
      <c r="K2527" s="199"/>
      <c r="M2527" s="199"/>
      <c r="N2527" s="200"/>
      <c r="P2527" s="199"/>
    </row>
    <row r="2528" spans="7:16" x14ac:dyDescent="0.2">
      <c r="G2528" s="199"/>
      <c r="I2528" s="199"/>
      <c r="K2528" s="199"/>
      <c r="M2528" s="199"/>
      <c r="N2528" s="200"/>
      <c r="P2528" s="199"/>
    </row>
    <row r="2529" spans="7:16" x14ac:dyDescent="0.2">
      <c r="G2529" s="199"/>
      <c r="I2529" s="199"/>
      <c r="K2529" s="199"/>
      <c r="M2529" s="199"/>
      <c r="N2529" s="200"/>
      <c r="P2529" s="199"/>
    </row>
    <row r="2530" spans="7:16" x14ac:dyDescent="0.2">
      <c r="G2530" s="199"/>
      <c r="I2530" s="199"/>
      <c r="K2530" s="199"/>
      <c r="M2530" s="199"/>
      <c r="N2530" s="200"/>
      <c r="P2530" s="199"/>
    </row>
    <row r="2531" spans="7:16" x14ac:dyDescent="0.2">
      <c r="G2531" s="199"/>
      <c r="I2531" s="199"/>
      <c r="K2531" s="199"/>
      <c r="M2531" s="199"/>
      <c r="N2531" s="200"/>
      <c r="P2531" s="199"/>
    </row>
    <row r="2532" spans="7:16" x14ac:dyDescent="0.2">
      <c r="G2532" s="199"/>
      <c r="I2532" s="199"/>
      <c r="K2532" s="199"/>
      <c r="M2532" s="199"/>
      <c r="N2532" s="200"/>
      <c r="P2532" s="199"/>
    </row>
    <row r="2533" spans="7:16" x14ac:dyDescent="0.2">
      <c r="G2533" s="199"/>
      <c r="I2533" s="199"/>
      <c r="K2533" s="199"/>
      <c r="M2533" s="199"/>
      <c r="N2533" s="200"/>
      <c r="P2533" s="199"/>
    </row>
    <row r="2534" spans="7:16" x14ac:dyDescent="0.2">
      <c r="G2534" s="199"/>
      <c r="I2534" s="199"/>
      <c r="K2534" s="199"/>
      <c r="M2534" s="199"/>
      <c r="N2534" s="200"/>
      <c r="P2534" s="199"/>
    </row>
    <row r="2535" spans="7:16" x14ac:dyDescent="0.2">
      <c r="G2535" s="199"/>
      <c r="I2535" s="199"/>
      <c r="K2535" s="199"/>
      <c r="M2535" s="199"/>
      <c r="N2535" s="200"/>
      <c r="P2535" s="199"/>
    </row>
    <row r="2536" spans="7:16" x14ac:dyDescent="0.2">
      <c r="G2536" s="199"/>
      <c r="I2536" s="199"/>
      <c r="K2536" s="199"/>
      <c r="M2536" s="199"/>
      <c r="N2536" s="200"/>
      <c r="P2536" s="199"/>
    </row>
    <row r="2537" spans="7:16" x14ac:dyDescent="0.2">
      <c r="G2537" s="199"/>
      <c r="I2537" s="199"/>
      <c r="K2537" s="199"/>
      <c r="M2537" s="199"/>
      <c r="N2537" s="200"/>
      <c r="P2537" s="199"/>
    </row>
    <row r="2538" spans="7:16" x14ac:dyDescent="0.2">
      <c r="G2538" s="199"/>
      <c r="I2538" s="199"/>
      <c r="K2538" s="199"/>
      <c r="M2538" s="199"/>
      <c r="N2538" s="200"/>
      <c r="P2538" s="199"/>
    </row>
    <row r="2539" spans="7:16" x14ac:dyDescent="0.2">
      <c r="G2539" s="199"/>
      <c r="I2539" s="199"/>
      <c r="K2539" s="199"/>
      <c r="M2539" s="199"/>
      <c r="N2539" s="200"/>
      <c r="P2539" s="199"/>
    </row>
    <row r="2540" spans="7:16" x14ac:dyDescent="0.2">
      <c r="G2540" s="199"/>
      <c r="I2540" s="199"/>
      <c r="K2540" s="199"/>
      <c r="M2540" s="199"/>
      <c r="N2540" s="200"/>
      <c r="P2540" s="199"/>
    </row>
    <row r="2541" spans="7:16" x14ac:dyDescent="0.2">
      <c r="G2541" s="199"/>
      <c r="I2541" s="199"/>
      <c r="K2541" s="199"/>
      <c r="M2541" s="199"/>
      <c r="N2541" s="200"/>
      <c r="P2541" s="199"/>
    </row>
    <row r="2542" spans="7:16" x14ac:dyDescent="0.2">
      <c r="G2542" s="199"/>
      <c r="I2542" s="199"/>
      <c r="K2542" s="199"/>
      <c r="M2542" s="199"/>
      <c r="N2542" s="200"/>
      <c r="P2542" s="199"/>
    </row>
    <row r="2543" spans="7:16" x14ac:dyDescent="0.2">
      <c r="G2543" s="199"/>
      <c r="I2543" s="199"/>
      <c r="K2543" s="199"/>
      <c r="M2543" s="199"/>
      <c r="N2543" s="200"/>
      <c r="P2543" s="199"/>
    </row>
    <row r="2544" spans="7:16" x14ac:dyDescent="0.2">
      <c r="G2544" s="199"/>
      <c r="I2544" s="199"/>
      <c r="K2544" s="199"/>
      <c r="M2544" s="199"/>
      <c r="N2544" s="200"/>
      <c r="P2544" s="199"/>
    </row>
    <row r="2545" spans="7:16" x14ac:dyDescent="0.2">
      <c r="G2545" s="199"/>
      <c r="I2545" s="199"/>
      <c r="K2545" s="199"/>
      <c r="M2545" s="199"/>
      <c r="N2545" s="200"/>
      <c r="P2545" s="199"/>
    </row>
    <row r="2546" spans="7:16" x14ac:dyDescent="0.2">
      <c r="G2546" s="199"/>
      <c r="I2546" s="199"/>
      <c r="K2546" s="199"/>
      <c r="M2546" s="199"/>
      <c r="N2546" s="200"/>
      <c r="P2546" s="199"/>
    </row>
    <row r="2547" spans="7:16" x14ac:dyDescent="0.2">
      <c r="G2547" s="199"/>
      <c r="I2547" s="199"/>
      <c r="K2547" s="199"/>
      <c r="M2547" s="199"/>
      <c r="N2547" s="200"/>
      <c r="P2547" s="199"/>
    </row>
    <row r="2548" spans="7:16" x14ac:dyDescent="0.2">
      <c r="G2548" s="199"/>
      <c r="I2548" s="199"/>
      <c r="K2548" s="199"/>
      <c r="M2548" s="199"/>
      <c r="N2548" s="200"/>
      <c r="P2548" s="199"/>
    </row>
    <row r="2549" spans="7:16" x14ac:dyDescent="0.2">
      <c r="G2549" s="199"/>
      <c r="I2549" s="199"/>
      <c r="K2549" s="199"/>
      <c r="M2549" s="199"/>
      <c r="N2549" s="200"/>
      <c r="P2549" s="199"/>
    </row>
    <row r="2550" spans="7:16" x14ac:dyDescent="0.2">
      <c r="G2550" s="199"/>
      <c r="I2550" s="199"/>
      <c r="K2550" s="199"/>
      <c r="M2550" s="199"/>
      <c r="N2550" s="200"/>
      <c r="P2550" s="199"/>
    </row>
    <row r="2551" spans="7:16" x14ac:dyDescent="0.2">
      <c r="G2551" s="199"/>
      <c r="I2551" s="199"/>
      <c r="K2551" s="199"/>
      <c r="M2551" s="199"/>
      <c r="N2551" s="200"/>
      <c r="P2551" s="199"/>
    </row>
    <row r="2552" spans="7:16" x14ac:dyDescent="0.2">
      <c r="G2552" s="199"/>
      <c r="I2552" s="199"/>
      <c r="K2552" s="199"/>
      <c r="M2552" s="199"/>
      <c r="N2552" s="200"/>
      <c r="P2552" s="199"/>
    </row>
    <row r="2553" spans="7:16" x14ac:dyDescent="0.2">
      <c r="G2553" s="199"/>
      <c r="I2553" s="199"/>
      <c r="K2553" s="199"/>
      <c r="M2553" s="199"/>
      <c r="N2553" s="200"/>
      <c r="P2553" s="199"/>
    </row>
    <row r="2554" spans="7:16" x14ac:dyDescent="0.2">
      <c r="G2554" s="199"/>
      <c r="I2554" s="199"/>
      <c r="K2554" s="199"/>
      <c r="M2554" s="199"/>
      <c r="N2554" s="200"/>
      <c r="P2554" s="199"/>
    </row>
    <row r="2555" spans="7:16" x14ac:dyDescent="0.2">
      <c r="G2555" s="199"/>
      <c r="I2555" s="199"/>
      <c r="K2555" s="199"/>
      <c r="M2555" s="199"/>
      <c r="N2555" s="200"/>
      <c r="P2555" s="199"/>
    </row>
    <row r="2556" spans="7:16" x14ac:dyDescent="0.2">
      <c r="G2556" s="199"/>
      <c r="I2556" s="199"/>
      <c r="K2556" s="199"/>
      <c r="M2556" s="199"/>
      <c r="N2556" s="200"/>
      <c r="P2556" s="199"/>
    </row>
    <row r="2557" spans="7:16" x14ac:dyDescent="0.2">
      <c r="G2557" s="199"/>
      <c r="I2557" s="199"/>
      <c r="K2557" s="199"/>
      <c r="M2557" s="199"/>
      <c r="N2557" s="200"/>
      <c r="P2557" s="199"/>
    </row>
    <row r="2558" spans="7:16" x14ac:dyDescent="0.2">
      <c r="G2558" s="199"/>
      <c r="I2558" s="199"/>
      <c r="K2558" s="199"/>
      <c r="M2558" s="199"/>
      <c r="N2558" s="200"/>
      <c r="P2558" s="199"/>
    </row>
    <row r="2559" spans="7:16" x14ac:dyDescent="0.2">
      <c r="G2559" s="199"/>
      <c r="I2559" s="199"/>
      <c r="K2559" s="199"/>
      <c r="M2559" s="199"/>
      <c r="N2559" s="200"/>
      <c r="P2559" s="199"/>
    </row>
    <row r="2560" spans="7:16" x14ac:dyDescent="0.2">
      <c r="G2560" s="199"/>
      <c r="I2560" s="199"/>
      <c r="K2560" s="199"/>
      <c r="M2560" s="199"/>
      <c r="N2560" s="200"/>
      <c r="P2560" s="199"/>
    </row>
    <row r="2561" spans="7:16" x14ac:dyDescent="0.2">
      <c r="G2561" s="199"/>
      <c r="I2561" s="199"/>
      <c r="K2561" s="199"/>
      <c r="M2561" s="199"/>
      <c r="N2561" s="200"/>
      <c r="P2561" s="199"/>
    </row>
    <row r="2562" spans="7:16" x14ac:dyDescent="0.2">
      <c r="G2562" s="199"/>
      <c r="I2562" s="199"/>
      <c r="K2562" s="199"/>
      <c r="M2562" s="199"/>
      <c r="N2562" s="200"/>
      <c r="P2562" s="199"/>
    </row>
    <row r="2563" spans="7:16" x14ac:dyDescent="0.2">
      <c r="G2563" s="199"/>
      <c r="I2563" s="199"/>
      <c r="K2563" s="199"/>
      <c r="M2563" s="199"/>
      <c r="N2563" s="200"/>
      <c r="P2563" s="199"/>
    </row>
    <row r="2564" spans="7:16" x14ac:dyDescent="0.2">
      <c r="G2564" s="199"/>
      <c r="I2564" s="199"/>
      <c r="K2564" s="199"/>
      <c r="M2564" s="199"/>
      <c r="N2564" s="200"/>
      <c r="P2564" s="199"/>
    </row>
    <row r="2565" spans="7:16" x14ac:dyDescent="0.2">
      <c r="G2565" s="199"/>
      <c r="I2565" s="199"/>
      <c r="K2565" s="199"/>
      <c r="M2565" s="199"/>
      <c r="N2565" s="200"/>
      <c r="P2565" s="199"/>
    </row>
    <row r="2566" spans="7:16" x14ac:dyDescent="0.2">
      <c r="G2566" s="199"/>
      <c r="I2566" s="199"/>
      <c r="K2566" s="199"/>
      <c r="M2566" s="199"/>
      <c r="N2566" s="200"/>
      <c r="P2566" s="199"/>
    </row>
    <row r="2567" spans="7:16" x14ac:dyDescent="0.2">
      <c r="G2567" s="199"/>
      <c r="I2567" s="199"/>
      <c r="K2567" s="199"/>
      <c r="M2567" s="199"/>
      <c r="N2567" s="200"/>
      <c r="P2567" s="199"/>
    </row>
    <row r="2568" spans="7:16" x14ac:dyDescent="0.2">
      <c r="G2568" s="199"/>
      <c r="I2568" s="199"/>
      <c r="K2568" s="199"/>
      <c r="M2568" s="199"/>
      <c r="N2568" s="200"/>
      <c r="P2568" s="199"/>
    </row>
    <row r="2569" spans="7:16" x14ac:dyDescent="0.2">
      <c r="G2569" s="199"/>
      <c r="I2569" s="199"/>
      <c r="K2569" s="199"/>
      <c r="M2569" s="199"/>
      <c r="N2569" s="200"/>
      <c r="P2569" s="199"/>
    </row>
    <row r="2570" spans="7:16" x14ac:dyDescent="0.2">
      <c r="G2570" s="199"/>
      <c r="I2570" s="199"/>
      <c r="K2570" s="199"/>
      <c r="M2570" s="199"/>
      <c r="N2570" s="200"/>
      <c r="P2570" s="199"/>
    </row>
    <row r="2571" spans="7:16" x14ac:dyDescent="0.2">
      <c r="G2571" s="199"/>
      <c r="I2571" s="199"/>
      <c r="K2571" s="199"/>
      <c r="M2571" s="199"/>
      <c r="N2571" s="200"/>
      <c r="P2571" s="199"/>
    </row>
    <row r="2572" spans="7:16" x14ac:dyDescent="0.2">
      <c r="G2572" s="199"/>
      <c r="I2572" s="199"/>
      <c r="K2572" s="199"/>
      <c r="M2572" s="199"/>
      <c r="N2572" s="200"/>
      <c r="P2572" s="199"/>
    </row>
    <row r="2573" spans="7:16" x14ac:dyDescent="0.2">
      <c r="G2573" s="199"/>
      <c r="I2573" s="199"/>
      <c r="K2573" s="199"/>
      <c r="M2573" s="199"/>
      <c r="N2573" s="200"/>
      <c r="P2573" s="199"/>
    </row>
    <row r="2574" spans="7:16" x14ac:dyDescent="0.2">
      <c r="G2574" s="199"/>
      <c r="I2574" s="199"/>
      <c r="K2574" s="199"/>
      <c r="M2574" s="199"/>
      <c r="N2574" s="200"/>
      <c r="P2574" s="199"/>
    </row>
    <row r="2575" spans="7:16" x14ac:dyDescent="0.2">
      <c r="G2575" s="199"/>
      <c r="I2575" s="199"/>
      <c r="K2575" s="199"/>
      <c r="M2575" s="199"/>
      <c r="N2575" s="200"/>
      <c r="P2575" s="199"/>
    </row>
    <row r="2576" spans="7:16" x14ac:dyDescent="0.2">
      <c r="G2576" s="199"/>
      <c r="I2576" s="199"/>
      <c r="K2576" s="199"/>
      <c r="M2576" s="199"/>
      <c r="N2576" s="200"/>
      <c r="P2576" s="199"/>
    </row>
    <row r="2577" spans="7:16" x14ac:dyDescent="0.2">
      <c r="G2577" s="199"/>
      <c r="I2577" s="199"/>
      <c r="K2577" s="199"/>
      <c r="M2577" s="199"/>
      <c r="N2577" s="200"/>
      <c r="P2577" s="199"/>
    </row>
    <row r="2578" spans="7:16" x14ac:dyDescent="0.2">
      <c r="G2578" s="199"/>
      <c r="I2578" s="199"/>
      <c r="K2578" s="199"/>
      <c r="M2578" s="199"/>
      <c r="N2578" s="200"/>
      <c r="P2578" s="199"/>
    </row>
    <row r="2579" spans="7:16" x14ac:dyDescent="0.2">
      <c r="G2579" s="199"/>
      <c r="I2579" s="199"/>
      <c r="K2579" s="199"/>
      <c r="M2579" s="199"/>
      <c r="N2579" s="200"/>
      <c r="P2579" s="199"/>
    </row>
    <row r="2580" spans="7:16" x14ac:dyDescent="0.2">
      <c r="G2580" s="199"/>
      <c r="I2580" s="199"/>
      <c r="K2580" s="199"/>
      <c r="M2580" s="199"/>
      <c r="N2580" s="200"/>
      <c r="P2580" s="199"/>
    </row>
    <row r="2581" spans="7:16" x14ac:dyDescent="0.2">
      <c r="G2581" s="199"/>
      <c r="I2581" s="199"/>
      <c r="K2581" s="199"/>
      <c r="M2581" s="199"/>
      <c r="N2581" s="200"/>
      <c r="P2581" s="199"/>
    </row>
    <row r="2582" spans="7:16" x14ac:dyDescent="0.2">
      <c r="G2582" s="199"/>
      <c r="I2582" s="199"/>
      <c r="K2582" s="199"/>
      <c r="M2582" s="199"/>
      <c r="N2582" s="200"/>
      <c r="P2582" s="199"/>
    </row>
    <row r="2583" spans="7:16" x14ac:dyDescent="0.2">
      <c r="G2583" s="199"/>
      <c r="I2583" s="199"/>
      <c r="K2583" s="199"/>
      <c r="M2583" s="199"/>
      <c r="N2583" s="200"/>
      <c r="P2583" s="199"/>
    </row>
    <row r="2584" spans="7:16" x14ac:dyDescent="0.2">
      <c r="G2584" s="199"/>
      <c r="I2584" s="199"/>
      <c r="K2584" s="199"/>
      <c r="M2584" s="199"/>
      <c r="N2584" s="200"/>
      <c r="P2584" s="199"/>
    </row>
    <row r="2585" spans="7:16" x14ac:dyDescent="0.2">
      <c r="G2585" s="199"/>
      <c r="I2585" s="199"/>
      <c r="K2585" s="199"/>
      <c r="M2585" s="199"/>
      <c r="N2585" s="200"/>
      <c r="P2585" s="199"/>
    </row>
    <row r="2586" spans="7:16" x14ac:dyDescent="0.2">
      <c r="G2586" s="199"/>
      <c r="I2586" s="199"/>
      <c r="K2586" s="199"/>
      <c r="M2586" s="199"/>
      <c r="N2586" s="200"/>
      <c r="P2586" s="199"/>
    </row>
    <row r="2587" spans="7:16" x14ac:dyDescent="0.2">
      <c r="G2587" s="199"/>
      <c r="I2587" s="199"/>
      <c r="K2587" s="199"/>
      <c r="M2587" s="199"/>
      <c r="N2587" s="200"/>
      <c r="P2587" s="199"/>
    </row>
    <row r="2588" spans="7:16" x14ac:dyDescent="0.2">
      <c r="G2588" s="199"/>
      <c r="I2588" s="199"/>
      <c r="K2588" s="199"/>
      <c r="M2588" s="199"/>
      <c r="N2588" s="200"/>
      <c r="P2588" s="199"/>
    </row>
    <row r="2589" spans="7:16" x14ac:dyDescent="0.2">
      <c r="G2589" s="199"/>
      <c r="I2589" s="199"/>
      <c r="K2589" s="199"/>
      <c r="M2589" s="199"/>
      <c r="N2589" s="200"/>
      <c r="P2589" s="199"/>
    </row>
    <row r="2590" spans="7:16" x14ac:dyDescent="0.2">
      <c r="G2590" s="199"/>
      <c r="I2590" s="199"/>
      <c r="K2590" s="199"/>
      <c r="M2590" s="199"/>
      <c r="N2590" s="200"/>
      <c r="P2590" s="199"/>
    </row>
    <row r="2591" spans="7:16" x14ac:dyDescent="0.2">
      <c r="G2591" s="199"/>
      <c r="I2591" s="199"/>
      <c r="K2591" s="199"/>
      <c r="M2591" s="199"/>
      <c r="N2591" s="200"/>
      <c r="P2591" s="199"/>
    </row>
    <row r="2592" spans="7:16" x14ac:dyDescent="0.2">
      <c r="G2592" s="199"/>
      <c r="I2592" s="199"/>
      <c r="K2592" s="199"/>
      <c r="M2592" s="199"/>
      <c r="N2592" s="200"/>
      <c r="P2592" s="199"/>
    </row>
    <row r="2593" spans="7:16" x14ac:dyDescent="0.2">
      <c r="G2593" s="199"/>
      <c r="I2593" s="199"/>
      <c r="K2593" s="199"/>
      <c r="M2593" s="199"/>
      <c r="N2593" s="200"/>
      <c r="P2593" s="199"/>
    </row>
    <row r="2594" spans="7:16" x14ac:dyDescent="0.2">
      <c r="G2594" s="199"/>
      <c r="I2594" s="199"/>
      <c r="K2594" s="199"/>
      <c r="M2594" s="199"/>
      <c r="N2594" s="200"/>
      <c r="P2594" s="199"/>
    </row>
    <row r="2595" spans="7:16" x14ac:dyDescent="0.2">
      <c r="G2595" s="199"/>
      <c r="I2595" s="199"/>
      <c r="K2595" s="199"/>
      <c r="M2595" s="199"/>
      <c r="N2595" s="200"/>
      <c r="P2595" s="199"/>
    </row>
    <row r="2596" spans="7:16" x14ac:dyDescent="0.2">
      <c r="G2596" s="199"/>
      <c r="I2596" s="199"/>
      <c r="K2596" s="199"/>
      <c r="M2596" s="199"/>
      <c r="N2596" s="200"/>
      <c r="P2596" s="199"/>
    </row>
    <row r="2597" spans="7:16" x14ac:dyDescent="0.2">
      <c r="G2597" s="199"/>
      <c r="I2597" s="199"/>
      <c r="K2597" s="199"/>
      <c r="M2597" s="199"/>
      <c r="N2597" s="200"/>
      <c r="P2597" s="199"/>
    </row>
    <row r="2598" spans="7:16" x14ac:dyDescent="0.2">
      <c r="G2598" s="199"/>
      <c r="I2598" s="199"/>
      <c r="K2598" s="199"/>
      <c r="M2598" s="199"/>
      <c r="N2598" s="200"/>
      <c r="P2598" s="199"/>
    </row>
    <row r="2599" spans="7:16" x14ac:dyDescent="0.2">
      <c r="G2599" s="199"/>
      <c r="I2599" s="199"/>
      <c r="K2599" s="199"/>
      <c r="M2599" s="199"/>
      <c r="N2599" s="200"/>
      <c r="P2599" s="199"/>
    </row>
    <row r="2600" spans="7:16" x14ac:dyDescent="0.2">
      <c r="G2600" s="199"/>
      <c r="I2600" s="199"/>
      <c r="K2600" s="199"/>
      <c r="M2600" s="199"/>
      <c r="N2600" s="200"/>
      <c r="P2600" s="199"/>
    </row>
    <row r="2601" spans="7:16" x14ac:dyDescent="0.2">
      <c r="G2601" s="199"/>
      <c r="I2601" s="199"/>
      <c r="K2601" s="199"/>
      <c r="M2601" s="199"/>
      <c r="N2601" s="200"/>
      <c r="P2601" s="199"/>
    </row>
    <row r="2602" spans="7:16" x14ac:dyDescent="0.2">
      <c r="G2602" s="199"/>
      <c r="I2602" s="199"/>
      <c r="K2602" s="199"/>
      <c r="M2602" s="199"/>
      <c r="N2602" s="200"/>
      <c r="P2602" s="199"/>
    </row>
    <row r="2603" spans="7:16" x14ac:dyDescent="0.2">
      <c r="G2603" s="199"/>
      <c r="I2603" s="199"/>
      <c r="K2603" s="199"/>
      <c r="M2603" s="199"/>
      <c r="N2603" s="200"/>
      <c r="P2603" s="199"/>
    </row>
    <row r="2604" spans="7:16" x14ac:dyDescent="0.2">
      <c r="G2604" s="199"/>
      <c r="I2604" s="199"/>
      <c r="K2604" s="199"/>
      <c r="M2604" s="199"/>
      <c r="N2604" s="200"/>
      <c r="P2604" s="199"/>
    </row>
    <row r="2605" spans="7:16" x14ac:dyDescent="0.2">
      <c r="G2605" s="199"/>
      <c r="I2605" s="199"/>
      <c r="K2605" s="199"/>
      <c r="M2605" s="199"/>
      <c r="N2605" s="200"/>
      <c r="P2605" s="199"/>
    </row>
    <row r="2606" spans="7:16" x14ac:dyDescent="0.2">
      <c r="G2606" s="199"/>
      <c r="I2606" s="199"/>
      <c r="K2606" s="199"/>
      <c r="M2606" s="199"/>
      <c r="N2606" s="200"/>
      <c r="P2606" s="199"/>
    </row>
    <row r="2607" spans="7:16" x14ac:dyDescent="0.2">
      <c r="G2607" s="199"/>
      <c r="I2607" s="199"/>
      <c r="K2607" s="199"/>
      <c r="M2607" s="199"/>
      <c r="N2607" s="200"/>
      <c r="P2607" s="199"/>
    </row>
    <row r="2608" spans="7:16" x14ac:dyDescent="0.2">
      <c r="G2608" s="199"/>
      <c r="I2608" s="199"/>
      <c r="K2608" s="199"/>
      <c r="M2608" s="199"/>
      <c r="N2608" s="200"/>
      <c r="P2608" s="199"/>
    </row>
    <row r="2609" spans="7:16" x14ac:dyDescent="0.2">
      <c r="G2609" s="199"/>
      <c r="I2609" s="199"/>
      <c r="K2609" s="199"/>
      <c r="M2609" s="199"/>
      <c r="N2609" s="200"/>
      <c r="P2609" s="199"/>
    </row>
    <row r="2610" spans="7:16" x14ac:dyDescent="0.2">
      <c r="G2610" s="199"/>
      <c r="I2610" s="199"/>
      <c r="K2610" s="199"/>
      <c r="M2610" s="199"/>
      <c r="N2610" s="200"/>
      <c r="P2610" s="199"/>
    </row>
    <row r="2611" spans="7:16" x14ac:dyDescent="0.2">
      <c r="G2611" s="199"/>
      <c r="I2611" s="199"/>
      <c r="K2611" s="199"/>
      <c r="M2611" s="199"/>
      <c r="N2611" s="200"/>
      <c r="P2611" s="199"/>
    </row>
    <row r="2612" spans="7:16" x14ac:dyDescent="0.2">
      <c r="G2612" s="199"/>
      <c r="I2612" s="199"/>
      <c r="K2612" s="199"/>
      <c r="M2612" s="199"/>
      <c r="N2612" s="200"/>
      <c r="P2612" s="199"/>
    </row>
    <row r="2613" spans="7:16" x14ac:dyDescent="0.2">
      <c r="G2613" s="199"/>
      <c r="I2613" s="199"/>
      <c r="K2613" s="199"/>
      <c r="M2613" s="199"/>
      <c r="N2613" s="200"/>
      <c r="P2613" s="199"/>
    </row>
    <row r="2614" spans="7:16" x14ac:dyDescent="0.2">
      <c r="G2614" s="199"/>
      <c r="I2614" s="199"/>
      <c r="K2614" s="199"/>
      <c r="M2614" s="199"/>
      <c r="N2614" s="200"/>
      <c r="P2614" s="199"/>
    </row>
    <row r="2615" spans="7:16" x14ac:dyDescent="0.2">
      <c r="G2615" s="199"/>
      <c r="I2615" s="199"/>
      <c r="K2615" s="199"/>
      <c r="M2615" s="199"/>
      <c r="N2615" s="200"/>
      <c r="P2615" s="199"/>
    </row>
    <row r="2616" spans="7:16" x14ac:dyDescent="0.2">
      <c r="G2616" s="199"/>
      <c r="I2616" s="199"/>
      <c r="K2616" s="199"/>
      <c r="M2616" s="199"/>
      <c r="N2616" s="200"/>
      <c r="P2616" s="199"/>
    </row>
    <row r="2617" spans="7:16" x14ac:dyDescent="0.2">
      <c r="G2617" s="199"/>
      <c r="I2617" s="199"/>
      <c r="K2617" s="199"/>
      <c r="M2617" s="199"/>
      <c r="N2617" s="200"/>
      <c r="P2617" s="199"/>
    </row>
    <row r="2618" spans="7:16" x14ac:dyDescent="0.2">
      <c r="G2618" s="199"/>
      <c r="I2618" s="199"/>
      <c r="K2618" s="199"/>
      <c r="M2618" s="199"/>
      <c r="N2618" s="200"/>
      <c r="P2618" s="199"/>
    </row>
    <row r="2619" spans="7:16" x14ac:dyDescent="0.2">
      <c r="G2619" s="199"/>
      <c r="I2619" s="199"/>
      <c r="K2619" s="199"/>
      <c r="M2619" s="199"/>
      <c r="N2619" s="200"/>
      <c r="P2619" s="199"/>
    </row>
    <row r="2620" spans="7:16" x14ac:dyDescent="0.2">
      <c r="G2620" s="199"/>
      <c r="I2620" s="199"/>
      <c r="K2620" s="199"/>
      <c r="M2620" s="199"/>
      <c r="N2620" s="200"/>
      <c r="P2620" s="199"/>
    </row>
    <row r="2621" spans="7:16" x14ac:dyDescent="0.2">
      <c r="G2621" s="199"/>
      <c r="I2621" s="199"/>
      <c r="K2621" s="199"/>
      <c r="M2621" s="199"/>
      <c r="N2621" s="200"/>
      <c r="P2621" s="199"/>
    </row>
    <row r="2622" spans="7:16" x14ac:dyDescent="0.2">
      <c r="G2622" s="199"/>
      <c r="I2622" s="199"/>
      <c r="K2622" s="199"/>
      <c r="M2622" s="199"/>
      <c r="N2622" s="200"/>
      <c r="P2622" s="199"/>
    </row>
    <row r="2623" spans="7:16" x14ac:dyDescent="0.2">
      <c r="G2623" s="199"/>
      <c r="I2623" s="199"/>
      <c r="K2623" s="199"/>
      <c r="M2623" s="199"/>
      <c r="N2623" s="200"/>
      <c r="P2623" s="199"/>
    </row>
    <row r="2624" spans="7:16" x14ac:dyDescent="0.2">
      <c r="G2624" s="199"/>
      <c r="I2624" s="199"/>
      <c r="K2624" s="199"/>
      <c r="M2624" s="199"/>
      <c r="N2624" s="200"/>
      <c r="P2624" s="199"/>
    </row>
    <row r="2625" spans="7:16" x14ac:dyDescent="0.2">
      <c r="G2625" s="199"/>
      <c r="I2625" s="199"/>
      <c r="K2625" s="199"/>
      <c r="M2625" s="199"/>
      <c r="N2625" s="200"/>
      <c r="P2625" s="199"/>
    </row>
    <row r="2626" spans="7:16" x14ac:dyDescent="0.2">
      <c r="G2626" s="199"/>
      <c r="I2626" s="199"/>
      <c r="K2626" s="199"/>
      <c r="M2626" s="199"/>
      <c r="N2626" s="200"/>
      <c r="P2626" s="199"/>
    </row>
    <row r="2627" spans="7:16" x14ac:dyDescent="0.2">
      <c r="G2627" s="199"/>
      <c r="I2627" s="199"/>
      <c r="K2627" s="199"/>
      <c r="M2627" s="199"/>
      <c r="N2627" s="200"/>
      <c r="P2627" s="199"/>
    </row>
    <row r="2628" spans="7:16" x14ac:dyDescent="0.2">
      <c r="G2628" s="199"/>
      <c r="I2628" s="199"/>
      <c r="K2628" s="199"/>
      <c r="M2628" s="199"/>
      <c r="N2628" s="200"/>
      <c r="P2628" s="199"/>
    </row>
    <row r="2629" spans="7:16" x14ac:dyDescent="0.2">
      <c r="G2629" s="199"/>
      <c r="I2629" s="199"/>
      <c r="K2629" s="199"/>
      <c r="M2629" s="199"/>
      <c r="N2629" s="200"/>
      <c r="P2629" s="199"/>
    </row>
    <row r="2630" spans="7:16" x14ac:dyDescent="0.2">
      <c r="G2630" s="199"/>
      <c r="I2630" s="199"/>
      <c r="K2630" s="199"/>
      <c r="M2630" s="199"/>
      <c r="N2630" s="200"/>
      <c r="P2630" s="199"/>
    </row>
    <row r="2631" spans="7:16" x14ac:dyDescent="0.2">
      <c r="G2631" s="199"/>
      <c r="I2631" s="199"/>
      <c r="K2631" s="199"/>
      <c r="M2631" s="199"/>
      <c r="N2631" s="200"/>
      <c r="P2631" s="199"/>
    </row>
    <row r="2632" spans="7:16" x14ac:dyDescent="0.2">
      <c r="G2632" s="199"/>
      <c r="I2632" s="199"/>
      <c r="K2632" s="199"/>
      <c r="M2632" s="199"/>
      <c r="N2632" s="200"/>
      <c r="P2632" s="199"/>
    </row>
    <row r="2633" spans="7:16" x14ac:dyDescent="0.2">
      <c r="G2633" s="199"/>
      <c r="I2633" s="199"/>
      <c r="K2633" s="199"/>
      <c r="M2633" s="199"/>
      <c r="N2633" s="200"/>
      <c r="P2633" s="199"/>
    </row>
    <row r="2634" spans="7:16" x14ac:dyDescent="0.2">
      <c r="G2634" s="199"/>
      <c r="I2634" s="199"/>
      <c r="K2634" s="199"/>
      <c r="M2634" s="199"/>
      <c r="N2634" s="200"/>
      <c r="P2634" s="199"/>
    </row>
    <row r="2635" spans="7:16" x14ac:dyDescent="0.2">
      <c r="G2635" s="199"/>
      <c r="I2635" s="199"/>
      <c r="K2635" s="199"/>
      <c r="M2635" s="199"/>
      <c r="N2635" s="200"/>
      <c r="P2635" s="199"/>
    </row>
    <row r="2636" spans="7:16" x14ac:dyDescent="0.2">
      <c r="G2636" s="199"/>
      <c r="I2636" s="199"/>
      <c r="K2636" s="199"/>
      <c r="M2636" s="199"/>
      <c r="N2636" s="200"/>
      <c r="P2636" s="199"/>
    </row>
    <row r="2637" spans="7:16" x14ac:dyDescent="0.2">
      <c r="G2637" s="199"/>
      <c r="I2637" s="199"/>
      <c r="K2637" s="199"/>
      <c r="M2637" s="199"/>
      <c r="N2637" s="200"/>
      <c r="P2637" s="199"/>
    </row>
    <row r="2638" spans="7:16" x14ac:dyDescent="0.2">
      <c r="G2638" s="199"/>
      <c r="I2638" s="199"/>
      <c r="K2638" s="199"/>
      <c r="M2638" s="199"/>
      <c r="N2638" s="200"/>
      <c r="P2638" s="199"/>
    </row>
    <row r="2639" spans="7:16" x14ac:dyDescent="0.2">
      <c r="G2639" s="199"/>
      <c r="I2639" s="199"/>
      <c r="K2639" s="199"/>
      <c r="M2639" s="199"/>
      <c r="N2639" s="200"/>
      <c r="P2639" s="199"/>
    </row>
    <row r="2640" spans="7:16" x14ac:dyDescent="0.2">
      <c r="G2640" s="199"/>
      <c r="I2640" s="199"/>
      <c r="K2640" s="199"/>
      <c r="M2640" s="199"/>
      <c r="N2640" s="200"/>
      <c r="P2640" s="199"/>
    </row>
    <row r="2641" spans="7:16" x14ac:dyDescent="0.2">
      <c r="G2641" s="199"/>
      <c r="I2641" s="199"/>
      <c r="K2641" s="199"/>
      <c r="M2641" s="199"/>
      <c r="N2641" s="200"/>
      <c r="P2641" s="199"/>
    </row>
    <row r="2642" spans="7:16" x14ac:dyDescent="0.2">
      <c r="G2642" s="199"/>
      <c r="I2642" s="199"/>
      <c r="K2642" s="199"/>
      <c r="M2642" s="199"/>
      <c r="N2642" s="200"/>
      <c r="P2642" s="199"/>
    </row>
    <row r="2643" spans="7:16" x14ac:dyDescent="0.2">
      <c r="G2643" s="199"/>
      <c r="I2643" s="199"/>
      <c r="K2643" s="199"/>
      <c r="M2643" s="199"/>
      <c r="N2643" s="200"/>
      <c r="P2643" s="199"/>
    </row>
    <row r="2644" spans="7:16" x14ac:dyDescent="0.2">
      <c r="G2644" s="199"/>
      <c r="I2644" s="199"/>
      <c r="K2644" s="199"/>
      <c r="M2644" s="199"/>
      <c r="N2644" s="200"/>
      <c r="P2644" s="199"/>
    </row>
    <row r="2645" spans="7:16" x14ac:dyDescent="0.2">
      <c r="G2645" s="199"/>
      <c r="I2645" s="199"/>
      <c r="K2645" s="199"/>
      <c r="M2645" s="199"/>
      <c r="N2645" s="200"/>
      <c r="P2645" s="199"/>
    </row>
    <row r="2646" spans="7:16" x14ac:dyDescent="0.2">
      <c r="G2646" s="199"/>
      <c r="I2646" s="199"/>
      <c r="K2646" s="199"/>
      <c r="M2646" s="199"/>
      <c r="N2646" s="200"/>
      <c r="P2646" s="199"/>
    </row>
    <row r="2647" spans="7:16" x14ac:dyDescent="0.2">
      <c r="G2647" s="199"/>
      <c r="I2647" s="199"/>
      <c r="K2647" s="199"/>
      <c r="M2647" s="199"/>
      <c r="N2647" s="200"/>
      <c r="P2647" s="199"/>
    </row>
    <row r="2648" spans="7:16" x14ac:dyDescent="0.2">
      <c r="G2648" s="199"/>
      <c r="I2648" s="199"/>
      <c r="K2648" s="199"/>
      <c r="M2648" s="199"/>
      <c r="N2648" s="200"/>
      <c r="P2648" s="199"/>
    </row>
    <row r="2649" spans="7:16" x14ac:dyDescent="0.2">
      <c r="G2649" s="199"/>
      <c r="I2649" s="199"/>
      <c r="K2649" s="199"/>
      <c r="M2649" s="199"/>
      <c r="N2649" s="200"/>
      <c r="P2649" s="199"/>
    </row>
    <row r="2650" spans="7:16" x14ac:dyDescent="0.2">
      <c r="G2650" s="199"/>
      <c r="I2650" s="199"/>
      <c r="K2650" s="199"/>
      <c r="M2650" s="199"/>
      <c r="N2650" s="200"/>
      <c r="P2650" s="199"/>
    </row>
    <row r="2651" spans="7:16" x14ac:dyDescent="0.2">
      <c r="G2651" s="199"/>
      <c r="I2651" s="199"/>
      <c r="K2651" s="199"/>
      <c r="M2651" s="199"/>
      <c r="N2651" s="200"/>
      <c r="P2651" s="199"/>
    </row>
    <row r="2652" spans="7:16" x14ac:dyDescent="0.2">
      <c r="G2652" s="199"/>
      <c r="I2652" s="199"/>
      <c r="K2652" s="199"/>
      <c r="M2652" s="199"/>
      <c r="N2652" s="200"/>
      <c r="P2652" s="199"/>
    </row>
    <row r="2653" spans="7:16" x14ac:dyDescent="0.2">
      <c r="G2653" s="199"/>
      <c r="I2653" s="199"/>
      <c r="K2653" s="199"/>
      <c r="M2653" s="199"/>
      <c r="N2653" s="200"/>
      <c r="P2653" s="199"/>
    </row>
    <row r="2654" spans="7:16" x14ac:dyDescent="0.2">
      <c r="G2654" s="199"/>
      <c r="I2654" s="199"/>
      <c r="K2654" s="199"/>
      <c r="M2654" s="199"/>
      <c r="N2654" s="200"/>
      <c r="P2654" s="199"/>
    </row>
    <row r="2655" spans="7:16" x14ac:dyDescent="0.2">
      <c r="G2655" s="199"/>
      <c r="I2655" s="199"/>
      <c r="K2655" s="199"/>
      <c r="M2655" s="199"/>
      <c r="N2655" s="200"/>
      <c r="P2655" s="199"/>
    </row>
    <row r="2656" spans="7:16" x14ac:dyDescent="0.2">
      <c r="G2656" s="199"/>
      <c r="I2656" s="199"/>
      <c r="K2656" s="199"/>
      <c r="M2656" s="199"/>
      <c r="N2656" s="200"/>
      <c r="P2656" s="199"/>
    </row>
    <row r="2657" spans="7:16" x14ac:dyDescent="0.2">
      <c r="G2657" s="199"/>
      <c r="I2657" s="199"/>
      <c r="K2657" s="199"/>
      <c r="M2657" s="199"/>
      <c r="N2657" s="200"/>
      <c r="P2657" s="199"/>
    </row>
    <row r="2658" spans="7:16" x14ac:dyDescent="0.2">
      <c r="G2658" s="199"/>
      <c r="I2658" s="199"/>
      <c r="K2658" s="199"/>
      <c r="M2658" s="199"/>
      <c r="N2658" s="200"/>
      <c r="P2658" s="199"/>
    </row>
    <row r="2659" spans="7:16" x14ac:dyDescent="0.2">
      <c r="G2659" s="199"/>
      <c r="I2659" s="199"/>
      <c r="K2659" s="199"/>
      <c r="M2659" s="199"/>
      <c r="N2659" s="200"/>
      <c r="P2659" s="199"/>
    </row>
    <row r="2660" spans="7:16" x14ac:dyDescent="0.2">
      <c r="G2660" s="199"/>
      <c r="I2660" s="199"/>
      <c r="K2660" s="199"/>
      <c r="M2660" s="199"/>
      <c r="N2660" s="200"/>
      <c r="P2660" s="199"/>
    </row>
    <row r="2661" spans="7:16" x14ac:dyDescent="0.2">
      <c r="G2661" s="199"/>
      <c r="I2661" s="199"/>
      <c r="K2661" s="199"/>
      <c r="M2661" s="199"/>
      <c r="N2661" s="200"/>
      <c r="P2661" s="199"/>
    </row>
    <row r="2662" spans="7:16" x14ac:dyDescent="0.2">
      <c r="G2662" s="199"/>
      <c r="I2662" s="199"/>
      <c r="K2662" s="199"/>
      <c r="M2662" s="199"/>
      <c r="N2662" s="200"/>
      <c r="P2662" s="199"/>
    </row>
    <row r="2663" spans="7:16" x14ac:dyDescent="0.2">
      <c r="G2663" s="199"/>
      <c r="I2663" s="199"/>
      <c r="K2663" s="199"/>
      <c r="M2663" s="199"/>
      <c r="N2663" s="200"/>
      <c r="P2663" s="199"/>
    </row>
    <row r="2664" spans="7:16" x14ac:dyDescent="0.2">
      <c r="G2664" s="199"/>
      <c r="I2664" s="199"/>
      <c r="K2664" s="199"/>
      <c r="M2664" s="199"/>
      <c r="N2664" s="200"/>
      <c r="P2664" s="199"/>
    </row>
    <row r="2665" spans="7:16" x14ac:dyDescent="0.2">
      <c r="G2665" s="199"/>
      <c r="I2665" s="199"/>
      <c r="K2665" s="199"/>
      <c r="M2665" s="199"/>
      <c r="N2665" s="200"/>
      <c r="P2665" s="199"/>
    </row>
    <row r="2666" spans="7:16" x14ac:dyDescent="0.2">
      <c r="G2666" s="199"/>
      <c r="I2666" s="199"/>
      <c r="K2666" s="199"/>
      <c r="M2666" s="199"/>
      <c r="N2666" s="200"/>
      <c r="P2666" s="199"/>
    </row>
    <row r="2667" spans="7:16" x14ac:dyDescent="0.2">
      <c r="G2667" s="199"/>
      <c r="I2667" s="199"/>
      <c r="K2667" s="199"/>
      <c r="M2667" s="199"/>
      <c r="N2667" s="200"/>
      <c r="P2667" s="199"/>
    </row>
    <row r="2668" spans="7:16" x14ac:dyDescent="0.2">
      <c r="G2668" s="199"/>
      <c r="I2668" s="199"/>
      <c r="K2668" s="199"/>
      <c r="M2668" s="199"/>
      <c r="N2668" s="200"/>
      <c r="P2668" s="199"/>
    </row>
    <row r="2669" spans="7:16" x14ac:dyDescent="0.2">
      <c r="G2669" s="199"/>
      <c r="I2669" s="199"/>
      <c r="K2669" s="199"/>
      <c r="M2669" s="199"/>
      <c r="N2669" s="200"/>
      <c r="P2669" s="199"/>
    </row>
    <row r="2670" spans="7:16" x14ac:dyDescent="0.2">
      <c r="G2670" s="199"/>
      <c r="I2670" s="199"/>
      <c r="K2670" s="199"/>
      <c r="M2670" s="199"/>
      <c r="N2670" s="200"/>
      <c r="P2670" s="199"/>
    </row>
    <row r="2671" spans="7:16" x14ac:dyDescent="0.2">
      <c r="G2671" s="199"/>
      <c r="I2671" s="199"/>
      <c r="K2671" s="199"/>
      <c r="M2671" s="199"/>
      <c r="N2671" s="200"/>
      <c r="P2671" s="199"/>
    </row>
    <row r="2672" spans="7:16" x14ac:dyDescent="0.2">
      <c r="G2672" s="199"/>
      <c r="I2672" s="199"/>
      <c r="K2672" s="199"/>
      <c r="M2672" s="199"/>
      <c r="N2672" s="200"/>
      <c r="P2672" s="199"/>
    </row>
    <row r="2673" spans="7:16" x14ac:dyDescent="0.2">
      <c r="G2673" s="199"/>
      <c r="I2673" s="199"/>
      <c r="K2673" s="199"/>
      <c r="M2673" s="199"/>
      <c r="N2673" s="200"/>
      <c r="P2673" s="199"/>
    </row>
    <row r="2674" spans="7:16" x14ac:dyDescent="0.2">
      <c r="G2674" s="199"/>
      <c r="I2674" s="199"/>
      <c r="K2674" s="199"/>
      <c r="M2674" s="199"/>
      <c r="N2674" s="200"/>
      <c r="P2674" s="199"/>
    </row>
    <row r="2675" spans="7:16" x14ac:dyDescent="0.2">
      <c r="G2675" s="199"/>
      <c r="I2675" s="199"/>
      <c r="K2675" s="199"/>
      <c r="M2675" s="199"/>
      <c r="N2675" s="200"/>
      <c r="P2675" s="199"/>
    </row>
    <row r="2676" spans="7:16" x14ac:dyDescent="0.2">
      <c r="G2676" s="199"/>
      <c r="I2676" s="199"/>
      <c r="K2676" s="199"/>
      <c r="M2676" s="199"/>
      <c r="N2676" s="200"/>
      <c r="P2676" s="199"/>
    </row>
    <row r="2677" spans="7:16" x14ac:dyDescent="0.2">
      <c r="G2677" s="199"/>
      <c r="I2677" s="199"/>
      <c r="K2677" s="199"/>
      <c r="M2677" s="199"/>
      <c r="N2677" s="200"/>
      <c r="P2677" s="199"/>
    </row>
    <row r="2678" spans="7:16" x14ac:dyDescent="0.2">
      <c r="G2678" s="199"/>
      <c r="I2678" s="199"/>
      <c r="K2678" s="199"/>
      <c r="M2678" s="199"/>
      <c r="N2678" s="200"/>
      <c r="P2678" s="199"/>
    </row>
    <row r="2679" spans="7:16" x14ac:dyDescent="0.2">
      <c r="G2679" s="199"/>
      <c r="I2679" s="199"/>
      <c r="K2679" s="199"/>
      <c r="M2679" s="199"/>
      <c r="N2679" s="200"/>
      <c r="P2679" s="199"/>
    </row>
    <row r="2680" spans="7:16" x14ac:dyDescent="0.2">
      <c r="G2680" s="199"/>
      <c r="I2680" s="199"/>
      <c r="K2680" s="199"/>
      <c r="M2680" s="199"/>
      <c r="N2680" s="200"/>
      <c r="P2680" s="199"/>
    </row>
    <row r="2681" spans="7:16" x14ac:dyDescent="0.2">
      <c r="G2681" s="199"/>
      <c r="I2681" s="199"/>
      <c r="K2681" s="199"/>
      <c r="M2681" s="199"/>
      <c r="N2681" s="200"/>
      <c r="P2681" s="199"/>
    </row>
    <row r="2682" spans="7:16" x14ac:dyDescent="0.2">
      <c r="G2682" s="199"/>
      <c r="I2682" s="199"/>
      <c r="K2682" s="199"/>
      <c r="M2682" s="199"/>
      <c r="N2682" s="200"/>
      <c r="P2682" s="199"/>
    </row>
    <row r="2683" spans="7:16" x14ac:dyDescent="0.2">
      <c r="G2683" s="199"/>
      <c r="I2683" s="199"/>
      <c r="K2683" s="199"/>
      <c r="M2683" s="199"/>
      <c r="N2683" s="200"/>
      <c r="P2683" s="199"/>
    </row>
    <row r="2684" spans="7:16" x14ac:dyDescent="0.2">
      <c r="G2684" s="199"/>
      <c r="I2684" s="199"/>
      <c r="K2684" s="199"/>
      <c r="M2684" s="199"/>
      <c r="N2684" s="200"/>
      <c r="P2684" s="199"/>
    </row>
    <row r="2685" spans="7:16" x14ac:dyDescent="0.2">
      <c r="G2685" s="199"/>
      <c r="I2685" s="199"/>
      <c r="K2685" s="199"/>
      <c r="M2685" s="199"/>
      <c r="N2685" s="200"/>
      <c r="P2685" s="199"/>
    </row>
    <row r="2686" spans="7:16" x14ac:dyDescent="0.2">
      <c r="G2686" s="199"/>
      <c r="I2686" s="199"/>
      <c r="K2686" s="199"/>
      <c r="M2686" s="199"/>
      <c r="N2686" s="200"/>
      <c r="P2686" s="199"/>
    </row>
    <row r="2687" spans="7:16" x14ac:dyDescent="0.2">
      <c r="G2687" s="199"/>
      <c r="I2687" s="199"/>
      <c r="K2687" s="199"/>
      <c r="M2687" s="199"/>
      <c r="N2687" s="200"/>
      <c r="P2687" s="199"/>
    </row>
    <row r="2688" spans="7:16" x14ac:dyDescent="0.2">
      <c r="G2688" s="199"/>
      <c r="I2688" s="199"/>
      <c r="K2688" s="199"/>
      <c r="M2688" s="199"/>
      <c r="N2688" s="200"/>
      <c r="P2688" s="199"/>
    </row>
    <row r="2689" spans="7:16" x14ac:dyDescent="0.2">
      <c r="G2689" s="199"/>
      <c r="I2689" s="199"/>
      <c r="K2689" s="199"/>
      <c r="M2689" s="199"/>
      <c r="N2689" s="200"/>
      <c r="P2689" s="199"/>
    </row>
    <row r="2690" spans="7:16" x14ac:dyDescent="0.2">
      <c r="G2690" s="199"/>
      <c r="I2690" s="199"/>
      <c r="K2690" s="199"/>
      <c r="M2690" s="199"/>
      <c r="N2690" s="200"/>
      <c r="P2690" s="199"/>
    </row>
    <row r="2691" spans="7:16" x14ac:dyDescent="0.2">
      <c r="G2691" s="199"/>
      <c r="I2691" s="199"/>
      <c r="K2691" s="199"/>
      <c r="M2691" s="199"/>
      <c r="N2691" s="200"/>
      <c r="P2691" s="199"/>
    </row>
    <row r="2692" spans="7:16" x14ac:dyDescent="0.2">
      <c r="G2692" s="199"/>
      <c r="I2692" s="199"/>
      <c r="K2692" s="199"/>
      <c r="M2692" s="199"/>
      <c r="N2692" s="200"/>
      <c r="P2692" s="199"/>
    </row>
    <row r="2693" spans="7:16" x14ac:dyDescent="0.2">
      <c r="G2693" s="199"/>
      <c r="I2693" s="199"/>
      <c r="K2693" s="199"/>
      <c r="M2693" s="199"/>
      <c r="N2693" s="200"/>
      <c r="P2693" s="199"/>
    </row>
    <row r="2694" spans="7:16" x14ac:dyDescent="0.2">
      <c r="G2694" s="199"/>
      <c r="I2694" s="199"/>
      <c r="K2694" s="199"/>
      <c r="M2694" s="199"/>
      <c r="N2694" s="200"/>
      <c r="P2694" s="199"/>
    </row>
    <row r="2695" spans="7:16" x14ac:dyDescent="0.2">
      <c r="G2695" s="199"/>
      <c r="I2695" s="199"/>
      <c r="K2695" s="199"/>
      <c r="M2695" s="199"/>
      <c r="N2695" s="200"/>
      <c r="P2695" s="199"/>
    </row>
    <row r="2696" spans="7:16" x14ac:dyDescent="0.2">
      <c r="G2696" s="199"/>
      <c r="I2696" s="199"/>
      <c r="K2696" s="199"/>
      <c r="M2696" s="199"/>
      <c r="N2696" s="200"/>
      <c r="P2696" s="199"/>
    </row>
    <row r="2697" spans="7:16" x14ac:dyDescent="0.2">
      <c r="G2697" s="199"/>
      <c r="I2697" s="199"/>
      <c r="K2697" s="199"/>
      <c r="M2697" s="199"/>
      <c r="N2697" s="200"/>
      <c r="P2697" s="199"/>
    </row>
    <row r="2698" spans="7:16" x14ac:dyDescent="0.2">
      <c r="G2698" s="199"/>
      <c r="I2698" s="199"/>
      <c r="K2698" s="199"/>
      <c r="M2698" s="199"/>
      <c r="N2698" s="200"/>
      <c r="P2698" s="199"/>
    </row>
    <row r="2699" spans="7:16" x14ac:dyDescent="0.2">
      <c r="G2699" s="199"/>
      <c r="I2699" s="199"/>
      <c r="K2699" s="199"/>
      <c r="M2699" s="199"/>
      <c r="N2699" s="200"/>
      <c r="P2699" s="199"/>
    </row>
    <row r="2700" spans="7:16" x14ac:dyDescent="0.2">
      <c r="G2700" s="199"/>
      <c r="I2700" s="199"/>
      <c r="K2700" s="199"/>
      <c r="M2700" s="199"/>
      <c r="N2700" s="200"/>
      <c r="P2700" s="199"/>
    </row>
    <row r="2701" spans="7:16" x14ac:dyDescent="0.2">
      <c r="G2701" s="199"/>
      <c r="I2701" s="199"/>
      <c r="K2701" s="199"/>
      <c r="M2701" s="199"/>
      <c r="N2701" s="200"/>
      <c r="P2701" s="199"/>
    </row>
    <row r="2702" spans="7:16" x14ac:dyDescent="0.2">
      <c r="G2702" s="199"/>
      <c r="I2702" s="199"/>
      <c r="K2702" s="199"/>
      <c r="M2702" s="199"/>
      <c r="N2702" s="200"/>
      <c r="P2702" s="199"/>
    </row>
    <row r="2703" spans="7:16" x14ac:dyDescent="0.2">
      <c r="G2703" s="199"/>
      <c r="I2703" s="199"/>
      <c r="K2703" s="199"/>
      <c r="M2703" s="199"/>
      <c r="N2703" s="200"/>
      <c r="P2703" s="199"/>
    </row>
    <row r="2704" spans="7:16" x14ac:dyDescent="0.2">
      <c r="G2704" s="199"/>
      <c r="I2704" s="199"/>
      <c r="K2704" s="199"/>
      <c r="M2704" s="199"/>
      <c r="N2704" s="200"/>
      <c r="P2704" s="199"/>
    </row>
    <row r="2705" spans="7:16" x14ac:dyDescent="0.2">
      <c r="G2705" s="199"/>
      <c r="I2705" s="199"/>
      <c r="K2705" s="199"/>
      <c r="M2705" s="199"/>
      <c r="N2705" s="200"/>
      <c r="P2705" s="199"/>
    </row>
    <row r="2706" spans="7:16" x14ac:dyDescent="0.2">
      <c r="G2706" s="199"/>
      <c r="I2706" s="199"/>
      <c r="K2706" s="199"/>
      <c r="M2706" s="199"/>
      <c r="N2706" s="200"/>
      <c r="P2706" s="199"/>
    </row>
    <row r="2707" spans="7:16" x14ac:dyDescent="0.2">
      <c r="G2707" s="199"/>
      <c r="I2707" s="199"/>
      <c r="K2707" s="199"/>
      <c r="M2707" s="199"/>
      <c r="N2707" s="200"/>
      <c r="P2707" s="199"/>
    </row>
    <row r="2708" spans="7:16" x14ac:dyDescent="0.2">
      <c r="G2708" s="199"/>
      <c r="I2708" s="199"/>
      <c r="K2708" s="199"/>
      <c r="M2708" s="199"/>
      <c r="N2708" s="200"/>
      <c r="P2708" s="199"/>
    </row>
    <row r="2709" spans="7:16" x14ac:dyDescent="0.2">
      <c r="G2709" s="199"/>
      <c r="I2709" s="199"/>
      <c r="K2709" s="199"/>
      <c r="M2709" s="199"/>
      <c r="N2709" s="200"/>
      <c r="P2709" s="199"/>
    </row>
    <row r="2710" spans="7:16" x14ac:dyDescent="0.2">
      <c r="G2710" s="199"/>
      <c r="I2710" s="199"/>
      <c r="K2710" s="199"/>
      <c r="M2710" s="199"/>
      <c r="N2710" s="200"/>
      <c r="P2710" s="199"/>
    </row>
    <row r="2711" spans="7:16" x14ac:dyDescent="0.2">
      <c r="G2711" s="199"/>
      <c r="I2711" s="199"/>
      <c r="K2711" s="199"/>
      <c r="M2711" s="199"/>
      <c r="N2711" s="200"/>
      <c r="P2711" s="199"/>
    </row>
    <row r="2712" spans="7:16" x14ac:dyDescent="0.2">
      <c r="G2712" s="199"/>
      <c r="I2712" s="199"/>
      <c r="K2712" s="199"/>
      <c r="M2712" s="199"/>
      <c r="N2712" s="200"/>
      <c r="P2712" s="199"/>
    </row>
    <row r="2713" spans="7:16" x14ac:dyDescent="0.2">
      <c r="G2713" s="199"/>
      <c r="I2713" s="199"/>
      <c r="K2713" s="199"/>
      <c r="M2713" s="199"/>
      <c r="N2713" s="200"/>
      <c r="P2713" s="199"/>
    </row>
    <row r="2714" spans="7:16" x14ac:dyDescent="0.2">
      <c r="G2714" s="199"/>
      <c r="I2714" s="199"/>
      <c r="K2714" s="199"/>
      <c r="M2714" s="199"/>
      <c r="N2714" s="200"/>
      <c r="P2714" s="199"/>
    </row>
    <row r="2715" spans="7:16" x14ac:dyDescent="0.2">
      <c r="G2715" s="199"/>
      <c r="I2715" s="199"/>
      <c r="K2715" s="199"/>
      <c r="M2715" s="199"/>
      <c r="N2715" s="200"/>
      <c r="P2715" s="199"/>
    </row>
    <row r="2716" spans="7:16" x14ac:dyDescent="0.2">
      <c r="G2716" s="199"/>
      <c r="I2716" s="199"/>
      <c r="K2716" s="199"/>
      <c r="M2716" s="199"/>
      <c r="N2716" s="200"/>
      <c r="P2716" s="199"/>
    </row>
    <row r="2717" spans="7:16" x14ac:dyDescent="0.2">
      <c r="G2717" s="199"/>
      <c r="I2717" s="199"/>
      <c r="K2717" s="199"/>
      <c r="M2717" s="199"/>
      <c r="N2717" s="200"/>
      <c r="P2717" s="199"/>
    </row>
    <row r="2718" spans="7:16" x14ac:dyDescent="0.2">
      <c r="G2718" s="199"/>
      <c r="I2718" s="199"/>
      <c r="K2718" s="199"/>
      <c r="M2718" s="199"/>
      <c r="N2718" s="200"/>
      <c r="P2718" s="199"/>
    </row>
    <row r="2719" spans="7:16" x14ac:dyDescent="0.2">
      <c r="G2719" s="199"/>
      <c r="I2719" s="199"/>
      <c r="K2719" s="199"/>
      <c r="M2719" s="199"/>
      <c r="N2719" s="200"/>
      <c r="P2719" s="199"/>
    </row>
    <row r="2720" spans="7:16" x14ac:dyDescent="0.2">
      <c r="G2720" s="199"/>
      <c r="I2720" s="199"/>
      <c r="K2720" s="199"/>
      <c r="M2720" s="199"/>
      <c r="N2720" s="200"/>
      <c r="P2720" s="199"/>
    </row>
    <row r="2721" spans="7:16" x14ac:dyDescent="0.2">
      <c r="G2721" s="199"/>
      <c r="I2721" s="199"/>
      <c r="K2721" s="199"/>
      <c r="M2721" s="199"/>
      <c r="N2721" s="200"/>
      <c r="P2721" s="199"/>
    </row>
    <row r="2722" spans="7:16" x14ac:dyDescent="0.2">
      <c r="G2722" s="199"/>
      <c r="I2722" s="199"/>
      <c r="K2722" s="199"/>
      <c r="M2722" s="199"/>
      <c r="N2722" s="200"/>
      <c r="P2722" s="199"/>
    </row>
    <row r="2723" spans="7:16" x14ac:dyDescent="0.2">
      <c r="G2723" s="199"/>
      <c r="I2723" s="199"/>
      <c r="K2723" s="199"/>
      <c r="M2723" s="199"/>
      <c r="N2723" s="200"/>
      <c r="P2723" s="199"/>
    </row>
    <row r="2724" spans="7:16" x14ac:dyDescent="0.2">
      <c r="G2724" s="199"/>
      <c r="I2724" s="199"/>
      <c r="K2724" s="199"/>
      <c r="M2724" s="199"/>
      <c r="N2724" s="200"/>
      <c r="P2724" s="199"/>
    </row>
    <row r="2725" spans="7:16" x14ac:dyDescent="0.2">
      <c r="G2725" s="199"/>
      <c r="I2725" s="199"/>
      <c r="K2725" s="199"/>
      <c r="M2725" s="199"/>
      <c r="N2725" s="200"/>
      <c r="P2725" s="199"/>
    </row>
    <row r="2726" spans="7:16" x14ac:dyDescent="0.2">
      <c r="G2726" s="199"/>
      <c r="I2726" s="199"/>
      <c r="K2726" s="199"/>
      <c r="M2726" s="199"/>
      <c r="N2726" s="200"/>
      <c r="P2726" s="199"/>
    </row>
    <row r="2727" spans="7:16" x14ac:dyDescent="0.2">
      <c r="G2727" s="199"/>
      <c r="I2727" s="199"/>
      <c r="K2727" s="199"/>
      <c r="M2727" s="199"/>
      <c r="N2727" s="200"/>
      <c r="P2727" s="199"/>
    </row>
    <row r="2728" spans="7:16" x14ac:dyDescent="0.2">
      <c r="G2728" s="199"/>
      <c r="I2728" s="199"/>
      <c r="K2728" s="199"/>
      <c r="M2728" s="199"/>
      <c r="N2728" s="200"/>
      <c r="P2728" s="199"/>
    </row>
    <row r="2729" spans="7:16" x14ac:dyDescent="0.2">
      <c r="G2729" s="199"/>
      <c r="I2729" s="199"/>
      <c r="K2729" s="199"/>
      <c r="M2729" s="199"/>
      <c r="N2729" s="200"/>
      <c r="P2729" s="199"/>
    </row>
    <row r="2730" spans="7:16" x14ac:dyDescent="0.2">
      <c r="G2730" s="199"/>
      <c r="I2730" s="199"/>
      <c r="K2730" s="199"/>
      <c r="M2730" s="199"/>
      <c r="N2730" s="200"/>
      <c r="P2730" s="199"/>
    </row>
    <row r="2731" spans="7:16" x14ac:dyDescent="0.2">
      <c r="G2731" s="199"/>
      <c r="I2731" s="199"/>
      <c r="K2731" s="199"/>
      <c r="M2731" s="199"/>
      <c r="N2731" s="200"/>
      <c r="P2731" s="199"/>
    </row>
    <row r="2732" spans="7:16" x14ac:dyDescent="0.2">
      <c r="G2732" s="199"/>
      <c r="I2732" s="199"/>
      <c r="K2732" s="199"/>
      <c r="M2732" s="199"/>
      <c r="N2732" s="200"/>
      <c r="P2732" s="199"/>
    </row>
    <row r="2733" spans="7:16" x14ac:dyDescent="0.2">
      <c r="G2733" s="199"/>
      <c r="I2733" s="199"/>
      <c r="K2733" s="199"/>
      <c r="M2733" s="199"/>
      <c r="N2733" s="200"/>
      <c r="P2733" s="199"/>
    </row>
    <row r="2734" spans="7:16" x14ac:dyDescent="0.2">
      <c r="G2734" s="199"/>
      <c r="I2734" s="199"/>
      <c r="K2734" s="199"/>
      <c r="M2734" s="199"/>
      <c r="N2734" s="200"/>
      <c r="P2734" s="199"/>
    </row>
    <row r="2735" spans="7:16" x14ac:dyDescent="0.2">
      <c r="G2735" s="199"/>
      <c r="I2735" s="199"/>
      <c r="K2735" s="199"/>
      <c r="M2735" s="199"/>
      <c r="N2735" s="200"/>
      <c r="P2735" s="199"/>
    </row>
    <row r="2736" spans="7:16" x14ac:dyDescent="0.2">
      <c r="G2736" s="199"/>
      <c r="I2736" s="199"/>
      <c r="K2736" s="199"/>
      <c r="M2736" s="199"/>
      <c r="N2736" s="200"/>
      <c r="P2736" s="199"/>
    </row>
    <row r="2737" spans="7:16" x14ac:dyDescent="0.2">
      <c r="G2737" s="199"/>
      <c r="I2737" s="199"/>
      <c r="K2737" s="199"/>
      <c r="M2737" s="199"/>
      <c r="N2737" s="200"/>
      <c r="P2737" s="199"/>
    </row>
    <row r="2738" spans="7:16" x14ac:dyDescent="0.2">
      <c r="G2738" s="199"/>
      <c r="I2738" s="199"/>
      <c r="K2738" s="199"/>
      <c r="M2738" s="199"/>
      <c r="N2738" s="200"/>
      <c r="P2738" s="199"/>
    </row>
    <row r="2739" spans="7:16" x14ac:dyDescent="0.2">
      <c r="G2739" s="199"/>
      <c r="I2739" s="199"/>
      <c r="K2739" s="199"/>
      <c r="M2739" s="199"/>
      <c r="N2739" s="200"/>
      <c r="P2739" s="199"/>
    </row>
    <row r="2740" spans="7:16" x14ac:dyDescent="0.2">
      <c r="G2740" s="199"/>
      <c r="I2740" s="199"/>
      <c r="K2740" s="199"/>
      <c r="M2740" s="199"/>
      <c r="N2740" s="200"/>
      <c r="P2740" s="199"/>
    </row>
    <row r="2741" spans="7:16" x14ac:dyDescent="0.2">
      <c r="G2741" s="199"/>
      <c r="I2741" s="199"/>
      <c r="K2741" s="199"/>
      <c r="M2741" s="199"/>
      <c r="N2741" s="200"/>
      <c r="P2741" s="199"/>
    </row>
    <row r="2742" spans="7:16" x14ac:dyDescent="0.2">
      <c r="G2742" s="199"/>
      <c r="I2742" s="199"/>
      <c r="K2742" s="199"/>
      <c r="M2742" s="199"/>
      <c r="N2742" s="200"/>
      <c r="P2742" s="199"/>
    </row>
    <row r="2743" spans="7:16" x14ac:dyDescent="0.2">
      <c r="G2743" s="199"/>
      <c r="I2743" s="199"/>
      <c r="K2743" s="199"/>
      <c r="M2743" s="199"/>
      <c r="N2743" s="200"/>
      <c r="P2743" s="199"/>
    </row>
    <row r="2744" spans="7:16" x14ac:dyDescent="0.2">
      <c r="G2744" s="199"/>
      <c r="I2744" s="199"/>
      <c r="K2744" s="199"/>
      <c r="M2744" s="199"/>
      <c r="N2744" s="200"/>
      <c r="P2744" s="199"/>
    </row>
    <row r="2745" spans="7:16" x14ac:dyDescent="0.2">
      <c r="G2745" s="199"/>
      <c r="I2745" s="199"/>
      <c r="K2745" s="199"/>
      <c r="M2745" s="199"/>
      <c r="N2745" s="200"/>
      <c r="P2745" s="199"/>
    </row>
    <row r="2746" spans="7:16" x14ac:dyDescent="0.2">
      <c r="G2746" s="199"/>
      <c r="I2746" s="199"/>
      <c r="K2746" s="199"/>
      <c r="M2746" s="199"/>
      <c r="N2746" s="200"/>
      <c r="P2746" s="199"/>
    </row>
    <row r="2747" spans="7:16" x14ac:dyDescent="0.2">
      <c r="G2747" s="199"/>
      <c r="I2747" s="199"/>
      <c r="K2747" s="199"/>
      <c r="M2747" s="199"/>
      <c r="N2747" s="200"/>
      <c r="P2747" s="199"/>
    </row>
    <row r="2748" spans="7:16" x14ac:dyDescent="0.2">
      <c r="G2748" s="199"/>
      <c r="I2748" s="199"/>
      <c r="K2748" s="199"/>
      <c r="M2748" s="199"/>
      <c r="N2748" s="200"/>
      <c r="P2748" s="199"/>
    </row>
    <row r="2749" spans="7:16" x14ac:dyDescent="0.2">
      <c r="G2749" s="199"/>
      <c r="I2749" s="199"/>
      <c r="K2749" s="199"/>
      <c r="M2749" s="199"/>
      <c r="N2749" s="200"/>
      <c r="P2749" s="199"/>
    </row>
    <row r="2750" spans="7:16" x14ac:dyDescent="0.2">
      <c r="G2750" s="199"/>
      <c r="I2750" s="199"/>
      <c r="K2750" s="199"/>
      <c r="M2750" s="199"/>
      <c r="N2750" s="200"/>
      <c r="P2750" s="199"/>
    </row>
    <row r="2751" spans="7:16" x14ac:dyDescent="0.2">
      <c r="G2751" s="199"/>
      <c r="I2751" s="199"/>
      <c r="K2751" s="199"/>
      <c r="M2751" s="199"/>
      <c r="N2751" s="200"/>
      <c r="P2751" s="199"/>
    </row>
    <row r="2752" spans="7:16" x14ac:dyDescent="0.2">
      <c r="G2752" s="199"/>
      <c r="I2752" s="199"/>
      <c r="K2752" s="199"/>
      <c r="M2752" s="199"/>
      <c r="N2752" s="200"/>
      <c r="P2752" s="199"/>
    </row>
    <row r="2753" spans="7:16" x14ac:dyDescent="0.2">
      <c r="G2753" s="199"/>
      <c r="I2753" s="199"/>
      <c r="K2753" s="199"/>
      <c r="M2753" s="199"/>
      <c r="N2753" s="200"/>
      <c r="P2753" s="199"/>
    </row>
    <row r="2754" spans="7:16" x14ac:dyDescent="0.2">
      <c r="G2754" s="199"/>
      <c r="I2754" s="199"/>
      <c r="K2754" s="199"/>
      <c r="M2754" s="199"/>
      <c r="N2754" s="200"/>
      <c r="P2754" s="199"/>
    </row>
    <row r="2755" spans="7:16" x14ac:dyDescent="0.2">
      <c r="G2755" s="199"/>
      <c r="I2755" s="199"/>
      <c r="K2755" s="199"/>
      <c r="M2755" s="199"/>
      <c r="N2755" s="200"/>
      <c r="P2755" s="199"/>
    </row>
    <row r="2756" spans="7:16" x14ac:dyDescent="0.2">
      <c r="G2756" s="199"/>
      <c r="I2756" s="199"/>
      <c r="K2756" s="199"/>
      <c r="M2756" s="199"/>
      <c r="N2756" s="200"/>
      <c r="P2756" s="199"/>
    </row>
    <row r="2757" spans="7:16" x14ac:dyDescent="0.2">
      <c r="G2757" s="199"/>
      <c r="I2757" s="199"/>
      <c r="K2757" s="199"/>
      <c r="M2757" s="199"/>
      <c r="N2757" s="200"/>
      <c r="P2757" s="199"/>
    </row>
    <row r="2758" spans="7:16" x14ac:dyDescent="0.2">
      <c r="G2758" s="199"/>
      <c r="I2758" s="199"/>
      <c r="K2758" s="199"/>
      <c r="M2758" s="199"/>
      <c r="N2758" s="200"/>
      <c r="P2758" s="199"/>
    </row>
    <row r="2759" spans="7:16" x14ac:dyDescent="0.2">
      <c r="G2759" s="199"/>
      <c r="I2759" s="199"/>
      <c r="K2759" s="199"/>
      <c r="M2759" s="199"/>
      <c r="N2759" s="200"/>
      <c r="P2759" s="199"/>
    </row>
    <row r="2760" spans="7:16" x14ac:dyDescent="0.2">
      <c r="G2760" s="199"/>
      <c r="I2760" s="199"/>
      <c r="K2760" s="199"/>
      <c r="M2760" s="199"/>
      <c r="N2760" s="200"/>
      <c r="P2760" s="199"/>
    </row>
    <row r="2761" spans="7:16" x14ac:dyDescent="0.2">
      <c r="G2761" s="199"/>
      <c r="I2761" s="199"/>
      <c r="K2761" s="199"/>
      <c r="M2761" s="199"/>
      <c r="N2761" s="200"/>
      <c r="P2761" s="199"/>
    </row>
    <row r="2762" spans="7:16" x14ac:dyDescent="0.2">
      <c r="G2762" s="199"/>
      <c r="I2762" s="199"/>
      <c r="K2762" s="199"/>
      <c r="M2762" s="199"/>
      <c r="N2762" s="200"/>
      <c r="P2762" s="199"/>
    </row>
    <row r="2763" spans="7:16" x14ac:dyDescent="0.2">
      <c r="G2763" s="199"/>
      <c r="I2763" s="199"/>
      <c r="K2763" s="199"/>
      <c r="M2763" s="199"/>
      <c r="N2763" s="200"/>
      <c r="P2763" s="199"/>
    </row>
    <row r="2764" spans="7:16" x14ac:dyDescent="0.2">
      <c r="G2764" s="199"/>
      <c r="I2764" s="199"/>
      <c r="K2764" s="199"/>
      <c r="M2764" s="199"/>
      <c r="N2764" s="200"/>
      <c r="P2764" s="199"/>
    </row>
    <row r="2765" spans="7:16" x14ac:dyDescent="0.2">
      <c r="G2765" s="199"/>
      <c r="I2765" s="199"/>
      <c r="K2765" s="199"/>
      <c r="M2765" s="199"/>
      <c r="N2765" s="200"/>
      <c r="P2765" s="199"/>
    </row>
    <row r="2766" spans="7:16" x14ac:dyDescent="0.2">
      <c r="G2766" s="199"/>
      <c r="I2766" s="199"/>
      <c r="K2766" s="199"/>
      <c r="M2766" s="199"/>
      <c r="N2766" s="200"/>
      <c r="P2766" s="199"/>
    </row>
    <row r="2767" spans="7:16" x14ac:dyDescent="0.2">
      <c r="G2767" s="199"/>
      <c r="I2767" s="199"/>
      <c r="K2767" s="199"/>
      <c r="M2767" s="199"/>
      <c r="N2767" s="200"/>
      <c r="P2767" s="199"/>
    </row>
    <row r="2768" spans="7:16" x14ac:dyDescent="0.2">
      <c r="G2768" s="199"/>
      <c r="I2768" s="199"/>
      <c r="K2768" s="199"/>
      <c r="M2768" s="199"/>
      <c r="N2768" s="200"/>
      <c r="P2768" s="199"/>
    </row>
    <row r="2769" spans="7:16" x14ac:dyDescent="0.2">
      <c r="G2769" s="199"/>
      <c r="I2769" s="199"/>
      <c r="K2769" s="199"/>
      <c r="M2769" s="199"/>
      <c r="N2769" s="200"/>
      <c r="P2769" s="199"/>
    </row>
    <row r="2770" spans="7:16" x14ac:dyDescent="0.2">
      <c r="G2770" s="199"/>
      <c r="I2770" s="199"/>
      <c r="K2770" s="199"/>
      <c r="M2770" s="199"/>
      <c r="N2770" s="200"/>
      <c r="P2770" s="199"/>
    </row>
    <row r="2771" spans="7:16" x14ac:dyDescent="0.2">
      <c r="G2771" s="199"/>
      <c r="I2771" s="199"/>
      <c r="K2771" s="199"/>
      <c r="M2771" s="199"/>
      <c r="N2771" s="200"/>
      <c r="P2771" s="199"/>
    </row>
    <row r="2772" spans="7:16" x14ac:dyDescent="0.2">
      <c r="G2772" s="199"/>
      <c r="I2772" s="199"/>
      <c r="K2772" s="199"/>
      <c r="M2772" s="199"/>
      <c r="N2772" s="200"/>
      <c r="P2772" s="199"/>
    </row>
    <row r="2773" spans="7:16" x14ac:dyDescent="0.2">
      <c r="G2773" s="199"/>
      <c r="I2773" s="199"/>
      <c r="K2773" s="199"/>
      <c r="M2773" s="199"/>
      <c r="N2773" s="200"/>
      <c r="P2773" s="199"/>
    </row>
    <row r="2774" spans="7:16" x14ac:dyDescent="0.2">
      <c r="G2774" s="199"/>
      <c r="I2774" s="199"/>
      <c r="K2774" s="199"/>
      <c r="M2774" s="199"/>
      <c r="N2774" s="200"/>
      <c r="P2774" s="199"/>
    </row>
    <row r="2775" spans="7:16" x14ac:dyDescent="0.2">
      <c r="G2775" s="199"/>
      <c r="I2775" s="199"/>
      <c r="K2775" s="199"/>
      <c r="M2775" s="199"/>
      <c r="N2775" s="200"/>
      <c r="P2775" s="199"/>
    </row>
    <row r="2776" spans="7:16" x14ac:dyDescent="0.2">
      <c r="G2776" s="199"/>
      <c r="I2776" s="199"/>
      <c r="K2776" s="199"/>
      <c r="M2776" s="199"/>
      <c r="N2776" s="200"/>
      <c r="P2776" s="199"/>
    </row>
    <row r="2777" spans="7:16" x14ac:dyDescent="0.2">
      <c r="G2777" s="199"/>
      <c r="I2777" s="199"/>
      <c r="K2777" s="199"/>
      <c r="M2777" s="199"/>
      <c r="N2777" s="200"/>
      <c r="P2777" s="199"/>
    </row>
    <row r="2778" spans="7:16" x14ac:dyDescent="0.2">
      <c r="G2778" s="199"/>
      <c r="I2778" s="199"/>
      <c r="K2778" s="199"/>
      <c r="M2778" s="199"/>
      <c r="N2778" s="200"/>
      <c r="P2778" s="199"/>
    </row>
    <row r="2779" spans="7:16" x14ac:dyDescent="0.2">
      <c r="G2779" s="199"/>
      <c r="I2779" s="199"/>
      <c r="K2779" s="199"/>
      <c r="M2779" s="199"/>
      <c r="N2779" s="200"/>
      <c r="P2779" s="199"/>
    </row>
    <row r="2780" spans="7:16" x14ac:dyDescent="0.2">
      <c r="G2780" s="199"/>
      <c r="I2780" s="199"/>
      <c r="K2780" s="199"/>
      <c r="M2780" s="199"/>
      <c r="N2780" s="200"/>
      <c r="P2780" s="199"/>
    </row>
    <row r="2781" spans="7:16" x14ac:dyDescent="0.2">
      <c r="G2781" s="199"/>
      <c r="I2781" s="199"/>
      <c r="K2781" s="199"/>
      <c r="M2781" s="199"/>
      <c r="N2781" s="200"/>
      <c r="P2781" s="199"/>
    </row>
    <row r="2782" spans="7:16" x14ac:dyDescent="0.2">
      <c r="G2782" s="199"/>
      <c r="I2782" s="199"/>
      <c r="K2782" s="199"/>
      <c r="M2782" s="199"/>
      <c r="N2782" s="200"/>
      <c r="P2782" s="199"/>
    </row>
    <row r="2783" spans="7:16" x14ac:dyDescent="0.2">
      <c r="G2783" s="199"/>
      <c r="I2783" s="199"/>
      <c r="K2783" s="199"/>
      <c r="M2783" s="199"/>
      <c r="N2783" s="200"/>
      <c r="P2783" s="199"/>
    </row>
    <row r="2784" spans="7:16" x14ac:dyDescent="0.2">
      <c r="G2784" s="199"/>
      <c r="I2784" s="199"/>
      <c r="K2784" s="199"/>
      <c r="M2784" s="199"/>
      <c r="N2784" s="200"/>
      <c r="P2784" s="199"/>
    </row>
    <row r="2785" spans="7:16" x14ac:dyDescent="0.2">
      <c r="G2785" s="199"/>
      <c r="I2785" s="199"/>
      <c r="K2785" s="199"/>
      <c r="M2785" s="199"/>
      <c r="N2785" s="200"/>
      <c r="P2785" s="199"/>
    </row>
    <row r="2786" spans="7:16" x14ac:dyDescent="0.2">
      <c r="G2786" s="199"/>
      <c r="I2786" s="199"/>
      <c r="K2786" s="199"/>
      <c r="M2786" s="199"/>
      <c r="N2786" s="200"/>
      <c r="P2786" s="199"/>
    </row>
    <row r="2787" spans="7:16" x14ac:dyDescent="0.2">
      <c r="G2787" s="199"/>
      <c r="I2787" s="199"/>
      <c r="K2787" s="199"/>
      <c r="M2787" s="199"/>
      <c r="N2787" s="200"/>
      <c r="P2787" s="199"/>
    </row>
    <row r="2788" spans="7:16" x14ac:dyDescent="0.2">
      <c r="G2788" s="199"/>
      <c r="I2788" s="199"/>
      <c r="K2788" s="199"/>
      <c r="M2788" s="199"/>
      <c r="N2788" s="200"/>
      <c r="P2788" s="199"/>
    </row>
    <row r="2789" spans="7:16" x14ac:dyDescent="0.2">
      <c r="G2789" s="199"/>
      <c r="I2789" s="199"/>
      <c r="K2789" s="199"/>
      <c r="M2789" s="199"/>
      <c r="N2789" s="200"/>
      <c r="P2789" s="199"/>
    </row>
    <row r="2790" spans="7:16" x14ac:dyDescent="0.2">
      <c r="G2790" s="199"/>
      <c r="I2790" s="199"/>
      <c r="K2790" s="199"/>
      <c r="M2790" s="199"/>
      <c r="N2790" s="200"/>
      <c r="P2790" s="199"/>
    </row>
    <row r="2791" spans="7:16" x14ac:dyDescent="0.2">
      <c r="G2791" s="199"/>
      <c r="I2791" s="199"/>
      <c r="K2791" s="199"/>
      <c r="M2791" s="199"/>
      <c r="N2791" s="200"/>
      <c r="P2791" s="199"/>
    </row>
    <row r="2792" spans="7:16" x14ac:dyDescent="0.2">
      <c r="G2792" s="199"/>
      <c r="I2792" s="199"/>
      <c r="K2792" s="199"/>
      <c r="M2792" s="199"/>
      <c r="N2792" s="200"/>
      <c r="P2792" s="199"/>
    </row>
    <row r="2793" spans="7:16" x14ac:dyDescent="0.2">
      <c r="G2793" s="199"/>
      <c r="I2793" s="199"/>
      <c r="K2793" s="199"/>
      <c r="M2793" s="199"/>
      <c r="N2793" s="200"/>
      <c r="P2793" s="199"/>
    </row>
    <row r="2794" spans="7:16" x14ac:dyDescent="0.2">
      <c r="G2794" s="199"/>
      <c r="I2794" s="199"/>
      <c r="K2794" s="199"/>
      <c r="M2794" s="199"/>
      <c r="N2794" s="200"/>
      <c r="P2794" s="199"/>
    </row>
    <row r="2795" spans="7:16" x14ac:dyDescent="0.2">
      <c r="G2795" s="199"/>
      <c r="I2795" s="199"/>
      <c r="K2795" s="199"/>
      <c r="M2795" s="199"/>
      <c r="N2795" s="200"/>
      <c r="P2795" s="199"/>
    </row>
    <row r="2796" spans="7:16" x14ac:dyDescent="0.2">
      <c r="G2796" s="199"/>
      <c r="I2796" s="199"/>
      <c r="K2796" s="199"/>
      <c r="M2796" s="199"/>
      <c r="N2796" s="200"/>
      <c r="P2796" s="199"/>
    </row>
    <row r="2797" spans="7:16" x14ac:dyDescent="0.2">
      <c r="G2797" s="199"/>
      <c r="I2797" s="199"/>
      <c r="K2797" s="199"/>
      <c r="M2797" s="199"/>
      <c r="N2797" s="200"/>
      <c r="P2797" s="199"/>
    </row>
    <row r="2798" spans="7:16" x14ac:dyDescent="0.2">
      <c r="G2798" s="199"/>
      <c r="I2798" s="199"/>
      <c r="K2798" s="199"/>
      <c r="M2798" s="199"/>
      <c r="N2798" s="200"/>
      <c r="P2798" s="199"/>
    </row>
    <row r="2799" spans="7:16" x14ac:dyDescent="0.2">
      <c r="G2799" s="199"/>
      <c r="I2799" s="199"/>
      <c r="K2799" s="199"/>
      <c r="M2799" s="199"/>
      <c r="N2799" s="200"/>
      <c r="P2799" s="199"/>
    </row>
    <row r="2800" spans="7:16" x14ac:dyDescent="0.2">
      <c r="G2800" s="199"/>
      <c r="I2800" s="199"/>
      <c r="K2800" s="199"/>
      <c r="M2800" s="199"/>
      <c r="N2800" s="200"/>
      <c r="P2800" s="199"/>
    </row>
    <row r="2801" spans="7:16" x14ac:dyDescent="0.2">
      <c r="G2801" s="199"/>
      <c r="I2801" s="199"/>
      <c r="K2801" s="199"/>
      <c r="M2801" s="199"/>
      <c r="N2801" s="200"/>
      <c r="P2801" s="199"/>
    </row>
    <row r="2802" spans="7:16" x14ac:dyDescent="0.2">
      <c r="G2802" s="199"/>
      <c r="I2802" s="199"/>
      <c r="K2802" s="199"/>
      <c r="M2802" s="199"/>
      <c r="N2802" s="200"/>
      <c r="P2802" s="199"/>
    </row>
    <row r="2803" spans="7:16" x14ac:dyDescent="0.2">
      <c r="G2803" s="199"/>
      <c r="I2803" s="199"/>
      <c r="K2803" s="199"/>
      <c r="M2803" s="199"/>
      <c r="N2803" s="200"/>
      <c r="P2803" s="199"/>
    </row>
    <row r="2804" spans="7:16" x14ac:dyDescent="0.2">
      <c r="G2804" s="199"/>
      <c r="I2804" s="199"/>
      <c r="K2804" s="199"/>
      <c r="M2804" s="199"/>
      <c r="N2804" s="200"/>
      <c r="P2804" s="199"/>
    </row>
    <row r="2805" spans="7:16" x14ac:dyDescent="0.2">
      <c r="G2805" s="199"/>
      <c r="I2805" s="199"/>
      <c r="K2805" s="199"/>
      <c r="M2805" s="199"/>
      <c r="N2805" s="200"/>
      <c r="P2805" s="199"/>
    </row>
    <row r="2806" spans="7:16" x14ac:dyDescent="0.2">
      <c r="G2806" s="199"/>
      <c r="I2806" s="199"/>
      <c r="K2806" s="199"/>
      <c r="M2806" s="199"/>
      <c r="N2806" s="200"/>
      <c r="P2806" s="199"/>
    </row>
    <row r="2807" spans="7:16" x14ac:dyDescent="0.2">
      <c r="G2807" s="199"/>
      <c r="I2807" s="199"/>
      <c r="K2807" s="199"/>
      <c r="M2807" s="199"/>
      <c r="N2807" s="200"/>
      <c r="P2807" s="199"/>
    </row>
    <row r="2808" spans="7:16" x14ac:dyDescent="0.2">
      <c r="G2808" s="199"/>
      <c r="I2808" s="199"/>
      <c r="K2808" s="199"/>
      <c r="M2808" s="199"/>
      <c r="N2808" s="200"/>
      <c r="P2808" s="199"/>
    </row>
    <row r="2809" spans="7:16" x14ac:dyDescent="0.2">
      <c r="G2809" s="199"/>
      <c r="I2809" s="199"/>
      <c r="K2809" s="199"/>
      <c r="M2809" s="199"/>
      <c r="N2809" s="200"/>
      <c r="P2809" s="199"/>
    </row>
    <row r="2810" spans="7:16" x14ac:dyDescent="0.2">
      <c r="G2810" s="199"/>
      <c r="I2810" s="199"/>
      <c r="K2810" s="199"/>
      <c r="M2810" s="199"/>
      <c r="N2810" s="200"/>
      <c r="P2810" s="199"/>
    </row>
    <row r="2811" spans="7:16" x14ac:dyDescent="0.2">
      <c r="G2811" s="199"/>
      <c r="I2811" s="199"/>
      <c r="K2811" s="199"/>
      <c r="M2811" s="199"/>
      <c r="N2811" s="200"/>
      <c r="P2811" s="199"/>
    </row>
    <row r="2812" spans="7:16" x14ac:dyDescent="0.2">
      <c r="G2812" s="199"/>
      <c r="I2812" s="199"/>
      <c r="K2812" s="199"/>
      <c r="M2812" s="199"/>
      <c r="N2812" s="200"/>
      <c r="P2812" s="199"/>
    </row>
    <row r="2813" spans="7:16" x14ac:dyDescent="0.2">
      <c r="G2813" s="199"/>
      <c r="I2813" s="199"/>
      <c r="K2813" s="199"/>
      <c r="M2813" s="199"/>
      <c r="N2813" s="200"/>
      <c r="P2813" s="199"/>
    </row>
    <row r="2814" spans="7:16" x14ac:dyDescent="0.2">
      <c r="G2814" s="199"/>
      <c r="I2814" s="199"/>
      <c r="K2814" s="199"/>
      <c r="M2814" s="199"/>
      <c r="N2814" s="200"/>
      <c r="P2814" s="199"/>
    </row>
    <row r="2815" spans="7:16" x14ac:dyDescent="0.2">
      <c r="G2815" s="199"/>
      <c r="I2815" s="199"/>
      <c r="K2815" s="199"/>
      <c r="M2815" s="199"/>
      <c r="N2815" s="200"/>
      <c r="P2815" s="199"/>
    </row>
    <row r="2816" spans="7:16" x14ac:dyDescent="0.2">
      <c r="G2816" s="199"/>
      <c r="I2816" s="199"/>
      <c r="K2816" s="199"/>
      <c r="M2816" s="199"/>
      <c r="N2816" s="200"/>
      <c r="P2816" s="199"/>
    </row>
    <row r="2817" spans="7:16" x14ac:dyDescent="0.2">
      <c r="G2817" s="199"/>
      <c r="I2817" s="199"/>
      <c r="K2817" s="199"/>
      <c r="M2817" s="199"/>
      <c r="N2817" s="200"/>
      <c r="P2817" s="199"/>
    </row>
    <row r="2818" spans="7:16" x14ac:dyDescent="0.2">
      <c r="G2818" s="199"/>
      <c r="I2818" s="199"/>
      <c r="K2818" s="199"/>
      <c r="M2818" s="199"/>
      <c r="N2818" s="200"/>
      <c r="P2818" s="199"/>
    </row>
    <row r="2819" spans="7:16" x14ac:dyDescent="0.2">
      <c r="G2819" s="199"/>
      <c r="I2819" s="199"/>
      <c r="K2819" s="199"/>
      <c r="M2819" s="199"/>
      <c r="N2819" s="200"/>
      <c r="P2819" s="199"/>
    </row>
    <row r="2820" spans="7:16" x14ac:dyDescent="0.2">
      <c r="G2820" s="199"/>
      <c r="I2820" s="199"/>
      <c r="K2820" s="199"/>
      <c r="M2820" s="199"/>
      <c r="N2820" s="200"/>
      <c r="P2820" s="199"/>
    </row>
    <row r="2821" spans="7:16" x14ac:dyDescent="0.2">
      <c r="G2821" s="199"/>
      <c r="I2821" s="199"/>
      <c r="K2821" s="199"/>
      <c r="M2821" s="199"/>
      <c r="N2821" s="200"/>
      <c r="P2821" s="199"/>
    </row>
    <row r="2822" spans="7:16" x14ac:dyDescent="0.2">
      <c r="G2822" s="199"/>
      <c r="I2822" s="199"/>
      <c r="K2822" s="199"/>
      <c r="M2822" s="199"/>
      <c r="N2822" s="200"/>
      <c r="P2822" s="199"/>
    </row>
    <row r="2823" spans="7:16" x14ac:dyDescent="0.2">
      <c r="G2823" s="199"/>
      <c r="I2823" s="199"/>
      <c r="K2823" s="199"/>
      <c r="M2823" s="199"/>
      <c r="N2823" s="200"/>
      <c r="P2823" s="199"/>
    </row>
    <row r="2824" spans="7:16" x14ac:dyDescent="0.2">
      <c r="G2824" s="199"/>
      <c r="I2824" s="199"/>
      <c r="K2824" s="199"/>
      <c r="M2824" s="199"/>
      <c r="N2824" s="200"/>
      <c r="P2824" s="199"/>
    </row>
    <row r="2825" spans="7:16" x14ac:dyDescent="0.2">
      <c r="G2825" s="199"/>
      <c r="I2825" s="199"/>
      <c r="K2825" s="199"/>
      <c r="M2825" s="199"/>
      <c r="N2825" s="200"/>
      <c r="P2825" s="199"/>
    </row>
    <row r="2826" spans="7:16" x14ac:dyDescent="0.2">
      <c r="G2826" s="199"/>
      <c r="I2826" s="199"/>
      <c r="K2826" s="199"/>
      <c r="M2826" s="199"/>
      <c r="N2826" s="200"/>
      <c r="P2826" s="199"/>
    </row>
    <row r="2827" spans="7:16" x14ac:dyDescent="0.2">
      <c r="G2827" s="199"/>
      <c r="I2827" s="199"/>
      <c r="K2827" s="199"/>
      <c r="M2827" s="199"/>
      <c r="N2827" s="200"/>
      <c r="P2827" s="199"/>
    </row>
    <row r="2828" spans="7:16" x14ac:dyDescent="0.2">
      <c r="G2828" s="199"/>
      <c r="I2828" s="199"/>
      <c r="K2828" s="199"/>
      <c r="M2828" s="199"/>
      <c r="N2828" s="200"/>
      <c r="P2828" s="199"/>
    </row>
    <row r="2829" spans="7:16" x14ac:dyDescent="0.2">
      <c r="G2829" s="199"/>
      <c r="I2829" s="199"/>
      <c r="K2829" s="199"/>
      <c r="M2829" s="199"/>
      <c r="N2829" s="200"/>
      <c r="P2829" s="199"/>
    </row>
    <row r="2830" spans="7:16" x14ac:dyDescent="0.2">
      <c r="G2830" s="199"/>
      <c r="I2830" s="199"/>
      <c r="K2830" s="199"/>
      <c r="M2830" s="199"/>
      <c r="N2830" s="200"/>
      <c r="P2830" s="199"/>
    </row>
    <row r="2831" spans="7:16" x14ac:dyDescent="0.2">
      <c r="G2831" s="199"/>
      <c r="I2831" s="199"/>
      <c r="K2831" s="199"/>
      <c r="M2831" s="199"/>
      <c r="N2831" s="200"/>
      <c r="P2831" s="199"/>
    </row>
    <row r="2832" spans="7:16" x14ac:dyDescent="0.2">
      <c r="G2832" s="199"/>
      <c r="I2832" s="199"/>
      <c r="K2832" s="199"/>
      <c r="M2832" s="199"/>
      <c r="N2832" s="200"/>
      <c r="P2832" s="199"/>
    </row>
    <row r="2833" spans="7:16" x14ac:dyDescent="0.2">
      <c r="G2833" s="199"/>
      <c r="I2833" s="199"/>
      <c r="K2833" s="199"/>
      <c r="M2833" s="199"/>
      <c r="N2833" s="200"/>
      <c r="P2833" s="199"/>
    </row>
    <row r="2834" spans="7:16" x14ac:dyDescent="0.2">
      <c r="G2834" s="199"/>
      <c r="I2834" s="199"/>
      <c r="K2834" s="199"/>
      <c r="M2834" s="199"/>
      <c r="N2834" s="200"/>
      <c r="P2834" s="199"/>
    </row>
    <row r="2835" spans="7:16" x14ac:dyDescent="0.2">
      <c r="G2835" s="199"/>
      <c r="I2835" s="199"/>
      <c r="K2835" s="199"/>
      <c r="M2835" s="199"/>
      <c r="N2835" s="200"/>
      <c r="P2835" s="199"/>
    </row>
    <row r="2836" spans="7:16" x14ac:dyDescent="0.2">
      <c r="G2836" s="199"/>
      <c r="I2836" s="199"/>
      <c r="K2836" s="199"/>
      <c r="M2836" s="199"/>
      <c r="N2836" s="200"/>
      <c r="P2836" s="199"/>
    </row>
    <row r="2837" spans="7:16" x14ac:dyDescent="0.2">
      <c r="G2837" s="199"/>
      <c r="I2837" s="199"/>
      <c r="K2837" s="199"/>
      <c r="M2837" s="199"/>
      <c r="N2837" s="200"/>
      <c r="P2837" s="199"/>
    </row>
    <row r="2838" spans="7:16" x14ac:dyDescent="0.2">
      <c r="G2838" s="199"/>
      <c r="I2838" s="199"/>
      <c r="K2838" s="199"/>
      <c r="M2838" s="199"/>
      <c r="N2838" s="200"/>
      <c r="P2838" s="199"/>
    </row>
    <row r="2839" spans="7:16" x14ac:dyDescent="0.2">
      <c r="G2839" s="199"/>
      <c r="I2839" s="199"/>
      <c r="K2839" s="199"/>
      <c r="M2839" s="199"/>
      <c r="N2839" s="200"/>
      <c r="P2839" s="199"/>
    </row>
    <row r="2840" spans="7:16" x14ac:dyDescent="0.2">
      <c r="G2840" s="199"/>
      <c r="I2840" s="199"/>
      <c r="K2840" s="199"/>
      <c r="M2840" s="199"/>
      <c r="N2840" s="200"/>
      <c r="P2840" s="199"/>
    </row>
    <row r="2841" spans="7:16" x14ac:dyDescent="0.2">
      <c r="G2841" s="199"/>
      <c r="I2841" s="199"/>
      <c r="K2841" s="199"/>
      <c r="M2841" s="199"/>
      <c r="N2841" s="200"/>
      <c r="P2841" s="199"/>
    </row>
    <row r="2842" spans="7:16" x14ac:dyDescent="0.2">
      <c r="G2842" s="199"/>
      <c r="I2842" s="199"/>
      <c r="K2842" s="199"/>
      <c r="M2842" s="199"/>
      <c r="N2842" s="200"/>
      <c r="P2842" s="199"/>
    </row>
    <row r="2843" spans="7:16" x14ac:dyDescent="0.2">
      <c r="G2843" s="199"/>
      <c r="I2843" s="199"/>
      <c r="K2843" s="199"/>
      <c r="M2843" s="199"/>
      <c r="N2843" s="200"/>
      <c r="P2843" s="199"/>
    </row>
    <row r="2844" spans="7:16" x14ac:dyDescent="0.2">
      <c r="G2844" s="199"/>
      <c r="I2844" s="199"/>
      <c r="K2844" s="199"/>
      <c r="M2844" s="199"/>
      <c r="N2844" s="200"/>
      <c r="P2844" s="199"/>
    </row>
    <row r="2845" spans="7:16" x14ac:dyDescent="0.2">
      <c r="G2845" s="199"/>
      <c r="I2845" s="199"/>
      <c r="K2845" s="199"/>
      <c r="M2845" s="199"/>
      <c r="N2845" s="200"/>
      <c r="P2845" s="199"/>
    </row>
    <row r="2846" spans="7:16" x14ac:dyDescent="0.2">
      <c r="G2846" s="199"/>
      <c r="I2846" s="199"/>
      <c r="K2846" s="199"/>
      <c r="M2846" s="199"/>
      <c r="N2846" s="200"/>
      <c r="P2846" s="199"/>
    </row>
    <row r="2847" spans="7:16" x14ac:dyDescent="0.2">
      <c r="G2847" s="199"/>
      <c r="I2847" s="199"/>
      <c r="K2847" s="199"/>
      <c r="M2847" s="199"/>
      <c r="N2847" s="200"/>
      <c r="P2847" s="199"/>
    </row>
    <row r="2848" spans="7:16" x14ac:dyDescent="0.2">
      <c r="G2848" s="199"/>
      <c r="I2848" s="199"/>
      <c r="K2848" s="199"/>
      <c r="M2848" s="199"/>
      <c r="N2848" s="200"/>
      <c r="P2848" s="199"/>
    </row>
    <row r="2849" spans="7:16" x14ac:dyDescent="0.2">
      <c r="G2849" s="199"/>
      <c r="I2849" s="199"/>
      <c r="K2849" s="199"/>
      <c r="M2849" s="199"/>
      <c r="N2849" s="200"/>
      <c r="P2849" s="199"/>
    </row>
    <row r="2850" spans="7:16" x14ac:dyDescent="0.2">
      <c r="G2850" s="199"/>
      <c r="I2850" s="199"/>
      <c r="K2850" s="199"/>
      <c r="M2850" s="199"/>
      <c r="N2850" s="200"/>
      <c r="P2850" s="199"/>
    </row>
    <row r="2851" spans="7:16" x14ac:dyDescent="0.2">
      <c r="G2851" s="199"/>
      <c r="I2851" s="199"/>
      <c r="K2851" s="199"/>
      <c r="M2851" s="199"/>
      <c r="N2851" s="200"/>
      <c r="P2851" s="199"/>
    </row>
    <row r="2852" spans="7:16" x14ac:dyDescent="0.2">
      <c r="G2852" s="199"/>
      <c r="I2852" s="199"/>
      <c r="K2852" s="199"/>
      <c r="M2852" s="199"/>
      <c r="N2852" s="200"/>
      <c r="P2852" s="199"/>
    </row>
    <row r="2853" spans="7:16" x14ac:dyDescent="0.2">
      <c r="G2853" s="199"/>
      <c r="I2853" s="199"/>
      <c r="K2853" s="199"/>
      <c r="M2853" s="199"/>
      <c r="N2853" s="200"/>
      <c r="P2853" s="199"/>
    </row>
    <row r="2854" spans="7:16" x14ac:dyDescent="0.2">
      <c r="G2854" s="199"/>
      <c r="I2854" s="199"/>
      <c r="K2854" s="199"/>
      <c r="M2854" s="199"/>
      <c r="N2854" s="200"/>
      <c r="P2854" s="199"/>
    </row>
    <row r="2855" spans="7:16" x14ac:dyDescent="0.2">
      <c r="G2855" s="199"/>
      <c r="I2855" s="199"/>
      <c r="K2855" s="199"/>
      <c r="M2855" s="199"/>
      <c r="N2855" s="200"/>
      <c r="P2855" s="199"/>
    </row>
    <row r="2856" spans="7:16" x14ac:dyDescent="0.2">
      <c r="G2856" s="199"/>
      <c r="I2856" s="199"/>
      <c r="K2856" s="199"/>
      <c r="M2856" s="199"/>
      <c r="N2856" s="200"/>
      <c r="P2856" s="199"/>
    </row>
    <row r="2857" spans="7:16" x14ac:dyDescent="0.2">
      <c r="G2857" s="199"/>
      <c r="I2857" s="199"/>
      <c r="K2857" s="199"/>
      <c r="M2857" s="199"/>
      <c r="N2857" s="200"/>
      <c r="P2857" s="199"/>
    </row>
    <row r="2858" spans="7:16" x14ac:dyDescent="0.2">
      <c r="G2858" s="199"/>
      <c r="I2858" s="199"/>
      <c r="K2858" s="199"/>
      <c r="M2858" s="199"/>
      <c r="N2858" s="200"/>
      <c r="P2858" s="199"/>
    </row>
    <row r="2859" spans="7:16" x14ac:dyDescent="0.2">
      <c r="G2859" s="199"/>
      <c r="I2859" s="199"/>
      <c r="K2859" s="199"/>
      <c r="M2859" s="199"/>
      <c r="N2859" s="200"/>
      <c r="P2859" s="199"/>
    </row>
    <row r="2860" spans="7:16" x14ac:dyDescent="0.2">
      <c r="G2860" s="199"/>
      <c r="I2860" s="199"/>
      <c r="K2860" s="199"/>
      <c r="M2860" s="199"/>
      <c r="N2860" s="200"/>
      <c r="P2860" s="199"/>
    </row>
    <row r="2861" spans="7:16" x14ac:dyDescent="0.2">
      <c r="G2861" s="199"/>
      <c r="I2861" s="199"/>
      <c r="K2861" s="199"/>
      <c r="M2861" s="199"/>
      <c r="N2861" s="200"/>
      <c r="P2861" s="199"/>
    </row>
    <row r="2862" spans="7:16" x14ac:dyDescent="0.2">
      <c r="G2862" s="199"/>
      <c r="I2862" s="199"/>
      <c r="K2862" s="199"/>
      <c r="M2862" s="199"/>
      <c r="N2862" s="200"/>
      <c r="P2862" s="199"/>
    </row>
    <row r="2863" spans="7:16" x14ac:dyDescent="0.2">
      <c r="G2863" s="199"/>
      <c r="I2863" s="199"/>
      <c r="K2863" s="199"/>
      <c r="M2863" s="199"/>
      <c r="N2863" s="200"/>
      <c r="P2863" s="199"/>
    </row>
    <row r="2864" spans="7:16" x14ac:dyDescent="0.2">
      <c r="G2864" s="199"/>
      <c r="I2864" s="199"/>
      <c r="K2864" s="199"/>
      <c r="M2864" s="199"/>
      <c r="N2864" s="200"/>
      <c r="P2864" s="199"/>
    </row>
    <row r="2865" spans="7:16" x14ac:dyDescent="0.2">
      <c r="G2865" s="199"/>
      <c r="I2865" s="199"/>
      <c r="K2865" s="199"/>
      <c r="M2865" s="199"/>
      <c r="N2865" s="200"/>
      <c r="P2865" s="199"/>
    </row>
    <row r="2866" spans="7:16" x14ac:dyDescent="0.2">
      <c r="G2866" s="199"/>
      <c r="I2866" s="199"/>
      <c r="K2866" s="199"/>
      <c r="M2866" s="199"/>
      <c r="N2866" s="200"/>
      <c r="P2866" s="199"/>
    </row>
    <row r="2867" spans="7:16" x14ac:dyDescent="0.2">
      <c r="G2867" s="199"/>
      <c r="I2867" s="199"/>
      <c r="K2867" s="199"/>
      <c r="M2867" s="199"/>
      <c r="N2867" s="200"/>
      <c r="P2867" s="199"/>
    </row>
    <row r="2868" spans="7:16" x14ac:dyDescent="0.2">
      <c r="G2868" s="199"/>
      <c r="I2868" s="199"/>
      <c r="K2868" s="199"/>
      <c r="M2868" s="199"/>
      <c r="N2868" s="200"/>
      <c r="P2868" s="199"/>
    </row>
    <row r="2869" spans="7:16" x14ac:dyDescent="0.2">
      <c r="G2869" s="199"/>
      <c r="I2869" s="199"/>
      <c r="K2869" s="199"/>
      <c r="M2869" s="199"/>
      <c r="N2869" s="200"/>
      <c r="P2869" s="199"/>
    </row>
    <row r="2870" spans="7:16" x14ac:dyDescent="0.2">
      <c r="G2870" s="199"/>
      <c r="I2870" s="199"/>
      <c r="K2870" s="199"/>
      <c r="M2870" s="199"/>
      <c r="N2870" s="200"/>
      <c r="P2870" s="199"/>
    </row>
    <row r="2871" spans="7:16" x14ac:dyDescent="0.2">
      <c r="G2871" s="199"/>
      <c r="I2871" s="199"/>
      <c r="K2871" s="199"/>
      <c r="M2871" s="199"/>
      <c r="N2871" s="200"/>
      <c r="P2871" s="199"/>
    </row>
    <row r="2872" spans="7:16" x14ac:dyDescent="0.2">
      <c r="G2872" s="199"/>
      <c r="I2872" s="199"/>
      <c r="K2872" s="199"/>
      <c r="M2872" s="199"/>
      <c r="N2872" s="200"/>
      <c r="P2872" s="199"/>
    </row>
    <row r="2873" spans="7:16" x14ac:dyDescent="0.2">
      <c r="G2873" s="199"/>
      <c r="I2873" s="199"/>
      <c r="K2873" s="199"/>
      <c r="M2873" s="199"/>
      <c r="N2873" s="200"/>
      <c r="P2873" s="199"/>
    </row>
    <row r="2874" spans="7:16" x14ac:dyDescent="0.2">
      <c r="G2874" s="199"/>
      <c r="I2874" s="199"/>
      <c r="K2874" s="199"/>
      <c r="M2874" s="199"/>
      <c r="N2874" s="200"/>
      <c r="P2874" s="199"/>
    </row>
    <row r="2875" spans="7:16" x14ac:dyDescent="0.2">
      <c r="G2875" s="199"/>
      <c r="I2875" s="199"/>
      <c r="K2875" s="199"/>
      <c r="M2875" s="199"/>
      <c r="N2875" s="200"/>
      <c r="P2875" s="199"/>
    </row>
    <row r="2876" spans="7:16" x14ac:dyDescent="0.2">
      <c r="G2876" s="199"/>
      <c r="I2876" s="199"/>
      <c r="K2876" s="199"/>
      <c r="M2876" s="199"/>
      <c r="N2876" s="200"/>
      <c r="P2876" s="199"/>
    </row>
    <row r="2877" spans="7:16" x14ac:dyDescent="0.2">
      <c r="G2877" s="199"/>
      <c r="I2877" s="199"/>
      <c r="K2877" s="199"/>
      <c r="M2877" s="199"/>
      <c r="N2877" s="200"/>
      <c r="P2877" s="199"/>
    </row>
    <row r="2878" spans="7:16" x14ac:dyDescent="0.2">
      <c r="G2878" s="199"/>
      <c r="I2878" s="199"/>
      <c r="K2878" s="199"/>
      <c r="M2878" s="199"/>
      <c r="N2878" s="200"/>
      <c r="P2878" s="199"/>
    </row>
    <row r="2879" spans="7:16" x14ac:dyDescent="0.2">
      <c r="G2879" s="199"/>
      <c r="I2879" s="199"/>
      <c r="K2879" s="199"/>
      <c r="M2879" s="199"/>
      <c r="N2879" s="200"/>
      <c r="P2879" s="199"/>
    </row>
    <row r="2880" spans="7:16" x14ac:dyDescent="0.2">
      <c r="G2880" s="199"/>
      <c r="I2880" s="199"/>
      <c r="K2880" s="199"/>
      <c r="M2880" s="199"/>
      <c r="N2880" s="200"/>
      <c r="P2880" s="199"/>
    </row>
    <row r="2881" spans="7:16" x14ac:dyDescent="0.2">
      <c r="G2881" s="199"/>
      <c r="I2881" s="199"/>
      <c r="K2881" s="199"/>
      <c r="M2881" s="199"/>
      <c r="N2881" s="200"/>
      <c r="P2881" s="199"/>
    </row>
    <row r="2882" spans="7:16" x14ac:dyDescent="0.2">
      <c r="G2882" s="199"/>
      <c r="I2882" s="199"/>
      <c r="K2882" s="199"/>
      <c r="M2882" s="199"/>
      <c r="N2882" s="200"/>
      <c r="P2882" s="199"/>
    </row>
    <row r="2883" spans="7:16" x14ac:dyDescent="0.2">
      <c r="G2883" s="199"/>
      <c r="I2883" s="199"/>
      <c r="K2883" s="199"/>
      <c r="M2883" s="199"/>
      <c r="N2883" s="200"/>
      <c r="P2883" s="199"/>
    </row>
    <row r="2884" spans="7:16" x14ac:dyDescent="0.2">
      <c r="G2884" s="199"/>
      <c r="I2884" s="199"/>
      <c r="K2884" s="199"/>
      <c r="M2884" s="199"/>
      <c r="N2884" s="200"/>
      <c r="P2884" s="199"/>
    </row>
    <row r="2885" spans="7:16" x14ac:dyDescent="0.2">
      <c r="G2885" s="199"/>
      <c r="I2885" s="199"/>
      <c r="K2885" s="199"/>
      <c r="M2885" s="199"/>
      <c r="N2885" s="200"/>
      <c r="P2885" s="199"/>
    </row>
    <row r="2886" spans="7:16" x14ac:dyDescent="0.2">
      <c r="G2886" s="199"/>
      <c r="I2886" s="199"/>
      <c r="K2886" s="199"/>
      <c r="M2886" s="199"/>
      <c r="N2886" s="200"/>
      <c r="P2886" s="199"/>
    </row>
    <row r="2887" spans="7:16" x14ac:dyDescent="0.2">
      <c r="G2887" s="199"/>
      <c r="I2887" s="199"/>
      <c r="K2887" s="199"/>
      <c r="M2887" s="199"/>
      <c r="N2887" s="200"/>
      <c r="P2887" s="199"/>
    </row>
    <row r="2888" spans="7:16" x14ac:dyDescent="0.2">
      <c r="G2888" s="199"/>
      <c r="I2888" s="199"/>
      <c r="K2888" s="199"/>
      <c r="M2888" s="199"/>
      <c r="N2888" s="200"/>
      <c r="P2888" s="199"/>
    </row>
    <row r="2889" spans="7:16" x14ac:dyDescent="0.2">
      <c r="G2889" s="199"/>
      <c r="I2889" s="199"/>
      <c r="K2889" s="199"/>
      <c r="M2889" s="199"/>
      <c r="N2889" s="200"/>
      <c r="P2889" s="199"/>
    </row>
    <row r="2890" spans="7:16" x14ac:dyDescent="0.2">
      <c r="G2890" s="199"/>
      <c r="I2890" s="199"/>
      <c r="K2890" s="199"/>
      <c r="M2890" s="199"/>
      <c r="N2890" s="200"/>
      <c r="P2890" s="199"/>
    </row>
    <row r="2891" spans="7:16" x14ac:dyDescent="0.2">
      <c r="G2891" s="199"/>
      <c r="I2891" s="199"/>
      <c r="K2891" s="199"/>
      <c r="M2891" s="199"/>
      <c r="N2891" s="200"/>
      <c r="P2891" s="199"/>
    </row>
    <row r="2892" spans="7:16" x14ac:dyDescent="0.2">
      <c r="G2892" s="199"/>
      <c r="I2892" s="199"/>
      <c r="K2892" s="199"/>
      <c r="M2892" s="199"/>
      <c r="N2892" s="200"/>
      <c r="P2892" s="199"/>
    </row>
    <row r="2893" spans="7:16" x14ac:dyDescent="0.2">
      <c r="G2893" s="199"/>
      <c r="I2893" s="199"/>
      <c r="K2893" s="199"/>
      <c r="M2893" s="199"/>
      <c r="N2893" s="200"/>
      <c r="P2893" s="199"/>
    </row>
    <row r="2894" spans="7:16" x14ac:dyDescent="0.2">
      <c r="G2894" s="199"/>
      <c r="I2894" s="199"/>
      <c r="K2894" s="199"/>
      <c r="M2894" s="199"/>
      <c r="N2894" s="200"/>
      <c r="P2894" s="199"/>
    </row>
    <row r="2895" spans="7:16" x14ac:dyDescent="0.2">
      <c r="G2895" s="199"/>
      <c r="I2895" s="199"/>
      <c r="K2895" s="199"/>
      <c r="M2895" s="199"/>
      <c r="N2895" s="200"/>
      <c r="P2895" s="199"/>
    </row>
    <row r="2896" spans="7:16" x14ac:dyDescent="0.2">
      <c r="G2896" s="199"/>
      <c r="I2896" s="199"/>
      <c r="K2896" s="199"/>
      <c r="M2896" s="199"/>
      <c r="N2896" s="200"/>
      <c r="P2896" s="199"/>
    </row>
    <row r="2897" spans="7:16" x14ac:dyDescent="0.2">
      <c r="G2897" s="199"/>
      <c r="I2897" s="199"/>
      <c r="K2897" s="199"/>
      <c r="M2897" s="199"/>
      <c r="N2897" s="200"/>
      <c r="P2897" s="199"/>
    </row>
    <row r="2898" spans="7:16" x14ac:dyDescent="0.2">
      <c r="G2898" s="199"/>
      <c r="I2898" s="199"/>
      <c r="K2898" s="199"/>
      <c r="M2898" s="199"/>
      <c r="N2898" s="200"/>
      <c r="P2898" s="199"/>
    </row>
    <row r="2899" spans="7:16" x14ac:dyDescent="0.2">
      <c r="G2899" s="199"/>
      <c r="I2899" s="199"/>
      <c r="K2899" s="199"/>
      <c r="M2899" s="199"/>
      <c r="N2899" s="200"/>
      <c r="P2899" s="199"/>
    </row>
    <row r="2900" spans="7:16" x14ac:dyDescent="0.2">
      <c r="G2900" s="199"/>
      <c r="I2900" s="199"/>
      <c r="K2900" s="199"/>
      <c r="M2900" s="199"/>
      <c r="N2900" s="200"/>
      <c r="P2900" s="199"/>
    </row>
    <row r="2901" spans="7:16" x14ac:dyDescent="0.2">
      <c r="G2901" s="199"/>
      <c r="I2901" s="199"/>
      <c r="K2901" s="199"/>
      <c r="M2901" s="199"/>
      <c r="N2901" s="200"/>
      <c r="P2901" s="199"/>
    </row>
    <row r="2902" spans="7:16" x14ac:dyDescent="0.2">
      <c r="G2902" s="199"/>
      <c r="I2902" s="199"/>
      <c r="K2902" s="199"/>
      <c r="M2902" s="199"/>
      <c r="N2902" s="200"/>
      <c r="P2902" s="199"/>
    </row>
    <row r="2903" spans="7:16" x14ac:dyDescent="0.2">
      <c r="G2903" s="199"/>
      <c r="I2903" s="199"/>
      <c r="K2903" s="199"/>
      <c r="M2903" s="199"/>
      <c r="N2903" s="200"/>
      <c r="P2903" s="199"/>
    </row>
    <row r="2904" spans="7:16" x14ac:dyDescent="0.2">
      <c r="G2904" s="199"/>
      <c r="I2904" s="199"/>
      <c r="K2904" s="199"/>
      <c r="M2904" s="199"/>
      <c r="N2904" s="200"/>
      <c r="P2904" s="199"/>
    </row>
    <row r="2905" spans="7:16" x14ac:dyDescent="0.2">
      <c r="G2905" s="199"/>
      <c r="I2905" s="199"/>
      <c r="K2905" s="199"/>
      <c r="M2905" s="199"/>
      <c r="N2905" s="200"/>
      <c r="P2905" s="199"/>
    </row>
    <row r="2906" spans="7:16" x14ac:dyDescent="0.2">
      <c r="G2906" s="199"/>
      <c r="I2906" s="199"/>
      <c r="K2906" s="199"/>
      <c r="M2906" s="199"/>
      <c r="N2906" s="200"/>
      <c r="P2906" s="199"/>
    </row>
    <row r="2907" spans="7:16" x14ac:dyDescent="0.2">
      <c r="G2907" s="199"/>
      <c r="I2907" s="199"/>
      <c r="K2907" s="199"/>
      <c r="M2907" s="199"/>
      <c r="N2907" s="200"/>
      <c r="P2907" s="199"/>
    </row>
    <row r="2908" spans="7:16" x14ac:dyDescent="0.2">
      <c r="G2908" s="199"/>
      <c r="I2908" s="199"/>
      <c r="K2908" s="199"/>
      <c r="M2908" s="199"/>
      <c r="N2908" s="200"/>
      <c r="P2908" s="199"/>
    </row>
    <row r="2909" spans="7:16" x14ac:dyDescent="0.2">
      <c r="G2909" s="199"/>
      <c r="I2909" s="199"/>
      <c r="K2909" s="199"/>
      <c r="M2909" s="199"/>
      <c r="N2909" s="200"/>
      <c r="P2909" s="199"/>
    </row>
    <row r="2910" spans="7:16" x14ac:dyDescent="0.2">
      <c r="G2910" s="199"/>
      <c r="I2910" s="199"/>
      <c r="K2910" s="199"/>
      <c r="M2910" s="199"/>
      <c r="N2910" s="200"/>
      <c r="P2910" s="199"/>
    </row>
    <row r="2911" spans="7:16" x14ac:dyDescent="0.2">
      <c r="G2911" s="199"/>
      <c r="I2911" s="199"/>
      <c r="K2911" s="199"/>
      <c r="M2911" s="199"/>
      <c r="N2911" s="200"/>
      <c r="P2911" s="199"/>
    </row>
    <row r="2912" spans="7:16" x14ac:dyDescent="0.2">
      <c r="G2912" s="199"/>
      <c r="I2912" s="199"/>
      <c r="K2912" s="199"/>
      <c r="M2912" s="199"/>
      <c r="N2912" s="200"/>
      <c r="P2912" s="199"/>
    </row>
    <row r="2913" spans="7:16" x14ac:dyDescent="0.2">
      <c r="G2913" s="199"/>
      <c r="I2913" s="199"/>
      <c r="K2913" s="199"/>
      <c r="M2913" s="199"/>
      <c r="N2913" s="200"/>
      <c r="P2913" s="199"/>
    </row>
    <row r="2914" spans="7:16" x14ac:dyDescent="0.2">
      <c r="G2914" s="199"/>
      <c r="I2914" s="199"/>
      <c r="K2914" s="199"/>
      <c r="M2914" s="199"/>
      <c r="N2914" s="200"/>
      <c r="P2914" s="199"/>
    </row>
    <row r="2915" spans="7:16" x14ac:dyDescent="0.2">
      <c r="G2915" s="199"/>
      <c r="I2915" s="199"/>
      <c r="K2915" s="199"/>
      <c r="M2915" s="199"/>
      <c r="N2915" s="200"/>
      <c r="P2915" s="199"/>
    </row>
    <row r="2916" spans="7:16" x14ac:dyDescent="0.2">
      <c r="G2916" s="199"/>
      <c r="I2916" s="199"/>
      <c r="K2916" s="199"/>
      <c r="M2916" s="199"/>
      <c r="N2916" s="200"/>
      <c r="P2916" s="199"/>
    </row>
    <row r="2917" spans="7:16" x14ac:dyDescent="0.2">
      <c r="G2917" s="199"/>
      <c r="I2917" s="199"/>
      <c r="K2917" s="199"/>
      <c r="M2917" s="199"/>
      <c r="N2917" s="200"/>
      <c r="P2917" s="199"/>
    </row>
    <row r="2918" spans="7:16" x14ac:dyDescent="0.2">
      <c r="G2918" s="199"/>
      <c r="I2918" s="199"/>
      <c r="K2918" s="199"/>
      <c r="M2918" s="199"/>
      <c r="N2918" s="200"/>
      <c r="P2918" s="199"/>
    </row>
    <row r="2919" spans="7:16" x14ac:dyDescent="0.2">
      <c r="G2919" s="199"/>
      <c r="I2919" s="199"/>
      <c r="K2919" s="199"/>
      <c r="M2919" s="199"/>
      <c r="N2919" s="200"/>
      <c r="P2919" s="199"/>
    </row>
    <row r="2920" spans="7:16" x14ac:dyDescent="0.2">
      <c r="G2920" s="199"/>
      <c r="I2920" s="199"/>
      <c r="K2920" s="199"/>
      <c r="M2920" s="199"/>
      <c r="N2920" s="200"/>
      <c r="P2920" s="199"/>
    </row>
    <row r="2921" spans="7:16" x14ac:dyDescent="0.2">
      <c r="G2921" s="199"/>
      <c r="I2921" s="199"/>
      <c r="K2921" s="199"/>
      <c r="M2921" s="199"/>
      <c r="N2921" s="200"/>
      <c r="P2921" s="199"/>
    </row>
    <row r="2922" spans="7:16" x14ac:dyDescent="0.2">
      <c r="G2922" s="199"/>
      <c r="I2922" s="199"/>
      <c r="K2922" s="199"/>
      <c r="M2922" s="199"/>
      <c r="N2922" s="200"/>
      <c r="P2922" s="199"/>
    </row>
    <row r="2923" spans="7:16" x14ac:dyDescent="0.2">
      <c r="G2923" s="199"/>
      <c r="I2923" s="199"/>
      <c r="K2923" s="199"/>
      <c r="M2923" s="199"/>
      <c r="N2923" s="200"/>
      <c r="P2923" s="199"/>
    </row>
    <row r="2924" spans="7:16" x14ac:dyDescent="0.2">
      <c r="G2924" s="199"/>
      <c r="I2924" s="199"/>
      <c r="K2924" s="199"/>
      <c r="M2924" s="199"/>
      <c r="N2924" s="200"/>
      <c r="P2924" s="199"/>
    </row>
    <row r="2925" spans="7:16" x14ac:dyDescent="0.2">
      <c r="G2925" s="199"/>
      <c r="I2925" s="199"/>
      <c r="K2925" s="199"/>
      <c r="M2925" s="199"/>
      <c r="N2925" s="200"/>
      <c r="P2925" s="199"/>
    </row>
    <row r="2926" spans="7:16" x14ac:dyDescent="0.2">
      <c r="G2926" s="199"/>
      <c r="I2926" s="199"/>
      <c r="K2926" s="199"/>
      <c r="M2926" s="199"/>
      <c r="N2926" s="200"/>
      <c r="P2926" s="199"/>
    </row>
    <row r="2927" spans="7:16" x14ac:dyDescent="0.2">
      <c r="G2927" s="199"/>
      <c r="I2927" s="199"/>
      <c r="K2927" s="199"/>
      <c r="M2927" s="199"/>
      <c r="N2927" s="200"/>
      <c r="P2927" s="199"/>
    </row>
    <row r="2928" spans="7:16" x14ac:dyDescent="0.2">
      <c r="G2928" s="199"/>
      <c r="I2928" s="199"/>
      <c r="K2928" s="199"/>
      <c r="M2928" s="199"/>
      <c r="N2928" s="200"/>
      <c r="P2928" s="199"/>
    </row>
    <row r="2929" spans="7:16" x14ac:dyDescent="0.2">
      <c r="G2929" s="199"/>
      <c r="I2929" s="199"/>
      <c r="K2929" s="199"/>
      <c r="M2929" s="199"/>
      <c r="N2929" s="200"/>
      <c r="P2929" s="199"/>
    </row>
    <row r="2930" spans="7:16" x14ac:dyDescent="0.2">
      <c r="G2930" s="199"/>
      <c r="I2930" s="199"/>
      <c r="K2930" s="199"/>
      <c r="M2930" s="199"/>
      <c r="N2930" s="200"/>
      <c r="P2930" s="199"/>
    </row>
    <row r="2931" spans="7:16" x14ac:dyDescent="0.2">
      <c r="G2931" s="199"/>
      <c r="I2931" s="199"/>
      <c r="K2931" s="199"/>
      <c r="M2931" s="199"/>
      <c r="N2931" s="200"/>
      <c r="P2931" s="199"/>
    </row>
    <row r="2932" spans="7:16" x14ac:dyDescent="0.2">
      <c r="G2932" s="199"/>
      <c r="I2932" s="199"/>
      <c r="K2932" s="199"/>
      <c r="M2932" s="199"/>
      <c r="N2932" s="200"/>
      <c r="P2932" s="199"/>
    </row>
    <row r="2933" spans="7:16" x14ac:dyDescent="0.2">
      <c r="G2933" s="199"/>
      <c r="I2933" s="199"/>
      <c r="K2933" s="199"/>
      <c r="M2933" s="199"/>
      <c r="N2933" s="200"/>
      <c r="P2933" s="199"/>
    </row>
    <row r="2934" spans="7:16" x14ac:dyDescent="0.2">
      <c r="G2934" s="199"/>
      <c r="I2934" s="199"/>
      <c r="K2934" s="199"/>
      <c r="M2934" s="199"/>
      <c r="N2934" s="200"/>
      <c r="P2934" s="199"/>
    </row>
    <row r="2935" spans="7:16" x14ac:dyDescent="0.2">
      <c r="G2935" s="199"/>
      <c r="I2935" s="199"/>
      <c r="K2935" s="199"/>
      <c r="M2935" s="199"/>
      <c r="N2935" s="200"/>
      <c r="P2935" s="199"/>
    </row>
    <row r="2936" spans="7:16" x14ac:dyDescent="0.2">
      <c r="G2936" s="199"/>
      <c r="I2936" s="199"/>
      <c r="K2936" s="199"/>
      <c r="M2936" s="199"/>
      <c r="N2936" s="200"/>
      <c r="P2936" s="199"/>
    </row>
    <row r="2937" spans="7:16" x14ac:dyDescent="0.2">
      <c r="G2937" s="199"/>
      <c r="I2937" s="199"/>
      <c r="K2937" s="199"/>
      <c r="M2937" s="199"/>
      <c r="N2937" s="200"/>
      <c r="P2937" s="199"/>
    </row>
    <row r="2938" spans="7:16" x14ac:dyDescent="0.2">
      <c r="G2938" s="199"/>
      <c r="I2938" s="199"/>
      <c r="K2938" s="199"/>
      <c r="M2938" s="199"/>
      <c r="N2938" s="200"/>
      <c r="P2938" s="199"/>
    </row>
    <row r="2939" spans="7:16" x14ac:dyDescent="0.2">
      <c r="G2939" s="199"/>
      <c r="I2939" s="199"/>
      <c r="K2939" s="199"/>
      <c r="M2939" s="199"/>
      <c r="N2939" s="200"/>
      <c r="P2939" s="199"/>
    </row>
    <row r="2940" spans="7:16" x14ac:dyDescent="0.2">
      <c r="G2940" s="199"/>
      <c r="I2940" s="199"/>
      <c r="K2940" s="199"/>
      <c r="M2940" s="199"/>
      <c r="N2940" s="200"/>
      <c r="P2940" s="199"/>
    </row>
    <row r="2941" spans="7:16" x14ac:dyDescent="0.2">
      <c r="G2941" s="199"/>
      <c r="I2941" s="199"/>
      <c r="K2941" s="199"/>
      <c r="M2941" s="199"/>
      <c r="N2941" s="200"/>
      <c r="P2941" s="199"/>
    </row>
    <row r="2942" spans="7:16" x14ac:dyDescent="0.2">
      <c r="G2942" s="199"/>
      <c r="I2942" s="199"/>
      <c r="K2942" s="199"/>
      <c r="M2942" s="199"/>
      <c r="N2942" s="200"/>
      <c r="P2942" s="199"/>
    </row>
    <row r="2943" spans="7:16" x14ac:dyDescent="0.2">
      <c r="G2943" s="199"/>
      <c r="I2943" s="199"/>
      <c r="K2943" s="199"/>
      <c r="M2943" s="199"/>
      <c r="N2943" s="200"/>
      <c r="P2943" s="199"/>
    </row>
    <row r="2944" spans="7:16" x14ac:dyDescent="0.2">
      <c r="G2944" s="199"/>
      <c r="I2944" s="199"/>
      <c r="K2944" s="199"/>
      <c r="M2944" s="199"/>
      <c r="N2944" s="200"/>
      <c r="P2944" s="199"/>
    </row>
    <row r="2945" spans="7:16" x14ac:dyDescent="0.2">
      <c r="G2945" s="199"/>
      <c r="I2945" s="199"/>
      <c r="K2945" s="199"/>
      <c r="M2945" s="199"/>
      <c r="N2945" s="200"/>
      <c r="P2945" s="199"/>
    </row>
    <row r="2946" spans="7:16" x14ac:dyDescent="0.2">
      <c r="G2946" s="199"/>
      <c r="I2946" s="199"/>
      <c r="K2946" s="199"/>
      <c r="M2946" s="199"/>
      <c r="N2946" s="200"/>
      <c r="P2946" s="199"/>
    </row>
    <row r="2947" spans="7:16" x14ac:dyDescent="0.2">
      <c r="G2947" s="199"/>
      <c r="I2947" s="199"/>
      <c r="K2947" s="199"/>
      <c r="M2947" s="199"/>
      <c r="N2947" s="200"/>
      <c r="P2947" s="199"/>
    </row>
    <row r="2948" spans="7:16" x14ac:dyDescent="0.2">
      <c r="G2948" s="199"/>
      <c r="I2948" s="199"/>
      <c r="K2948" s="199"/>
      <c r="M2948" s="199"/>
      <c r="N2948" s="200"/>
      <c r="P2948" s="199"/>
    </row>
    <row r="2949" spans="7:16" x14ac:dyDescent="0.2">
      <c r="G2949" s="199"/>
      <c r="I2949" s="199"/>
      <c r="K2949" s="199"/>
      <c r="M2949" s="199"/>
      <c r="N2949" s="200"/>
      <c r="P2949" s="199"/>
    </row>
    <row r="2950" spans="7:16" x14ac:dyDescent="0.2">
      <c r="G2950" s="199"/>
      <c r="I2950" s="199"/>
      <c r="K2950" s="199"/>
      <c r="M2950" s="199"/>
      <c r="N2950" s="200"/>
      <c r="P2950" s="199"/>
    </row>
    <row r="2951" spans="7:16" x14ac:dyDescent="0.2">
      <c r="G2951" s="199"/>
      <c r="I2951" s="199"/>
      <c r="K2951" s="199"/>
      <c r="M2951" s="199"/>
      <c r="N2951" s="200"/>
      <c r="P2951" s="199"/>
    </row>
    <row r="2952" spans="7:16" x14ac:dyDescent="0.2">
      <c r="G2952" s="199"/>
      <c r="I2952" s="199"/>
      <c r="K2952" s="199"/>
      <c r="M2952" s="199"/>
      <c r="N2952" s="200"/>
      <c r="P2952" s="199"/>
    </row>
    <row r="2953" spans="7:16" x14ac:dyDescent="0.2">
      <c r="G2953" s="199"/>
      <c r="I2953" s="199"/>
      <c r="K2953" s="199"/>
      <c r="M2953" s="199"/>
      <c r="N2953" s="200"/>
      <c r="P2953" s="199"/>
    </row>
    <row r="2954" spans="7:16" x14ac:dyDescent="0.2">
      <c r="G2954" s="199"/>
      <c r="I2954" s="199"/>
      <c r="K2954" s="199"/>
      <c r="M2954" s="199"/>
      <c r="N2954" s="200"/>
      <c r="P2954" s="199"/>
    </row>
    <row r="2955" spans="7:16" x14ac:dyDescent="0.2">
      <c r="G2955" s="199"/>
      <c r="I2955" s="199"/>
      <c r="K2955" s="199"/>
      <c r="M2955" s="199"/>
      <c r="N2955" s="200"/>
      <c r="P2955" s="199"/>
    </row>
    <row r="2956" spans="7:16" x14ac:dyDescent="0.2">
      <c r="G2956" s="199"/>
      <c r="I2956" s="199"/>
      <c r="K2956" s="199"/>
      <c r="M2956" s="199"/>
      <c r="N2956" s="200"/>
      <c r="P2956" s="199"/>
    </row>
    <row r="2957" spans="7:16" x14ac:dyDescent="0.2">
      <c r="G2957" s="199"/>
      <c r="I2957" s="199"/>
      <c r="K2957" s="199"/>
      <c r="M2957" s="199"/>
      <c r="N2957" s="200"/>
      <c r="P2957" s="199"/>
    </row>
    <row r="2958" spans="7:16" x14ac:dyDescent="0.2">
      <c r="G2958" s="199"/>
      <c r="I2958" s="199"/>
      <c r="K2958" s="199"/>
      <c r="M2958" s="199"/>
      <c r="N2958" s="200"/>
      <c r="P2958" s="199"/>
    </row>
    <row r="2959" spans="7:16" x14ac:dyDescent="0.2">
      <c r="G2959" s="199"/>
      <c r="I2959" s="199"/>
      <c r="K2959" s="199"/>
      <c r="M2959" s="199"/>
      <c r="N2959" s="200"/>
      <c r="P2959" s="199"/>
    </row>
    <row r="2960" spans="7:16" x14ac:dyDescent="0.2">
      <c r="G2960" s="199"/>
      <c r="I2960" s="199"/>
      <c r="K2960" s="199"/>
      <c r="M2960" s="199"/>
      <c r="N2960" s="200"/>
      <c r="P2960" s="199"/>
    </row>
    <row r="2961" spans="7:16" x14ac:dyDescent="0.2">
      <c r="G2961" s="199"/>
      <c r="I2961" s="199"/>
      <c r="K2961" s="199"/>
      <c r="M2961" s="199"/>
      <c r="N2961" s="200"/>
      <c r="P2961" s="199"/>
    </row>
    <row r="2962" spans="7:16" x14ac:dyDescent="0.2">
      <c r="G2962" s="199"/>
      <c r="I2962" s="199"/>
      <c r="K2962" s="199"/>
      <c r="M2962" s="199"/>
      <c r="N2962" s="200"/>
      <c r="P2962" s="199"/>
    </row>
    <row r="2963" spans="7:16" x14ac:dyDescent="0.2">
      <c r="G2963" s="199"/>
      <c r="I2963" s="199"/>
      <c r="K2963" s="199"/>
      <c r="M2963" s="199"/>
      <c r="N2963" s="200"/>
      <c r="P2963" s="199"/>
    </row>
    <row r="2964" spans="7:16" x14ac:dyDescent="0.2">
      <c r="G2964" s="199"/>
      <c r="I2964" s="199"/>
      <c r="K2964" s="199"/>
      <c r="M2964" s="199"/>
      <c r="N2964" s="200"/>
      <c r="P2964" s="199"/>
    </row>
    <row r="2965" spans="7:16" x14ac:dyDescent="0.2">
      <c r="G2965" s="199"/>
      <c r="I2965" s="199"/>
      <c r="K2965" s="199"/>
      <c r="M2965" s="199"/>
      <c r="N2965" s="200"/>
      <c r="P2965" s="199"/>
    </row>
    <row r="2966" spans="7:16" x14ac:dyDescent="0.2">
      <c r="G2966" s="199"/>
      <c r="I2966" s="199"/>
      <c r="K2966" s="199"/>
      <c r="M2966" s="199"/>
      <c r="N2966" s="200"/>
      <c r="P2966" s="199"/>
    </row>
    <row r="2967" spans="7:16" x14ac:dyDescent="0.2">
      <c r="G2967" s="199"/>
      <c r="I2967" s="199"/>
      <c r="K2967" s="199"/>
      <c r="M2967" s="199"/>
      <c r="N2967" s="200"/>
      <c r="P2967" s="199"/>
    </row>
    <row r="2968" spans="7:16" x14ac:dyDescent="0.2">
      <c r="G2968" s="199"/>
      <c r="I2968" s="199"/>
      <c r="K2968" s="199"/>
      <c r="M2968" s="199"/>
      <c r="N2968" s="200"/>
      <c r="P2968" s="199"/>
    </row>
    <row r="2969" spans="7:16" x14ac:dyDescent="0.2">
      <c r="G2969" s="199"/>
      <c r="I2969" s="199"/>
      <c r="K2969" s="199"/>
      <c r="M2969" s="199"/>
      <c r="N2969" s="200"/>
      <c r="P2969" s="199"/>
    </row>
    <row r="2970" spans="7:16" x14ac:dyDescent="0.2">
      <c r="G2970" s="199"/>
      <c r="I2970" s="199"/>
      <c r="K2970" s="199"/>
      <c r="M2970" s="199"/>
      <c r="N2970" s="200"/>
      <c r="P2970" s="199"/>
    </row>
    <row r="2971" spans="7:16" x14ac:dyDescent="0.2">
      <c r="G2971" s="199"/>
      <c r="I2971" s="199"/>
      <c r="K2971" s="199"/>
      <c r="M2971" s="199"/>
      <c r="N2971" s="200"/>
      <c r="P2971" s="199"/>
    </row>
    <row r="2972" spans="7:16" x14ac:dyDescent="0.2">
      <c r="G2972" s="199"/>
      <c r="I2972" s="199"/>
      <c r="K2972" s="199"/>
      <c r="M2972" s="199"/>
      <c r="N2972" s="200"/>
      <c r="P2972" s="199"/>
    </row>
    <row r="2973" spans="7:16" x14ac:dyDescent="0.2">
      <c r="G2973" s="199"/>
      <c r="I2973" s="199"/>
      <c r="K2973" s="199"/>
      <c r="M2973" s="199"/>
      <c r="N2973" s="200"/>
      <c r="P2973" s="199"/>
    </row>
    <row r="2974" spans="7:16" x14ac:dyDescent="0.2">
      <c r="G2974" s="199"/>
      <c r="I2974" s="199"/>
      <c r="K2974" s="199"/>
      <c r="M2974" s="199"/>
      <c r="N2974" s="200"/>
      <c r="P2974" s="199"/>
    </row>
    <row r="2975" spans="7:16" x14ac:dyDescent="0.2">
      <c r="G2975" s="199"/>
      <c r="I2975" s="199"/>
      <c r="K2975" s="199"/>
      <c r="M2975" s="199"/>
      <c r="N2975" s="200"/>
      <c r="P2975" s="199"/>
    </row>
    <row r="2976" spans="7:16" x14ac:dyDescent="0.2">
      <c r="G2976" s="199"/>
      <c r="I2976" s="199"/>
      <c r="K2976" s="199"/>
      <c r="M2976" s="199"/>
      <c r="N2976" s="200"/>
      <c r="P2976" s="199"/>
    </row>
    <row r="2977" spans="7:16" x14ac:dyDescent="0.2">
      <c r="G2977" s="199"/>
      <c r="I2977" s="199"/>
      <c r="K2977" s="199"/>
      <c r="M2977" s="199"/>
      <c r="N2977" s="200"/>
      <c r="P2977" s="199"/>
    </row>
    <row r="2978" spans="7:16" x14ac:dyDescent="0.2">
      <c r="G2978" s="199"/>
      <c r="I2978" s="199"/>
      <c r="K2978" s="199"/>
      <c r="M2978" s="199"/>
      <c r="N2978" s="200"/>
      <c r="P2978" s="199"/>
    </row>
    <row r="2979" spans="7:16" x14ac:dyDescent="0.2">
      <c r="G2979" s="199"/>
      <c r="I2979" s="199"/>
      <c r="K2979" s="199"/>
      <c r="M2979" s="199"/>
      <c r="N2979" s="200"/>
      <c r="P2979" s="199"/>
    </row>
    <row r="2980" spans="7:16" x14ac:dyDescent="0.2">
      <c r="G2980" s="199"/>
      <c r="I2980" s="199"/>
      <c r="K2980" s="199"/>
      <c r="M2980" s="199"/>
      <c r="N2980" s="200"/>
      <c r="P2980" s="199"/>
    </row>
    <row r="2981" spans="7:16" x14ac:dyDescent="0.2">
      <c r="G2981" s="199"/>
      <c r="I2981" s="199"/>
      <c r="K2981" s="199"/>
      <c r="M2981" s="199"/>
      <c r="N2981" s="200"/>
      <c r="P2981" s="199"/>
    </row>
    <row r="2982" spans="7:16" x14ac:dyDescent="0.2">
      <c r="G2982" s="199"/>
      <c r="I2982" s="199"/>
      <c r="K2982" s="199"/>
      <c r="M2982" s="199"/>
      <c r="N2982" s="200"/>
      <c r="P2982" s="199"/>
    </row>
    <row r="2983" spans="7:16" x14ac:dyDescent="0.2">
      <c r="G2983" s="199"/>
      <c r="I2983" s="199"/>
      <c r="K2983" s="199"/>
      <c r="M2983" s="199"/>
      <c r="N2983" s="200"/>
      <c r="P2983" s="199"/>
    </row>
    <row r="2984" spans="7:16" x14ac:dyDescent="0.2">
      <c r="G2984" s="199"/>
      <c r="I2984" s="199"/>
      <c r="K2984" s="199"/>
      <c r="M2984" s="199"/>
      <c r="N2984" s="200"/>
      <c r="P2984" s="199"/>
    </row>
    <row r="2985" spans="7:16" x14ac:dyDescent="0.2">
      <c r="G2985" s="199"/>
      <c r="I2985" s="199"/>
      <c r="K2985" s="199"/>
      <c r="M2985" s="199"/>
      <c r="N2985" s="200"/>
      <c r="P2985" s="199"/>
    </row>
    <row r="2986" spans="7:16" x14ac:dyDescent="0.2">
      <c r="G2986" s="199"/>
      <c r="I2986" s="199"/>
      <c r="K2986" s="199"/>
      <c r="M2986" s="199"/>
      <c r="N2986" s="200"/>
      <c r="P2986" s="199"/>
    </row>
    <row r="2987" spans="7:16" x14ac:dyDescent="0.2">
      <c r="G2987" s="199"/>
      <c r="I2987" s="199"/>
      <c r="K2987" s="199"/>
      <c r="M2987" s="199"/>
      <c r="N2987" s="200"/>
      <c r="P2987" s="199"/>
    </row>
    <row r="2988" spans="7:16" x14ac:dyDescent="0.2">
      <c r="G2988" s="199"/>
      <c r="I2988" s="199"/>
      <c r="K2988" s="199"/>
      <c r="M2988" s="199"/>
      <c r="N2988" s="200"/>
      <c r="P2988" s="199"/>
    </row>
    <row r="2989" spans="7:16" x14ac:dyDescent="0.2">
      <c r="G2989" s="199"/>
      <c r="I2989" s="199"/>
      <c r="K2989" s="199"/>
      <c r="M2989" s="199"/>
      <c r="N2989" s="200"/>
      <c r="P2989" s="199"/>
    </row>
    <row r="2990" spans="7:16" x14ac:dyDescent="0.2">
      <c r="G2990" s="199"/>
      <c r="I2990" s="199"/>
      <c r="K2990" s="199"/>
      <c r="M2990" s="199"/>
      <c r="N2990" s="200"/>
      <c r="P2990" s="199"/>
    </row>
    <row r="2991" spans="7:16" x14ac:dyDescent="0.2">
      <c r="G2991" s="199"/>
      <c r="I2991" s="199"/>
      <c r="K2991" s="199"/>
      <c r="M2991" s="199"/>
      <c r="N2991" s="200"/>
      <c r="P2991" s="199"/>
    </row>
    <row r="2992" spans="7:16" x14ac:dyDescent="0.2">
      <c r="G2992" s="199"/>
      <c r="I2992" s="199"/>
      <c r="K2992" s="199"/>
      <c r="M2992" s="199"/>
      <c r="N2992" s="200"/>
      <c r="P2992" s="199"/>
    </row>
    <row r="2993" spans="7:16" x14ac:dyDescent="0.2">
      <c r="G2993" s="199"/>
      <c r="I2993" s="199"/>
      <c r="K2993" s="199"/>
      <c r="M2993" s="199"/>
      <c r="N2993" s="200"/>
      <c r="P2993" s="199"/>
    </row>
    <row r="2994" spans="7:16" x14ac:dyDescent="0.2">
      <c r="G2994" s="199"/>
      <c r="I2994" s="199"/>
      <c r="K2994" s="199"/>
      <c r="M2994" s="199"/>
      <c r="N2994" s="200"/>
      <c r="P2994" s="199"/>
    </row>
    <row r="2995" spans="7:16" x14ac:dyDescent="0.2">
      <c r="G2995" s="199"/>
      <c r="I2995" s="199"/>
      <c r="K2995" s="199"/>
      <c r="M2995" s="199"/>
      <c r="N2995" s="200"/>
      <c r="P2995" s="199"/>
    </row>
    <row r="2996" spans="7:16" x14ac:dyDescent="0.2">
      <c r="G2996" s="199"/>
      <c r="I2996" s="199"/>
      <c r="K2996" s="199"/>
      <c r="M2996" s="199"/>
      <c r="N2996" s="200"/>
      <c r="P2996" s="199"/>
    </row>
    <row r="2997" spans="7:16" x14ac:dyDescent="0.2">
      <c r="G2997" s="199"/>
      <c r="I2997" s="199"/>
      <c r="K2997" s="199"/>
      <c r="M2997" s="199"/>
      <c r="N2997" s="200"/>
      <c r="P2997" s="199"/>
    </row>
    <row r="2998" spans="7:16" x14ac:dyDescent="0.2">
      <c r="G2998" s="199"/>
      <c r="I2998" s="199"/>
      <c r="K2998" s="199"/>
      <c r="M2998" s="199"/>
      <c r="N2998" s="200"/>
      <c r="P2998" s="199"/>
    </row>
    <row r="2999" spans="7:16" x14ac:dyDescent="0.2">
      <c r="G2999" s="199"/>
      <c r="I2999" s="199"/>
      <c r="K2999" s="199"/>
      <c r="M2999" s="199"/>
      <c r="N2999" s="200"/>
      <c r="P2999" s="199"/>
    </row>
    <row r="3000" spans="7:16" x14ac:dyDescent="0.2">
      <c r="G3000" s="199"/>
      <c r="I3000" s="199"/>
      <c r="K3000" s="199"/>
      <c r="M3000" s="199"/>
      <c r="N3000" s="200"/>
      <c r="P3000" s="199"/>
    </row>
    <row r="3001" spans="7:16" x14ac:dyDescent="0.2">
      <c r="G3001" s="199"/>
      <c r="I3001" s="199"/>
      <c r="K3001" s="199"/>
      <c r="M3001" s="199"/>
      <c r="N3001" s="200"/>
      <c r="P3001" s="199"/>
    </row>
    <row r="3002" spans="7:16" x14ac:dyDescent="0.2">
      <c r="G3002" s="199"/>
      <c r="I3002" s="199"/>
      <c r="K3002" s="199"/>
      <c r="M3002" s="199"/>
      <c r="N3002" s="200"/>
      <c r="P3002" s="199"/>
    </row>
    <row r="3003" spans="7:16" x14ac:dyDescent="0.2">
      <c r="G3003" s="199"/>
      <c r="I3003" s="199"/>
      <c r="K3003" s="199"/>
      <c r="M3003" s="199"/>
      <c r="N3003" s="200"/>
      <c r="P3003" s="199"/>
    </row>
    <row r="3004" spans="7:16" x14ac:dyDescent="0.2">
      <c r="G3004" s="199"/>
      <c r="I3004" s="199"/>
      <c r="K3004" s="199"/>
      <c r="M3004" s="199"/>
      <c r="N3004" s="200"/>
      <c r="P3004" s="199"/>
    </row>
    <row r="3005" spans="7:16" x14ac:dyDescent="0.2">
      <c r="G3005" s="199"/>
      <c r="I3005" s="199"/>
      <c r="K3005" s="199"/>
      <c r="M3005" s="199"/>
      <c r="N3005" s="200"/>
      <c r="P3005" s="199"/>
    </row>
    <row r="3006" spans="7:16" x14ac:dyDescent="0.2">
      <c r="G3006" s="199"/>
      <c r="I3006" s="199"/>
      <c r="K3006" s="199"/>
      <c r="M3006" s="199"/>
      <c r="N3006" s="200"/>
      <c r="P3006" s="199"/>
    </row>
    <row r="3007" spans="7:16" x14ac:dyDescent="0.2">
      <c r="G3007" s="199"/>
      <c r="I3007" s="199"/>
      <c r="K3007" s="199"/>
      <c r="M3007" s="199"/>
      <c r="N3007" s="200"/>
      <c r="P3007" s="199"/>
    </row>
    <row r="3008" spans="7:16" x14ac:dyDescent="0.2">
      <c r="G3008" s="199"/>
      <c r="I3008" s="199"/>
      <c r="K3008" s="199"/>
      <c r="M3008" s="199"/>
      <c r="N3008" s="200"/>
      <c r="P3008" s="199"/>
    </row>
    <row r="3009" spans="7:16" x14ac:dyDescent="0.2">
      <c r="G3009" s="199"/>
      <c r="I3009" s="199"/>
      <c r="K3009" s="199"/>
      <c r="M3009" s="199"/>
      <c r="N3009" s="200"/>
      <c r="P3009" s="199"/>
    </row>
    <row r="3010" spans="7:16" x14ac:dyDescent="0.2">
      <c r="G3010" s="199"/>
      <c r="I3010" s="199"/>
      <c r="K3010" s="199"/>
      <c r="M3010" s="199"/>
      <c r="N3010" s="200"/>
      <c r="P3010" s="199"/>
    </row>
    <row r="3011" spans="7:16" x14ac:dyDescent="0.2">
      <c r="G3011" s="199"/>
      <c r="I3011" s="199"/>
      <c r="K3011" s="199"/>
      <c r="M3011" s="199"/>
      <c r="N3011" s="200"/>
      <c r="P3011" s="199"/>
    </row>
    <row r="3012" spans="7:16" x14ac:dyDescent="0.2">
      <c r="G3012" s="199"/>
      <c r="I3012" s="199"/>
      <c r="K3012" s="199"/>
      <c r="M3012" s="199"/>
      <c r="N3012" s="200"/>
      <c r="P3012" s="199"/>
    </row>
    <row r="3013" spans="7:16" x14ac:dyDescent="0.2">
      <c r="G3013" s="199"/>
      <c r="I3013" s="199"/>
      <c r="K3013" s="199"/>
      <c r="M3013" s="199"/>
      <c r="N3013" s="200"/>
      <c r="P3013" s="199"/>
    </row>
    <row r="3014" spans="7:16" x14ac:dyDescent="0.2">
      <c r="G3014" s="199"/>
      <c r="I3014" s="199"/>
      <c r="K3014" s="199"/>
      <c r="M3014" s="199"/>
      <c r="N3014" s="200"/>
      <c r="P3014" s="199"/>
    </row>
    <row r="3015" spans="7:16" x14ac:dyDescent="0.2">
      <c r="G3015" s="199"/>
      <c r="I3015" s="199"/>
      <c r="K3015" s="199"/>
      <c r="M3015" s="199"/>
      <c r="N3015" s="200"/>
      <c r="P3015" s="199"/>
    </row>
    <row r="3016" spans="7:16" x14ac:dyDescent="0.2">
      <c r="G3016" s="199"/>
      <c r="I3016" s="199"/>
      <c r="K3016" s="199"/>
      <c r="M3016" s="199"/>
      <c r="N3016" s="200"/>
      <c r="P3016" s="199"/>
    </row>
    <row r="3017" spans="7:16" x14ac:dyDescent="0.2">
      <c r="G3017" s="199"/>
      <c r="I3017" s="199"/>
      <c r="K3017" s="199"/>
      <c r="M3017" s="199"/>
      <c r="N3017" s="200"/>
      <c r="P3017" s="199"/>
    </row>
    <row r="3018" spans="7:16" x14ac:dyDescent="0.2">
      <c r="G3018" s="199"/>
      <c r="I3018" s="199"/>
      <c r="K3018" s="199"/>
      <c r="M3018" s="199"/>
      <c r="N3018" s="200"/>
      <c r="P3018" s="199"/>
    </row>
    <row r="3019" spans="7:16" x14ac:dyDescent="0.2">
      <c r="G3019" s="199"/>
      <c r="I3019" s="199"/>
      <c r="K3019" s="199"/>
      <c r="M3019" s="199"/>
      <c r="N3019" s="200"/>
      <c r="P3019" s="199"/>
    </row>
    <row r="3020" spans="7:16" x14ac:dyDescent="0.2">
      <c r="G3020" s="199"/>
      <c r="I3020" s="199"/>
      <c r="K3020" s="199"/>
      <c r="M3020" s="199"/>
      <c r="N3020" s="200"/>
      <c r="P3020" s="199"/>
    </row>
    <row r="3021" spans="7:16" x14ac:dyDescent="0.2">
      <c r="G3021" s="199"/>
      <c r="I3021" s="199"/>
      <c r="K3021" s="199"/>
      <c r="M3021" s="199"/>
      <c r="N3021" s="200"/>
      <c r="P3021" s="199"/>
    </row>
    <row r="3022" spans="7:16" x14ac:dyDescent="0.2">
      <c r="G3022" s="199"/>
      <c r="I3022" s="199"/>
      <c r="K3022" s="199"/>
      <c r="M3022" s="199"/>
      <c r="N3022" s="200"/>
      <c r="P3022" s="199"/>
    </row>
    <row r="3023" spans="7:16" x14ac:dyDescent="0.2">
      <c r="G3023" s="199"/>
      <c r="I3023" s="199"/>
      <c r="K3023" s="199"/>
      <c r="M3023" s="199"/>
      <c r="N3023" s="200"/>
      <c r="P3023" s="199"/>
    </row>
    <row r="3024" spans="7:16" x14ac:dyDescent="0.2">
      <c r="G3024" s="199"/>
      <c r="I3024" s="199"/>
      <c r="K3024" s="199"/>
      <c r="M3024" s="199"/>
      <c r="N3024" s="200"/>
      <c r="P3024" s="199"/>
    </row>
    <row r="3025" spans="7:16" x14ac:dyDescent="0.2">
      <c r="G3025" s="199"/>
      <c r="I3025" s="199"/>
      <c r="K3025" s="199"/>
      <c r="M3025" s="199"/>
      <c r="N3025" s="200"/>
      <c r="P3025" s="199"/>
    </row>
    <row r="3026" spans="7:16" x14ac:dyDescent="0.2">
      <c r="G3026" s="199"/>
      <c r="I3026" s="199"/>
      <c r="K3026" s="199"/>
      <c r="M3026" s="199"/>
      <c r="N3026" s="200"/>
      <c r="P3026" s="199"/>
    </row>
    <row r="3027" spans="7:16" x14ac:dyDescent="0.2">
      <c r="G3027" s="199"/>
      <c r="I3027" s="199"/>
      <c r="K3027" s="199"/>
      <c r="M3027" s="199"/>
      <c r="N3027" s="200"/>
      <c r="P3027" s="199"/>
    </row>
    <row r="3028" spans="7:16" x14ac:dyDescent="0.2">
      <c r="G3028" s="199"/>
      <c r="I3028" s="199"/>
      <c r="K3028" s="199"/>
      <c r="M3028" s="199"/>
      <c r="N3028" s="200"/>
      <c r="P3028" s="199"/>
    </row>
    <row r="3029" spans="7:16" x14ac:dyDescent="0.2">
      <c r="G3029" s="199"/>
      <c r="I3029" s="199"/>
      <c r="K3029" s="199"/>
      <c r="M3029" s="199"/>
      <c r="N3029" s="200"/>
      <c r="P3029" s="199"/>
    </row>
    <row r="3030" spans="7:16" x14ac:dyDescent="0.2">
      <c r="G3030" s="199"/>
      <c r="I3030" s="199"/>
      <c r="K3030" s="199"/>
      <c r="M3030" s="199"/>
      <c r="N3030" s="200"/>
      <c r="P3030" s="199"/>
    </row>
    <row r="3031" spans="7:16" x14ac:dyDescent="0.2">
      <c r="G3031" s="199"/>
      <c r="I3031" s="199"/>
      <c r="K3031" s="199"/>
      <c r="M3031" s="199"/>
      <c r="N3031" s="200"/>
      <c r="P3031" s="199"/>
    </row>
    <row r="3032" spans="7:16" x14ac:dyDescent="0.2">
      <c r="G3032" s="199"/>
      <c r="I3032" s="199"/>
      <c r="K3032" s="199"/>
      <c r="M3032" s="199"/>
      <c r="N3032" s="200"/>
      <c r="P3032" s="199"/>
    </row>
    <row r="3033" spans="7:16" x14ac:dyDescent="0.2">
      <c r="G3033" s="199"/>
      <c r="I3033" s="199"/>
      <c r="K3033" s="199"/>
      <c r="M3033" s="199"/>
      <c r="N3033" s="200"/>
      <c r="P3033" s="199"/>
    </row>
    <row r="3034" spans="7:16" x14ac:dyDescent="0.2">
      <c r="G3034" s="199"/>
      <c r="I3034" s="199"/>
      <c r="K3034" s="199"/>
      <c r="M3034" s="199"/>
      <c r="N3034" s="200"/>
      <c r="P3034" s="199"/>
    </row>
    <row r="3035" spans="7:16" x14ac:dyDescent="0.2">
      <c r="G3035" s="199"/>
      <c r="I3035" s="199"/>
      <c r="K3035" s="199"/>
      <c r="M3035" s="199"/>
      <c r="N3035" s="200"/>
      <c r="P3035" s="199"/>
    </row>
    <row r="3036" spans="7:16" x14ac:dyDescent="0.2">
      <c r="G3036" s="199"/>
      <c r="I3036" s="199"/>
      <c r="K3036" s="199"/>
      <c r="M3036" s="199"/>
      <c r="N3036" s="200"/>
      <c r="P3036" s="199"/>
    </row>
    <row r="3037" spans="7:16" x14ac:dyDescent="0.2">
      <c r="G3037" s="199"/>
      <c r="I3037" s="199"/>
      <c r="K3037" s="199"/>
      <c r="M3037" s="199"/>
      <c r="N3037" s="200"/>
      <c r="P3037" s="199"/>
    </row>
    <row r="3038" spans="7:16" x14ac:dyDescent="0.2">
      <c r="G3038" s="199"/>
      <c r="I3038" s="199"/>
      <c r="K3038" s="199"/>
      <c r="M3038" s="199"/>
      <c r="N3038" s="200"/>
      <c r="P3038" s="199"/>
    </row>
    <row r="3039" spans="7:16" x14ac:dyDescent="0.2">
      <c r="G3039" s="199"/>
      <c r="I3039" s="199"/>
      <c r="K3039" s="199"/>
      <c r="M3039" s="199"/>
      <c r="N3039" s="200"/>
      <c r="P3039" s="199"/>
    </row>
    <row r="3040" spans="7:16" x14ac:dyDescent="0.2">
      <c r="G3040" s="199"/>
      <c r="I3040" s="199"/>
      <c r="K3040" s="199"/>
      <c r="M3040" s="199"/>
      <c r="N3040" s="200"/>
      <c r="P3040" s="199"/>
    </row>
    <row r="3041" spans="7:16" x14ac:dyDescent="0.2">
      <c r="G3041" s="199"/>
      <c r="I3041" s="199"/>
      <c r="K3041" s="199"/>
      <c r="M3041" s="199"/>
      <c r="N3041" s="200"/>
      <c r="P3041" s="199"/>
    </row>
    <row r="3042" spans="7:16" x14ac:dyDescent="0.2">
      <c r="G3042" s="199"/>
      <c r="I3042" s="199"/>
      <c r="K3042" s="199"/>
      <c r="M3042" s="199"/>
      <c r="N3042" s="200"/>
      <c r="P3042" s="199"/>
    </row>
    <row r="3043" spans="7:16" x14ac:dyDescent="0.2">
      <c r="G3043" s="199"/>
      <c r="I3043" s="199"/>
      <c r="K3043" s="199"/>
      <c r="M3043" s="199"/>
      <c r="N3043" s="200"/>
      <c r="P3043" s="199"/>
    </row>
    <row r="3044" spans="7:16" x14ac:dyDescent="0.2">
      <c r="G3044" s="199"/>
      <c r="I3044" s="199"/>
      <c r="K3044" s="199"/>
      <c r="M3044" s="199"/>
      <c r="N3044" s="200"/>
      <c r="P3044" s="199"/>
    </row>
    <row r="3045" spans="7:16" x14ac:dyDescent="0.2">
      <c r="G3045" s="199"/>
      <c r="I3045" s="199"/>
      <c r="K3045" s="199"/>
      <c r="M3045" s="199"/>
      <c r="N3045" s="200"/>
      <c r="P3045" s="199"/>
    </row>
    <row r="3046" spans="7:16" x14ac:dyDescent="0.2">
      <c r="G3046" s="199"/>
      <c r="I3046" s="199"/>
      <c r="K3046" s="199"/>
      <c r="M3046" s="199"/>
      <c r="N3046" s="200"/>
      <c r="P3046" s="199"/>
    </row>
    <row r="3047" spans="7:16" x14ac:dyDescent="0.2">
      <c r="G3047" s="199"/>
      <c r="I3047" s="199"/>
      <c r="K3047" s="199"/>
      <c r="M3047" s="199"/>
      <c r="N3047" s="200"/>
      <c r="P3047" s="199"/>
    </row>
    <row r="3048" spans="7:16" x14ac:dyDescent="0.2">
      <c r="G3048" s="199"/>
      <c r="I3048" s="199"/>
      <c r="K3048" s="199"/>
      <c r="M3048" s="199"/>
      <c r="N3048" s="200"/>
      <c r="P3048" s="199"/>
    </row>
    <row r="3049" spans="7:16" x14ac:dyDescent="0.2">
      <c r="G3049" s="199"/>
      <c r="I3049" s="199"/>
      <c r="K3049" s="199"/>
      <c r="M3049" s="199"/>
      <c r="N3049" s="200"/>
      <c r="P3049" s="199"/>
    </row>
    <row r="3050" spans="7:16" x14ac:dyDescent="0.2">
      <c r="G3050" s="199"/>
      <c r="I3050" s="199"/>
      <c r="K3050" s="199"/>
      <c r="M3050" s="199"/>
      <c r="N3050" s="200"/>
      <c r="P3050" s="199"/>
    </row>
    <row r="3051" spans="7:16" x14ac:dyDescent="0.2">
      <c r="G3051" s="199"/>
      <c r="I3051" s="199"/>
      <c r="K3051" s="199"/>
      <c r="M3051" s="199"/>
      <c r="N3051" s="200"/>
      <c r="P3051" s="199"/>
    </row>
    <row r="3052" spans="7:16" x14ac:dyDescent="0.2">
      <c r="G3052" s="199"/>
      <c r="I3052" s="199"/>
      <c r="K3052" s="199"/>
      <c r="M3052" s="199"/>
      <c r="N3052" s="200"/>
      <c r="P3052" s="199"/>
    </row>
    <row r="3053" spans="7:16" x14ac:dyDescent="0.2">
      <c r="G3053" s="199"/>
      <c r="I3053" s="199"/>
      <c r="K3053" s="199"/>
      <c r="M3053" s="199"/>
      <c r="N3053" s="200"/>
      <c r="P3053" s="199"/>
    </row>
    <row r="3054" spans="7:16" x14ac:dyDescent="0.2">
      <c r="G3054" s="199"/>
      <c r="I3054" s="199"/>
      <c r="K3054" s="199"/>
      <c r="M3054" s="199"/>
      <c r="N3054" s="200"/>
      <c r="P3054" s="199"/>
    </row>
    <row r="3055" spans="7:16" x14ac:dyDescent="0.2">
      <c r="G3055" s="199"/>
      <c r="I3055" s="199"/>
      <c r="K3055" s="199"/>
      <c r="M3055" s="199"/>
      <c r="N3055" s="200"/>
      <c r="P3055" s="199"/>
    </row>
    <row r="3056" spans="7:16" x14ac:dyDescent="0.2">
      <c r="G3056" s="199"/>
      <c r="I3056" s="199"/>
      <c r="K3056" s="199"/>
      <c r="M3056" s="199"/>
      <c r="N3056" s="200"/>
      <c r="P3056" s="199"/>
    </row>
    <row r="3057" spans="7:16" x14ac:dyDescent="0.2">
      <c r="G3057" s="199"/>
      <c r="I3057" s="199"/>
      <c r="K3057" s="199"/>
      <c r="M3057" s="199"/>
      <c r="N3057" s="200"/>
      <c r="P3057" s="199"/>
    </row>
    <row r="3058" spans="7:16" x14ac:dyDescent="0.2">
      <c r="G3058" s="199"/>
      <c r="I3058" s="199"/>
      <c r="K3058" s="199"/>
      <c r="M3058" s="199"/>
      <c r="N3058" s="200"/>
      <c r="P3058" s="199"/>
    </row>
    <row r="3059" spans="7:16" x14ac:dyDescent="0.2">
      <c r="G3059" s="199"/>
      <c r="I3059" s="199"/>
      <c r="K3059" s="199"/>
      <c r="M3059" s="199"/>
      <c r="N3059" s="200"/>
      <c r="P3059" s="199"/>
    </row>
    <row r="3060" spans="7:16" x14ac:dyDescent="0.2">
      <c r="G3060" s="199"/>
      <c r="I3060" s="199"/>
      <c r="K3060" s="199"/>
      <c r="M3060" s="199"/>
      <c r="N3060" s="200"/>
      <c r="P3060" s="199"/>
    </row>
    <row r="3061" spans="7:16" x14ac:dyDescent="0.2">
      <c r="G3061" s="199"/>
      <c r="I3061" s="199"/>
      <c r="K3061" s="199"/>
      <c r="M3061" s="199"/>
      <c r="N3061" s="200"/>
      <c r="P3061" s="199"/>
    </row>
    <row r="3062" spans="7:16" x14ac:dyDescent="0.2">
      <c r="G3062" s="199"/>
      <c r="I3062" s="199"/>
      <c r="K3062" s="199"/>
      <c r="M3062" s="199"/>
      <c r="N3062" s="200"/>
      <c r="P3062" s="199"/>
    </row>
    <row r="3063" spans="7:16" x14ac:dyDescent="0.2">
      <c r="G3063" s="199"/>
      <c r="I3063" s="199"/>
      <c r="K3063" s="199"/>
      <c r="M3063" s="199"/>
      <c r="N3063" s="200"/>
      <c r="P3063" s="199"/>
    </row>
    <row r="3064" spans="7:16" x14ac:dyDescent="0.2">
      <c r="G3064" s="199"/>
      <c r="I3064" s="199"/>
      <c r="K3064" s="199"/>
      <c r="M3064" s="199"/>
      <c r="N3064" s="200"/>
      <c r="P3064" s="199"/>
    </row>
    <row r="3065" spans="7:16" x14ac:dyDescent="0.2">
      <c r="G3065" s="199"/>
      <c r="I3065" s="199"/>
      <c r="K3065" s="199"/>
      <c r="M3065" s="199"/>
      <c r="N3065" s="200"/>
      <c r="P3065" s="199"/>
    </row>
    <row r="3066" spans="7:16" x14ac:dyDescent="0.2">
      <c r="G3066" s="199"/>
      <c r="I3066" s="199"/>
      <c r="K3066" s="199"/>
      <c r="M3066" s="199"/>
      <c r="N3066" s="200"/>
      <c r="P3066" s="199"/>
    </row>
    <row r="3067" spans="7:16" x14ac:dyDescent="0.2">
      <c r="G3067" s="199"/>
      <c r="I3067" s="199"/>
      <c r="K3067" s="199"/>
      <c r="M3067" s="199"/>
      <c r="N3067" s="200"/>
      <c r="P3067" s="199"/>
    </row>
    <row r="3068" spans="7:16" x14ac:dyDescent="0.2">
      <c r="G3068" s="199"/>
      <c r="I3068" s="199"/>
      <c r="K3068" s="199"/>
      <c r="M3068" s="199"/>
      <c r="N3068" s="200"/>
      <c r="P3068" s="199"/>
    </row>
    <row r="3069" spans="7:16" x14ac:dyDescent="0.2">
      <c r="G3069" s="199"/>
      <c r="I3069" s="199"/>
      <c r="K3069" s="199"/>
      <c r="M3069" s="199"/>
      <c r="N3069" s="200"/>
      <c r="P3069" s="199"/>
    </row>
    <row r="3070" spans="7:16" x14ac:dyDescent="0.2">
      <c r="G3070" s="199"/>
      <c r="I3070" s="199"/>
      <c r="K3070" s="199"/>
      <c r="M3070" s="199"/>
      <c r="N3070" s="200"/>
      <c r="P3070" s="199"/>
    </row>
    <row r="3071" spans="7:16" x14ac:dyDescent="0.2">
      <c r="G3071" s="199"/>
      <c r="I3071" s="199"/>
      <c r="K3071" s="199"/>
      <c r="M3071" s="199"/>
      <c r="N3071" s="200"/>
      <c r="P3071" s="199"/>
    </row>
    <row r="3072" spans="7:16" x14ac:dyDescent="0.2">
      <c r="G3072" s="199"/>
      <c r="I3072" s="199"/>
      <c r="K3072" s="199"/>
      <c r="M3072" s="199"/>
      <c r="N3072" s="200"/>
      <c r="P3072" s="199"/>
    </row>
    <row r="3073" spans="7:16" x14ac:dyDescent="0.2">
      <c r="G3073" s="199"/>
      <c r="I3073" s="199"/>
      <c r="K3073" s="199"/>
      <c r="M3073" s="199"/>
      <c r="N3073" s="200"/>
      <c r="P3073" s="199"/>
    </row>
    <row r="3074" spans="7:16" x14ac:dyDescent="0.2">
      <c r="G3074" s="199"/>
      <c r="I3074" s="199"/>
      <c r="K3074" s="199"/>
      <c r="M3074" s="199"/>
      <c r="N3074" s="200"/>
      <c r="P3074" s="199"/>
    </row>
    <row r="3075" spans="7:16" x14ac:dyDescent="0.2">
      <c r="G3075" s="199"/>
      <c r="I3075" s="199"/>
      <c r="K3075" s="199"/>
      <c r="M3075" s="199"/>
      <c r="N3075" s="200"/>
      <c r="P3075" s="199"/>
    </row>
    <row r="3076" spans="7:16" x14ac:dyDescent="0.2">
      <c r="G3076" s="199"/>
      <c r="I3076" s="199"/>
      <c r="K3076" s="199"/>
      <c r="M3076" s="199"/>
      <c r="N3076" s="200"/>
      <c r="P3076" s="199"/>
    </row>
    <row r="3077" spans="7:16" x14ac:dyDescent="0.2">
      <c r="G3077" s="199"/>
      <c r="I3077" s="199"/>
      <c r="K3077" s="199"/>
      <c r="M3077" s="199"/>
      <c r="N3077" s="200"/>
      <c r="P3077" s="199"/>
    </row>
    <row r="3078" spans="7:16" x14ac:dyDescent="0.2">
      <c r="G3078" s="199"/>
      <c r="I3078" s="199"/>
      <c r="K3078" s="199"/>
      <c r="M3078" s="199"/>
      <c r="N3078" s="200"/>
      <c r="P3078" s="199"/>
    </row>
    <row r="3079" spans="7:16" x14ac:dyDescent="0.2">
      <c r="G3079" s="199"/>
      <c r="I3079" s="199"/>
      <c r="K3079" s="199"/>
      <c r="M3079" s="199"/>
      <c r="N3079" s="200"/>
      <c r="P3079" s="199"/>
    </row>
    <row r="3080" spans="7:16" x14ac:dyDescent="0.2">
      <c r="G3080" s="199"/>
      <c r="I3080" s="199"/>
      <c r="K3080" s="199"/>
      <c r="M3080" s="199"/>
      <c r="N3080" s="200"/>
      <c r="P3080" s="199"/>
    </row>
    <row r="3081" spans="7:16" x14ac:dyDescent="0.2">
      <c r="G3081" s="199"/>
      <c r="I3081" s="199"/>
      <c r="K3081" s="199"/>
      <c r="M3081" s="199"/>
      <c r="N3081" s="200"/>
      <c r="P3081" s="199"/>
    </row>
    <row r="3082" spans="7:16" x14ac:dyDescent="0.2">
      <c r="G3082" s="199"/>
      <c r="I3082" s="199"/>
      <c r="K3082" s="199"/>
      <c r="M3082" s="199"/>
      <c r="N3082" s="200"/>
      <c r="P3082" s="199"/>
    </row>
    <row r="3083" spans="7:16" x14ac:dyDescent="0.2">
      <c r="G3083" s="199"/>
      <c r="I3083" s="199"/>
      <c r="K3083" s="199"/>
      <c r="M3083" s="199"/>
      <c r="N3083" s="200"/>
      <c r="P3083" s="199"/>
    </row>
    <row r="3084" spans="7:16" x14ac:dyDescent="0.2">
      <c r="G3084" s="199"/>
      <c r="I3084" s="199"/>
      <c r="K3084" s="199"/>
      <c r="M3084" s="199"/>
      <c r="N3084" s="200"/>
      <c r="P3084" s="199"/>
    </row>
    <row r="3085" spans="7:16" x14ac:dyDescent="0.2">
      <c r="G3085" s="199"/>
      <c r="I3085" s="199"/>
      <c r="K3085" s="199"/>
      <c r="M3085" s="199"/>
      <c r="N3085" s="200"/>
      <c r="P3085" s="199"/>
    </row>
    <row r="3086" spans="7:16" x14ac:dyDescent="0.2">
      <c r="G3086" s="199"/>
      <c r="I3086" s="199"/>
      <c r="K3086" s="199"/>
      <c r="M3086" s="199"/>
      <c r="N3086" s="200"/>
      <c r="P3086" s="199"/>
    </row>
    <row r="3087" spans="7:16" x14ac:dyDescent="0.2">
      <c r="G3087" s="199"/>
      <c r="I3087" s="199"/>
      <c r="K3087" s="199"/>
      <c r="M3087" s="199"/>
      <c r="N3087" s="200"/>
      <c r="P3087" s="199"/>
    </row>
    <row r="3088" spans="7:16" x14ac:dyDescent="0.2">
      <c r="G3088" s="199"/>
      <c r="I3088" s="199"/>
      <c r="K3088" s="199"/>
      <c r="M3088" s="199"/>
      <c r="N3088" s="200"/>
      <c r="P3088" s="199"/>
    </row>
    <row r="3089" spans="7:16" x14ac:dyDescent="0.2">
      <c r="G3089" s="199"/>
      <c r="I3089" s="199"/>
      <c r="K3089" s="199"/>
      <c r="M3089" s="199"/>
      <c r="N3089" s="200"/>
      <c r="P3089" s="199"/>
    </row>
    <row r="3090" spans="7:16" x14ac:dyDescent="0.2">
      <c r="G3090" s="199"/>
      <c r="I3090" s="199"/>
      <c r="K3090" s="199"/>
      <c r="M3090" s="199"/>
      <c r="N3090" s="200"/>
      <c r="P3090" s="199"/>
    </row>
    <row r="3091" spans="7:16" x14ac:dyDescent="0.2">
      <c r="G3091" s="199"/>
      <c r="I3091" s="199"/>
      <c r="K3091" s="199"/>
      <c r="M3091" s="199"/>
      <c r="N3091" s="200"/>
      <c r="P3091" s="199"/>
    </row>
    <row r="3092" spans="7:16" x14ac:dyDescent="0.2">
      <c r="G3092" s="199"/>
      <c r="I3092" s="199"/>
      <c r="K3092" s="199"/>
      <c r="M3092" s="199"/>
      <c r="N3092" s="200"/>
      <c r="P3092" s="199"/>
    </row>
    <row r="3093" spans="7:16" x14ac:dyDescent="0.2">
      <c r="G3093" s="199"/>
      <c r="I3093" s="199"/>
      <c r="K3093" s="199"/>
      <c r="M3093" s="199"/>
      <c r="N3093" s="200"/>
      <c r="P3093" s="199"/>
    </row>
    <row r="3094" spans="7:16" x14ac:dyDescent="0.2">
      <c r="G3094" s="199"/>
      <c r="I3094" s="199"/>
      <c r="K3094" s="199"/>
      <c r="M3094" s="199"/>
      <c r="N3094" s="200"/>
      <c r="P3094" s="199"/>
    </row>
    <row r="3095" spans="7:16" x14ac:dyDescent="0.2">
      <c r="G3095" s="199"/>
      <c r="I3095" s="199"/>
      <c r="K3095" s="199"/>
      <c r="M3095" s="199"/>
      <c r="N3095" s="200"/>
      <c r="P3095" s="199"/>
    </row>
    <row r="3096" spans="7:16" x14ac:dyDescent="0.2">
      <c r="G3096" s="199"/>
      <c r="I3096" s="199"/>
      <c r="K3096" s="199"/>
      <c r="M3096" s="199"/>
      <c r="N3096" s="200"/>
      <c r="P3096" s="199"/>
    </row>
    <row r="3097" spans="7:16" x14ac:dyDescent="0.2">
      <c r="G3097" s="199"/>
      <c r="I3097" s="199"/>
      <c r="K3097" s="199"/>
      <c r="M3097" s="199"/>
      <c r="N3097" s="200"/>
      <c r="P3097" s="199"/>
    </row>
    <row r="3098" spans="7:16" x14ac:dyDescent="0.2">
      <c r="G3098" s="199"/>
      <c r="I3098" s="199"/>
      <c r="K3098" s="199"/>
      <c r="M3098" s="199"/>
      <c r="N3098" s="200"/>
      <c r="P3098" s="199"/>
    </row>
    <row r="3099" spans="7:16" x14ac:dyDescent="0.2">
      <c r="G3099" s="199"/>
      <c r="I3099" s="199"/>
      <c r="K3099" s="199"/>
      <c r="M3099" s="199"/>
      <c r="N3099" s="200"/>
      <c r="P3099" s="199"/>
    </row>
    <row r="3100" spans="7:16" x14ac:dyDescent="0.2">
      <c r="G3100" s="199"/>
      <c r="I3100" s="199"/>
      <c r="K3100" s="199"/>
      <c r="M3100" s="199"/>
      <c r="N3100" s="200"/>
      <c r="P3100" s="199"/>
    </row>
    <row r="3101" spans="7:16" x14ac:dyDescent="0.2">
      <c r="G3101" s="199"/>
      <c r="I3101" s="199"/>
      <c r="K3101" s="199"/>
      <c r="M3101" s="199"/>
      <c r="N3101" s="200"/>
      <c r="P3101" s="199"/>
    </row>
    <row r="3102" spans="7:16" x14ac:dyDescent="0.2">
      <c r="G3102" s="199"/>
      <c r="I3102" s="199"/>
      <c r="K3102" s="199"/>
      <c r="M3102" s="199"/>
      <c r="N3102" s="200"/>
      <c r="P3102" s="199"/>
    </row>
    <row r="3103" spans="7:16" x14ac:dyDescent="0.2">
      <c r="G3103" s="199"/>
      <c r="I3103" s="199"/>
      <c r="K3103" s="199"/>
      <c r="M3103" s="199"/>
      <c r="N3103" s="200"/>
      <c r="P3103" s="199"/>
    </row>
    <row r="3104" spans="7:16" x14ac:dyDescent="0.2">
      <c r="G3104" s="199"/>
      <c r="I3104" s="199"/>
      <c r="K3104" s="199"/>
      <c r="M3104" s="199"/>
      <c r="N3104" s="200"/>
      <c r="P3104" s="199"/>
    </row>
    <row r="3105" spans="7:16" x14ac:dyDescent="0.2">
      <c r="G3105" s="199"/>
      <c r="I3105" s="199"/>
      <c r="K3105" s="199"/>
      <c r="M3105" s="199"/>
      <c r="N3105" s="200"/>
      <c r="P3105" s="199"/>
    </row>
    <row r="3106" spans="7:16" x14ac:dyDescent="0.2">
      <c r="G3106" s="199"/>
      <c r="I3106" s="199"/>
      <c r="K3106" s="199"/>
      <c r="M3106" s="199"/>
      <c r="N3106" s="200"/>
      <c r="P3106" s="199"/>
    </row>
    <row r="3107" spans="7:16" x14ac:dyDescent="0.2">
      <c r="G3107" s="199"/>
      <c r="I3107" s="199"/>
      <c r="K3107" s="199"/>
      <c r="M3107" s="199"/>
      <c r="N3107" s="200"/>
      <c r="P3107" s="199"/>
    </row>
    <row r="3108" spans="7:16" x14ac:dyDescent="0.2">
      <c r="G3108" s="199"/>
      <c r="I3108" s="199"/>
      <c r="K3108" s="199"/>
      <c r="M3108" s="199"/>
      <c r="N3108" s="200"/>
      <c r="P3108" s="199"/>
    </row>
    <row r="3109" spans="7:16" x14ac:dyDescent="0.2">
      <c r="G3109" s="199"/>
      <c r="I3109" s="199"/>
      <c r="K3109" s="199"/>
      <c r="M3109" s="199"/>
      <c r="N3109" s="200"/>
      <c r="P3109" s="199"/>
    </row>
    <row r="3110" spans="7:16" x14ac:dyDescent="0.2">
      <c r="G3110" s="199"/>
      <c r="I3110" s="199"/>
      <c r="K3110" s="199"/>
      <c r="M3110" s="199"/>
      <c r="N3110" s="200"/>
      <c r="P3110" s="199"/>
    </row>
    <row r="3111" spans="7:16" x14ac:dyDescent="0.2">
      <c r="G3111" s="199"/>
      <c r="I3111" s="199"/>
      <c r="K3111" s="199"/>
      <c r="M3111" s="199"/>
      <c r="N3111" s="200"/>
      <c r="P3111" s="199"/>
    </row>
    <row r="3112" spans="7:16" x14ac:dyDescent="0.2">
      <c r="G3112" s="199"/>
      <c r="I3112" s="199"/>
      <c r="K3112" s="199"/>
      <c r="M3112" s="199"/>
      <c r="N3112" s="200"/>
      <c r="P3112" s="199"/>
    </row>
    <row r="3113" spans="7:16" x14ac:dyDescent="0.2">
      <c r="G3113" s="199"/>
      <c r="I3113" s="199"/>
      <c r="K3113" s="199"/>
      <c r="M3113" s="199"/>
      <c r="N3113" s="200"/>
      <c r="P3113" s="199"/>
    </row>
    <row r="3114" spans="7:16" x14ac:dyDescent="0.2">
      <c r="G3114" s="199"/>
      <c r="I3114" s="199"/>
      <c r="K3114" s="199"/>
      <c r="M3114" s="199"/>
      <c r="N3114" s="200"/>
      <c r="P3114" s="199"/>
    </row>
    <row r="3115" spans="7:16" x14ac:dyDescent="0.2">
      <c r="G3115" s="199"/>
      <c r="I3115" s="199"/>
      <c r="K3115" s="199"/>
      <c r="M3115" s="199"/>
      <c r="N3115" s="200"/>
      <c r="P3115" s="199"/>
    </row>
    <row r="3116" spans="7:16" x14ac:dyDescent="0.2">
      <c r="G3116" s="199"/>
      <c r="I3116" s="199"/>
      <c r="K3116" s="199"/>
      <c r="M3116" s="199"/>
      <c r="N3116" s="200"/>
      <c r="P3116" s="199"/>
    </row>
    <row r="3117" spans="7:16" x14ac:dyDescent="0.2">
      <c r="G3117" s="199"/>
      <c r="I3117" s="199"/>
      <c r="K3117" s="199"/>
      <c r="M3117" s="199"/>
      <c r="N3117" s="200"/>
      <c r="P3117" s="199"/>
    </row>
    <row r="3118" spans="7:16" x14ac:dyDescent="0.2">
      <c r="G3118" s="199"/>
      <c r="I3118" s="199"/>
      <c r="K3118" s="199"/>
      <c r="M3118" s="199"/>
      <c r="N3118" s="200"/>
      <c r="P3118" s="199"/>
    </row>
    <row r="3119" spans="7:16" x14ac:dyDescent="0.2">
      <c r="G3119" s="199"/>
      <c r="I3119" s="199"/>
      <c r="K3119" s="199"/>
      <c r="M3119" s="199"/>
      <c r="N3119" s="200"/>
      <c r="P3119" s="199"/>
    </row>
    <row r="3120" spans="7:16" x14ac:dyDescent="0.2">
      <c r="G3120" s="199"/>
      <c r="I3120" s="199"/>
      <c r="K3120" s="199"/>
      <c r="M3120" s="199"/>
      <c r="N3120" s="200"/>
      <c r="P3120" s="199"/>
    </row>
    <row r="3121" spans="7:16" x14ac:dyDescent="0.2">
      <c r="G3121" s="199"/>
      <c r="I3121" s="199"/>
      <c r="K3121" s="199"/>
      <c r="M3121" s="199"/>
      <c r="N3121" s="200"/>
      <c r="P3121" s="199"/>
    </row>
    <row r="3122" spans="7:16" x14ac:dyDescent="0.2">
      <c r="G3122" s="199"/>
      <c r="I3122" s="199"/>
      <c r="K3122" s="199"/>
      <c r="M3122" s="199"/>
      <c r="N3122" s="200"/>
      <c r="P3122" s="199"/>
    </row>
    <row r="3123" spans="7:16" x14ac:dyDescent="0.2">
      <c r="G3123" s="199"/>
      <c r="I3123" s="199"/>
      <c r="K3123" s="199"/>
      <c r="M3123" s="199"/>
      <c r="N3123" s="200"/>
      <c r="P3123" s="199"/>
    </row>
    <row r="3124" spans="7:16" x14ac:dyDescent="0.2">
      <c r="G3124" s="199"/>
      <c r="I3124" s="199"/>
      <c r="K3124" s="199"/>
      <c r="M3124" s="199"/>
      <c r="N3124" s="200"/>
      <c r="P3124" s="199"/>
    </row>
    <row r="3125" spans="7:16" x14ac:dyDescent="0.2">
      <c r="G3125" s="199"/>
      <c r="I3125" s="199"/>
      <c r="K3125" s="199"/>
      <c r="M3125" s="199"/>
      <c r="N3125" s="200"/>
      <c r="P3125" s="199"/>
    </row>
    <row r="3126" spans="7:16" x14ac:dyDescent="0.2">
      <c r="G3126" s="199"/>
      <c r="I3126" s="199"/>
      <c r="K3126" s="199"/>
      <c r="M3126" s="199"/>
      <c r="N3126" s="200"/>
      <c r="P3126" s="199"/>
    </row>
    <row r="3127" spans="7:16" x14ac:dyDescent="0.2">
      <c r="G3127" s="199"/>
      <c r="I3127" s="199"/>
      <c r="K3127" s="199"/>
      <c r="M3127" s="199"/>
      <c r="N3127" s="200"/>
      <c r="P3127" s="199"/>
    </row>
    <row r="3128" spans="7:16" x14ac:dyDescent="0.2">
      <c r="G3128" s="199"/>
      <c r="I3128" s="199"/>
      <c r="K3128" s="199"/>
      <c r="M3128" s="199"/>
      <c r="N3128" s="200"/>
      <c r="P3128" s="199"/>
    </row>
    <row r="3129" spans="7:16" x14ac:dyDescent="0.2">
      <c r="G3129" s="199"/>
      <c r="I3129" s="199"/>
      <c r="K3129" s="199"/>
      <c r="M3129" s="199"/>
      <c r="N3129" s="200"/>
      <c r="P3129" s="199"/>
    </row>
    <row r="3130" spans="7:16" x14ac:dyDescent="0.2">
      <c r="G3130" s="199"/>
      <c r="I3130" s="199"/>
      <c r="K3130" s="199"/>
      <c r="M3130" s="199"/>
      <c r="N3130" s="200"/>
      <c r="P3130" s="199"/>
    </row>
    <row r="3131" spans="7:16" x14ac:dyDescent="0.2">
      <c r="G3131" s="199"/>
      <c r="I3131" s="199"/>
      <c r="K3131" s="199"/>
      <c r="M3131" s="199"/>
      <c r="N3131" s="200"/>
      <c r="P3131" s="199"/>
    </row>
    <row r="3132" spans="7:16" x14ac:dyDescent="0.2">
      <c r="G3132" s="199"/>
      <c r="I3132" s="199"/>
      <c r="K3132" s="199"/>
      <c r="M3132" s="199"/>
      <c r="N3132" s="200"/>
      <c r="P3132" s="199"/>
    </row>
    <row r="3133" spans="7:16" x14ac:dyDescent="0.2">
      <c r="G3133" s="199"/>
      <c r="I3133" s="199"/>
      <c r="K3133" s="199"/>
      <c r="M3133" s="199"/>
      <c r="N3133" s="200"/>
      <c r="P3133" s="199"/>
    </row>
    <row r="3134" spans="7:16" x14ac:dyDescent="0.2">
      <c r="G3134" s="199"/>
      <c r="I3134" s="199"/>
      <c r="K3134" s="199"/>
      <c r="M3134" s="199"/>
      <c r="N3134" s="200"/>
      <c r="P3134" s="199"/>
    </row>
    <row r="3135" spans="7:16" x14ac:dyDescent="0.2">
      <c r="G3135" s="199"/>
      <c r="I3135" s="199"/>
      <c r="K3135" s="199"/>
      <c r="M3135" s="199"/>
      <c r="N3135" s="200"/>
      <c r="P3135" s="199"/>
    </row>
    <row r="3136" spans="7:16" x14ac:dyDescent="0.2">
      <c r="G3136" s="199"/>
      <c r="I3136" s="199"/>
      <c r="K3136" s="199"/>
      <c r="M3136" s="199"/>
      <c r="N3136" s="200"/>
      <c r="P3136" s="199"/>
    </row>
    <row r="3137" spans="7:16" x14ac:dyDescent="0.2">
      <c r="G3137" s="199"/>
      <c r="I3137" s="199"/>
      <c r="K3137" s="199"/>
      <c r="M3137" s="199"/>
      <c r="N3137" s="200"/>
      <c r="P3137" s="199"/>
    </row>
    <row r="3138" spans="7:16" x14ac:dyDescent="0.2">
      <c r="G3138" s="199"/>
      <c r="I3138" s="199"/>
      <c r="K3138" s="199"/>
      <c r="M3138" s="199"/>
      <c r="N3138" s="200"/>
      <c r="P3138" s="199"/>
    </row>
    <row r="3139" spans="7:16" x14ac:dyDescent="0.2">
      <c r="G3139" s="199"/>
      <c r="I3139" s="199"/>
      <c r="K3139" s="199"/>
      <c r="M3139" s="199"/>
      <c r="N3139" s="200"/>
      <c r="P3139" s="199"/>
    </row>
    <row r="3140" spans="7:16" x14ac:dyDescent="0.2">
      <c r="G3140" s="199"/>
      <c r="I3140" s="199"/>
      <c r="K3140" s="199"/>
      <c r="M3140" s="199"/>
      <c r="N3140" s="200"/>
      <c r="P3140" s="199"/>
    </row>
    <row r="3141" spans="7:16" x14ac:dyDescent="0.2">
      <c r="G3141" s="199"/>
      <c r="I3141" s="199"/>
      <c r="K3141" s="199"/>
      <c r="M3141" s="199"/>
      <c r="N3141" s="200"/>
      <c r="P3141" s="199"/>
    </row>
    <row r="3142" spans="7:16" x14ac:dyDescent="0.2">
      <c r="G3142" s="199"/>
      <c r="I3142" s="199"/>
      <c r="K3142" s="199"/>
      <c r="M3142" s="199"/>
      <c r="N3142" s="200"/>
      <c r="P3142" s="199"/>
    </row>
    <row r="3143" spans="7:16" x14ac:dyDescent="0.2">
      <c r="G3143" s="199"/>
      <c r="I3143" s="199"/>
      <c r="K3143" s="199"/>
      <c r="M3143" s="199"/>
      <c r="N3143" s="200"/>
      <c r="P3143" s="199"/>
    </row>
    <row r="3144" spans="7:16" x14ac:dyDescent="0.2">
      <c r="G3144" s="199"/>
      <c r="I3144" s="199"/>
      <c r="K3144" s="199"/>
      <c r="M3144" s="199"/>
      <c r="N3144" s="200"/>
      <c r="P3144" s="199"/>
    </row>
    <row r="3145" spans="7:16" x14ac:dyDescent="0.2">
      <c r="G3145" s="199"/>
      <c r="I3145" s="199"/>
      <c r="K3145" s="199"/>
      <c r="M3145" s="199"/>
      <c r="N3145" s="200"/>
      <c r="P3145" s="199"/>
    </row>
    <row r="3146" spans="7:16" x14ac:dyDescent="0.2">
      <c r="G3146" s="199"/>
      <c r="I3146" s="199"/>
      <c r="K3146" s="199"/>
      <c r="M3146" s="199"/>
      <c r="N3146" s="200"/>
      <c r="P3146" s="199"/>
    </row>
    <row r="3147" spans="7:16" x14ac:dyDescent="0.2">
      <c r="G3147" s="199"/>
      <c r="I3147" s="199"/>
      <c r="K3147" s="199"/>
      <c r="M3147" s="199"/>
      <c r="N3147" s="200"/>
      <c r="P3147" s="199"/>
    </row>
    <row r="3148" spans="7:16" x14ac:dyDescent="0.2">
      <c r="G3148" s="199"/>
      <c r="I3148" s="199"/>
      <c r="K3148" s="199"/>
      <c r="M3148" s="199"/>
      <c r="N3148" s="200"/>
      <c r="P3148" s="199"/>
    </row>
    <row r="3149" spans="7:16" x14ac:dyDescent="0.2">
      <c r="G3149" s="199"/>
      <c r="I3149" s="199"/>
      <c r="K3149" s="199"/>
      <c r="M3149" s="199"/>
      <c r="N3149" s="200"/>
      <c r="P3149" s="199"/>
    </row>
    <row r="3150" spans="7:16" x14ac:dyDescent="0.2">
      <c r="G3150" s="199"/>
      <c r="I3150" s="199"/>
      <c r="K3150" s="199"/>
      <c r="M3150" s="199"/>
      <c r="N3150" s="200"/>
      <c r="P3150" s="199"/>
    </row>
    <row r="3151" spans="7:16" x14ac:dyDescent="0.2">
      <c r="G3151" s="199"/>
      <c r="I3151" s="199"/>
      <c r="K3151" s="199"/>
      <c r="M3151" s="199"/>
      <c r="N3151" s="200"/>
      <c r="P3151" s="199"/>
    </row>
    <row r="3152" spans="7:16" x14ac:dyDescent="0.2">
      <c r="G3152" s="199"/>
      <c r="I3152" s="199"/>
      <c r="K3152" s="199"/>
      <c r="M3152" s="199"/>
      <c r="N3152" s="200"/>
      <c r="P3152" s="199"/>
    </row>
    <row r="3153" spans="7:16" x14ac:dyDescent="0.2">
      <c r="G3153" s="199"/>
      <c r="I3153" s="199"/>
      <c r="K3153" s="199"/>
      <c r="M3153" s="199"/>
      <c r="N3153" s="200"/>
      <c r="P3153" s="199"/>
    </row>
    <row r="3154" spans="7:16" x14ac:dyDescent="0.2">
      <c r="G3154" s="199"/>
      <c r="I3154" s="199"/>
      <c r="K3154" s="199"/>
      <c r="M3154" s="199"/>
      <c r="N3154" s="200"/>
      <c r="P3154" s="199"/>
    </row>
    <row r="3155" spans="7:16" x14ac:dyDescent="0.2">
      <c r="G3155" s="199"/>
      <c r="I3155" s="199"/>
      <c r="K3155" s="199"/>
      <c r="M3155" s="199"/>
      <c r="N3155" s="200"/>
      <c r="P3155" s="199"/>
    </row>
    <row r="3156" spans="7:16" x14ac:dyDescent="0.2">
      <c r="G3156" s="199"/>
      <c r="I3156" s="199"/>
      <c r="K3156" s="199"/>
      <c r="M3156" s="199"/>
      <c r="N3156" s="200"/>
      <c r="P3156" s="199"/>
    </row>
    <row r="3157" spans="7:16" x14ac:dyDescent="0.2">
      <c r="G3157" s="199"/>
      <c r="I3157" s="199"/>
      <c r="K3157" s="199"/>
      <c r="M3157" s="199"/>
      <c r="N3157" s="200"/>
      <c r="P3157" s="199"/>
    </row>
    <row r="3158" spans="7:16" x14ac:dyDescent="0.2">
      <c r="G3158" s="199"/>
      <c r="I3158" s="199"/>
      <c r="K3158" s="199"/>
      <c r="M3158" s="199"/>
      <c r="N3158" s="200"/>
      <c r="P3158" s="199"/>
    </row>
    <row r="3159" spans="7:16" x14ac:dyDescent="0.2">
      <c r="G3159" s="199"/>
      <c r="I3159" s="199"/>
      <c r="K3159" s="199"/>
      <c r="M3159" s="199"/>
      <c r="N3159" s="200"/>
      <c r="P3159" s="199"/>
    </row>
    <row r="3160" spans="7:16" x14ac:dyDescent="0.2">
      <c r="G3160" s="199"/>
      <c r="I3160" s="199"/>
      <c r="K3160" s="199"/>
      <c r="M3160" s="199"/>
      <c r="N3160" s="200"/>
      <c r="P3160" s="199"/>
    </row>
    <row r="3161" spans="7:16" x14ac:dyDescent="0.2">
      <c r="G3161" s="199"/>
      <c r="I3161" s="199"/>
      <c r="K3161" s="199"/>
      <c r="M3161" s="199"/>
      <c r="N3161" s="200"/>
      <c r="P3161" s="199"/>
    </row>
    <row r="3162" spans="7:16" x14ac:dyDescent="0.2">
      <c r="G3162" s="199"/>
      <c r="I3162" s="199"/>
      <c r="K3162" s="199"/>
      <c r="M3162" s="199"/>
      <c r="N3162" s="200"/>
      <c r="P3162" s="199"/>
    </row>
    <row r="3163" spans="7:16" x14ac:dyDescent="0.2">
      <c r="G3163" s="199"/>
      <c r="I3163" s="199"/>
      <c r="K3163" s="199"/>
      <c r="M3163" s="199"/>
      <c r="N3163" s="200"/>
      <c r="P3163" s="199"/>
    </row>
    <row r="3164" spans="7:16" x14ac:dyDescent="0.2">
      <c r="G3164" s="199"/>
      <c r="I3164" s="199"/>
      <c r="K3164" s="199"/>
      <c r="M3164" s="199"/>
      <c r="N3164" s="200"/>
      <c r="P3164" s="199"/>
    </row>
    <row r="3165" spans="7:16" x14ac:dyDescent="0.2">
      <c r="G3165" s="199"/>
      <c r="I3165" s="199"/>
      <c r="K3165" s="199"/>
      <c r="M3165" s="199"/>
      <c r="N3165" s="200"/>
      <c r="P3165" s="199"/>
    </row>
    <row r="3166" spans="7:16" x14ac:dyDescent="0.2">
      <c r="G3166" s="199"/>
      <c r="I3166" s="199"/>
      <c r="K3166" s="199"/>
      <c r="M3166" s="199"/>
      <c r="N3166" s="200"/>
      <c r="P3166" s="199"/>
    </row>
    <row r="3167" spans="7:16" x14ac:dyDescent="0.2">
      <c r="G3167" s="199"/>
      <c r="I3167" s="199"/>
      <c r="K3167" s="199"/>
      <c r="M3167" s="199"/>
      <c r="N3167" s="200"/>
      <c r="P3167" s="199"/>
    </row>
    <row r="3168" spans="7:16" x14ac:dyDescent="0.2">
      <c r="G3168" s="199"/>
      <c r="I3168" s="199"/>
      <c r="K3168" s="199"/>
      <c r="M3168" s="199"/>
      <c r="N3168" s="200"/>
      <c r="P3168" s="199"/>
    </row>
    <row r="3169" spans="7:16" x14ac:dyDescent="0.2">
      <c r="G3169" s="199"/>
      <c r="I3169" s="199"/>
      <c r="K3169" s="199"/>
      <c r="M3169" s="199"/>
      <c r="N3169" s="200"/>
      <c r="P3169" s="199"/>
    </row>
    <row r="3170" spans="7:16" x14ac:dyDescent="0.2">
      <c r="G3170" s="199"/>
      <c r="I3170" s="199"/>
      <c r="K3170" s="199"/>
      <c r="M3170" s="199"/>
      <c r="N3170" s="200"/>
      <c r="P3170" s="199"/>
    </row>
    <row r="3171" spans="7:16" x14ac:dyDescent="0.2">
      <c r="G3171" s="199"/>
      <c r="I3171" s="199"/>
      <c r="K3171" s="199"/>
      <c r="M3171" s="199"/>
      <c r="N3171" s="200"/>
      <c r="P3171" s="199"/>
    </row>
    <row r="3172" spans="7:16" x14ac:dyDescent="0.2">
      <c r="G3172" s="199"/>
      <c r="I3172" s="199"/>
      <c r="K3172" s="199"/>
      <c r="M3172" s="199"/>
      <c r="N3172" s="200"/>
      <c r="P3172" s="199"/>
    </row>
    <row r="3173" spans="7:16" x14ac:dyDescent="0.2">
      <c r="G3173" s="199"/>
      <c r="I3173" s="199"/>
      <c r="K3173" s="199"/>
      <c r="M3173" s="199"/>
      <c r="N3173" s="200"/>
      <c r="P3173" s="199"/>
    </row>
    <row r="3174" spans="7:16" x14ac:dyDescent="0.2">
      <c r="G3174" s="199"/>
      <c r="I3174" s="199"/>
      <c r="K3174" s="199"/>
      <c r="M3174" s="199"/>
      <c r="N3174" s="200"/>
      <c r="P3174" s="199"/>
    </row>
    <row r="3175" spans="7:16" x14ac:dyDescent="0.2">
      <c r="G3175" s="199"/>
      <c r="I3175" s="199"/>
      <c r="K3175" s="199"/>
      <c r="M3175" s="199"/>
      <c r="N3175" s="200"/>
      <c r="P3175" s="199"/>
    </row>
    <row r="3176" spans="7:16" x14ac:dyDescent="0.2">
      <c r="G3176" s="199"/>
      <c r="I3176" s="199"/>
      <c r="K3176" s="199"/>
      <c r="M3176" s="199"/>
      <c r="N3176" s="200"/>
      <c r="P3176" s="199"/>
    </row>
    <row r="3177" spans="7:16" x14ac:dyDescent="0.2">
      <c r="G3177" s="199"/>
      <c r="I3177" s="199"/>
      <c r="K3177" s="199"/>
      <c r="M3177" s="199"/>
      <c r="N3177" s="200"/>
      <c r="P3177" s="199"/>
    </row>
    <row r="3178" spans="7:16" x14ac:dyDescent="0.2">
      <c r="G3178" s="199"/>
      <c r="I3178" s="199"/>
      <c r="K3178" s="199"/>
      <c r="M3178" s="199"/>
      <c r="N3178" s="200"/>
      <c r="P3178" s="199"/>
    </row>
    <row r="3179" spans="7:16" x14ac:dyDescent="0.2">
      <c r="G3179" s="199"/>
      <c r="I3179" s="199"/>
      <c r="K3179" s="199"/>
      <c r="M3179" s="199"/>
      <c r="N3179" s="200"/>
      <c r="P3179" s="199"/>
    </row>
    <row r="3180" spans="7:16" x14ac:dyDescent="0.2">
      <c r="G3180" s="199"/>
      <c r="I3180" s="199"/>
      <c r="K3180" s="199"/>
      <c r="M3180" s="199"/>
      <c r="N3180" s="200"/>
      <c r="P3180" s="199"/>
    </row>
    <row r="3181" spans="7:16" x14ac:dyDescent="0.2">
      <c r="G3181" s="199"/>
      <c r="I3181" s="199"/>
      <c r="K3181" s="199"/>
      <c r="M3181" s="199"/>
      <c r="N3181" s="200"/>
      <c r="P3181" s="199"/>
    </row>
    <row r="3182" spans="7:16" x14ac:dyDescent="0.2">
      <c r="G3182" s="199"/>
      <c r="I3182" s="199"/>
      <c r="K3182" s="199"/>
      <c r="M3182" s="199"/>
      <c r="N3182" s="200"/>
      <c r="P3182" s="199"/>
    </row>
    <row r="3183" spans="7:16" x14ac:dyDescent="0.2">
      <c r="G3183" s="199"/>
      <c r="I3183" s="199"/>
      <c r="K3183" s="199"/>
      <c r="M3183" s="199"/>
      <c r="N3183" s="200"/>
      <c r="P3183" s="199"/>
    </row>
    <row r="3184" spans="7:16" x14ac:dyDescent="0.2">
      <c r="G3184" s="199"/>
      <c r="I3184" s="199"/>
      <c r="K3184" s="199"/>
      <c r="M3184" s="199"/>
      <c r="N3184" s="200"/>
      <c r="P3184" s="199"/>
    </row>
    <row r="3185" spans="7:16" x14ac:dyDescent="0.2">
      <c r="G3185" s="199"/>
      <c r="I3185" s="199"/>
      <c r="K3185" s="199"/>
      <c r="M3185" s="199"/>
      <c r="N3185" s="200"/>
      <c r="P3185" s="199"/>
    </row>
    <row r="3186" spans="7:16" x14ac:dyDescent="0.2">
      <c r="G3186" s="199"/>
      <c r="I3186" s="199"/>
      <c r="K3186" s="199"/>
      <c r="M3186" s="199"/>
      <c r="N3186" s="200"/>
      <c r="P3186" s="199"/>
    </row>
    <row r="3187" spans="7:16" x14ac:dyDescent="0.2">
      <c r="G3187" s="199"/>
      <c r="I3187" s="199"/>
      <c r="K3187" s="199"/>
      <c r="M3187" s="199"/>
      <c r="N3187" s="200"/>
      <c r="P3187" s="199"/>
    </row>
    <row r="3188" spans="7:16" x14ac:dyDescent="0.2">
      <c r="G3188" s="199"/>
      <c r="I3188" s="199"/>
      <c r="K3188" s="199"/>
      <c r="M3188" s="199"/>
      <c r="N3188" s="200"/>
      <c r="P3188" s="199"/>
    </row>
    <row r="3189" spans="7:16" x14ac:dyDescent="0.2">
      <c r="G3189" s="199"/>
      <c r="I3189" s="199"/>
      <c r="K3189" s="199"/>
      <c r="M3189" s="199"/>
      <c r="N3189" s="200"/>
      <c r="P3189" s="199"/>
    </row>
    <row r="3190" spans="7:16" x14ac:dyDescent="0.2">
      <c r="G3190" s="199"/>
      <c r="I3190" s="199"/>
      <c r="K3190" s="199"/>
      <c r="M3190" s="199"/>
      <c r="N3190" s="200"/>
      <c r="P3190" s="199"/>
    </row>
    <row r="3191" spans="7:16" x14ac:dyDescent="0.2">
      <c r="G3191" s="199"/>
      <c r="I3191" s="199"/>
      <c r="K3191" s="199"/>
      <c r="M3191" s="199"/>
      <c r="N3191" s="200"/>
      <c r="P3191" s="199"/>
    </row>
    <row r="3192" spans="7:16" x14ac:dyDescent="0.2">
      <c r="G3192" s="199"/>
      <c r="I3192" s="199"/>
      <c r="K3192" s="199"/>
      <c r="M3192" s="199"/>
      <c r="N3192" s="200"/>
      <c r="P3192" s="199"/>
    </row>
    <row r="3193" spans="7:16" x14ac:dyDescent="0.2">
      <c r="G3193" s="199"/>
      <c r="I3193" s="199"/>
      <c r="K3193" s="199"/>
      <c r="M3193" s="199"/>
      <c r="N3193" s="200"/>
      <c r="P3193" s="199"/>
    </row>
    <row r="3194" spans="7:16" x14ac:dyDescent="0.2">
      <c r="G3194" s="199"/>
      <c r="I3194" s="199"/>
      <c r="K3194" s="199"/>
      <c r="M3194" s="199"/>
      <c r="N3194" s="200"/>
      <c r="P3194" s="199"/>
    </row>
    <row r="3195" spans="7:16" x14ac:dyDescent="0.2">
      <c r="G3195" s="199"/>
      <c r="I3195" s="199"/>
      <c r="K3195" s="199"/>
      <c r="M3195" s="199"/>
      <c r="N3195" s="200"/>
      <c r="P3195" s="199"/>
    </row>
    <row r="3196" spans="7:16" x14ac:dyDescent="0.2">
      <c r="G3196" s="199"/>
      <c r="I3196" s="199"/>
      <c r="K3196" s="199"/>
      <c r="M3196" s="199"/>
      <c r="N3196" s="200"/>
      <c r="P3196" s="199"/>
    </row>
    <row r="3197" spans="7:16" x14ac:dyDescent="0.2">
      <c r="G3197" s="199"/>
      <c r="I3197" s="199"/>
      <c r="K3197" s="199"/>
      <c r="M3197" s="199"/>
      <c r="N3197" s="200"/>
      <c r="P3197" s="199"/>
    </row>
    <row r="3198" spans="7:16" x14ac:dyDescent="0.2">
      <c r="G3198" s="199"/>
      <c r="I3198" s="199"/>
      <c r="K3198" s="199"/>
      <c r="M3198" s="199"/>
      <c r="N3198" s="200"/>
      <c r="P3198" s="199"/>
    </row>
    <row r="3199" spans="7:16" x14ac:dyDescent="0.2">
      <c r="G3199" s="199"/>
      <c r="I3199" s="199"/>
      <c r="K3199" s="199"/>
      <c r="M3199" s="199"/>
      <c r="N3199" s="200"/>
      <c r="P3199" s="199"/>
    </row>
    <row r="3200" spans="7:16" x14ac:dyDescent="0.2">
      <c r="G3200" s="199"/>
      <c r="I3200" s="199"/>
      <c r="K3200" s="199"/>
      <c r="M3200" s="199"/>
      <c r="N3200" s="200"/>
      <c r="P3200" s="199"/>
    </row>
    <row r="3201" spans="7:16" x14ac:dyDescent="0.2">
      <c r="G3201" s="199"/>
      <c r="I3201" s="199"/>
      <c r="K3201" s="199"/>
      <c r="M3201" s="199"/>
      <c r="N3201" s="200"/>
      <c r="P3201" s="199"/>
    </row>
    <row r="3202" spans="7:16" x14ac:dyDescent="0.2">
      <c r="G3202" s="199"/>
      <c r="I3202" s="199"/>
      <c r="K3202" s="199"/>
      <c r="M3202" s="199"/>
      <c r="N3202" s="200"/>
      <c r="P3202" s="199"/>
    </row>
    <row r="3203" spans="7:16" x14ac:dyDescent="0.2">
      <c r="G3203" s="199"/>
      <c r="I3203" s="199"/>
      <c r="K3203" s="199"/>
      <c r="M3203" s="199"/>
      <c r="N3203" s="200"/>
      <c r="P3203" s="199"/>
    </row>
    <row r="3204" spans="7:16" x14ac:dyDescent="0.2">
      <c r="G3204" s="199"/>
      <c r="I3204" s="199"/>
      <c r="K3204" s="199"/>
      <c r="M3204" s="199"/>
      <c r="N3204" s="200"/>
      <c r="P3204" s="199"/>
    </row>
    <row r="3205" spans="7:16" x14ac:dyDescent="0.2">
      <c r="G3205" s="199"/>
      <c r="I3205" s="199"/>
      <c r="K3205" s="199"/>
      <c r="M3205" s="199"/>
      <c r="N3205" s="200"/>
      <c r="P3205" s="199"/>
    </row>
    <row r="3206" spans="7:16" x14ac:dyDescent="0.2">
      <c r="G3206" s="199"/>
      <c r="I3206" s="199"/>
      <c r="K3206" s="199"/>
      <c r="M3206" s="199"/>
      <c r="N3206" s="200"/>
      <c r="P3206" s="199"/>
    </row>
    <row r="3207" spans="7:16" x14ac:dyDescent="0.2">
      <c r="G3207" s="199"/>
      <c r="I3207" s="199"/>
      <c r="K3207" s="199"/>
      <c r="M3207" s="199"/>
      <c r="N3207" s="200"/>
      <c r="P3207" s="199"/>
    </row>
    <row r="3208" spans="7:16" x14ac:dyDescent="0.2">
      <c r="G3208" s="199"/>
      <c r="I3208" s="199"/>
      <c r="K3208" s="199"/>
      <c r="M3208" s="199"/>
      <c r="N3208" s="200"/>
      <c r="P3208" s="199"/>
    </row>
    <row r="3209" spans="7:16" x14ac:dyDescent="0.2">
      <c r="G3209" s="199"/>
      <c r="I3209" s="199"/>
      <c r="K3209" s="199"/>
      <c r="M3209" s="199"/>
      <c r="N3209" s="200"/>
      <c r="P3209" s="199"/>
    </row>
    <row r="3210" spans="7:16" x14ac:dyDescent="0.2">
      <c r="G3210" s="199"/>
      <c r="I3210" s="199"/>
      <c r="K3210" s="199"/>
      <c r="M3210" s="199"/>
      <c r="N3210" s="200"/>
      <c r="P3210" s="199"/>
    </row>
    <row r="3211" spans="7:16" x14ac:dyDescent="0.2">
      <c r="G3211" s="199"/>
      <c r="I3211" s="199"/>
      <c r="K3211" s="199"/>
      <c r="M3211" s="199"/>
      <c r="N3211" s="200"/>
      <c r="P3211" s="199"/>
    </row>
    <row r="3212" spans="7:16" x14ac:dyDescent="0.2">
      <c r="G3212" s="199"/>
      <c r="I3212" s="199"/>
      <c r="K3212" s="199"/>
      <c r="M3212" s="199"/>
      <c r="N3212" s="200"/>
      <c r="P3212" s="199"/>
    </row>
    <row r="3213" spans="7:16" x14ac:dyDescent="0.2">
      <c r="G3213" s="199"/>
      <c r="I3213" s="199"/>
      <c r="K3213" s="199"/>
      <c r="M3213" s="199"/>
      <c r="N3213" s="200"/>
      <c r="P3213" s="199"/>
    </row>
    <row r="3214" spans="7:16" x14ac:dyDescent="0.2">
      <c r="G3214" s="199"/>
      <c r="I3214" s="199"/>
      <c r="K3214" s="199"/>
      <c r="M3214" s="199"/>
      <c r="N3214" s="200"/>
      <c r="P3214" s="199"/>
    </row>
    <row r="3215" spans="7:16" x14ac:dyDescent="0.2">
      <c r="G3215" s="199"/>
      <c r="I3215" s="199"/>
      <c r="K3215" s="199"/>
      <c r="M3215" s="199"/>
      <c r="N3215" s="200"/>
      <c r="P3215" s="199"/>
    </row>
    <row r="3216" spans="7:16" x14ac:dyDescent="0.2">
      <c r="G3216" s="199"/>
      <c r="I3216" s="199"/>
      <c r="K3216" s="199"/>
      <c r="M3216" s="199"/>
      <c r="N3216" s="200"/>
      <c r="P3216" s="199"/>
    </row>
    <row r="3217" spans="7:16" x14ac:dyDescent="0.2">
      <c r="G3217" s="199"/>
      <c r="I3217" s="199"/>
      <c r="K3217" s="199"/>
      <c r="M3217" s="199"/>
      <c r="N3217" s="200"/>
      <c r="P3217" s="199"/>
    </row>
    <row r="3218" spans="7:16" x14ac:dyDescent="0.2">
      <c r="G3218" s="199"/>
      <c r="I3218" s="199"/>
      <c r="K3218" s="199"/>
      <c r="M3218" s="199"/>
      <c r="N3218" s="200"/>
      <c r="P3218" s="199"/>
    </row>
    <row r="3219" spans="7:16" x14ac:dyDescent="0.2">
      <c r="G3219" s="199"/>
      <c r="I3219" s="199"/>
      <c r="K3219" s="199"/>
      <c r="M3219" s="199"/>
      <c r="N3219" s="200"/>
      <c r="P3219" s="199"/>
    </row>
    <row r="3220" spans="7:16" x14ac:dyDescent="0.2">
      <c r="G3220" s="199"/>
      <c r="I3220" s="199"/>
      <c r="K3220" s="199"/>
      <c r="M3220" s="199"/>
      <c r="N3220" s="200"/>
      <c r="P3220" s="199"/>
    </row>
    <row r="3221" spans="7:16" x14ac:dyDescent="0.2">
      <c r="G3221" s="199"/>
      <c r="I3221" s="199"/>
      <c r="K3221" s="199"/>
      <c r="M3221" s="199"/>
      <c r="N3221" s="200"/>
      <c r="P3221" s="199"/>
    </row>
    <row r="3222" spans="7:16" x14ac:dyDescent="0.2">
      <c r="G3222" s="199"/>
      <c r="I3222" s="199"/>
      <c r="K3222" s="199"/>
      <c r="M3222" s="199"/>
      <c r="N3222" s="200"/>
      <c r="P3222" s="199"/>
    </row>
    <row r="3223" spans="7:16" x14ac:dyDescent="0.2">
      <c r="G3223" s="199"/>
      <c r="I3223" s="199"/>
      <c r="K3223" s="199"/>
      <c r="M3223" s="199"/>
      <c r="N3223" s="200"/>
      <c r="P3223" s="199"/>
    </row>
    <row r="3224" spans="7:16" x14ac:dyDescent="0.2">
      <c r="G3224" s="199"/>
      <c r="I3224" s="199"/>
      <c r="K3224" s="199"/>
      <c r="M3224" s="199"/>
      <c r="N3224" s="200"/>
      <c r="P3224" s="199"/>
    </row>
    <row r="3225" spans="7:16" x14ac:dyDescent="0.2">
      <c r="G3225" s="199"/>
      <c r="I3225" s="199"/>
      <c r="K3225" s="199"/>
      <c r="M3225" s="199"/>
      <c r="N3225" s="200"/>
      <c r="P3225" s="199"/>
    </row>
    <row r="3226" spans="7:16" x14ac:dyDescent="0.2">
      <c r="G3226" s="199"/>
      <c r="I3226" s="199"/>
      <c r="K3226" s="199"/>
      <c r="M3226" s="199"/>
      <c r="N3226" s="200"/>
      <c r="P3226" s="199"/>
    </row>
    <row r="3227" spans="7:16" x14ac:dyDescent="0.2">
      <c r="G3227" s="199"/>
      <c r="I3227" s="199"/>
      <c r="K3227" s="199"/>
      <c r="M3227" s="199"/>
      <c r="N3227" s="200"/>
      <c r="P3227" s="199"/>
    </row>
    <row r="3228" spans="7:16" x14ac:dyDescent="0.2">
      <c r="G3228" s="199"/>
      <c r="I3228" s="199"/>
      <c r="K3228" s="199"/>
      <c r="M3228" s="199"/>
      <c r="N3228" s="200"/>
      <c r="P3228" s="199"/>
    </row>
    <row r="3229" spans="7:16" x14ac:dyDescent="0.2">
      <c r="G3229" s="199"/>
      <c r="I3229" s="199"/>
      <c r="K3229" s="199"/>
      <c r="M3229" s="199"/>
      <c r="N3229" s="200"/>
      <c r="P3229" s="199"/>
    </row>
    <row r="3230" spans="7:16" x14ac:dyDescent="0.2">
      <c r="G3230" s="199"/>
      <c r="I3230" s="199"/>
      <c r="K3230" s="199"/>
      <c r="M3230" s="199"/>
      <c r="N3230" s="200"/>
      <c r="P3230" s="199"/>
    </row>
    <row r="3231" spans="7:16" x14ac:dyDescent="0.2">
      <c r="G3231" s="199"/>
      <c r="I3231" s="199"/>
      <c r="K3231" s="199"/>
      <c r="M3231" s="199"/>
      <c r="N3231" s="200"/>
      <c r="P3231" s="199"/>
    </row>
    <row r="3232" spans="7:16" x14ac:dyDescent="0.2">
      <c r="G3232" s="199"/>
      <c r="I3232" s="199"/>
      <c r="K3232" s="199"/>
      <c r="M3232" s="199"/>
      <c r="N3232" s="200"/>
      <c r="P3232" s="199"/>
    </row>
    <row r="3233" spans="7:16" x14ac:dyDescent="0.2">
      <c r="G3233" s="199"/>
      <c r="I3233" s="199"/>
      <c r="K3233" s="199"/>
      <c r="M3233" s="199"/>
      <c r="N3233" s="200"/>
      <c r="P3233" s="199"/>
    </row>
    <row r="3234" spans="7:16" x14ac:dyDescent="0.2">
      <c r="G3234" s="199"/>
      <c r="I3234" s="199"/>
      <c r="K3234" s="199"/>
      <c r="M3234" s="199"/>
      <c r="N3234" s="200"/>
      <c r="P3234" s="199"/>
    </row>
    <row r="3235" spans="7:16" x14ac:dyDescent="0.2">
      <c r="G3235" s="199"/>
      <c r="I3235" s="199"/>
      <c r="K3235" s="199"/>
      <c r="M3235" s="199"/>
      <c r="N3235" s="200"/>
      <c r="P3235" s="199"/>
    </row>
    <row r="3236" spans="7:16" x14ac:dyDescent="0.2">
      <c r="G3236" s="199"/>
      <c r="I3236" s="199"/>
      <c r="K3236" s="199"/>
      <c r="M3236" s="199"/>
      <c r="N3236" s="200"/>
      <c r="P3236" s="199"/>
    </row>
    <row r="3237" spans="7:16" x14ac:dyDescent="0.2">
      <c r="G3237" s="199"/>
      <c r="I3237" s="199"/>
      <c r="K3237" s="199"/>
      <c r="M3237" s="199"/>
      <c r="N3237" s="200"/>
      <c r="P3237" s="199"/>
    </row>
    <row r="3238" spans="7:16" x14ac:dyDescent="0.2">
      <c r="G3238" s="199"/>
      <c r="I3238" s="199"/>
      <c r="K3238" s="199"/>
      <c r="M3238" s="199"/>
      <c r="N3238" s="200"/>
      <c r="P3238" s="199"/>
    </row>
    <row r="3239" spans="7:16" x14ac:dyDescent="0.2">
      <c r="G3239" s="199"/>
      <c r="I3239" s="199"/>
      <c r="K3239" s="199"/>
      <c r="M3239" s="199"/>
      <c r="N3239" s="200"/>
      <c r="P3239" s="199"/>
    </row>
    <row r="3240" spans="7:16" x14ac:dyDescent="0.2">
      <c r="G3240" s="199"/>
      <c r="I3240" s="199"/>
      <c r="K3240" s="199"/>
      <c r="M3240" s="199"/>
      <c r="N3240" s="200"/>
      <c r="P3240" s="199"/>
    </row>
    <row r="3241" spans="7:16" x14ac:dyDescent="0.2">
      <c r="G3241" s="199"/>
      <c r="I3241" s="199"/>
      <c r="K3241" s="199"/>
      <c r="M3241" s="199"/>
      <c r="N3241" s="200"/>
      <c r="P3241" s="199"/>
    </row>
    <row r="3242" spans="7:16" x14ac:dyDescent="0.2">
      <c r="G3242" s="199"/>
      <c r="I3242" s="199"/>
      <c r="K3242" s="199"/>
      <c r="M3242" s="199"/>
      <c r="N3242" s="200"/>
      <c r="P3242" s="199"/>
    </row>
    <row r="3243" spans="7:16" x14ac:dyDescent="0.2">
      <c r="G3243" s="199"/>
      <c r="I3243" s="199"/>
      <c r="K3243" s="199"/>
      <c r="M3243" s="199"/>
      <c r="N3243" s="200"/>
      <c r="P3243" s="199"/>
    </row>
    <row r="3244" spans="7:16" x14ac:dyDescent="0.2">
      <c r="G3244" s="199"/>
      <c r="I3244" s="199"/>
      <c r="K3244" s="199"/>
      <c r="M3244" s="199"/>
      <c r="N3244" s="200"/>
      <c r="P3244" s="199"/>
    </row>
    <row r="3245" spans="7:16" x14ac:dyDescent="0.2">
      <c r="G3245" s="199"/>
      <c r="I3245" s="199"/>
      <c r="K3245" s="199"/>
      <c r="M3245" s="199"/>
      <c r="N3245" s="200"/>
      <c r="P3245" s="199"/>
    </row>
    <row r="3246" spans="7:16" x14ac:dyDescent="0.2">
      <c r="G3246" s="199"/>
      <c r="I3246" s="199"/>
      <c r="K3246" s="199"/>
      <c r="M3246" s="199"/>
      <c r="N3246" s="200"/>
      <c r="P3246" s="199"/>
    </row>
    <row r="3247" spans="7:16" x14ac:dyDescent="0.2">
      <c r="G3247" s="199"/>
      <c r="I3247" s="199"/>
      <c r="K3247" s="199"/>
      <c r="M3247" s="199"/>
      <c r="N3247" s="200"/>
      <c r="P3247" s="199"/>
    </row>
    <row r="3248" spans="7:16" x14ac:dyDescent="0.2">
      <c r="G3248" s="199"/>
      <c r="I3248" s="199"/>
      <c r="K3248" s="199"/>
      <c r="M3248" s="199"/>
      <c r="N3248" s="200"/>
      <c r="P3248" s="199"/>
    </row>
    <row r="3249" spans="7:16" x14ac:dyDescent="0.2">
      <c r="G3249" s="199"/>
      <c r="I3249" s="199"/>
      <c r="K3249" s="199"/>
      <c r="M3249" s="199"/>
      <c r="N3249" s="200"/>
      <c r="P3249" s="199"/>
    </row>
    <row r="3250" spans="7:16" x14ac:dyDescent="0.2">
      <c r="G3250" s="199"/>
      <c r="I3250" s="199"/>
      <c r="K3250" s="199"/>
      <c r="M3250" s="199"/>
      <c r="N3250" s="200"/>
      <c r="P3250" s="199"/>
    </row>
    <row r="3251" spans="7:16" x14ac:dyDescent="0.2">
      <c r="G3251" s="199"/>
      <c r="I3251" s="199"/>
      <c r="K3251" s="199"/>
      <c r="M3251" s="199"/>
      <c r="N3251" s="200"/>
      <c r="P3251" s="199"/>
    </row>
    <row r="3252" spans="7:16" x14ac:dyDescent="0.2">
      <c r="G3252" s="199"/>
      <c r="I3252" s="199"/>
      <c r="K3252" s="199"/>
      <c r="M3252" s="199"/>
      <c r="N3252" s="200"/>
      <c r="P3252" s="199"/>
    </row>
    <row r="3253" spans="7:16" x14ac:dyDescent="0.2">
      <c r="G3253" s="199"/>
      <c r="I3253" s="199"/>
      <c r="K3253" s="199"/>
      <c r="M3253" s="199"/>
      <c r="N3253" s="200"/>
      <c r="P3253" s="199"/>
    </row>
    <row r="3254" spans="7:16" x14ac:dyDescent="0.2">
      <c r="G3254" s="199"/>
      <c r="I3254" s="199"/>
      <c r="K3254" s="199"/>
      <c r="M3254" s="199"/>
      <c r="N3254" s="200"/>
      <c r="P3254" s="199"/>
    </row>
    <row r="3255" spans="7:16" x14ac:dyDescent="0.2">
      <c r="G3255" s="199"/>
      <c r="I3255" s="199"/>
      <c r="K3255" s="199"/>
      <c r="M3255" s="199"/>
      <c r="N3255" s="200"/>
      <c r="P3255" s="199"/>
    </row>
    <row r="3256" spans="7:16" x14ac:dyDescent="0.2">
      <c r="G3256" s="199"/>
      <c r="I3256" s="199"/>
      <c r="K3256" s="199"/>
      <c r="M3256" s="199"/>
      <c r="N3256" s="200"/>
      <c r="P3256" s="199"/>
    </row>
    <row r="3257" spans="7:16" x14ac:dyDescent="0.2">
      <c r="G3257" s="199"/>
      <c r="I3257" s="199"/>
      <c r="K3257" s="199"/>
      <c r="M3257" s="199"/>
      <c r="N3257" s="200"/>
      <c r="P3257" s="199"/>
    </row>
    <row r="3258" spans="7:16" x14ac:dyDescent="0.2">
      <c r="G3258" s="199"/>
      <c r="I3258" s="199"/>
      <c r="K3258" s="199"/>
      <c r="M3258" s="199"/>
      <c r="N3258" s="200"/>
      <c r="P3258" s="199"/>
    </row>
    <row r="3259" spans="7:16" x14ac:dyDescent="0.2">
      <c r="G3259" s="199"/>
      <c r="I3259" s="199"/>
      <c r="K3259" s="199"/>
      <c r="M3259" s="199"/>
      <c r="N3259" s="200"/>
      <c r="P3259" s="199"/>
    </row>
    <row r="3260" spans="7:16" x14ac:dyDescent="0.2">
      <c r="G3260" s="199"/>
      <c r="I3260" s="199"/>
      <c r="K3260" s="199"/>
      <c r="M3260" s="199"/>
      <c r="N3260" s="200"/>
      <c r="P3260" s="199"/>
    </row>
    <row r="3261" spans="7:16" x14ac:dyDescent="0.2">
      <c r="G3261" s="199"/>
      <c r="I3261" s="199"/>
      <c r="K3261" s="199"/>
      <c r="M3261" s="199"/>
      <c r="N3261" s="200"/>
      <c r="P3261" s="199"/>
    </row>
    <row r="3262" spans="7:16" x14ac:dyDescent="0.2">
      <c r="G3262" s="199"/>
      <c r="I3262" s="199"/>
      <c r="K3262" s="199"/>
      <c r="M3262" s="199"/>
      <c r="N3262" s="200"/>
      <c r="P3262" s="199"/>
    </row>
    <row r="3263" spans="7:16" x14ac:dyDescent="0.2">
      <c r="G3263" s="199"/>
      <c r="I3263" s="199"/>
      <c r="K3263" s="199"/>
      <c r="M3263" s="199"/>
      <c r="N3263" s="200"/>
      <c r="P3263" s="199"/>
    </row>
    <row r="3264" spans="7:16" x14ac:dyDescent="0.2">
      <c r="G3264" s="199"/>
      <c r="I3264" s="199"/>
      <c r="K3264" s="199"/>
      <c r="M3264" s="199"/>
      <c r="N3264" s="200"/>
      <c r="P3264" s="199"/>
    </row>
    <row r="3265" spans="7:16" x14ac:dyDescent="0.2">
      <c r="G3265" s="199"/>
      <c r="I3265" s="199"/>
      <c r="K3265" s="199"/>
      <c r="M3265" s="199"/>
      <c r="N3265" s="200"/>
      <c r="P3265" s="199"/>
    </row>
    <row r="3266" spans="7:16" x14ac:dyDescent="0.2">
      <c r="G3266" s="199"/>
      <c r="I3266" s="199"/>
      <c r="K3266" s="199"/>
      <c r="M3266" s="199"/>
      <c r="N3266" s="200"/>
      <c r="P3266" s="199"/>
    </row>
    <row r="3267" spans="7:16" x14ac:dyDescent="0.2">
      <c r="G3267" s="199"/>
      <c r="I3267" s="199"/>
      <c r="K3267" s="199"/>
      <c r="M3267" s="199"/>
      <c r="N3267" s="200"/>
      <c r="P3267" s="199"/>
    </row>
    <row r="3268" spans="7:16" x14ac:dyDescent="0.2">
      <c r="G3268" s="199"/>
      <c r="I3268" s="199"/>
      <c r="K3268" s="199"/>
      <c r="M3268" s="199"/>
      <c r="N3268" s="200"/>
      <c r="P3268" s="199"/>
    </row>
    <row r="3269" spans="7:16" x14ac:dyDescent="0.2">
      <c r="G3269" s="199"/>
      <c r="I3269" s="199"/>
      <c r="K3269" s="199"/>
      <c r="M3269" s="199"/>
      <c r="N3269" s="200"/>
      <c r="P3269" s="199"/>
    </row>
    <row r="3270" spans="7:16" x14ac:dyDescent="0.2">
      <c r="G3270" s="199"/>
      <c r="I3270" s="199"/>
      <c r="K3270" s="199"/>
      <c r="M3270" s="199"/>
      <c r="N3270" s="200"/>
      <c r="P3270" s="199"/>
    </row>
    <row r="3271" spans="7:16" x14ac:dyDescent="0.2">
      <c r="G3271" s="199"/>
      <c r="I3271" s="199"/>
      <c r="K3271" s="199"/>
      <c r="M3271" s="199"/>
      <c r="N3271" s="200"/>
      <c r="P3271" s="199"/>
    </row>
    <row r="3272" spans="7:16" x14ac:dyDescent="0.2">
      <c r="G3272" s="199"/>
      <c r="I3272" s="199"/>
      <c r="K3272" s="199"/>
      <c r="M3272" s="199"/>
      <c r="N3272" s="200"/>
      <c r="P3272" s="199"/>
    </row>
    <row r="3273" spans="7:16" x14ac:dyDescent="0.2">
      <c r="G3273" s="199"/>
      <c r="I3273" s="199"/>
      <c r="K3273" s="199"/>
      <c r="M3273" s="199"/>
      <c r="N3273" s="200"/>
      <c r="P3273" s="199"/>
    </row>
    <row r="3274" spans="7:16" x14ac:dyDescent="0.2">
      <c r="G3274" s="199"/>
      <c r="I3274" s="199"/>
      <c r="K3274" s="199"/>
      <c r="M3274" s="199"/>
      <c r="N3274" s="200"/>
      <c r="P3274" s="199"/>
    </row>
    <row r="3275" spans="7:16" x14ac:dyDescent="0.2">
      <c r="G3275" s="199"/>
      <c r="I3275" s="199"/>
      <c r="K3275" s="199"/>
      <c r="M3275" s="199"/>
      <c r="N3275" s="200"/>
      <c r="P3275" s="199"/>
    </row>
    <row r="3276" spans="7:16" x14ac:dyDescent="0.2">
      <c r="G3276" s="199"/>
      <c r="I3276" s="199"/>
      <c r="K3276" s="199"/>
      <c r="M3276" s="199"/>
      <c r="N3276" s="200"/>
      <c r="P3276" s="199"/>
    </row>
    <row r="3277" spans="7:16" x14ac:dyDescent="0.2">
      <c r="G3277" s="199"/>
      <c r="I3277" s="199"/>
      <c r="K3277" s="199"/>
      <c r="M3277" s="199"/>
      <c r="N3277" s="200"/>
      <c r="P3277" s="199"/>
    </row>
    <row r="3278" spans="7:16" x14ac:dyDescent="0.2">
      <c r="G3278" s="199"/>
      <c r="I3278" s="199"/>
      <c r="K3278" s="199"/>
      <c r="M3278" s="199"/>
      <c r="N3278" s="200"/>
      <c r="P3278" s="199"/>
    </row>
    <row r="3279" spans="7:16" x14ac:dyDescent="0.2">
      <c r="G3279" s="199"/>
      <c r="I3279" s="199"/>
      <c r="K3279" s="199"/>
      <c r="M3279" s="199"/>
      <c r="N3279" s="200"/>
      <c r="P3279" s="199"/>
    </row>
    <row r="3280" spans="7:16" x14ac:dyDescent="0.2">
      <c r="G3280" s="199"/>
      <c r="I3280" s="199"/>
      <c r="K3280" s="199"/>
      <c r="M3280" s="199"/>
      <c r="N3280" s="200"/>
      <c r="P3280" s="199"/>
    </row>
    <row r="3281" spans="7:16" x14ac:dyDescent="0.2">
      <c r="G3281" s="199"/>
      <c r="I3281" s="199"/>
      <c r="K3281" s="199"/>
      <c r="M3281" s="199"/>
      <c r="N3281" s="200"/>
      <c r="P3281" s="199"/>
    </row>
    <row r="3282" spans="7:16" x14ac:dyDescent="0.2">
      <c r="G3282" s="199"/>
      <c r="I3282" s="199"/>
      <c r="K3282" s="199"/>
      <c r="M3282" s="199"/>
      <c r="N3282" s="200"/>
      <c r="P3282" s="199"/>
    </row>
    <row r="3283" spans="7:16" x14ac:dyDescent="0.2">
      <c r="G3283" s="199"/>
      <c r="I3283" s="199"/>
      <c r="K3283" s="199"/>
      <c r="M3283" s="199"/>
      <c r="N3283" s="200"/>
      <c r="P3283" s="199"/>
    </row>
    <row r="3284" spans="7:16" x14ac:dyDescent="0.2">
      <c r="G3284" s="199"/>
      <c r="I3284" s="199"/>
      <c r="K3284" s="199"/>
      <c r="M3284" s="199"/>
      <c r="N3284" s="200"/>
      <c r="P3284" s="199"/>
    </row>
    <row r="3285" spans="7:16" x14ac:dyDescent="0.2">
      <c r="G3285" s="199"/>
      <c r="I3285" s="199"/>
      <c r="K3285" s="199"/>
      <c r="M3285" s="199"/>
      <c r="N3285" s="200"/>
      <c r="P3285" s="199"/>
    </row>
    <row r="3286" spans="7:16" x14ac:dyDescent="0.2">
      <c r="G3286" s="199"/>
      <c r="I3286" s="199"/>
      <c r="K3286" s="199"/>
      <c r="M3286" s="199"/>
      <c r="N3286" s="200"/>
      <c r="P3286" s="199"/>
    </row>
    <row r="3287" spans="7:16" x14ac:dyDescent="0.2">
      <c r="G3287" s="199"/>
      <c r="I3287" s="199"/>
      <c r="K3287" s="199"/>
      <c r="M3287" s="199"/>
      <c r="N3287" s="200"/>
      <c r="P3287" s="199"/>
    </row>
    <row r="3288" spans="7:16" x14ac:dyDescent="0.2">
      <c r="G3288" s="199"/>
      <c r="I3288" s="199"/>
      <c r="K3288" s="199"/>
      <c r="M3288" s="199"/>
      <c r="N3288" s="200"/>
      <c r="P3288" s="199"/>
    </row>
    <row r="3289" spans="7:16" x14ac:dyDescent="0.2">
      <c r="G3289" s="199"/>
      <c r="I3289" s="199"/>
      <c r="K3289" s="199"/>
      <c r="M3289" s="199"/>
      <c r="N3289" s="200"/>
      <c r="P3289" s="199"/>
    </row>
    <row r="3290" spans="7:16" x14ac:dyDescent="0.2">
      <c r="G3290" s="199"/>
      <c r="I3290" s="199"/>
      <c r="K3290" s="199"/>
      <c r="M3290" s="199"/>
      <c r="N3290" s="200"/>
      <c r="P3290" s="199"/>
    </row>
    <row r="3291" spans="7:16" x14ac:dyDescent="0.2">
      <c r="G3291" s="199"/>
      <c r="I3291" s="199"/>
      <c r="K3291" s="199"/>
      <c r="M3291" s="199"/>
      <c r="N3291" s="200"/>
      <c r="P3291" s="199"/>
    </row>
    <row r="3292" spans="7:16" x14ac:dyDescent="0.2">
      <c r="G3292" s="199"/>
      <c r="I3292" s="199"/>
      <c r="K3292" s="199"/>
      <c r="M3292" s="199"/>
      <c r="N3292" s="200"/>
      <c r="P3292" s="199"/>
    </row>
    <row r="3293" spans="7:16" x14ac:dyDescent="0.2">
      <c r="G3293" s="199"/>
      <c r="I3293" s="199"/>
      <c r="K3293" s="199"/>
      <c r="M3293" s="199"/>
      <c r="N3293" s="200"/>
      <c r="P3293" s="199"/>
    </row>
    <row r="3294" spans="7:16" x14ac:dyDescent="0.2">
      <c r="G3294" s="199"/>
      <c r="I3294" s="199"/>
      <c r="K3294" s="199"/>
      <c r="M3294" s="199"/>
      <c r="N3294" s="200"/>
      <c r="P3294" s="199"/>
    </row>
    <row r="3295" spans="7:16" x14ac:dyDescent="0.2">
      <c r="G3295" s="199"/>
      <c r="I3295" s="199"/>
      <c r="K3295" s="199"/>
      <c r="M3295" s="199"/>
      <c r="N3295" s="200"/>
      <c r="P3295" s="199"/>
    </row>
    <row r="3296" spans="7:16" x14ac:dyDescent="0.2">
      <c r="G3296" s="199"/>
      <c r="I3296" s="199"/>
      <c r="K3296" s="199"/>
      <c r="M3296" s="199"/>
      <c r="N3296" s="200"/>
      <c r="P3296" s="199"/>
    </row>
    <row r="3297" spans="7:16" x14ac:dyDescent="0.2">
      <c r="G3297" s="199"/>
      <c r="I3297" s="199"/>
      <c r="K3297" s="199"/>
      <c r="M3297" s="199"/>
      <c r="N3297" s="200"/>
      <c r="P3297" s="199"/>
    </row>
    <row r="3298" spans="7:16" x14ac:dyDescent="0.2">
      <c r="G3298" s="199"/>
      <c r="I3298" s="199"/>
      <c r="K3298" s="199"/>
      <c r="M3298" s="199"/>
      <c r="N3298" s="200"/>
      <c r="P3298" s="199"/>
    </row>
    <row r="3299" spans="7:16" x14ac:dyDescent="0.2">
      <c r="G3299" s="199"/>
      <c r="I3299" s="199"/>
      <c r="K3299" s="199"/>
      <c r="M3299" s="199"/>
      <c r="N3299" s="200"/>
      <c r="P3299" s="199"/>
    </row>
    <row r="3300" spans="7:16" x14ac:dyDescent="0.2">
      <c r="G3300" s="199"/>
      <c r="I3300" s="199"/>
      <c r="K3300" s="199"/>
      <c r="M3300" s="199"/>
      <c r="N3300" s="200"/>
      <c r="P3300" s="199"/>
    </row>
    <row r="3301" spans="7:16" x14ac:dyDescent="0.2">
      <c r="G3301" s="199"/>
      <c r="I3301" s="199"/>
      <c r="K3301" s="199"/>
      <c r="M3301" s="199"/>
      <c r="N3301" s="200"/>
      <c r="P3301" s="199"/>
    </row>
    <row r="3302" spans="7:16" x14ac:dyDescent="0.2">
      <c r="G3302" s="199"/>
      <c r="I3302" s="199"/>
      <c r="K3302" s="199"/>
      <c r="M3302" s="199"/>
      <c r="N3302" s="200"/>
      <c r="P3302" s="199"/>
    </row>
    <row r="3303" spans="7:16" x14ac:dyDescent="0.2">
      <c r="G3303" s="199"/>
      <c r="I3303" s="199"/>
      <c r="K3303" s="199"/>
      <c r="M3303" s="199"/>
      <c r="N3303" s="200"/>
      <c r="P3303" s="199"/>
    </row>
    <row r="3304" spans="7:16" x14ac:dyDescent="0.2">
      <c r="G3304" s="199"/>
      <c r="I3304" s="199"/>
      <c r="K3304" s="199"/>
      <c r="M3304" s="199"/>
      <c r="N3304" s="200"/>
      <c r="P3304" s="199"/>
    </row>
    <row r="3305" spans="7:16" x14ac:dyDescent="0.2">
      <c r="G3305" s="199"/>
      <c r="I3305" s="199"/>
      <c r="K3305" s="199"/>
      <c r="M3305" s="199"/>
      <c r="N3305" s="200"/>
      <c r="P3305" s="199"/>
    </row>
    <row r="3306" spans="7:16" x14ac:dyDescent="0.2">
      <c r="G3306" s="199"/>
      <c r="I3306" s="199"/>
      <c r="K3306" s="199"/>
      <c r="M3306" s="199"/>
      <c r="N3306" s="200"/>
      <c r="P3306" s="199"/>
    </row>
    <row r="3307" spans="7:16" x14ac:dyDescent="0.2">
      <c r="G3307" s="199"/>
      <c r="I3307" s="199"/>
      <c r="K3307" s="199"/>
      <c r="M3307" s="199"/>
      <c r="N3307" s="200"/>
      <c r="P3307" s="199"/>
    </row>
    <row r="3308" spans="7:16" x14ac:dyDescent="0.2">
      <c r="G3308" s="199"/>
      <c r="I3308" s="199"/>
      <c r="K3308" s="199"/>
      <c r="M3308" s="199"/>
      <c r="N3308" s="200"/>
      <c r="P3308" s="199"/>
    </row>
    <row r="3309" spans="7:16" x14ac:dyDescent="0.2">
      <c r="G3309" s="199"/>
      <c r="I3309" s="199"/>
      <c r="K3309" s="199"/>
      <c r="M3309" s="199"/>
      <c r="N3309" s="200"/>
      <c r="P3309" s="199"/>
    </row>
    <row r="3310" spans="7:16" x14ac:dyDescent="0.2">
      <c r="G3310" s="199"/>
      <c r="I3310" s="199"/>
      <c r="K3310" s="199"/>
      <c r="M3310" s="199"/>
      <c r="N3310" s="200"/>
      <c r="P3310" s="199"/>
    </row>
    <row r="3311" spans="7:16" x14ac:dyDescent="0.2">
      <c r="G3311" s="199"/>
      <c r="I3311" s="199"/>
      <c r="K3311" s="199"/>
      <c r="M3311" s="199"/>
      <c r="N3311" s="200"/>
      <c r="P3311" s="199"/>
    </row>
    <row r="3312" spans="7:16" x14ac:dyDescent="0.2">
      <c r="G3312" s="199"/>
      <c r="I3312" s="199"/>
      <c r="K3312" s="199"/>
      <c r="M3312" s="199"/>
      <c r="N3312" s="200"/>
      <c r="P3312" s="199"/>
    </row>
    <row r="3313" spans="7:16" x14ac:dyDescent="0.2">
      <c r="G3313" s="199"/>
      <c r="I3313" s="199"/>
      <c r="K3313" s="199"/>
      <c r="M3313" s="199"/>
      <c r="N3313" s="200"/>
      <c r="P3313" s="199"/>
    </row>
    <row r="3314" spans="7:16" x14ac:dyDescent="0.2">
      <c r="G3314" s="199"/>
      <c r="I3314" s="199"/>
      <c r="K3314" s="199"/>
      <c r="M3314" s="199"/>
      <c r="N3314" s="200"/>
      <c r="P3314" s="199"/>
    </row>
    <row r="3315" spans="7:16" x14ac:dyDescent="0.2">
      <c r="G3315" s="199"/>
      <c r="I3315" s="199"/>
      <c r="K3315" s="199"/>
      <c r="M3315" s="199"/>
      <c r="N3315" s="200"/>
      <c r="P3315" s="199"/>
    </row>
    <row r="3316" spans="7:16" x14ac:dyDescent="0.2">
      <c r="G3316" s="199"/>
      <c r="I3316" s="199"/>
      <c r="K3316" s="199"/>
      <c r="M3316" s="199"/>
      <c r="N3316" s="200"/>
      <c r="P3316" s="199"/>
    </row>
    <row r="3317" spans="7:16" x14ac:dyDescent="0.2">
      <c r="G3317" s="199"/>
      <c r="I3317" s="199"/>
      <c r="K3317" s="199"/>
      <c r="M3317" s="199"/>
      <c r="N3317" s="200"/>
      <c r="P3317" s="199"/>
    </row>
    <row r="3318" spans="7:16" x14ac:dyDescent="0.2">
      <c r="G3318" s="199"/>
      <c r="I3318" s="199"/>
      <c r="K3318" s="199"/>
      <c r="M3318" s="199"/>
      <c r="N3318" s="200"/>
      <c r="P3318" s="199"/>
    </row>
    <row r="3319" spans="7:16" x14ac:dyDescent="0.2">
      <c r="G3319" s="199"/>
      <c r="I3319" s="199"/>
      <c r="K3319" s="199"/>
      <c r="M3319" s="199"/>
      <c r="N3319" s="200"/>
      <c r="P3319" s="199"/>
    </row>
    <row r="3320" spans="7:16" x14ac:dyDescent="0.2">
      <c r="G3320" s="199"/>
      <c r="I3320" s="199"/>
      <c r="K3320" s="199"/>
      <c r="M3320" s="199"/>
      <c r="N3320" s="200"/>
      <c r="P3320" s="199"/>
    </row>
    <row r="3321" spans="7:16" x14ac:dyDescent="0.2">
      <c r="G3321" s="199"/>
      <c r="I3321" s="199"/>
      <c r="K3321" s="199"/>
      <c r="M3321" s="199"/>
      <c r="N3321" s="200"/>
      <c r="P3321" s="199"/>
    </row>
    <row r="3322" spans="7:16" x14ac:dyDescent="0.2">
      <c r="G3322" s="199"/>
      <c r="I3322" s="199"/>
      <c r="K3322" s="199"/>
      <c r="M3322" s="199"/>
      <c r="N3322" s="200"/>
      <c r="P3322" s="199"/>
    </row>
    <row r="3323" spans="7:16" x14ac:dyDescent="0.2">
      <c r="G3323" s="199"/>
      <c r="I3323" s="199"/>
      <c r="K3323" s="199"/>
      <c r="M3323" s="199"/>
      <c r="N3323" s="200"/>
      <c r="P3323" s="199"/>
    </row>
    <row r="3324" spans="7:16" x14ac:dyDescent="0.2">
      <c r="G3324" s="199"/>
      <c r="I3324" s="199"/>
      <c r="K3324" s="199"/>
      <c r="M3324" s="199"/>
      <c r="N3324" s="200"/>
      <c r="P3324" s="199"/>
    </row>
    <row r="3325" spans="7:16" x14ac:dyDescent="0.2">
      <c r="G3325" s="199"/>
      <c r="I3325" s="199"/>
      <c r="K3325" s="199"/>
      <c r="M3325" s="199"/>
      <c r="N3325" s="200"/>
      <c r="P3325" s="199"/>
    </row>
    <row r="3326" spans="7:16" x14ac:dyDescent="0.2">
      <c r="G3326" s="199"/>
      <c r="I3326" s="199"/>
      <c r="K3326" s="199"/>
      <c r="M3326" s="199"/>
      <c r="N3326" s="200"/>
      <c r="P3326" s="199"/>
    </row>
    <row r="3327" spans="7:16" x14ac:dyDescent="0.2">
      <c r="G3327" s="199"/>
      <c r="I3327" s="199"/>
      <c r="K3327" s="199"/>
      <c r="M3327" s="199"/>
      <c r="N3327" s="200"/>
      <c r="P3327" s="199"/>
    </row>
    <row r="3328" spans="7:16" x14ac:dyDescent="0.2">
      <c r="G3328" s="199"/>
      <c r="I3328" s="199"/>
      <c r="K3328" s="199"/>
      <c r="M3328" s="199"/>
      <c r="N3328" s="200"/>
      <c r="P3328" s="199"/>
    </row>
    <row r="3329" spans="7:16" x14ac:dyDescent="0.2">
      <c r="G3329" s="199"/>
      <c r="I3329" s="199"/>
      <c r="K3329" s="199"/>
      <c r="M3329" s="199"/>
      <c r="N3329" s="200"/>
      <c r="P3329" s="199"/>
    </row>
    <row r="3330" spans="7:16" x14ac:dyDescent="0.2">
      <c r="G3330" s="199"/>
      <c r="I3330" s="199"/>
      <c r="K3330" s="199"/>
      <c r="M3330" s="199"/>
      <c r="N3330" s="200"/>
      <c r="P3330" s="199"/>
    </row>
    <row r="3331" spans="7:16" x14ac:dyDescent="0.2">
      <c r="G3331" s="199"/>
      <c r="I3331" s="199"/>
      <c r="K3331" s="199"/>
      <c r="M3331" s="199"/>
      <c r="N3331" s="200"/>
      <c r="P3331" s="199"/>
    </row>
    <row r="3332" spans="7:16" x14ac:dyDescent="0.2">
      <c r="G3332" s="199"/>
      <c r="I3332" s="199"/>
      <c r="K3332" s="199"/>
      <c r="M3332" s="199"/>
      <c r="N3332" s="200"/>
      <c r="P3332" s="199"/>
    </row>
    <row r="3333" spans="7:16" x14ac:dyDescent="0.2">
      <c r="G3333" s="199"/>
      <c r="I3333" s="199"/>
      <c r="K3333" s="199"/>
      <c r="M3333" s="199"/>
      <c r="N3333" s="200"/>
      <c r="P3333" s="199"/>
    </row>
    <row r="3334" spans="7:16" x14ac:dyDescent="0.2">
      <c r="G3334" s="199"/>
      <c r="I3334" s="199"/>
      <c r="K3334" s="199"/>
      <c r="M3334" s="199"/>
      <c r="N3334" s="200"/>
      <c r="P3334" s="199"/>
    </row>
    <row r="3335" spans="7:16" x14ac:dyDescent="0.2">
      <c r="G3335" s="199"/>
      <c r="I3335" s="199"/>
      <c r="K3335" s="199"/>
      <c r="M3335" s="199"/>
      <c r="N3335" s="200"/>
      <c r="P3335" s="199"/>
    </row>
    <row r="3336" spans="7:16" x14ac:dyDescent="0.2">
      <c r="G3336" s="199"/>
      <c r="I3336" s="199"/>
      <c r="K3336" s="199"/>
      <c r="M3336" s="199"/>
      <c r="N3336" s="200"/>
      <c r="P3336" s="199"/>
    </row>
    <row r="3337" spans="7:16" x14ac:dyDescent="0.2">
      <c r="G3337" s="199"/>
      <c r="I3337" s="199"/>
      <c r="K3337" s="199"/>
      <c r="M3337" s="199"/>
      <c r="N3337" s="200"/>
      <c r="P3337" s="199"/>
    </row>
    <row r="3338" spans="7:16" x14ac:dyDescent="0.2">
      <c r="G3338" s="199"/>
      <c r="I3338" s="199"/>
      <c r="K3338" s="199"/>
      <c r="M3338" s="199"/>
      <c r="N3338" s="200"/>
      <c r="P3338" s="199"/>
    </row>
    <row r="3339" spans="7:16" x14ac:dyDescent="0.2">
      <c r="G3339" s="199"/>
      <c r="I3339" s="199"/>
      <c r="K3339" s="199"/>
      <c r="M3339" s="199"/>
      <c r="N3339" s="200"/>
      <c r="P3339" s="199"/>
    </row>
    <row r="3340" spans="7:16" x14ac:dyDescent="0.2">
      <c r="G3340" s="199"/>
      <c r="I3340" s="199"/>
      <c r="K3340" s="199"/>
      <c r="M3340" s="199"/>
      <c r="N3340" s="200"/>
      <c r="P3340" s="199"/>
    </row>
    <row r="3341" spans="7:16" x14ac:dyDescent="0.2">
      <c r="G3341" s="199"/>
      <c r="I3341" s="199"/>
      <c r="K3341" s="199"/>
      <c r="M3341" s="199"/>
      <c r="N3341" s="200"/>
      <c r="P3341" s="199"/>
    </row>
    <row r="3342" spans="7:16" x14ac:dyDescent="0.2">
      <c r="G3342" s="199"/>
      <c r="I3342" s="199"/>
      <c r="K3342" s="199"/>
      <c r="M3342" s="199"/>
      <c r="N3342" s="200"/>
      <c r="P3342" s="199"/>
    </row>
    <row r="3343" spans="7:16" x14ac:dyDescent="0.2">
      <c r="G3343" s="199"/>
      <c r="I3343" s="199"/>
      <c r="K3343" s="199"/>
      <c r="M3343" s="199"/>
      <c r="N3343" s="200"/>
      <c r="P3343" s="199"/>
    </row>
    <row r="3344" spans="7:16" x14ac:dyDescent="0.2">
      <c r="G3344" s="199"/>
      <c r="I3344" s="199"/>
      <c r="K3344" s="199"/>
      <c r="M3344" s="199"/>
      <c r="N3344" s="200"/>
      <c r="P3344" s="199"/>
    </row>
    <row r="3345" spans="7:16" x14ac:dyDescent="0.2">
      <c r="G3345" s="199"/>
      <c r="I3345" s="199"/>
      <c r="K3345" s="199"/>
      <c r="M3345" s="199"/>
      <c r="N3345" s="200"/>
      <c r="P3345" s="199"/>
    </row>
    <row r="3346" spans="7:16" x14ac:dyDescent="0.2">
      <c r="G3346" s="199"/>
      <c r="I3346" s="199"/>
      <c r="K3346" s="199"/>
      <c r="M3346" s="199"/>
      <c r="N3346" s="200"/>
      <c r="P3346" s="199"/>
    </row>
    <row r="3347" spans="7:16" x14ac:dyDescent="0.2">
      <c r="G3347" s="199"/>
      <c r="I3347" s="199"/>
      <c r="K3347" s="199"/>
      <c r="M3347" s="199"/>
      <c r="N3347" s="200"/>
      <c r="P3347" s="199"/>
    </row>
    <row r="3348" spans="7:16" x14ac:dyDescent="0.2">
      <c r="G3348" s="199"/>
      <c r="I3348" s="199"/>
      <c r="K3348" s="199"/>
      <c r="M3348" s="199"/>
      <c r="N3348" s="200"/>
      <c r="P3348" s="199"/>
    </row>
    <row r="3349" spans="7:16" x14ac:dyDescent="0.2">
      <c r="G3349" s="199"/>
      <c r="I3349" s="199"/>
      <c r="K3349" s="199"/>
      <c r="M3349" s="199"/>
      <c r="N3349" s="200"/>
      <c r="P3349" s="199"/>
    </row>
    <row r="3350" spans="7:16" x14ac:dyDescent="0.2">
      <c r="G3350" s="199"/>
      <c r="I3350" s="199"/>
      <c r="K3350" s="199"/>
      <c r="M3350" s="199"/>
      <c r="N3350" s="200"/>
      <c r="P3350" s="199"/>
    </row>
    <row r="3351" spans="7:16" x14ac:dyDescent="0.2">
      <c r="G3351" s="199"/>
      <c r="I3351" s="199"/>
      <c r="K3351" s="199"/>
      <c r="M3351" s="199"/>
      <c r="N3351" s="200"/>
      <c r="P3351" s="199"/>
    </row>
    <row r="3352" spans="7:16" x14ac:dyDescent="0.2">
      <c r="G3352" s="199"/>
      <c r="I3352" s="199"/>
      <c r="K3352" s="199"/>
      <c r="M3352" s="199"/>
      <c r="N3352" s="200"/>
      <c r="P3352" s="199"/>
    </row>
    <row r="3353" spans="7:16" x14ac:dyDescent="0.2">
      <c r="G3353" s="199"/>
      <c r="I3353" s="199"/>
      <c r="K3353" s="199"/>
      <c r="M3353" s="199"/>
      <c r="N3353" s="200"/>
      <c r="P3353" s="199"/>
    </row>
    <row r="3354" spans="7:16" x14ac:dyDescent="0.2">
      <c r="G3354" s="199"/>
      <c r="I3354" s="199"/>
      <c r="K3354" s="199"/>
      <c r="M3354" s="199"/>
      <c r="N3354" s="200"/>
      <c r="P3354" s="199"/>
    </row>
    <row r="3355" spans="7:16" x14ac:dyDescent="0.2">
      <c r="G3355" s="199"/>
      <c r="I3355" s="199"/>
      <c r="K3355" s="199"/>
      <c r="M3355" s="199"/>
      <c r="N3355" s="200"/>
      <c r="P3355" s="199"/>
    </row>
    <row r="3356" spans="7:16" x14ac:dyDescent="0.2">
      <c r="G3356" s="199"/>
      <c r="I3356" s="199"/>
      <c r="K3356" s="199"/>
      <c r="M3356" s="199"/>
      <c r="N3356" s="200"/>
      <c r="P3356" s="199"/>
    </row>
    <row r="3357" spans="7:16" x14ac:dyDescent="0.2">
      <c r="G3357" s="199"/>
      <c r="I3357" s="199"/>
      <c r="K3357" s="199"/>
      <c r="M3357" s="199"/>
      <c r="N3357" s="200"/>
      <c r="P3357" s="199"/>
    </row>
    <row r="3358" spans="7:16" x14ac:dyDescent="0.2">
      <c r="G3358" s="199"/>
      <c r="I3358" s="199"/>
      <c r="K3358" s="199"/>
      <c r="M3358" s="199"/>
      <c r="N3358" s="200"/>
      <c r="P3358" s="199"/>
    </row>
    <row r="3359" spans="7:16" x14ac:dyDescent="0.2">
      <c r="G3359" s="199"/>
      <c r="I3359" s="199"/>
      <c r="K3359" s="199"/>
      <c r="M3359" s="199"/>
      <c r="N3359" s="200"/>
      <c r="P3359" s="199"/>
    </row>
    <row r="3360" spans="7:16" x14ac:dyDescent="0.2">
      <c r="G3360" s="199"/>
      <c r="I3360" s="199"/>
      <c r="K3360" s="199"/>
      <c r="M3360" s="199"/>
      <c r="N3360" s="200"/>
      <c r="P3360" s="199"/>
    </row>
    <row r="3361" spans="7:16" x14ac:dyDescent="0.2">
      <c r="G3361" s="199"/>
      <c r="I3361" s="199"/>
      <c r="K3361" s="199"/>
      <c r="M3361" s="199"/>
      <c r="N3361" s="200"/>
      <c r="P3361" s="199"/>
    </row>
    <row r="3362" spans="7:16" x14ac:dyDescent="0.2">
      <c r="G3362" s="199"/>
      <c r="I3362" s="199"/>
      <c r="K3362" s="199"/>
      <c r="M3362" s="199"/>
      <c r="N3362" s="200"/>
      <c r="P3362" s="199"/>
    </row>
    <row r="3363" spans="7:16" x14ac:dyDescent="0.2">
      <c r="G3363" s="199"/>
      <c r="I3363" s="199"/>
      <c r="K3363" s="199"/>
      <c r="M3363" s="199"/>
      <c r="N3363" s="200"/>
      <c r="P3363" s="199"/>
    </row>
    <row r="3364" spans="7:16" x14ac:dyDescent="0.2">
      <c r="G3364" s="199"/>
      <c r="I3364" s="199"/>
      <c r="K3364" s="199"/>
      <c r="M3364" s="199"/>
      <c r="N3364" s="200"/>
      <c r="P3364" s="199"/>
    </row>
    <row r="3365" spans="7:16" x14ac:dyDescent="0.2">
      <c r="G3365" s="199"/>
      <c r="I3365" s="199"/>
      <c r="K3365" s="199"/>
      <c r="M3365" s="199"/>
      <c r="N3365" s="200"/>
      <c r="P3365" s="199"/>
    </row>
    <row r="3366" spans="7:16" x14ac:dyDescent="0.2">
      <c r="G3366" s="199"/>
      <c r="I3366" s="199"/>
      <c r="K3366" s="199"/>
      <c r="M3366" s="199"/>
      <c r="N3366" s="200"/>
      <c r="P3366" s="199"/>
    </row>
    <row r="3367" spans="7:16" x14ac:dyDescent="0.2">
      <c r="G3367" s="199"/>
      <c r="I3367" s="199"/>
      <c r="K3367" s="199"/>
      <c r="M3367" s="199"/>
      <c r="N3367" s="200"/>
      <c r="P3367" s="199"/>
    </row>
    <row r="3368" spans="7:16" x14ac:dyDescent="0.2">
      <c r="G3368" s="199"/>
      <c r="I3368" s="199"/>
      <c r="K3368" s="199"/>
      <c r="M3368" s="199"/>
      <c r="N3368" s="200"/>
      <c r="P3368" s="199"/>
    </row>
    <row r="3369" spans="7:16" x14ac:dyDescent="0.2">
      <c r="G3369" s="199"/>
      <c r="I3369" s="199"/>
      <c r="K3369" s="199"/>
      <c r="M3369" s="199"/>
      <c r="N3369" s="200"/>
      <c r="P3369" s="199"/>
    </row>
    <row r="3370" spans="7:16" x14ac:dyDescent="0.2">
      <c r="G3370" s="199"/>
      <c r="I3370" s="199"/>
      <c r="K3370" s="199"/>
      <c r="M3370" s="199"/>
      <c r="N3370" s="200"/>
      <c r="P3370" s="199"/>
    </row>
    <row r="3371" spans="7:16" x14ac:dyDescent="0.2">
      <c r="G3371" s="199"/>
      <c r="I3371" s="199"/>
      <c r="K3371" s="199"/>
      <c r="M3371" s="199"/>
      <c r="N3371" s="200"/>
      <c r="P3371" s="199"/>
    </row>
    <row r="3372" spans="7:16" x14ac:dyDescent="0.2">
      <c r="G3372" s="199"/>
      <c r="I3372" s="199"/>
      <c r="K3372" s="199"/>
      <c r="M3372" s="199"/>
      <c r="N3372" s="200"/>
      <c r="P3372" s="199"/>
    </row>
    <row r="3373" spans="7:16" x14ac:dyDescent="0.2">
      <c r="G3373" s="199"/>
      <c r="I3373" s="199"/>
      <c r="K3373" s="199"/>
      <c r="M3373" s="199"/>
      <c r="N3373" s="200"/>
      <c r="P3373" s="199"/>
    </row>
    <row r="3374" spans="7:16" x14ac:dyDescent="0.2">
      <c r="G3374" s="199"/>
      <c r="I3374" s="199"/>
      <c r="K3374" s="199"/>
      <c r="M3374" s="199"/>
      <c r="N3374" s="200"/>
      <c r="P3374" s="199"/>
    </row>
    <row r="3375" spans="7:16" x14ac:dyDescent="0.2">
      <c r="G3375" s="199"/>
      <c r="I3375" s="199"/>
      <c r="K3375" s="199"/>
      <c r="M3375" s="199"/>
      <c r="N3375" s="200"/>
      <c r="P3375" s="199"/>
    </row>
    <row r="3376" spans="7:16" x14ac:dyDescent="0.2">
      <c r="G3376" s="199"/>
      <c r="I3376" s="199"/>
      <c r="K3376" s="199"/>
      <c r="M3376" s="199"/>
      <c r="N3376" s="200"/>
      <c r="P3376" s="199"/>
    </row>
    <row r="3377" spans="7:16" x14ac:dyDescent="0.2">
      <c r="G3377" s="199"/>
      <c r="I3377" s="199"/>
      <c r="K3377" s="199"/>
      <c r="M3377" s="199"/>
      <c r="N3377" s="200"/>
      <c r="P3377" s="199"/>
    </row>
    <row r="3378" spans="7:16" x14ac:dyDescent="0.2">
      <c r="G3378" s="199"/>
      <c r="I3378" s="199"/>
      <c r="K3378" s="199"/>
      <c r="M3378" s="199"/>
      <c r="N3378" s="200"/>
      <c r="P3378" s="199"/>
    </row>
    <row r="3379" spans="7:16" x14ac:dyDescent="0.2">
      <c r="G3379" s="199"/>
      <c r="I3379" s="199"/>
      <c r="K3379" s="199"/>
      <c r="M3379" s="199"/>
      <c r="N3379" s="200"/>
      <c r="P3379" s="199"/>
    </row>
    <row r="3380" spans="7:16" x14ac:dyDescent="0.2">
      <c r="G3380" s="199"/>
      <c r="I3380" s="199"/>
      <c r="K3380" s="199"/>
      <c r="M3380" s="199"/>
      <c r="N3380" s="200"/>
      <c r="P3380" s="199"/>
    </row>
    <row r="3381" spans="7:16" x14ac:dyDescent="0.2">
      <c r="G3381" s="199"/>
      <c r="I3381" s="199"/>
      <c r="K3381" s="199"/>
      <c r="M3381" s="199"/>
      <c r="N3381" s="200"/>
      <c r="P3381" s="199"/>
    </row>
    <row r="3382" spans="7:16" x14ac:dyDescent="0.2">
      <c r="G3382" s="199"/>
      <c r="I3382" s="199"/>
      <c r="K3382" s="199"/>
      <c r="M3382" s="199"/>
      <c r="N3382" s="200"/>
      <c r="P3382" s="199"/>
    </row>
    <row r="3383" spans="7:16" x14ac:dyDescent="0.2">
      <c r="G3383" s="199"/>
      <c r="I3383" s="199"/>
      <c r="K3383" s="199"/>
      <c r="M3383" s="199"/>
      <c r="N3383" s="200"/>
      <c r="P3383" s="199"/>
    </row>
    <row r="3384" spans="7:16" x14ac:dyDescent="0.2">
      <c r="G3384" s="199"/>
      <c r="I3384" s="199"/>
      <c r="K3384" s="199"/>
      <c r="M3384" s="199"/>
      <c r="N3384" s="200"/>
      <c r="P3384" s="199"/>
    </row>
    <row r="3385" spans="7:16" x14ac:dyDescent="0.2">
      <c r="G3385" s="199"/>
      <c r="I3385" s="199"/>
      <c r="K3385" s="199"/>
      <c r="M3385" s="199"/>
      <c r="N3385" s="200"/>
      <c r="P3385" s="199"/>
    </row>
    <row r="3386" spans="7:16" x14ac:dyDescent="0.2">
      <c r="G3386" s="199"/>
      <c r="I3386" s="199"/>
      <c r="K3386" s="199"/>
      <c r="M3386" s="199"/>
      <c r="N3386" s="200"/>
      <c r="P3386" s="199"/>
    </row>
    <row r="3387" spans="7:16" x14ac:dyDescent="0.2">
      <c r="G3387" s="199"/>
      <c r="I3387" s="199"/>
      <c r="K3387" s="199"/>
      <c r="M3387" s="199"/>
      <c r="N3387" s="200"/>
      <c r="P3387" s="199"/>
    </row>
    <row r="3388" spans="7:16" x14ac:dyDescent="0.2">
      <c r="G3388" s="199"/>
      <c r="I3388" s="199"/>
      <c r="K3388" s="199"/>
      <c r="M3388" s="199"/>
      <c r="N3388" s="200"/>
      <c r="P3388" s="199"/>
    </row>
    <row r="3389" spans="7:16" x14ac:dyDescent="0.2">
      <c r="G3389" s="199"/>
      <c r="I3389" s="199"/>
      <c r="K3389" s="199"/>
      <c r="M3389" s="199"/>
      <c r="N3389" s="200"/>
      <c r="P3389" s="199"/>
    </row>
    <row r="3390" spans="7:16" x14ac:dyDescent="0.2">
      <c r="G3390" s="199"/>
      <c r="I3390" s="199"/>
      <c r="K3390" s="199"/>
      <c r="M3390" s="199"/>
      <c r="N3390" s="200"/>
      <c r="P3390" s="199"/>
    </row>
    <row r="3391" spans="7:16" x14ac:dyDescent="0.2">
      <c r="G3391" s="199"/>
      <c r="I3391" s="199"/>
      <c r="K3391" s="199"/>
      <c r="M3391" s="199"/>
      <c r="N3391" s="200"/>
      <c r="P3391" s="199"/>
    </row>
    <row r="3392" spans="7:16" x14ac:dyDescent="0.2">
      <c r="G3392" s="199"/>
      <c r="I3392" s="199"/>
      <c r="K3392" s="199"/>
      <c r="M3392" s="199"/>
      <c r="N3392" s="200"/>
      <c r="P3392" s="199"/>
    </row>
    <row r="3393" spans="7:16" x14ac:dyDescent="0.2">
      <c r="G3393" s="199"/>
      <c r="I3393" s="199"/>
      <c r="K3393" s="199"/>
      <c r="M3393" s="199"/>
      <c r="N3393" s="200"/>
      <c r="P3393" s="199"/>
    </row>
    <row r="3394" spans="7:16" x14ac:dyDescent="0.2">
      <c r="G3394" s="199"/>
      <c r="I3394" s="199"/>
      <c r="K3394" s="199"/>
      <c r="M3394" s="199"/>
      <c r="N3394" s="200"/>
      <c r="P3394" s="199"/>
    </row>
    <row r="3395" spans="7:16" x14ac:dyDescent="0.2">
      <c r="G3395" s="199"/>
      <c r="I3395" s="199"/>
      <c r="K3395" s="199"/>
      <c r="M3395" s="199"/>
      <c r="N3395" s="200"/>
      <c r="P3395" s="199"/>
    </row>
    <row r="3396" spans="7:16" x14ac:dyDescent="0.2">
      <c r="G3396" s="199"/>
      <c r="I3396" s="199"/>
      <c r="K3396" s="199"/>
      <c r="M3396" s="199"/>
      <c r="N3396" s="200"/>
      <c r="P3396" s="199"/>
    </row>
    <row r="3397" spans="7:16" x14ac:dyDescent="0.2">
      <c r="G3397" s="199"/>
      <c r="I3397" s="199"/>
      <c r="K3397" s="199"/>
      <c r="M3397" s="199"/>
      <c r="N3397" s="200"/>
      <c r="P3397" s="199"/>
    </row>
    <row r="3398" spans="7:16" x14ac:dyDescent="0.2">
      <c r="G3398" s="199"/>
      <c r="I3398" s="199"/>
      <c r="K3398" s="199"/>
      <c r="M3398" s="199"/>
      <c r="N3398" s="200"/>
      <c r="P3398" s="199"/>
    </row>
    <row r="3399" spans="7:16" x14ac:dyDescent="0.2">
      <c r="G3399" s="199"/>
      <c r="I3399" s="199"/>
      <c r="K3399" s="199"/>
      <c r="M3399" s="199"/>
      <c r="N3399" s="200"/>
      <c r="P3399" s="199"/>
    </row>
    <row r="3400" spans="7:16" x14ac:dyDescent="0.2">
      <c r="G3400" s="199"/>
      <c r="I3400" s="199"/>
      <c r="K3400" s="199"/>
      <c r="M3400" s="199"/>
      <c r="N3400" s="200"/>
      <c r="P3400" s="199"/>
    </row>
    <row r="3401" spans="7:16" x14ac:dyDescent="0.2">
      <c r="G3401" s="199"/>
      <c r="I3401" s="199"/>
      <c r="K3401" s="199"/>
      <c r="M3401" s="199"/>
      <c r="N3401" s="200"/>
      <c r="P3401" s="199"/>
    </row>
    <row r="3402" spans="7:16" x14ac:dyDescent="0.2">
      <c r="G3402" s="199"/>
      <c r="I3402" s="199"/>
      <c r="K3402" s="199"/>
      <c r="M3402" s="199"/>
      <c r="N3402" s="200"/>
      <c r="P3402" s="199"/>
    </row>
    <row r="3403" spans="7:16" x14ac:dyDescent="0.2">
      <c r="G3403" s="199"/>
      <c r="I3403" s="199"/>
      <c r="K3403" s="199"/>
      <c r="M3403" s="199"/>
      <c r="N3403" s="200"/>
      <c r="P3403" s="199"/>
    </row>
    <row r="3404" spans="7:16" x14ac:dyDescent="0.2">
      <c r="G3404" s="199"/>
      <c r="I3404" s="199"/>
      <c r="K3404" s="199"/>
      <c r="M3404" s="199"/>
      <c r="N3404" s="200"/>
      <c r="P3404" s="199"/>
    </row>
    <row r="3405" spans="7:16" x14ac:dyDescent="0.2">
      <c r="G3405" s="199"/>
      <c r="I3405" s="199"/>
      <c r="K3405" s="199"/>
      <c r="M3405" s="199"/>
      <c r="N3405" s="200"/>
      <c r="P3405" s="199"/>
    </row>
    <row r="3406" spans="7:16" x14ac:dyDescent="0.2">
      <c r="G3406" s="199"/>
      <c r="I3406" s="199"/>
      <c r="K3406" s="199"/>
      <c r="M3406" s="199"/>
      <c r="N3406" s="200"/>
      <c r="P3406" s="199"/>
    </row>
    <row r="3407" spans="7:16" x14ac:dyDescent="0.2">
      <c r="G3407" s="199"/>
      <c r="I3407" s="199"/>
      <c r="K3407" s="199"/>
      <c r="M3407" s="199"/>
      <c r="N3407" s="200"/>
      <c r="P3407" s="199"/>
    </row>
    <row r="3408" spans="7:16" x14ac:dyDescent="0.2">
      <c r="G3408" s="199"/>
      <c r="I3408" s="199"/>
      <c r="K3408" s="199"/>
      <c r="M3408" s="199"/>
      <c r="N3408" s="200"/>
      <c r="P3408" s="199"/>
    </row>
    <row r="3409" spans="7:16" x14ac:dyDescent="0.2">
      <c r="G3409" s="199"/>
      <c r="I3409" s="199"/>
      <c r="K3409" s="199"/>
      <c r="M3409" s="199"/>
      <c r="N3409" s="200"/>
      <c r="P3409" s="199"/>
    </row>
    <row r="3410" spans="7:16" x14ac:dyDescent="0.2">
      <c r="G3410" s="199"/>
      <c r="I3410" s="199"/>
      <c r="K3410" s="199"/>
      <c r="M3410" s="199"/>
      <c r="N3410" s="200"/>
      <c r="P3410" s="199"/>
    </row>
    <row r="3411" spans="7:16" x14ac:dyDescent="0.2">
      <c r="G3411" s="199"/>
      <c r="I3411" s="199"/>
      <c r="K3411" s="199"/>
      <c r="M3411" s="199"/>
      <c r="N3411" s="200"/>
      <c r="P3411" s="199"/>
    </row>
    <row r="3412" spans="7:16" x14ac:dyDescent="0.2">
      <c r="G3412" s="199"/>
      <c r="I3412" s="199"/>
      <c r="K3412" s="199"/>
      <c r="M3412" s="199"/>
      <c r="N3412" s="200"/>
      <c r="P3412" s="199"/>
    </row>
    <row r="3413" spans="7:16" x14ac:dyDescent="0.2">
      <c r="G3413" s="199"/>
      <c r="I3413" s="199"/>
      <c r="K3413" s="199"/>
      <c r="M3413" s="199"/>
      <c r="N3413" s="200"/>
      <c r="P3413" s="199"/>
    </row>
    <row r="3414" spans="7:16" x14ac:dyDescent="0.2">
      <c r="G3414" s="199"/>
      <c r="I3414" s="199"/>
      <c r="K3414" s="199"/>
      <c r="M3414" s="199"/>
      <c r="N3414" s="200"/>
      <c r="P3414" s="199"/>
    </row>
    <row r="3415" spans="7:16" x14ac:dyDescent="0.2">
      <c r="G3415" s="199"/>
      <c r="I3415" s="199"/>
      <c r="K3415" s="199"/>
      <c r="M3415" s="199"/>
      <c r="N3415" s="200"/>
      <c r="P3415" s="199"/>
    </row>
    <row r="3416" spans="7:16" x14ac:dyDescent="0.2">
      <c r="G3416" s="199"/>
      <c r="I3416" s="199"/>
      <c r="K3416" s="199"/>
      <c r="M3416" s="199"/>
      <c r="N3416" s="200"/>
      <c r="P3416" s="199"/>
    </row>
    <row r="3417" spans="7:16" x14ac:dyDescent="0.2">
      <c r="G3417" s="199"/>
      <c r="I3417" s="199"/>
      <c r="K3417" s="199"/>
      <c r="M3417" s="199"/>
      <c r="N3417" s="200"/>
      <c r="P3417" s="199"/>
    </row>
    <row r="3418" spans="7:16" x14ac:dyDescent="0.2">
      <c r="G3418" s="199"/>
      <c r="I3418" s="199"/>
      <c r="K3418" s="199"/>
      <c r="M3418" s="199"/>
      <c r="N3418" s="200"/>
      <c r="P3418" s="199"/>
    </row>
    <row r="3419" spans="7:16" x14ac:dyDescent="0.2">
      <c r="G3419" s="199"/>
      <c r="I3419" s="199"/>
      <c r="K3419" s="199"/>
      <c r="M3419" s="199"/>
      <c r="N3419" s="200"/>
      <c r="P3419" s="199"/>
    </row>
    <row r="3420" spans="7:16" x14ac:dyDescent="0.2">
      <c r="G3420" s="199"/>
      <c r="I3420" s="199"/>
      <c r="K3420" s="199"/>
      <c r="M3420" s="199"/>
      <c r="N3420" s="200"/>
      <c r="P3420" s="199"/>
    </row>
    <row r="3421" spans="7:16" x14ac:dyDescent="0.2">
      <c r="G3421" s="199"/>
      <c r="I3421" s="199"/>
      <c r="K3421" s="199"/>
      <c r="M3421" s="199"/>
      <c r="N3421" s="200"/>
      <c r="P3421" s="199"/>
    </row>
    <row r="3422" spans="7:16" x14ac:dyDescent="0.2">
      <c r="G3422" s="199"/>
      <c r="I3422" s="199"/>
      <c r="K3422" s="199"/>
      <c r="M3422" s="199"/>
      <c r="N3422" s="200"/>
      <c r="P3422" s="199"/>
    </row>
    <row r="3423" spans="7:16" x14ac:dyDescent="0.2">
      <c r="G3423" s="199"/>
      <c r="I3423" s="199"/>
      <c r="K3423" s="199"/>
      <c r="M3423" s="199"/>
      <c r="N3423" s="200"/>
      <c r="P3423" s="199"/>
    </row>
    <row r="3424" spans="7:16" x14ac:dyDescent="0.2">
      <c r="G3424" s="199"/>
      <c r="I3424" s="199"/>
      <c r="K3424" s="199"/>
      <c r="M3424" s="199"/>
      <c r="N3424" s="200"/>
      <c r="P3424" s="199"/>
    </row>
    <row r="3425" spans="7:16" x14ac:dyDescent="0.2">
      <c r="G3425" s="199"/>
      <c r="I3425" s="199"/>
      <c r="K3425" s="199"/>
      <c r="M3425" s="199"/>
      <c r="N3425" s="200"/>
      <c r="P3425" s="199"/>
    </row>
    <row r="3426" spans="7:16" x14ac:dyDescent="0.2">
      <c r="G3426" s="199"/>
      <c r="I3426" s="199"/>
      <c r="K3426" s="199"/>
      <c r="M3426" s="199"/>
      <c r="N3426" s="200"/>
      <c r="P3426" s="199"/>
    </row>
    <row r="3427" spans="7:16" x14ac:dyDescent="0.2">
      <c r="G3427" s="199"/>
      <c r="I3427" s="199"/>
      <c r="K3427" s="199"/>
      <c r="M3427" s="199"/>
      <c r="N3427" s="200"/>
      <c r="P3427" s="199"/>
    </row>
    <row r="3428" spans="7:16" x14ac:dyDescent="0.2">
      <c r="G3428" s="199"/>
      <c r="I3428" s="199"/>
      <c r="K3428" s="199"/>
      <c r="M3428" s="199"/>
      <c r="N3428" s="200"/>
      <c r="P3428" s="199"/>
    </row>
    <row r="3429" spans="7:16" x14ac:dyDescent="0.2">
      <c r="G3429" s="199"/>
      <c r="I3429" s="199"/>
      <c r="K3429" s="199"/>
      <c r="M3429" s="199"/>
      <c r="N3429" s="200"/>
      <c r="P3429" s="199"/>
    </row>
    <row r="3430" spans="7:16" x14ac:dyDescent="0.2">
      <c r="G3430" s="199"/>
      <c r="I3430" s="199"/>
      <c r="K3430" s="199"/>
      <c r="M3430" s="199"/>
      <c r="N3430" s="200"/>
      <c r="P3430" s="199"/>
    </row>
    <row r="3431" spans="7:16" x14ac:dyDescent="0.2">
      <c r="G3431" s="199"/>
      <c r="I3431" s="199"/>
      <c r="K3431" s="199"/>
      <c r="M3431" s="199"/>
      <c r="N3431" s="200"/>
      <c r="P3431" s="199"/>
    </row>
    <row r="3432" spans="7:16" x14ac:dyDescent="0.2">
      <c r="G3432" s="199"/>
      <c r="I3432" s="199"/>
      <c r="K3432" s="199"/>
      <c r="M3432" s="199"/>
      <c r="N3432" s="200"/>
      <c r="P3432" s="199"/>
    </row>
    <row r="3433" spans="7:16" x14ac:dyDescent="0.2">
      <c r="G3433" s="199"/>
      <c r="I3433" s="199"/>
      <c r="K3433" s="199"/>
      <c r="M3433" s="199"/>
      <c r="N3433" s="200"/>
      <c r="P3433" s="199"/>
    </row>
    <row r="3434" spans="7:16" x14ac:dyDescent="0.2">
      <c r="G3434" s="199"/>
      <c r="I3434" s="199"/>
      <c r="K3434" s="199"/>
      <c r="M3434" s="199"/>
      <c r="N3434" s="200"/>
      <c r="P3434" s="199"/>
    </row>
    <row r="3435" spans="7:16" x14ac:dyDescent="0.2">
      <c r="G3435" s="199"/>
      <c r="I3435" s="199"/>
      <c r="K3435" s="199"/>
      <c r="M3435" s="199"/>
      <c r="N3435" s="200"/>
      <c r="P3435" s="199"/>
    </row>
    <row r="3436" spans="7:16" x14ac:dyDescent="0.2">
      <c r="G3436" s="199"/>
      <c r="I3436" s="199"/>
      <c r="K3436" s="199"/>
      <c r="M3436" s="199"/>
      <c r="N3436" s="200"/>
      <c r="P3436" s="199"/>
    </row>
    <row r="3437" spans="7:16" x14ac:dyDescent="0.2">
      <c r="G3437" s="199"/>
      <c r="I3437" s="199"/>
      <c r="K3437" s="199"/>
      <c r="M3437" s="199"/>
      <c r="N3437" s="200"/>
      <c r="P3437" s="199"/>
    </row>
    <row r="3438" spans="7:16" x14ac:dyDescent="0.2">
      <c r="G3438" s="199"/>
      <c r="I3438" s="199"/>
      <c r="K3438" s="199"/>
      <c r="M3438" s="199"/>
      <c r="N3438" s="200"/>
      <c r="P3438" s="199"/>
    </row>
    <row r="3439" spans="7:16" x14ac:dyDescent="0.2">
      <c r="G3439" s="199"/>
      <c r="I3439" s="199"/>
      <c r="K3439" s="199"/>
      <c r="M3439" s="199"/>
      <c r="N3439" s="200"/>
      <c r="P3439" s="199"/>
    </row>
    <row r="3440" spans="7:16" x14ac:dyDescent="0.2">
      <c r="G3440" s="199"/>
      <c r="I3440" s="199"/>
      <c r="K3440" s="199"/>
      <c r="M3440" s="199"/>
      <c r="N3440" s="200"/>
      <c r="P3440" s="199"/>
    </row>
    <row r="3441" spans="7:16" x14ac:dyDescent="0.2">
      <c r="G3441" s="199"/>
      <c r="I3441" s="199"/>
      <c r="K3441" s="199"/>
      <c r="M3441" s="199"/>
      <c r="N3441" s="200"/>
      <c r="P3441" s="199"/>
    </row>
    <row r="3442" spans="7:16" x14ac:dyDescent="0.2">
      <c r="G3442" s="199"/>
      <c r="I3442" s="199"/>
      <c r="K3442" s="199"/>
      <c r="M3442" s="199"/>
      <c r="N3442" s="200"/>
      <c r="P3442" s="199"/>
    </row>
    <row r="3443" spans="7:16" x14ac:dyDescent="0.2">
      <c r="G3443" s="199"/>
      <c r="I3443" s="199"/>
      <c r="K3443" s="199"/>
      <c r="M3443" s="199"/>
      <c r="N3443" s="200"/>
      <c r="P3443" s="199"/>
    </row>
    <row r="3444" spans="7:16" x14ac:dyDescent="0.2">
      <c r="G3444" s="199"/>
      <c r="I3444" s="199"/>
      <c r="K3444" s="199"/>
      <c r="M3444" s="199"/>
      <c r="N3444" s="200"/>
      <c r="P3444" s="199"/>
    </row>
    <row r="3445" spans="7:16" x14ac:dyDescent="0.2">
      <c r="G3445" s="199"/>
      <c r="I3445" s="199"/>
      <c r="K3445" s="199"/>
      <c r="M3445" s="199"/>
      <c r="N3445" s="200"/>
      <c r="P3445" s="199"/>
    </row>
    <row r="3446" spans="7:16" x14ac:dyDescent="0.2">
      <c r="G3446" s="199"/>
      <c r="I3446" s="199"/>
      <c r="K3446" s="199"/>
      <c r="M3446" s="199"/>
      <c r="N3446" s="200"/>
      <c r="P3446" s="199"/>
    </row>
    <row r="3447" spans="7:16" x14ac:dyDescent="0.2">
      <c r="G3447" s="199"/>
      <c r="I3447" s="199"/>
      <c r="K3447" s="199"/>
      <c r="M3447" s="199"/>
      <c r="N3447" s="200"/>
      <c r="P3447" s="199"/>
    </row>
    <row r="3448" spans="7:16" x14ac:dyDescent="0.2">
      <c r="G3448" s="199"/>
      <c r="I3448" s="199"/>
      <c r="K3448" s="199"/>
      <c r="M3448" s="199"/>
      <c r="N3448" s="200"/>
      <c r="P3448" s="199"/>
    </row>
    <row r="3449" spans="7:16" x14ac:dyDescent="0.2">
      <c r="G3449" s="199"/>
      <c r="I3449" s="199"/>
      <c r="K3449" s="199"/>
      <c r="M3449" s="199"/>
      <c r="N3449" s="200"/>
      <c r="P3449" s="199"/>
    </row>
    <row r="3450" spans="7:16" x14ac:dyDescent="0.2">
      <c r="G3450" s="199"/>
      <c r="I3450" s="199"/>
      <c r="K3450" s="199"/>
      <c r="M3450" s="199"/>
      <c r="N3450" s="200"/>
      <c r="P3450" s="199"/>
    </row>
    <row r="3451" spans="7:16" x14ac:dyDescent="0.2">
      <c r="G3451" s="199"/>
      <c r="I3451" s="199"/>
      <c r="K3451" s="199"/>
      <c r="M3451" s="199"/>
      <c r="N3451" s="200"/>
      <c r="P3451" s="199"/>
    </row>
    <row r="3452" spans="7:16" x14ac:dyDescent="0.2">
      <c r="G3452" s="199"/>
      <c r="I3452" s="199"/>
      <c r="K3452" s="199"/>
      <c r="M3452" s="199"/>
      <c r="N3452" s="200"/>
      <c r="P3452" s="199"/>
    </row>
    <row r="3453" spans="7:16" x14ac:dyDescent="0.2">
      <c r="G3453" s="199"/>
      <c r="I3453" s="199"/>
      <c r="K3453" s="199"/>
      <c r="M3453" s="199"/>
      <c r="N3453" s="200"/>
      <c r="P3453" s="199"/>
    </row>
    <row r="3454" spans="7:16" x14ac:dyDescent="0.2">
      <c r="G3454" s="199"/>
      <c r="I3454" s="199"/>
      <c r="K3454" s="199"/>
      <c r="M3454" s="199"/>
      <c r="N3454" s="200"/>
      <c r="P3454" s="199"/>
    </row>
    <row r="3455" spans="7:16" x14ac:dyDescent="0.2">
      <c r="G3455" s="199"/>
      <c r="I3455" s="199"/>
      <c r="K3455" s="199"/>
      <c r="M3455" s="199"/>
      <c r="N3455" s="200"/>
      <c r="P3455" s="199"/>
    </row>
    <row r="3456" spans="7:16" x14ac:dyDescent="0.2">
      <c r="G3456" s="199"/>
      <c r="I3456" s="199"/>
      <c r="K3456" s="199"/>
      <c r="M3456" s="199"/>
      <c r="N3456" s="200"/>
      <c r="P3456" s="199"/>
    </row>
    <row r="3457" spans="7:16" x14ac:dyDescent="0.2">
      <c r="G3457" s="199"/>
      <c r="I3457" s="199"/>
      <c r="K3457" s="199"/>
      <c r="M3457" s="199"/>
      <c r="N3457" s="200"/>
      <c r="P3457" s="199"/>
    </row>
    <row r="3458" spans="7:16" x14ac:dyDescent="0.2">
      <c r="G3458" s="199"/>
      <c r="I3458" s="199"/>
      <c r="K3458" s="199"/>
      <c r="M3458" s="199"/>
      <c r="N3458" s="200"/>
      <c r="P3458" s="199"/>
    </row>
    <row r="3459" spans="7:16" x14ac:dyDescent="0.2">
      <c r="G3459" s="199"/>
      <c r="I3459" s="199"/>
      <c r="K3459" s="199"/>
      <c r="M3459" s="199"/>
      <c r="N3459" s="200"/>
      <c r="P3459" s="199"/>
    </row>
    <row r="3460" spans="7:16" x14ac:dyDescent="0.2">
      <c r="G3460" s="199"/>
      <c r="I3460" s="199"/>
      <c r="K3460" s="199"/>
      <c r="M3460" s="199"/>
      <c r="N3460" s="200"/>
      <c r="P3460" s="199"/>
    </row>
    <row r="3461" spans="7:16" x14ac:dyDescent="0.2">
      <c r="G3461" s="199"/>
      <c r="I3461" s="199"/>
      <c r="K3461" s="199"/>
      <c r="M3461" s="199"/>
      <c r="N3461" s="200"/>
      <c r="P3461" s="199"/>
    </row>
    <row r="3462" spans="7:16" x14ac:dyDescent="0.2">
      <c r="G3462" s="199"/>
      <c r="I3462" s="199"/>
      <c r="K3462" s="199"/>
      <c r="M3462" s="199"/>
      <c r="N3462" s="200"/>
      <c r="P3462" s="199"/>
    </row>
    <row r="3463" spans="7:16" x14ac:dyDescent="0.2">
      <c r="G3463" s="199"/>
      <c r="I3463" s="199"/>
      <c r="K3463" s="199"/>
      <c r="M3463" s="199"/>
      <c r="N3463" s="200"/>
      <c r="P3463" s="199"/>
    </row>
    <row r="3464" spans="7:16" x14ac:dyDescent="0.2">
      <c r="G3464" s="199"/>
      <c r="I3464" s="199"/>
      <c r="K3464" s="199"/>
      <c r="M3464" s="199"/>
      <c r="N3464" s="200"/>
      <c r="P3464" s="199"/>
    </row>
    <row r="3465" spans="7:16" x14ac:dyDescent="0.2">
      <c r="G3465" s="199"/>
      <c r="I3465" s="199"/>
      <c r="K3465" s="199"/>
      <c r="M3465" s="199"/>
      <c r="N3465" s="200"/>
      <c r="P3465" s="199"/>
    </row>
    <row r="3466" spans="7:16" x14ac:dyDescent="0.2">
      <c r="G3466" s="199"/>
      <c r="I3466" s="199"/>
      <c r="K3466" s="199"/>
      <c r="M3466" s="199"/>
      <c r="N3466" s="200"/>
      <c r="P3466" s="199"/>
    </row>
    <row r="3467" spans="7:16" x14ac:dyDescent="0.2">
      <c r="G3467" s="199"/>
      <c r="I3467" s="199"/>
      <c r="K3467" s="199"/>
      <c r="M3467" s="199"/>
      <c r="N3467" s="200"/>
      <c r="P3467" s="199"/>
    </row>
    <row r="3468" spans="7:16" x14ac:dyDescent="0.2">
      <c r="G3468" s="199"/>
      <c r="I3468" s="199"/>
      <c r="K3468" s="199"/>
      <c r="M3468" s="199"/>
      <c r="N3468" s="200"/>
      <c r="P3468" s="199"/>
    </row>
    <row r="3469" spans="7:16" x14ac:dyDescent="0.2">
      <c r="G3469" s="199"/>
      <c r="I3469" s="199"/>
      <c r="K3469" s="199"/>
      <c r="M3469" s="199"/>
      <c r="N3469" s="200"/>
      <c r="P3469" s="199"/>
    </row>
    <row r="3470" spans="7:16" x14ac:dyDescent="0.2">
      <c r="G3470" s="199"/>
      <c r="I3470" s="199"/>
      <c r="K3470" s="199"/>
      <c r="M3470" s="199"/>
      <c r="N3470" s="200"/>
      <c r="P3470" s="199"/>
    </row>
    <row r="3471" spans="7:16" x14ac:dyDescent="0.2">
      <c r="G3471" s="199"/>
      <c r="I3471" s="199"/>
      <c r="K3471" s="199"/>
      <c r="M3471" s="199"/>
      <c r="N3471" s="200"/>
      <c r="P3471" s="199"/>
    </row>
    <row r="3472" spans="7:16" x14ac:dyDescent="0.2">
      <c r="G3472" s="199"/>
      <c r="I3472" s="199"/>
      <c r="K3472" s="199"/>
      <c r="M3472" s="199"/>
      <c r="N3472" s="200"/>
      <c r="P3472" s="199"/>
    </row>
    <row r="3473" spans="7:16" x14ac:dyDescent="0.2">
      <c r="G3473" s="199"/>
      <c r="I3473" s="199"/>
      <c r="K3473" s="199"/>
      <c r="M3473" s="199"/>
      <c r="N3473" s="200"/>
      <c r="P3473" s="199"/>
    </row>
    <row r="3474" spans="7:16" x14ac:dyDescent="0.2">
      <c r="G3474" s="199"/>
      <c r="I3474" s="199"/>
      <c r="K3474" s="199"/>
      <c r="M3474" s="199"/>
      <c r="N3474" s="200"/>
      <c r="P3474" s="199"/>
    </row>
    <row r="3475" spans="7:16" x14ac:dyDescent="0.2">
      <c r="G3475" s="199"/>
      <c r="I3475" s="199"/>
      <c r="K3475" s="199"/>
      <c r="M3475" s="199"/>
      <c r="N3475" s="200"/>
      <c r="P3475" s="199"/>
    </row>
    <row r="3476" spans="7:16" x14ac:dyDescent="0.2">
      <c r="G3476" s="199"/>
      <c r="I3476" s="199"/>
      <c r="K3476" s="199"/>
      <c r="M3476" s="199"/>
      <c r="N3476" s="200"/>
      <c r="P3476" s="199"/>
    </row>
    <row r="3477" spans="7:16" x14ac:dyDescent="0.2">
      <c r="G3477" s="199"/>
      <c r="I3477" s="199"/>
      <c r="K3477" s="199"/>
      <c r="M3477" s="199"/>
      <c r="N3477" s="200"/>
      <c r="P3477" s="199"/>
    </row>
    <row r="3478" spans="7:16" x14ac:dyDescent="0.2">
      <c r="G3478" s="199"/>
      <c r="I3478" s="199"/>
      <c r="K3478" s="199"/>
      <c r="M3478" s="199"/>
      <c r="N3478" s="200"/>
      <c r="P3478" s="199"/>
    </row>
    <row r="3479" spans="7:16" x14ac:dyDescent="0.2">
      <c r="G3479" s="199"/>
      <c r="I3479" s="199"/>
      <c r="K3479" s="199"/>
      <c r="M3479" s="199"/>
      <c r="N3479" s="200"/>
      <c r="P3479" s="199"/>
    </row>
    <row r="3480" spans="7:16" x14ac:dyDescent="0.2">
      <c r="G3480" s="199"/>
      <c r="I3480" s="199"/>
      <c r="K3480" s="199"/>
      <c r="M3480" s="199"/>
      <c r="N3480" s="200"/>
      <c r="P3480" s="199"/>
    </row>
    <row r="3481" spans="7:16" x14ac:dyDescent="0.2">
      <c r="G3481" s="199"/>
      <c r="I3481" s="199"/>
      <c r="K3481" s="199"/>
      <c r="M3481" s="199"/>
      <c r="N3481" s="200"/>
      <c r="P3481" s="199"/>
    </row>
    <row r="3482" spans="7:16" x14ac:dyDescent="0.2">
      <c r="G3482" s="199"/>
      <c r="I3482" s="199"/>
      <c r="K3482" s="199"/>
      <c r="M3482" s="199"/>
      <c r="N3482" s="200"/>
      <c r="P3482" s="199"/>
    </row>
    <row r="3483" spans="7:16" x14ac:dyDescent="0.2">
      <c r="G3483" s="199"/>
      <c r="I3483" s="199"/>
      <c r="K3483" s="199"/>
      <c r="M3483" s="199"/>
      <c r="N3483" s="200"/>
      <c r="P3483" s="199"/>
    </row>
    <row r="3484" spans="7:16" x14ac:dyDescent="0.2">
      <c r="G3484" s="199"/>
      <c r="I3484" s="199"/>
      <c r="K3484" s="199"/>
      <c r="M3484" s="199"/>
      <c r="N3484" s="200"/>
      <c r="P3484" s="199"/>
    </row>
    <row r="3485" spans="7:16" x14ac:dyDescent="0.2">
      <c r="G3485" s="199"/>
      <c r="I3485" s="199"/>
      <c r="K3485" s="199"/>
      <c r="M3485" s="199"/>
      <c r="N3485" s="200"/>
      <c r="P3485" s="199"/>
    </row>
    <row r="3486" spans="7:16" x14ac:dyDescent="0.2">
      <c r="G3486" s="199"/>
      <c r="I3486" s="199"/>
      <c r="K3486" s="199"/>
      <c r="M3486" s="199"/>
      <c r="N3486" s="200"/>
      <c r="P3486" s="199"/>
    </row>
    <row r="3487" spans="7:16" x14ac:dyDescent="0.2">
      <c r="G3487" s="199"/>
      <c r="I3487" s="199"/>
      <c r="K3487" s="199"/>
      <c r="M3487" s="199"/>
      <c r="N3487" s="200"/>
      <c r="P3487" s="199"/>
    </row>
    <row r="3488" spans="7:16" x14ac:dyDescent="0.2">
      <c r="G3488" s="199"/>
      <c r="I3488" s="199"/>
      <c r="K3488" s="199"/>
      <c r="M3488" s="199"/>
      <c r="N3488" s="200"/>
      <c r="P3488" s="199"/>
    </row>
    <row r="3489" spans="7:16" x14ac:dyDescent="0.2">
      <c r="G3489" s="199"/>
      <c r="I3489" s="199"/>
      <c r="K3489" s="199"/>
      <c r="M3489" s="199"/>
      <c r="N3489" s="200"/>
      <c r="P3489" s="199"/>
    </row>
    <row r="3490" spans="7:16" x14ac:dyDescent="0.2">
      <c r="G3490" s="199"/>
      <c r="I3490" s="199"/>
      <c r="K3490" s="199"/>
      <c r="M3490" s="199"/>
      <c r="N3490" s="200"/>
      <c r="P3490" s="199"/>
    </row>
    <row r="3491" spans="7:16" x14ac:dyDescent="0.2">
      <c r="G3491" s="199"/>
      <c r="I3491" s="199"/>
      <c r="K3491" s="199"/>
      <c r="M3491" s="199"/>
      <c r="N3491" s="200"/>
      <c r="P3491" s="199"/>
    </row>
    <row r="3492" spans="7:16" x14ac:dyDescent="0.2">
      <c r="G3492" s="199"/>
      <c r="I3492" s="199"/>
      <c r="K3492" s="199"/>
      <c r="M3492" s="199"/>
      <c r="N3492" s="200"/>
      <c r="P3492" s="199"/>
    </row>
    <row r="3493" spans="7:16" x14ac:dyDescent="0.2">
      <c r="G3493" s="199"/>
      <c r="I3493" s="199"/>
      <c r="K3493" s="199"/>
      <c r="M3493" s="199"/>
      <c r="N3493" s="200"/>
      <c r="P3493" s="199"/>
    </row>
    <row r="3494" spans="7:16" x14ac:dyDescent="0.2">
      <c r="G3494" s="199"/>
      <c r="I3494" s="199"/>
      <c r="K3494" s="199"/>
      <c r="M3494" s="199"/>
      <c r="N3494" s="200"/>
      <c r="P3494" s="199"/>
    </row>
    <row r="3495" spans="7:16" x14ac:dyDescent="0.2">
      <c r="G3495" s="199"/>
      <c r="I3495" s="199"/>
      <c r="K3495" s="199"/>
      <c r="M3495" s="199"/>
      <c r="N3495" s="200"/>
      <c r="P3495" s="199"/>
    </row>
    <row r="3496" spans="7:16" x14ac:dyDescent="0.2">
      <c r="G3496" s="199"/>
      <c r="I3496" s="199"/>
      <c r="K3496" s="199"/>
      <c r="M3496" s="199"/>
      <c r="N3496" s="200"/>
      <c r="P3496" s="199"/>
    </row>
    <row r="3497" spans="7:16" x14ac:dyDescent="0.2">
      <c r="G3497" s="199"/>
      <c r="I3497" s="199"/>
      <c r="K3497" s="199"/>
      <c r="M3497" s="199"/>
      <c r="N3497" s="200"/>
      <c r="P3497" s="199"/>
    </row>
    <row r="3498" spans="7:16" x14ac:dyDescent="0.2">
      <c r="G3498" s="199"/>
      <c r="I3498" s="199"/>
      <c r="K3498" s="199"/>
      <c r="M3498" s="199"/>
      <c r="N3498" s="200"/>
      <c r="P3498" s="199"/>
    </row>
    <row r="3499" spans="7:16" x14ac:dyDescent="0.2">
      <c r="G3499" s="199"/>
      <c r="I3499" s="199"/>
      <c r="K3499" s="199"/>
      <c r="M3499" s="199"/>
      <c r="N3499" s="200"/>
      <c r="P3499" s="199"/>
    </row>
    <row r="3500" spans="7:16" x14ac:dyDescent="0.2">
      <c r="G3500" s="199"/>
      <c r="I3500" s="199"/>
      <c r="K3500" s="199"/>
      <c r="M3500" s="199"/>
      <c r="N3500" s="200"/>
      <c r="P3500" s="199"/>
    </row>
    <row r="3501" spans="7:16" x14ac:dyDescent="0.2">
      <c r="G3501" s="199"/>
      <c r="I3501" s="199"/>
      <c r="K3501" s="199"/>
      <c r="M3501" s="199"/>
      <c r="N3501" s="200"/>
      <c r="P3501" s="199"/>
    </row>
    <row r="3502" spans="7:16" x14ac:dyDescent="0.2">
      <c r="G3502" s="199"/>
      <c r="I3502" s="199"/>
      <c r="K3502" s="199"/>
      <c r="M3502" s="199"/>
      <c r="N3502" s="200"/>
      <c r="P3502" s="199"/>
    </row>
    <row r="3503" spans="7:16" x14ac:dyDescent="0.2">
      <c r="G3503" s="199"/>
      <c r="I3503" s="199"/>
      <c r="K3503" s="199"/>
      <c r="M3503" s="199"/>
      <c r="N3503" s="200"/>
      <c r="P3503" s="199"/>
    </row>
    <row r="3504" spans="7:16" x14ac:dyDescent="0.2">
      <c r="G3504" s="199"/>
      <c r="I3504" s="199"/>
      <c r="K3504" s="199"/>
      <c r="M3504" s="199"/>
      <c r="N3504" s="200"/>
      <c r="P3504" s="199"/>
    </row>
    <row r="3505" spans="7:16" x14ac:dyDescent="0.2">
      <c r="G3505" s="199"/>
      <c r="I3505" s="199"/>
      <c r="K3505" s="199"/>
      <c r="M3505" s="199"/>
      <c r="N3505" s="200"/>
      <c r="P3505" s="199"/>
    </row>
    <row r="3506" spans="7:16" x14ac:dyDescent="0.2">
      <c r="G3506" s="199"/>
      <c r="I3506" s="199"/>
      <c r="K3506" s="199"/>
      <c r="M3506" s="199"/>
      <c r="N3506" s="200"/>
      <c r="P3506" s="199"/>
    </row>
    <row r="3507" spans="7:16" x14ac:dyDescent="0.2">
      <c r="G3507" s="199"/>
      <c r="I3507" s="199"/>
      <c r="K3507" s="199"/>
      <c r="M3507" s="199"/>
      <c r="N3507" s="200"/>
      <c r="P3507" s="199"/>
    </row>
    <row r="3508" spans="7:16" x14ac:dyDescent="0.2">
      <c r="G3508" s="199"/>
      <c r="I3508" s="199"/>
      <c r="K3508" s="199"/>
      <c r="M3508" s="199"/>
      <c r="N3508" s="200"/>
      <c r="P3508" s="199"/>
    </row>
    <row r="3509" spans="7:16" x14ac:dyDescent="0.2">
      <c r="G3509" s="199"/>
      <c r="I3509" s="199"/>
      <c r="K3509" s="199"/>
      <c r="M3509" s="199"/>
      <c r="N3509" s="200"/>
      <c r="P3509" s="199"/>
    </row>
    <row r="3510" spans="7:16" x14ac:dyDescent="0.2">
      <c r="G3510" s="199"/>
      <c r="I3510" s="199"/>
      <c r="K3510" s="199"/>
      <c r="M3510" s="199"/>
      <c r="N3510" s="200"/>
      <c r="P3510" s="199"/>
    </row>
    <row r="3511" spans="7:16" x14ac:dyDescent="0.2">
      <c r="G3511" s="199"/>
      <c r="I3511" s="199"/>
      <c r="K3511" s="199"/>
      <c r="M3511" s="199"/>
      <c r="N3511" s="200"/>
      <c r="P3511" s="199"/>
    </row>
    <row r="3512" spans="7:16" x14ac:dyDescent="0.2">
      <c r="G3512" s="199"/>
      <c r="I3512" s="199"/>
      <c r="K3512" s="199"/>
      <c r="M3512" s="199"/>
      <c r="N3512" s="200"/>
      <c r="P3512" s="199"/>
    </row>
    <row r="3513" spans="7:16" x14ac:dyDescent="0.2">
      <c r="G3513" s="199"/>
      <c r="I3513" s="199"/>
      <c r="K3513" s="199"/>
      <c r="M3513" s="199"/>
      <c r="N3513" s="200"/>
      <c r="P3513" s="199"/>
    </row>
    <row r="3514" spans="7:16" x14ac:dyDescent="0.2">
      <c r="G3514" s="199"/>
      <c r="I3514" s="199"/>
      <c r="K3514" s="199"/>
      <c r="M3514" s="199"/>
      <c r="N3514" s="200"/>
      <c r="P3514" s="199"/>
    </row>
    <row r="3515" spans="7:16" x14ac:dyDescent="0.2">
      <c r="G3515" s="199"/>
      <c r="I3515" s="199"/>
      <c r="K3515" s="199"/>
      <c r="M3515" s="199"/>
      <c r="N3515" s="200"/>
      <c r="P3515" s="199"/>
    </row>
    <row r="3516" spans="7:16" x14ac:dyDescent="0.2">
      <c r="G3516" s="199"/>
      <c r="I3516" s="199"/>
      <c r="K3516" s="199"/>
      <c r="M3516" s="199"/>
      <c r="N3516" s="200"/>
      <c r="P3516" s="199"/>
    </row>
    <row r="3517" spans="7:16" x14ac:dyDescent="0.2">
      <c r="G3517" s="199"/>
      <c r="I3517" s="199"/>
      <c r="K3517" s="199"/>
      <c r="M3517" s="199"/>
      <c r="N3517" s="200"/>
      <c r="P3517" s="199"/>
    </row>
    <row r="3518" spans="7:16" x14ac:dyDescent="0.2">
      <c r="G3518" s="199"/>
      <c r="I3518" s="199"/>
      <c r="K3518" s="199"/>
      <c r="M3518" s="199"/>
      <c r="N3518" s="200"/>
      <c r="P3518" s="199"/>
    </row>
    <row r="3519" spans="7:16" x14ac:dyDescent="0.2">
      <c r="G3519" s="199"/>
      <c r="I3519" s="199"/>
      <c r="K3519" s="199"/>
      <c r="M3519" s="199"/>
      <c r="N3519" s="200"/>
      <c r="P3519" s="199"/>
    </row>
    <row r="3520" spans="7:16" x14ac:dyDescent="0.2">
      <c r="G3520" s="199"/>
      <c r="I3520" s="199"/>
      <c r="K3520" s="199"/>
      <c r="M3520" s="199"/>
      <c r="N3520" s="200"/>
      <c r="P3520" s="199"/>
    </row>
    <row r="3521" spans="7:16" x14ac:dyDescent="0.2">
      <c r="G3521" s="199"/>
      <c r="I3521" s="199"/>
      <c r="K3521" s="199"/>
      <c r="M3521" s="199"/>
      <c r="N3521" s="200"/>
      <c r="P3521" s="199"/>
    </row>
    <row r="3522" spans="7:16" x14ac:dyDescent="0.2">
      <c r="G3522" s="199"/>
      <c r="I3522" s="199"/>
      <c r="K3522" s="199"/>
      <c r="M3522" s="199"/>
      <c r="N3522" s="200"/>
      <c r="P3522" s="199"/>
    </row>
    <row r="3523" spans="7:16" x14ac:dyDescent="0.2">
      <c r="G3523" s="199"/>
      <c r="I3523" s="199"/>
      <c r="K3523" s="199"/>
      <c r="M3523" s="199"/>
      <c r="N3523" s="200"/>
      <c r="P3523" s="199"/>
    </row>
    <row r="3524" spans="7:16" x14ac:dyDescent="0.2">
      <c r="G3524" s="199"/>
      <c r="I3524" s="199"/>
      <c r="K3524" s="199"/>
      <c r="M3524" s="199"/>
      <c r="N3524" s="200"/>
      <c r="P3524" s="199"/>
    </row>
    <row r="3525" spans="7:16" x14ac:dyDescent="0.2">
      <c r="G3525" s="199"/>
      <c r="I3525" s="199"/>
      <c r="K3525" s="199"/>
      <c r="M3525" s="199"/>
      <c r="N3525" s="200"/>
      <c r="P3525" s="199"/>
    </row>
    <row r="3526" spans="7:16" x14ac:dyDescent="0.2">
      <c r="G3526" s="199"/>
      <c r="I3526" s="199"/>
      <c r="K3526" s="199"/>
      <c r="M3526" s="199"/>
      <c r="N3526" s="200"/>
      <c r="P3526" s="199"/>
    </row>
    <row r="3527" spans="7:16" x14ac:dyDescent="0.2">
      <c r="G3527" s="199"/>
      <c r="I3527" s="199"/>
      <c r="K3527" s="199"/>
      <c r="M3527" s="199"/>
      <c r="N3527" s="200"/>
      <c r="P3527" s="199"/>
    </row>
    <row r="3528" spans="7:16" x14ac:dyDescent="0.2">
      <c r="G3528" s="199"/>
      <c r="I3528" s="199"/>
      <c r="K3528" s="199"/>
      <c r="M3528" s="199"/>
      <c r="N3528" s="200"/>
      <c r="P3528" s="199"/>
    </row>
    <row r="3529" spans="7:16" x14ac:dyDescent="0.2">
      <c r="G3529" s="199"/>
      <c r="I3529" s="199"/>
      <c r="K3529" s="199"/>
      <c r="M3529" s="199"/>
      <c r="N3529" s="200"/>
      <c r="P3529" s="199"/>
    </row>
    <row r="3530" spans="7:16" x14ac:dyDescent="0.2">
      <c r="G3530" s="199"/>
      <c r="I3530" s="199"/>
      <c r="K3530" s="199"/>
      <c r="M3530" s="199"/>
      <c r="N3530" s="200"/>
      <c r="P3530" s="199"/>
    </row>
    <row r="3531" spans="7:16" x14ac:dyDescent="0.2">
      <c r="G3531" s="199"/>
      <c r="I3531" s="199"/>
      <c r="K3531" s="199"/>
      <c r="M3531" s="199"/>
      <c r="N3531" s="200"/>
      <c r="P3531" s="199"/>
    </row>
    <row r="3532" spans="7:16" x14ac:dyDescent="0.2">
      <c r="G3532" s="199"/>
      <c r="I3532" s="199"/>
      <c r="K3532" s="199"/>
      <c r="M3532" s="199"/>
      <c r="N3532" s="200"/>
      <c r="P3532" s="199"/>
    </row>
    <row r="3533" spans="7:16" x14ac:dyDescent="0.2">
      <c r="G3533" s="199"/>
      <c r="I3533" s="199"/>
      <c r="K3533" s="199"/>
      <c r="M3533" s="199"/>
      <c r="N3533" s="200"/>
      <c r="P3533" s="199"/>
    </row>
    <row r="3534" spans="7:16" x14ac:dyDescent="0.2">
      <c r="G3534" s="199"/>
      <c r="I3534" s="199"/>
      <c r="K3534" s="199"/>
      <c r="M3534" s="199"/>
      <c r="N3534" s="200"/>
      <c r="P3534" s="199"/>
    </row>
    <row r="3535" spans="7:16" x14ac:dyDescent="0.2">
      <c r="G3535" s="199"/>
      <c r="I3535" s="199"/>
      <c r="K3535" s="199"/>
      <c r="M3535" s="199"/>
      <c r="N3535" s="200"/>
      <c r="P3535" s="199"/>
    </row>
    <row r="3536" spans="7:16" x14ac:dyDescent="0.2">
      <c r="G3536" s="199"/>
      <c r="I3536" s="199"/>
      <c r="K3536" s="199"/>
      <c r="M3536" s="199"/>
      <c r="N3536" s="200"/>
      <c r="P3536" s="199"/>
    </row>
    <row r="3537" spans="7:16" x14ac:dyDescent="0.2">
      <c r="G3537" s="199"/>
      <c r="I3537" s="199"/>
      <c r="K3537" s="199"/>
      <c r="M3537" s="199"/>
      <c r="N3537" s="200"/>
      <c r="P3537" s="199"/>
    </row>
    <row r="3538" spans="7:16" x14ac:dyDescent="0.2">
      <c r="G3538" s="199"/>
      <c r="I3538" s="199"/>
      <c r="K3538" s="199"/>
      <c r="M3538" s="199"/>
      <c r="N3538" s="200"/>
      <c r="P3538" s="199"/>
    </row>
    <row r="3539" spans="7:16" x14ac:dyDescent="0.2">
      <c r="G3539" s="199"/>
      <c r="I3539" s="199"/>
      <c r="K3539" s="199"/>
      <c r="M3539" s="199"/>
      <c r="N3539" s="200"/>
      <c r="P3539" s="199"/>
    </row>
    <row r="3540" spans="7:16" x14ac:dyDescent="0.2">
      <c r="G3540" s="199"/>
      <c r="I3540" s="199"/>
      <c r="K3540" s="199"/>
      <c r="M3540" s="199"/>
      <c r="N3540" s="200"/>
      <c r="P3540" s="199"/>
    </row>
    <row r="3541" spans="7:16" x14ac:dyDescent="0.2">
      <c r="G3541" s="199"/>
      <c r="I3541" s="199"/>
      <c r="K3541" s="199"/>
      <c r="M3541" s="199"/>
      <c r="N3541" s="200"/>
      <c r="P3541" s="199"/>
    </row>
    <row r="3542" spans="7:16" x14ac:dyDescent="0.2">
      <c r="G3542" s="199"/>
      <c r="I3542" s="199"/>
      <c r="K3542" s="199"/>
      <c r="M3542" s="199"/>
      <c r="N3542" s="200"/>
      <c r="P3542" s="199"/>
    </row>
    <row r="3543" spans="7:16" x14ac:dyDescent="0.2">
      <c r="G3543" s="199"/>
      <c r="I3543" s="199"/>
      <c r="K3543" s="199"/>
      <c r="M3543" s="199"/>
      <c r="N3543" s="200"/>
      <c r="P3543" s="199"/>
    </row>
    <row r="3544" spans="7:16" x14ac:dyDescent="0.2">
      <c r="G3544" s="199"/>
      <c r="I3544" s="199"/>
      <c r="K3544" s="199"/>
      <c r="M3544" s="199"/>
      <c r="N3544" s="200"/>
      <c r="P3544" s="199"/>
    </row>
    <row r="3545" spans="7:16" x14ac:dyDescent="0.2">
      <c r="G3545" s="199"/>
      <c r="I3545" s="199"/>
      <c r="K3545" s="199"/>
      <c r="M3545" s="199"/>
      <c r="N3545" s="200"/>
      <c r="P3545" s="199"/>
    </row>
    <row r="3546" spans="7:16" x14ac:dyDescent="0.2">
      <c r="G3546" s="199"/>
      <c r="I3546" s="199"/>
      <c r="K3546" s="199"/>
      <c r="M3546" s="199"/>
      <c r="N3546" s="200"/>
      <c r="P3546" s="199"/>
    </row>
    <row r="3547" spans="7:16" x14ac:dyDescent="0.2">
      <c r="G3547" s="199"/>
      <c r="I3547" s="199"/>
      <c r="K3547" s="199"/>
      <c r="M3547" s="199"/>
      <c r="N3547" s="200"/>
      <c r="P3547" s="199"/>
    </row>
    <row r="3548" spans="7:16" x14ac:dyDescent="0.2">
      <c r="G3548" s="199"/>
      <c r="I3548" s="199"/>
      <c r="K3548" s="199"/>
      <c r="M3548" s="199"/>
      <c r="N3548" s="200"/>
      <c r="P3548" s="199"/>
    </row>
    <row r="3549" spans="7:16" x14ac:dyDescent="0.2">
      <c r="G3549" s="199"/>
      <c r="I3549" s="199"/>
      <c r="K3549" s="199"/>
      <c r="M3549" s="199"/>
      <c r="N3549" s="200"/>
      <c r="P3549" s="199"/>
    </row>
    <row r="3550" spans="7:16" x14ac:dyDescent="0.2">
      <c r="G3550" s="199"/>
      <c r="I3550" s="199"/>
      <c r="K3550" s="199"/>
      <c r="M3550" s="199"/>
      <c r="N3550" s="200"/>
      <c r="P3550" s="199"/>
    </row>
    <row r="3551" spans="7:16" x14ac:dyDescent="0.2">
      <c r="G3551" s="199"/>
      <c r="I3551" s="199"/>
      <c r="K3551" s="199"/>
      <c r="M3551" s="199"/>
      <c r="N3551" s="200"/>
      <c r="P3551" s="199"/>
    </row>
    <row r="3552" spans="7:16" x14ac:dyDescent="0.2">
      <c r="G3552" s="199"/>
      <c r="I3552" s="199"/>
      <c r="K3552" s="199"/>
      <c r="M3552" s="199"/>
      <c r="N3552" s="200"/>
      <c r="P3552" s="199"/>
    </row>
    <row r="3553" spans="7:16" x14ac:dyDescent="0.2">
      <c r="G3553" s="199"/>
      <c r="I3553" s="199"/>
      <c r="K3553" s="199"/>
      <c r="M3553" s="199"/>
      <c r="N3553" s="200"/>
      <c r="P3553" s="199"/>
    </row>
    <row r="3554" spans="7:16" x14ac:dyDescent="0.2">
      <c r="G3554" s="199"/>
      <c r="I3554" s="199"/>
      <c r="K3554" s="199"/>
      <c r="M3554" s="199"/>
      <c r="N3554" s="200"/>
      <c r="P3554" s="199"/>
    </row>
    <row r="3555" spans="7:16" x14ac:dyDescent="0.2">
      <c r="G3555" s="199"/>
      <c r="I3555" s="199"/>
      <c r="K3555" s="199"/>
      <c r="M3555" s="199"/>
      <c r="N3555" s="200"/>
      <c r="P3555" s="199"/>
    </row>
    <row r="3556" spans="7:16" x14ac:dyDescent="0.2">
      <c r="G3556" s="199"/>
      <c r="I3556" s="199"/>
      <c r="K3556" s="199"/>
      <c r="M3556" s="199"/>
      <c r="N3556" s="200"/>
      <c r="P3556" s="199"/>
    </row>
    <row r="3557" spans="7:16" x14ac:dyDescent="0.2">
      <c r="G3557" s="199"/>
      <c r="I3557" s="199"/>
      <c r="K3557" s="199"/>
      <c r="M3557" s="199"/>
      <c r="N3557" s="200"/>
      <c r="P3557" s="199"/>
    </row>
    <row r="3558" spans="7:16" x14ac:dyDescent="0.2">
      <c r="G3558" s="199"/>
      <c r="I3558" s="199"/>
      <c r="K3558" s="199"/>
      <c r="M3558" s="199"/>
      <c r="N3558" s="200"/>
      <c r="P3558" s="199"/>
    </row>
    <row r="3559" spans="7:16" x14ac:dyDescent="0.2">
      <c r="G3559" s="199"/>
      <c r="I3559" s="199"/>
      <c r="K3559" s="199"/>
      <c r="M3559" s="199"/>
      <c r="N3559" s="200"/>
      <c r="P3559" s="199"/>
    </row>
    <row r="3560" spans="7:16" x14ac:dyDescent="0.2">
      <c r="G3560" s="199"/>
      <c r="I3560" s="199"/>
      <c r="K3560" s="199"/>
      <c r="M3560" s="199"/>
      <c r="N3560" s="200"/>
      <c r="P3560" s="199"/>
    </row>
    <row r="3561" spans="7:16" x14ac:dyDescent="0.2">
      <c r="G3561" s="199"/>
      <c r="I3561" s="199"/>
      <c r="K3561" s="199"/>
      <c r="M3561" s="199"/>
      <c r="N3561" s="200"/>
      <c r="P3561" s="199"/>
    </row>
    <row r="3562" spans="7:16" x14ac:dyDescent="0.2">
      <c r="G3562" s="199"/>
      <c r="I3562" s="199"/>
      <c r="K3562" s="199"/>
      <c r="M3562" s="199"/>
      <c r="N3562" s="200"/>
      <c r="P3562" s="199"/>
    </row>
    <row r="3563" spans="7:16" x14ac:dyDescent="0.2">
      <c r="G3563" s="199"/>
      <c r="I3563" s="199"/>
      <c r="K3563" s="199"/>
      <c r="M3563" s="199"/>
      <c r="N3563" s="200"/>
      <c r="P3563" s="199"/>
    </row>
    <row r="3564" spans="7:16" x14ac:dyDescent="0.2">
      <c r="G3564" s="199"/>
      <c r="I3564" s="199"/>
      <c r="K3564" s="199"/>
      <c r="M3564" s="199"/>
      <c r="N3564" s="200"/>
      <c r="P3564" s="199"/>
    </row>
    <row r="3565" spans="7:16" x14ac:dyDescent="0.2">
      <c r="G3565" s="199"/>
      <c r="I3565" s="199"/>
      <c r="K3565" s="199"/>
      <c r="M3565" s="199"/>
      <c r="N3565" s="200"/>
      <c r="P3565" s="199"/>
    </row>
    <row r="3566" spans="7:16" x14ac:dyDescent="0.2">
      <c r="G3566" s="199"/>
      <c r="I3566" s="199"/>
      <c r="K3566" s="199"/>
      <c r="M3566" s="199"/>
      <c r="N3566" s="200"/>
      <c r="P3566" s="199"/>
    </row>
    <row r="3567" spans="7:16" x14ac:dyDescent="0.2">
      <c r="G3567" s="199"/>
      <c r="I3567" s="199"/>
      <c r="K3567" s="199"/>
      <c r="M3567" s="199"/>
      <c r="N3567" s="200"/>
      <c r="P3567" s="199"/>
    </row>
    <row r="3568" spans="7:16" x14ac:dyDescent="0.2">
      <c r="G3568" s="199"/>
      <c r="I3568" s="199"/>
      <c r="K3568" s="199"/>
      <c r="M3568" s="199"/>
      <c r="N3568" s="200"/>
      <c r="P3568" s="199"/>
    </row>
    <row r="3569" spans="7:16" x14ac:dyDescent="0.2">
      <c r="G3569" s="199"/>
      <c r="I3569" s="199"/>
      <c r="K3569" s="199"/>
      <c r="M3569" s="199"/>
      <c r="N3569" s="200"/>
      <c r="P3569" s="199"/>
    </row>
    <row r="3570" spans="7:16" x14ac:dyDescent="0.2">
      <c r="G3570" s="199"/>
      <c r="I3570" s="199"/>
      <c r="K3570" s="199"/>
      <c r="M3570" s="199"/>
      <c r="N3570" s="200"/>
      <c r="P3570" s="199"/>
    </row>
    <row r="3571" spans="7:16" x14ac:dyDescent="0.2">
      <c r="G3571" s="199"/>
      <c r="I3571" s="199"/>
      <c r="K3571" s="199"/>
      <c r="M3571" s="199"/>
      <c r="N3571" s="200"/>
      <c r="P3571" s="199"/>
    </row>
    <row r="3572" spans="7:16" x14ac:dyDescent="0.2">
      <c r="G3572" s="199"/>
      <c r="I3572" s="199"/>
      <c r="K3572" s="199"/>
      <c r="M3572" s="199"/>
      <c r="N3572" s="200"/>
      <c r="P3572" s="199"/>
    </row>
    <row r="3573" spans="7:16" x14ac:dyDescent="0.2">
      <c r="G3573" s="199"/>
      <c r="I3573" s="199"/>
      <c r="K3573" s="199"/>
      <c r="M3573" s="199"/>
      <c r="N3573" s="200"/>
      <c r="P3573" s="199"/>
    </row>
    <row r="3574" spans="7:16" x14ac:dyDescent="0.2">
      <c r="G3574" s="199"/>
      <c r="I3574" s="199"/>
      <c r="K3574" s="199"/>
      <c r="M3574" s="199"/>
      <c r="N3574" s="200"/>
      <c r="P3574" s="199"/>
    </row>
    <row r="3575" spans="7:16" x14ac:dyDescent="0.2">
      <c r="G3575" s="199"/>
      <c r="I3575" s="199"/>
      <c r="K3575" s="199"/>
      <c r="M3575" s="199"/>
      <c r="N3575" s="200"/>
      <c r="P3575" s="199"/>
    </row>
    <row r="3576" spans="7:16" x14ac:dyDescent="0.2">
      <c r="G3576" s="199"/>
      <c r="I3576" s="199"/>
      <c r="K3576" s="199"/>
      <c r="M3576" s="199"/>
      <c r="N3576" s="200"/>
      <c r="P3576" s="199"/>
    </row>
    <row r="3577" spans="7:16" x14ac:dyDescent="0.2">
      <c r="G3577" s="199"/>
      <c r="I3577" s="199"/>
      <c r="K3577" s="199"/>
      <c r="M3577" s="199"/>
      <c r="N3577" s="200"/>
      <c r="P3577" s="199"/>
    </row>
    <row r="3578" spans="7:16" x14ac:dyDescent="0.2">
      <c r="G3578" s="199"/>
      <c r="I3578" s="199"/>
      <c r="K3578" s="199"/>
      <c r="M3578" s="199"/>
      <c r="N3578" s="200"/>
      <c r="P3578" s="199"/>
    </row>
    <row r="3579" spans="7:16" x14ac:dyDescent="0.2">
      <c r="G3579" s="199"/>
      <c r="I3579" s="199"/>
      <c r="K3579" s="199"/>
      <c r="M3579" s="199"/>
      <c r="N3579" s="200"/>
      <c r="P3579" s="199"/>
    </row>
    <row r="3580" spans="7:16" x14ac:dyDescent="0.2">
      <c r="G3580" s="199"/>
      <c r="I3580" s="199"/>
      <c r="K3580" s="199"/>
      <c r="M3580" s="199"/>
      <c r="N3580" s="200"/>
      <c r="P3580" s="199"/>
    </row>
    <row r="3581" spans="7:16" x14ac:dyDescent="0.2">
      <c r="G3581" s="199"/>
      <c r="I3581" s="199"/>
      <c r="K3581" s="199"/>
      <c r="M3581" s="199"/>
      <c r="N3581" s="200"/>
      <c r="P3581" s="199"/>
    </row>
    <row r="3582" spans="7:16" x14ac:dyDescent="0.2">
      <c r="G3582" s="199"/>
      <c r="I3582" s="199"/>
      <c r="K3582" s="199"/>
      <c r="M3582" s="199"/>
      <c r="N3582" s="200"/>
      <c r="P3582" s="199"/>
    </row>
    <row r="3583" spans="7:16" x14ac:dyDescent="0.2">
      <c r="G3583" s="199"/>
      <c r="I3583" s="199"/>
      <c r="K3583" s="199"/>
      <c r="M3583" s="199"/>
      <c r="N3583" s="200"/>
      <c r="P3583" s="199"/>
    </row>
    <row r="3584" spans="7:16" x14ac:dyDescent="0.2">
      <c r="G3584" s="199"/>
      <c r="I3584" s="199"/>
      <c r="K3584" s="199"/>
      <c r="M3584" s="199"/>
      <c r="N3584" s="200"/>
      <c r="P3584" s="199"/>
    </row>
    <row r="3585" spans="7:16" x14ac:dyDescent="0.2">
      <c r="G3585" s="199"/>
      <c r="I3585" s="199"/>
      <c r="K3585" s="199"/>
      <c r="M3585" s="199"/>
      <c r="N3585" s="200"/>
      <c r="P3585" s="199"/>
    </row>
    <row r="3586" spans="7:16" x14ac:dyDescent="0.2">
      <c r="G3586" s="199"/>
      <c r="I3586" s="199"/>
      <c r="K3586" s="199"/>
      <c r="M3586" s="199"/>
      <c r="N3586" s="200"/>
      <c r="P3586" s="199"/>
    </row>
    <row r="3587" spans="7:16" x14ac:dyDescent="0.2">
      <c r="G3587" s="199"/>
      <c r="I3587" s="199"/>
      <c r="K3587" s="199"/>
      <c r="M3587" s="199"/>
      <c r="N3587" s="200"/>
      <c r="P3587" s="199"/>
    </row>
    <row r="3588" spans="7:16" x14ac:dyDescent="0.2">
      <c r="G3588" s="199"/>
      <c r="I3588" s="199"/>
      <c r="K3588" s="199"/>
      <c r="M3588" s="199"/>
      <c r="N3588" s="200"/>
      <c r="P3588" s="199"/>
    </row>
    <row r="3589" spans="7:16" x14ac:dyDescent="0.2">
      <c r="G3589" s="199"/>
      <c r="I3589" s="199"/>
      <c r="K3589" s="199"/>
      <c r="M3589" s="199"/>
      <c r="N3589" s="200"/>
      <c r="P3589" s="199"/>
    </row>
    <row r="3590" spans="7:16" x14ac:dyDescent="0.2">
      <c r="G3590" s="199"/>
      <c r="I3590" s="199"/>
      <c r="K3590" s="199"/>
      <c r="M3590" s="199"/>
      <c r="N3590" s="200"/>
      <c r="P3590" s="199"/>
    </row>
    <row r="3591" spans="7:16" x14ac:dyDescent="0.2">
      <c r="G3591" s="199"/>
      <c r="I3591" s="199"/>
      <c r="K3591" s="199"/>
      <c r="M3591" s="199"/>
      <c r="N3591" s="200"/>
      <c r="P3591" s="199"/>
    </row>
    <row r="3592" spans="7:16" x14ac:dyDescent="0.2">
      <c r="G3592" s="199"/>
      <c r="I3592" s="199"/>
      <c r="K3592" s="199"/>
      <c r="M3592" s="199"/>
      <c r="N3592" s="200"/>
      <c r="P3592" s="199"/>
    </row>
    <row r="3593" spans="7:16" x14ac:dyDescent="0.2">
      <c r="G3593" s="199"/>
      <c r="I3593" s="199"/>
      <c r="K3593" s="199"/>
      <c r="M3593" s="199"/>
      <c r="N3593" s="200"/>
      <c r="P3593" s="199"/>
    </row>
    <row r="3594" spans="7:16" x14ac:dyDescent="0.2">
      <c r="G3594" s="199"/>
      <c r="I3594" s="199"/>
      <c r="K3594" s="199"/>
      <c r="M3594" s="199"/>
      <c r="N3594" s="200"/>
      <c r="P3594" s="199"/>
    </row>
    <row r="3595" spans="7:16" x14ac:dyDescent="0.2">
      <c r="G3595" s="199"/>
      <c r="I3595" s="199"/>
      <c r="K3595" s="199"/>
      <c r="M3595" s="199"/>
      <c r="N3595" s="200"/>
      <c r="P3595" s="199"/>
    </row>
    <row r="3596" spans="7:16" x14ac:dyDescent="0.2">
      <c r="G3596" s="199"/>
      <c r="I3596" s="199"/>
      <c r="K3596" s="199"/>
      <c r="M3596" s="199"/>
      <c r="N3596" s="200"/>
      <c r="P3596" s="199"/>
    </row>
    <row r="3597" spans="7:16" x14ac:dyDescent="0.2">
      <c r="G3597" s="199"/>
      <c r="I3597" s="199"/>
      <c r="K3597" s="199"/>
      <c r="M3597" s="199"/>
      <c r="N3597" s="200"/>
      <c r="P3597" s="199"/>
    </row>
    <row r="3598" spans="7:16" x14ac:dyDescent="0.2">
      <c r="G3598" s="199"/>
      <c r="I3598" s="199"/>
      <c r="K3598" s="199"/>
      <c r="M3598" s="199"/>
      <c r="N3598" s="200"/>
      <c r="P3598" s="199"/>
    </row>
    <row r="3599" spans="7:16" x14ac:dyDescent="0.2">
      <c r="G3599" s="199"/>
      <c r="I3599" s="199"/>
      <c r="K3599" s="199"/>
      <c r="M3599" s="199"/>
      <c r="N3599" s="200"/>
      <c r="P3599" s="199"/>
    </row>
    <row r="3600" spans="7:16" x14ac:dyDescent="0.2">
      <c r="G3600" s="199"/>
      <c r="I3600" s="199"/>
      <c r="K3600" s="199"/>
      <c r="M3600" s="199"/>
      <c r="N3600" s="200"/>
      <c r="P3600" s="199"/>
    </row>
    <row r="3601" spans="7:16" x14ac:dyDescent="0.2">
      <c r="G3601" s="199"/>
      <c r="I3601" s="199"/>
      <c r="K3601" s="199"/>
      <c r="M3601" s="199"/>
      <c r="N3601" s="200"/>
      <c r="P3601" s="199"/>
    </row>
    <row r="3602" spans="7:16" x14ac:dyDescent="0.2">
      <c r="G3602" s="199"/>
      <c r="I3602" s="199"/>
      <c r="K3602" s="199"/>
      <c r="M3602" s="199"/>
      <c r="N3602" s="200"/>
      <c r="P3602" s="199"/>
    </row>
    <row r="3603" spans="7:16" x14ac:dyDescent="0.2">
      <c r="G3603" s="199"/>
      <c r="I3603" s="199"/>
      <c r="K3603" s="199"/>
      <c r="M3603" s="199"/>
      <c r="N3603" s="200"/>
      <c r="P3603" s="199"/>
    </row>
    <row r="3604" spans="7:16" x14ac:dyDescent="0.2">
      <c r="G3604" s="199"/>
      <c r="I3604" s="199"/>
      <c r="K3604" s="199"/>
      <c r="M3604" s="199"/>
      <c r="N3604" s="200"/>
      <c r="P3604" s="199"/>
    </row>
    <row r="3605" spans="7:16" x14ac:dyDescent="0.2">
      <c r="G3605" s="199"/>
      <c r="I3605" s="199"/>
      <c r="K3605" s="199"/>
      <c r="M3605" s="199"/>
      <c r="N3605" s="200"/>
      <c r="P3605" s="199"/>
    </row>
    <row r="3606" spans="7:16" x14ac:dyDescent="0.2">
      <c r="G3606" s="199"/>
      <c r="I3606" s="199"/>
      <c r="K3606" s="199"/>
      <c r="M3606" s="199"/>
      <c r="N3606" s="200"/>
      <c r="P3606" s="199"/>
    </row>
    <row r="3607" spans="7:16" x14ac:dyDescent="0.2">
      <c r="G3607" s="199"/>
      <c r="I3607" s="199"/>
      <c r="K3607" s="199"/>
      <c r="M3607" s="199"/>
      <c r="N3607" s="200"/>
      <c r="P3607" s="199"/>
    </row>
    <row r="3608" spans="7:16" x14ac:dyDescent="0.2">
      <c r="G3608" s="199"/>
      <c r="I3608" s="199"/>
      <c r="K3608" s="199"/>
      <c r="M3608" s="199"/>
      <c r="N3608" s="200"/>
      <c r="P3608" s="199"/>
    </row>
    <row r="3609" spans="7:16" x14ac:dyDescent="0.2">
      <c r="G3609" s="199"/>
      <c r="I3609" s="199"/>
      <c r="K3609" s="199"/>
      <c r="M3609" s="199"/>
      <c r="N3609" s="200"/>
      <c r="P3609" s="199"/>
    </row>
    <row r="3610" spans="7:16" x14ac:dyDescent="0.2">
      <c r="G3610" s="199"/>
      <c r="I3610" s="199"/>
      <c r="K3610" s="199"/>
      <c r="M3610" s="199"/>
      <c r="N3610" s="200"/>
      <c r="P3610" s="199"/>
    </row>
    <row r="3611" spans="7:16" x14ac:dyDescent="0.2">
      <c r="G3611" s="199"/>
      <c r="I3611" s="199"/>
      <c r="K3611" s="199"/>
      <c r="M3611" s="199"/>
      <c r="N3611" s="200"/>
      <c r="P3611" s="199"/>
    </row>
    <row r="3612" spans="7:16" x14ac:dyDescent="0.2">
      <c r="G3612" s="199"/>
      <c r="I3612" s="199"/>
      <c r="K3612" s="199"/>
      <c r="M3612" s="199"/>
      <c r="N3612" s="200"/>
      <c r="P3612" s="199"/>
    </row>
    <row r="3613" spans="7:16" x14ac:dyDescent="0.2">
      <c r="G3613" s="199"/>
      <c r="I3613" s="199"/>
      <c r="K3613" s="199"/>
      <c r="M3613" s="199"/>
      <c r="N3613" s="200"/>
      <c r="P3613" s="199"/>
    </row>
    <row r="3614" spans="7:16" x14ac:dyDescent="0.2">
      <c r="G3614" s="199"/>
      <c r="I3614" s="199"/>
      <c r="K3614" s="199"/>
      <c r="M3614" s="199"/>
      <c r="N3614" s="200"/>
      <c r="P3614" s="199"/>
    </row>
    <row r="3615" spans="7:16" x14ac:dyDescent="0.2">
      <c r="G3615" s="199"/>
      <c r="I3615" s="199"/>
      <c r="K3615" s="199"/>
      <c r="M3615" s="199"/>
      <c r="N3615" s="200"/>
      <c r="P3615" s="199"/>
    </row>
    <row r="3616" spans="7:16" x14ac:dyDescent="0.2">
      <c r="G3616" s="199"/>
      <c r="I3616" s="199"/>
      <c r="K3616" s="199"/>
      <c r="M3616" s="199"/>
      <c r="N3616" s="200"/>
      <c r="P3616" s="199"/>
    </row>
    <row r="3617" spans="7:16" x14ac:dyDescent="0.2">
      <c r="G3617" s="199"/>
      <c r="I3617" s="199"/>
      <c r="K3617" s="199"/>
      <c r="M3617" s="199"/>
      <c r="N3617" s="200"/>
      <c r="P3617" s="199"/>
    </row>
    <row r="3618" spans="7:16" x14ac:dyDescent="0.2">
      <c r="G3618" s="199"/>
      <c r="I3618" s="199"/>
      <c r="K3618" s="199"/>
      <c r="M3618" s="199"/>
      <c r="N3618" s="200"/>
      <c r="P3618" s="199"/>
    </row>
    <row r="3619" spans="7:16" x14ac:dyDescent="0.2">
      <c r="G3619" s="199"/>
      <c r="I3619" s="199"/>
      <c r="K3619" s="199"/>
      <c r="M3619" s="199"/>
      <c r="N3619" s="200"/>
      <c r="P3619" s="199"/>
    </row>
    <row r="3620" spans="7:16" x14ac:dyDescent="0.2">
      <c r="G3620" s="199"/>
      <c r="I3620" s="199"/>
      <c r="K3620" s="199"/>
      <c r="M3620" s="199"/>
      <c r="N3620" s="200"/>
      <c r="P3620" s="199"/>
    </row>
    <row r="3621" spans="7:16" x14ac:dyDescent="0.2">
      <c r="G3621" s="199"/>
      <c r="I3621" s="199"/>
      <c r="K3621" s="199"/>
      <c r="M3621" s="199"/>
      <c r="N3621" s="200"/>
      <c r="P3621" s="199"/>
    </row>
    <row r="3622" spans="7:16" x14ac:dyDescent="0.2">
      <c r="G3622" s="199"/>
      <c r="I3622" s="199"/>
      <c r="K3622" s="199"/>
      <c r="M3622" s="199"/>
      <c r="N3622" s="200"/>
      <c r="P3622" s="199"/>
    </row>
    <row r="3623" spans="7:16" x14ac:dyDescent="0.2">
      <c r="G3623" s="199"/>
      <c r="I3623" s="199"/>
      <c r="K3623" s="199"/>
      <c r="M3623" s="199"/>
      <c r="N3623" s="200"/>
      <c r="P3623" s="199"/>
    </row>
    <row r="3624" spans="7:16" x14ac:dyDescent="0.2">
      <c r="G3624" s="199"/>
      <c r="I3624" s="199"/>
      <c r="K3624" s="199"/>
      <c r="M3624" s="199"/>
      <c r="N3624" s="200"/>
      <c r="P3624" s="199"/>
    </row>
    <row r="3625" spans="7:16" x14ac:dyDescent="0.2">
      <c r="G3625" s="199"/>
      <c r="I3625" s="199"/>
      <c r="K3625" s="199"/>
      <c r="M3625" s="199"/>
      <c r="N3625" s="200"/>
      <c r="P3625" s="199"/>
    </row>
    <row r="3626" spans="7:16" x14ac:dyDescent="0.2">
      <c r="G3626" s="199"/>
      <c r="I3626" s="199"/>
      <c r="K3626" s="199"/>
      <c r="M3626" s="199"/>
      <c r="N3626" s="200"/>
      <c r="P3626" s="199"/>
    </row>
    <row r="3627" spans="7:16" x14ac:dyDescent="0.2">
      <c r="G3627" s="199"/>
      <c r="I3627" s="199"/>
      <c r="K3627" s="199"/>
      <c r="M3627" s="199"/>
      <c r="N3627" s="200"/>
      <c r="P3627" s="199"/>
    </row>
    <row r="3628" spans="7:16" x14ac:dyDescent="0.2">
      <c r="G3628" s="199"/>
      <c r="I3628" s="199"/>
      <c r="K3628" s="199"/>
      <c r="M3628" s="199"/>
      <c r="N3628" s="200"/>
      <c r="P3628" s="199"/>
    </row>
    <row r="3629" spans="7:16" x14ac:dyDescent="0.2">
      <c r="G3629" s="199"/>
      <c r="I3629" s="199"/>
      <c r="K3629" s="199"/>
      <c r="M3629" s="199"/>
      <c r="N3629" s="200"/>
      <c r="P3629" s="199"/>
    </row>
    <row r="3630" spans="7:16" x14ac:dyDescent="0.2">
      <c r="G3630" s="199"/>
      <c r="I3630" s="199"/>
      <c r="K3630" s="199"/>
      <c r="M3630" s="199"/>
      <c r="N3630" s="200"/>
      <c r="P3630" s="199"/>
    </row>
    <row r="3631" spans="7:16" x14ac:dyDescent="0.2">
      <c r="G3631" s="199"/>
      <c r="I3631" s="199"/>
      <c r="K3631" s="199"/>
      <c r="M3631" s="199"/>
      <c r="N3631" s="200"/>
      <c r="P3631" s="199"/>
    </row>
    <row r="3632" spans="7:16" x14ac:dyDescent="0.2">
      <c r="G3632" s="199"/>
      <c r="I3632" s="199"/>
      <c r="K3632" s="199"/>
      <c r="M3632" s="199"/>
      <c r="N3632" s="200"/>
      <c r="P3632" s="199"/>
    </row>
    <row r="3633" spans="7:16" x14ac:dyDescent="0.2">
      <c r="G3633" s="199"/>
      <c r="I3633" s="199"/>
      <c r="K3633" s="199"/>
      <c r="M3633" s="199"/>
      <c r="N3633" s="200"/>
      <c r="P3633" s="199"/>
    </row>
    <row r="3634" spans="7:16" x14ac:dyDescent="0.2">
      <c r="G3634" s="199"/>
      <c r="I3634" s="199"/>
      <c r="K3634" s="199"/>
      <c r="M3634" s="199"/>
      <c r="N3634" s="200"/>
      <c r="P3634" s="199"/>
    </row>
    <row r="3635" spans="7:16" x14ac:dyDescent="0.2">
      <c r="G3635" s="199"/>
      <c r="I3635" s="199"/>
      <c r="K3635" s="199"/>
      <c r="M3635" s="199"/>
      <c r="N3635" s="200"/>
      <c r="P3635" s="199"/>
    </row>
    <row r="3636" spans="7:16" x14ac:dyDescent="0.2">
      <c r="G3636" s="199"/>
      <c r="I3636" s="199"/>
      <c r="K3636" s="199"/>
      <c r="M3636" s="199"/>
      <c r="N3636" s="200"/>
      <c r="P3636" s="199"/>
    </row>
    <row r="3637" spans="7:16" x14ac:dyDescent="0.2">
      <c r="G3637" s="199"/>
      <c r="I3637" s="199"/>
      <c r="K3637" s="199"/>
      <c r="M3637" s="199"/>
      <c r="N3637" s="200"/>
      <c r="P3637" s="199"/>
    </row>
    <row r="3638" spans="7:16" x14ac:dyDescent="0.2">
      <c r="G3638" s="199"/>
      <c r="I3638" s="199"/>
      <c r="K3638" s="199"/>
      <c r="M3638" s="199"/>
      <c r="N3638" s="200"/>
      <c r="P3638" s="199"/>
    </row>
    <row r="3639" spans="7:16" x14ac:dyDescent="0.2">
      <c r="G3639" s="199"/>
      <c r="I3639" s="199"/>
      <c r="K3639" s="199"/>
      <c r="M3639" s="199"/>
      <c r="N3639" s="200"/>
      <c r="P3639" s="199"/>
    </row>
    <row r="3640" spans="7:16" x14ac:dyDescent="0.2">
      <c r="G3640" s="199"/>
      <c r="I3640" s="199"/>
      <c r="K3640" s="199"/>
      <c r="M3640" s="199"/>
      <c r="N3640" s="200"/>
      <c r="P3640" s="199"/>
    </row>
    <row r="3641" spans="7:16" x14ac:dyDescent="0.2">
      <c r="G3641" s="199"/>
      <c r="I3641" s="199"/>
      <c r="K3641" s="199"/>
      <c r="M3641" s="199"/>
      <c r="N3641" s="200"/>
      <c r="P3641" s="199"/>
    </row>
    <row r="3642" spans="7:16" x14ac:dyDescent="0.2">
      <c r="G3642" s="199"/>
      <c r="I3642" s="199"/>
      <c r="K3642" s="199"/>
      <c r="M3642" s="199"/>
      <c r="N3642" s="200"/>
      <c r="P3642" s="199"/>
    </row>
    <row r="3643" spans="7:16" x14ac:dyDescent="0.2">
      <c r="G3643" s="199"/>
      <c r="I3643" s="199"/>
      <c r="K3643" s="199"/>
      <c r="M3643" s="199"/>
      <c r="N3643" s="200"/>
      <c r="P3643" s="199"/>
    </row>
    <row r="3644" spans="7:16" x14ac:dyDescent="0.2">
      <c r="G3644" s="199"/>
      <c r="I3644" s="199"/>
      <c r="K3644" s="199"/>
      <c r="M3644" s="199"/>
      <c r="N3644" s="200"/>
      <c r="P3644" s="199"/>
    </row>
    <row r="3645" spans="7:16" x14ac:dyDescent="0.2">
      <c r="G3645" s="199"/>
      <c r="I3645" s="199"/>
      <c r="K3645" s="199"/>
      <c r="M3645" s="199"/>
      <c r="N3645" s="200"/>
      <c r="P3645" s="199"/>
    </row>
    <row r="3646" spans="7:16" x14ac:dyDescent="0.2">
      <c r="G3646" s="199"/>
      <c r="I3646" s="199"/>
      <c r="K3646" s="199"/>
      <c r="M3646" s="199"/>
      <c r="N3646" s="200"/>
      <c r="P3646" s="199"/>
    </row>
    <row r="3647" spans="7:16" x14ac:dyDescent="0.2">
      <c r="G3647" s="199"/>
      <c r="I3647" s="199"/>
      <c r="K3647" s="199"/>
      <c r="M3647" s="199"/>
      <c r="N3647" s="200"/>
      <c r="P3647" s="199"/>
    </row>
    <row r="3648" spans="7:16" x14ac:dyDescent="0.2">
      <c r="G3648" s="199"/>
      <c r="I3648" s="199"/>
      <c r="K3648" s="199"/>
      <c r="M3648" s="199"/>
      <c r="N3648" s="200"/>
      <c r="P3648" s="199"/>
    </row>
    <row r="3649" spans="7:16" x14ac:dyDescent="0.2">
      <c r="G3649" s="199"/>
      <c r="I3649" s="199"/>
      <c r="K3649" s="199"/>
      <c r="M3649" s="199"/>
      <c r="N3649" s="200"/>
      <c r="P3649" s="199"/>
    </row>
    <row r="3650" spans="7:16" x14ac:dyDescent="0.2">
      <c r="G3650" s="199"/>
      <c r="I3650" s="199"/>
      <c r="K3650" s="199"/>
      <c r="M3650" s="199"/>
      <c r="N3650" s="200"/>
      <c r="P3650" s="199"/>
    </row>
    <row r="3651" spans="7:16" x14ac:dyDescent="0.2">
      <c r="G3651" s="199"/>
      <c r="I3651" s="199"/>
      <c r="K3651" s="199"/>
      <c r="M3651" s="199"/>
      <c r="N3651" s="200"/>
      <c r="P3651" s="199"/>
    </row>
    <row r="3652" spans="7:16" x14ac:dyDescent="0.2">
      <c r="G3652" s="199"/>
      <c r="I3652" s="199"/>
      <c r="K3652" s="199"/>
      <c r="M3652" s="199"/>
      <c r="N3652" s="200"/>
      <c r="P3652" s="199"/>
    </row>
    <row r="3653" spans="7:16" x14ac:dyDescent="0.2">
      <c r="G3653" s="199"/>
      <c r="I3653" s="199"/>
      <c r="K3653" s="199"/>
      <c r="M3653" s="199"/>
      <c r="N3653" s="200"/>
      <c r="P3653" s="199"/>
    </row>
    <row r="3654" spans="7:16" x14ac:dyDescent="0.2">
      <c r="G3654" s="199"/>
      <c r="I3654" s="199"/>
      <c r="K3654" s="199"/>
      <c r="M3654" s="199"/>
      <c r="N3654" s="200"/>
      <c r="P3654" s="199"/>
    </row>
    <row r="3655" spans="7:16" x14ac:dyDescent="0.2">
      <c r="G3655" s="199"/>
      <c r="I3655" s="199"/>
      <c r="K3655" s="199"/>
      <c r="M3655" s="199"/>
      <c r="N3655" s="200"/>
      <c r="P3655" s="199"/>
    </row>
    <row r="3656" spans="7:16" x14ac:dyDescent="0.2">
      <c r="G3656" s="199"/>
      <c r="I3656" s="199"/>
      <c r="K3656" s="199"/>
      <c r="M3656" s="199"/>
      <c r="N3656" s="200"/>
      <c r="P3656" s="199"/>
    </row>
    <row r="3657" spans="7:16" x14ac:dyDescent="0.2">
      <c r="G3657" s="199"/>
      <c r="I3657" s="199"/>
      <c r="K3657" s="199"/>
      <c r="M3657" s="199"/>
      <c r="N3657" s="200"/>
      <c r="P3657" s="199"/>
    </row>
    <row r="3658" spans="7:16" x14ac:dyDescent="0.2">
      <c r="G3658" s="199"/>
      <c r="I3658" s="199"/>
      <c r="K3658" s="199"/>
      <c r="M3658" s="199"/>
      <c r="N3658" s="200"/>
      <c r="P3658" s="199"/>
    </row>
    <row r="3659" spans="7:16" x14ac:dyDescent="0.2">
      <c r="G3659" s="199"/>
      <c r="I3659" s="199"/>
      <c r="K3659" s="199"/>
      <c r="M3659" s="199"/>
      <c r="N3659" s="200"/>
      <c r="P3659" s="199"/>
    </row>
    <row r="3660" spans="7:16" x14ac:dyDescent="0.2">
      <c r="G3660" s="199"/>
      <c r="I3660" s="199"/>
      <c r="K3660" s="199"/>
      <c r="M3660" s="199"/>
      <c r="N3660" s="200"/>
      <c r="P3660" s="199"/>
    </row>
    <row r="3661" spans="7:16" x14ac:dyDescent="0.2">
      <c r="G3661" s="199"/>
      <c r="I3661" s="199"/>
      <c r="K3661" s="199"/>
      <c r="M3661" s="199"/>
      <c r="N3661" s="200"/>
      <c r="P3661" s="199"/>
    </row>
    <row r="3662" spans="7:16" x14ac:dyDescent="0.2">
      <c r="G3662" s="199"/>
      <c r="I3662" s="199"/>
      <c r="K3662" s="199"/>
      <c r="M3662" s="199"/>
      <c r="N3662" s="200"/>
      <c r="P3662" s="199"/>
    </row>
    <row r="3663" spans="7:16" x14ac:dyDescent="0.2">
      <c r="G3663" s="199"/>
      <c r="I3663" s="199"/>
      <c r="K3663" s="199"/>
      <c r="M3663" s="199"/>
      <c r="N3663" s="200"/>
      <c r="P3663" s="199"/>
    </row>
    <row r="3664" spans="7:16" x14ac:dyDescent="0.2">
      <c r="G3664" s="199"/>
      <c r="I3664" s="199"/>
      <c r="K3664" s="199"/>
      <c r="M3664" s="199"/>
      <c r="N3664" s="200"/>
      <c r="P3664" s="199"/>
    </row>
    <row r="3665" spans="7:16" x14ac:dyDescent="0.2">
      <c r="G3665" s="199"/>
      <c r="I3665" s="199"/>
      <c r="K3665" s="199"/>
      <c r="M3665" s="199"/>
      <c r="N3665" s="200"/>
      <c r="P3665" s="199"/>
    </row>
    <row r="3666" spans="7:16" x14ac:dyDescent="0.2">
      <c r="G3666" s="199"/>
      <c r="I3666" s="199"/>
      <c r="K3666" s="199"/>
      <c r="M3666" s="199"/>
      <c r="N3666" s="200"/>
      <c r="P3666" s="199"/>
    </row>
    <row r="3667" spans="7:16" x14ac:dyDescent="0.2">
      <c r="G3667" s="199"/>
      <c r="I3667" s="199"/>
      <c r="K3667" s="199"/>
      <c r="M3667" s="199"/>
      <c r="N3667" s="200"/>
      <c r="P3667" s="199"/>
    </row>
    <row r="3668" spans="7:16" x14ac:dyDescent="0.2">
      <c r="G3668" s="199"/>
      <c r="I3668" s="199"/>
      <c r="K3668" s="199"/>
      <c r="M3668" s="199"/>
      <c r="N3668" s="200"/>
      <c r="P3668" s="199"/>
    </row>
    <row r="3669" spans="7:16" x14ac:dyDescent="0.2">
      <c r="G3669" s="199"/>
      <c r="I3669" s="199"/>
      <c r="K3669" s="199"/>
      <c r="M3669" s="199"/>
      <c r="N3669" s="200"/>
      <c r="P3669" s="199"/>
    </row>
    <row r="3670" spans="7:16" x14ac:dyDescent="0.2">
      <c r="G3670" s="199"/>
      <c r="I3670" s="199"/>
      <c r="K3670" s="199"/>
      <c r="M3670" s="199"/>
      <c r="N3670" s="200"/>
      <c r="P3670" s="199"/>
    </row>
    <row r="3671" spans="7:16" x14ac:dyDescent="0.2">
      <c r="G3671" s="199"/>
      <c r="I3671" s="199"/>
      <c r="K3671" s="199"/>
      <c r="M3671" s="199"/>
      <c r="N3671" s="200"/>
      <c r="P3671" s="199"/>
    </row>
    <row r="3672" spans="7:16" x14ac:dyDescent="0.2">
      <c r="G3672" s="199"/>
      <c r="I3672" s="199"/>
      <c r="K3672" s="199"/>
      <c r="M3672" s="199"/>
      <c r="N3672" s="200"/>
      <c r="P3672" s="199"/>
    </row>
    <row r="3673" spans="7:16" x14ac:dyDescent="0.2">
      <c r="G3673" s="199"/>
      <c r="I3673" s="199"/>
      <c r="K3673" s="199"/>
      <c r="M3673" s="199"/>
      <c r="N3673" s="200"/>
      <c r="P3673" s="199"/>
    </row>
    <row r="3674" spans="7:16" x14ac:dyDescent="0.2">
      <c r="G3674" s="199"/>
      <c r="I3674" s="199"/>
      <c r="K3674" s="199"/>
      <c r="M3674" s="199"/>
      <c r="N3674" s="200"/>
      <c r="P3674" s="199"/>
    </row>
    <row r="3675" spans="7:16" x14ac:dyDescent="0.2">
      <c r="G3675" s="199"/>
      <c r="I3675" s="199"/>
      <c r="K3675" s="199"/>
      <c r="M3675" s="199"/>
      <c r="N3675" s="200"/>
      <c r="P3675" s="199"/>
    </row>
    <row r="3676" spans="7:16" x14ac:dyDescent="0.2">
      <c r="G3676" s="199"/>
      <c r="I3676" s="199"/>
      <c r="K3676" s="199"/>
      <c r="M3676" s="199"/>
      <c r="N3676" s="200"/>
      <c r="P3676" s="199"/>
    </row>
    <row r="3677" spans="7:16" x14ac:dyDescent="0.2">
      <c r="G3677" s="199"/>
      <c r="I3677" s="199"/>
      <c r="K3677" s="199"/>
      <c r="M3677" s="199"/>
      <c r="N3677" s="200"/>
      <c r="P3677" s="199"/>
    </row>
    <row r="3678" spans="7:16" x14ac:dyDescent="0.2">
      <c r="G3678" s="199"/>
      <c r="I3678" s="199"/>
      <c r="K3678" s="199"/>
      <c r="M3678" s="199"/>
      <c r="N3678" s="200"/>
      <c r="P3678" s="199"/>
    </row>
    <row r="3679" spans="7:16" x14ac:dyDescent="0.2">
      <c r="G3679" s="199"/>
      <c r="I3679" s="199"/>
      <c r="K3679" s="199"/>
      <c r="M3679" s="199"/>
      <c r="N3679" s="200"/>
      <c r="P3679" s="199"/>
    </row>
    <row r="3680" spans="7:16" x14ac:dyDescent="0.2">
      <c r="G3680" s="199"/>
      <c r="I3680" s="199"/>
      <c r="K3680" s="199"/>
      <c r="M3680" s="199"/>
      <c r="N3680" s="200"/>
      <c r="P3680" s="199"/>
    </row>
    <row r="3681" spans="7:16" x14ac:dyDescent="0.2">
      <c r="G3681" s="199"/>
      <c r="I3681" s="199"/>
      <c r="K3681" s="199"/>
      <c r="M3681" s="199"/>
      <c r="N3681" s="200"/>
      <c r="P3681" s="199"/>
    </row>
    <row r="3682" spans="7:16" x14ac:dyDescent="0.2">
      <c r="G3682" s="199"/>
      <c r="I3682" s="199"/>
      <c r="K3682" s="199"/>
      <c r="M3682" s="199"/>
      <c r="N3682" s="200"/>
      <c r="P3682" s="199"/>
    </row>
    <row r="3683" spans="7:16" x14ac:dyDescent="0.2">
      <c r="G3683" s="199"/>
      <c r="I3683" s="199"/>
      <c r="K3683" s="199"/>
      <c r="M3683" s="199"/>
      <c r="N3683" s="200"/>
      <c r="P3683" s="199"/>
    </row>
    <row r="3684" spans="7:16" x14ac:dyDescent="0.2">
      <c r="G3684" s="199"/>
      <c r="I3684" s="199"/>
      <c r="K3684" s="199"/>
      <c r="M3684" s="199"/>
      <c r="N3684" s="200"/>
      <c r="P3684" s="199"/>
    </row>
    <row r="3685" spans="7:16" x14ac:dyDescent="0.2">
      <c r="G3685" s="199"/>
      <c r="I3685" s="199"/>
      <c r="K3685" s="199"/>
      <c r="M3685" s="199"/>
      <c r="N3685" s="200"/>
      <c r="P3685" s="199"/>
    </row>
    <row r="3686" spans="7:16" x14ac:dyDescent="0.2">
      <c r="G3686" s="199"/>
      <c r="I3686" s="199"/>
      <c r="K3686" s="199"/>
      <c r="M3686" s="199"/>
      <c r="N3686" s="200"/>
      <c r="P3686" s="199"/>
    </row>
    <row r="3687" spans="7:16" x14ac:dyDescent="0.2">
      <c r="G3687" s="199"/>
      <c r="I3687" s="199"/>
      <c r="K3687" s="199"/>
      <c r="M3687" s="199"/>
      <c r="N3687" s="200"/>
      <c r="P3687" s="199"/>
    </row>
    <row r="3688" spans="7:16" x14ac:dyDescent="0.2">
      <c r="G3688" s="199"/>
      <c r="I3688" s="199"/>
      <c r="K3688" s="199"/>
      <c r="M3688" s="199"/>
      <c r="N3688" s="200"/>
      <c r="P3688" s="199"/>
    </row>
    <row r="3689" spans="7:16" x14ac:dyDescent="0.2">
      <c r="G3689" s="199"/>
      <c r="I3689" s="199"/>
      <c r="K3689" s="199"/>
      <c r="M3689" s="199"/>
      <c r="N3689" s="200"/>
      <c r="P3689" s="199"/>
    </row>
    <row r="3690" spans="7:16" x14ac:dyDescent="0.2">
      <c r="G3690" s="199"/>
      <c r="I3690" s="199"/>
      <c r="K3690" s="199"/>
      <c r="M3690" s="199"/>
      <c r="N3690" s="200"/>
      <c r="P3690" s="199"/>
    </row>
    <row r="3691" spans="7:16" x14ac:dyDescent="0.2">
      <c r="G3691" s="199"/>
      <c r="I3691" s="199"/>
      <c r="K3691" s="199"/>
      <c r="M3691" s="199"/>
      <c r="N3691" s="200"/>
      <c r="P3691" s="199"/>
    </row>
    <row r="3692" spans="7:16" x14ac:dyDescent="0.2">
      <c r="G3692" s="199"/>
      <c r="I3692" s="199"/>
      <c r="K3692" s="199"/>
      <c r="M3692" s="199"/>
      <c r="N3692" s="200"/>
      <c r="P3692" s="199"/>
    </row>
    <row r="3693" spans="7:16" x14ac:dyDescent="0.2">
      <c r="G3693" s="199"/>
      <c r="I3693" s="199"/>
      <c r="K3693" s="199"/>
      <c r="M3693" s="199"/>
      <c r="N3693" s="200"/>
      <c r="P3693" s="199"/>
    </row>
    <row r="3694" spans="7:16" x14ac:dyDescent="0.2">
      <c r="G3694" s="199"/>
      <c r="I3694" s="199"/>
      <c r="K3694" s="199"/>
      <c r="M3694" s="199"/>
      <c r="N3694" s="200"/>
      <c r="P3694" s="199"/>
    </row>
    <row r="3695" spans="7:16" x14ac:dyDescent="0.2">
      <c r="G3695" s="199"/>
      <c r="I3695" s="199"/>
      <c r="K3695" s="199"/>
      <c r="M3695" s="199"/>
      <c r="N3695" s="200"/>
      <c r="P3695" s="199"/>
    </row>
    <row r="3696" spans="7:16" x14ac:dyDescent="0.2">
      <c r="G3696" s="199"/>
      <c r="I3696" s="199"/>
      <c r="K3696" s="199"/>
      <c r="M3696" s="199"/>
      <c r="N3696" s="200"/>
      <c r="P3696" s="199"/>
    </row>
    <row r="3697" spans="7:16" x14ac:dyDescent="0.2">
      <c r="G3697" s="199"/>
      <c r="I3697" s="199"/>
      <c r="K3697" s="199"/>
      <c r="M3697" s="199"/>
      <c r="N3697" s="200"/>
      <c r="P3697" s="199"/>
    </row>
    <row r="3698" spans="7:16" x14ac:dyDescent="0.2">
      <c r="G3698" s="199"/>
      <c r="I3698" s="199"/>
      <c r="K3698" s="199"/>
      <c r="M3698" s="199"/>
      <c r="N3698" s="200"/>
      <c r="P3698" s="199"/>
    </row>
    <row r="3699" spans="7:16" x14ac:dyDescent="0.2">
      <c r="G3699" s="199"/>
      <c r="I3699" s="199"/>
      <c r="K3699" s="199"/>
      <c r="M3699" s="199"/>
      <c r="N3699" s="200"/>
      <c r="P3699" s="199"/>
    </row>
    <row r="3700" spans="7:16" x14ac:dyDescent="0.2">
      <c r="G3700" s="199"/>
      <c r="I3700" s="199"/>
      <c r="K3700" s="199"/>
      <c r="M3700" s="199"/>
      <c r="N3700" s="200"/>
      <c r="P3700" s="199"/>
    </row>
    <row r="3701" spans="7:16" x14ac:dyDescent="0.2">
      <c r="G3701" s="199"/>
      <c r="I3701" s="199"/>
      <c r="K3701" s="199"/>
      <c r="M3701" s="199"/>
      <c r="N3701" s="200"/>
      <c r="P3701" s="199"/>
    </row>
    <row r="3702" spans="7:16" x14ac:dyDescent="0.2">
      <c r="G3702" s="199"/>
      <c r="I3702" s="199"/>
      <c r="K3702" s="199"/>
      <c r="M3702" s="199"/>
      <c r="N3702" s="200"/>
      <c r="P3702" s="199"/>
    </row>
    <row r="3703" spans="7:16" x14ac:dyDescent="0.2">
      <c r="G3703" s="199"/>
      <c r="I3703" s="199"/>
      <c r="K3703" s="199"/>
      <c r="M3703" s="199"/>
      <c r="N3703" s="200"/>
      <c r="P3703" s="199"/>
    </row>
    <row r="3704" spans="7:16" x14ac:dyDescent="0.2">
      <c r="G3704" s="199"/>
      <c r="I3704" s="199"/>
      <c r="K3704" s="199"/>
      <c r="M3704" s="199"/>
      <c r="N3704" s="200"/>
      <c r="P3704" s="199"/>
    </row>
    <row r="3705" spans="7:16" x14ac:dyDescent="0.2">
      <c r="G3705" s="199"/>
      <c r="I3705" s="199"/>
      <c r="K3705" s="199"/>
      <c r="M3705" s="199"/>
      <c r="N3705" s="200"/>
      <c r="P3705" s="199"/>
    </row>
    <row r="3706" spans="7:16" x14ac:dyDescent="0.2">
      <c r="G3706" s="199"/>
      <c r="I3706" s="199"/>
      <c r="K3706" s="199"/>
      <c r="M3706" s="199"/>
      <c r="N3706" s="200"/>
      <c r="P3706" s="199"/>
    </row>
    <row r="3707" spans="7:16" x14ac:dyDescent="0.2">
      <c r="G3707" s="199"/>
      <c r="I3707" s="199"/>
      <c r="K3707" s="199"/>
      <c r="M3707" s="199"/>
      <c r="N3707" s="200"/>
      <c r="P3707" s="199"/>
    </row>
    <row r="3708" spans="7:16" x14ac:dyDescent="0.2">
      <c r="G3708" s="199"/>
      <c r="I3708" s="199"/>
      <c r="K3708" s="199"/>
      <c r="M3708" s="199"/>
      <c r="N3708" s="200"/>
      <c r="P3708" s="199"/>
    </row>
    <row r="3709" spans="7:16" x14ac:dyDescent="0.2">
      <c r="G3709" s="199"/>
      <c r="I3709" s="199"/>
      <c r="K3709" s="199"/>
      <c r="M3709" s="199"/>
      <c r="N3709" s="200"/>
      <c r="P3709" s="199"/>
    </row>
    <row r="3710" spans="7:16" x14ac:dyDescent="0.2">
      <c r="G3710" s="199"/>
      <c r="I3710" s="199"/>
      <c r="K3710" s="199"/>
      <c r="M3710" s="199"/>
      <c r="N3710" s="200"/>
      <c r="P3710" s="199"/>
    </row>
    <row r="3711" spans="7:16" x14ac:dyDescent="0.2">
      <c r="G3711" s="199"/>
      <c r="I3711" s="199"/>
      <c r="K3711" s="199"/>
      <c r="M3711" s="199"/>
      <c r="N3711" s="200"/>
      <c r="P3711" s="199"/>
    </row>
    <row r="3712" spans="7:16" x14ac:dyDescent="0.2">
      <c r="G3712" s="199"/>
      <c r="I3712" s="199"/>
      <c r="K3712" s="199"/>
      <c r="M3712" s="199"/>
      <c r="N3712" s="200"/>
      <c r="P3712" s="199"/>
    </row>
    <row r="3713" spans="7:16" x14ac:dyDescent="0.2">
      <c r="G3713" s="199"/>
      <c r="I3713" s="199"/>
      <c r="K3713" s="199"/>
      <c r="M3713" s="199"/>
      <c r="N3713" s="200"/>
      <c r="P3713" s="199"/>
    </row>
    <row r="3714" spans="7:16" x14ac:dyDescent="0.2">
      <c r="G3714" s="199"/>
      <c r="I3714" s="199"/>
      <c r="K3714" s="199"/>
      <c r="M3714" s="199"/>
      <c r="N3714" s="200"/>
      <c r="P3714" s="199"/>
    </row>
    <row r="3715" spans="7:16" x14ac:dyDescent="0.2">
      <c r="G3715" s="199"/>
      <c r="I3715" s="199"/>
      <c r="K3715" s="199"/>
      <c r="M3715" s="199"/>
      <c r="N3715" s="200"/>
      <c r="P3715" s="199"/>
    </row>
    <row r="3716" spans="7:16" x14ac:dyDescent="0.2">
      <c r="G3716" s="199"/>
      <c r="I3716" s="199"/>
      <c r="K3716" s="199"/>
      <c r="M3716" s="199"/>
      <c r="N3716" s="200"/>
      <c r="P3716" s="199"/>
    </row>
    <row r="3717" spans="7:16" x14ac:dyDescent="0.2">
      <c r="G3717" s="199"/>
      <c r="I3717" s="199"/>
      <c r="K3717" s="199"/>
      <c r="M3717" s="199"/>
      <c r="N3717" s="200"/>
      <c r="P3717" s="199"/>
    </row>
    <row r="3718" spans="7:16" x14ac:dyDescent="0.2">
      <c r="G3718" s="199"/>
      <c r="I3718" s="199"/>
      <c r="K3718" s="199"/>
      <c r="M3718" s="199"/>
      <c r="N3718" s="200"/>
      <c r="P3718" s="199"/>
    </row>
    <row r="3719" spans="7:16" x14ac:dyDescent="0.2">
      <c r="G3719" s="199"/>
      <c r="I3719" s="199"/>
      <c r="K3719" s="199"/>
      <c r="M3719" s="199"/>
      <c r="N3719" s="200"/>
      <c r="P3719" s="199"/>
    </row>
    <row r="3720" spans="7:16" x14ac:dyDescent="0.2">
      <c r="G3720" s="199"/>
      <c r="I3720" s="199"/>
      <c r="K3720" s="199"/>
      <c r="M3720" s="199"/>
      <c r="N3720" s="200"/>
      <c r="P3720" s="199"/>
    </row>
    <row r="3721" spans="7:16" x14ac:dyDescent="0.2">
      <c r="G3721" s="199"/>
      <c r="I3721" s="199"/>
      <c r="K3721" s="199"/>
      <c r="M3721" s="199"/>
      <c r="N3721" s="200"/>
      <c r="P3721" s="199"/>
    </row>
    <row r="3722" spans="7:16" x14ac:dyDescent="0.2">
      <c r="G3722" s="199"/>
      <c r="I3722" s="199"/>
      <c r="K3722" s="199"/>
      <c r="M3722" s="199"/>
      <c r="N3722" s="200"/>
      <c r="P3722" s="199"/>
    </row>
    <row r="3723" spans="7:16" x14ac:dyDescent="0.2">
      <c r="G3723" s="199"/>
      <c r="I3723" s="199"/>
      <c r="K3723" s="199"/>
      <c r="M3723" s="199"/>
      <c r="N3723" s="200"/>
      <c r="P3723" s="199"/>
    </row>
    <row r="3724" spans="7:16" x14ac:dyDescent="0.2">
      <c r="G3724" s="199"/>
      <c r="I3724" s="199"/>
      <c r="K3724" s="199"/>
      <c r="M3724" s="199"/>
      <c r="N3724" s="200"/>
      <c r="P3724" s="199"/>
    </row>
    <row r="3725" spans="7:16" x14ac:dyDescent="0.2">
      <c r="G3725" s="199"/>
      <c r="I3725" s="199"/>
      <c r="K3725" s="199"/>
      <c r="M3725" s="199"/>
      <c r="N3725" s="200"/>
      <c r="P3725" s="199"/>
    </row>
    <row r="3726" spans="7:16" x14ac:dyDescent="0.2">
      <c r="G3726" s="199"/>
      <c r="I3726" s="199"/>
      <c r="K3726" s="199"/>
      <c r="M3726" s="199"/>
      <c r="N3726" s="200"/>
      <c r="P3726" s="199"/>
    </row>
    <row r="3727" spans="7:16" x14ac:dyDescent="0.2">
      <c r="G3727" s="199"/>
      <c r="I3727" s="199"/>
      <c r="K3727" s="199"/>
      <c r="M3727" s="199"/>
      <c r="N3727" s="200"/>
      <c r="P3727" s="199"/>
    </row>
    <row r="3728" spans="7:16" x14ac:dyDescent="0.2">
      <c r="G3728" s="199"/>
      <c r="I3728" s="199"/>
      <c r="K3728" s="199"/>
      <c r="M3728" s="199"/>
      <c r="N3728" s="200"/>
      <c r="P3728" s="199"/>
    </row>
    <row r="3729" spans="7:16" x14ac:dyDescent="0.2">
      <c r="G3729" s="199"/>
      <c r="I3729" s="199"/>
      <c r="K3729" s="199"/>
      <c r="M3729" s="199"/>
      <c r="N3729" s="200"/>
      <c r="P3729" s="199"/>
    </row>
    <row r="3730" spans="7:16" x14ac:dyDescent="0.2">
      <c r="G3730" s="199"/>
      <c r="I3730" s="199"/>
      <c r="K3730" s="199"/>
      <c r="M3730" s="199"/>
      <c r="N3730" s="200"/>
      <c r="P3730" s="199"/>
    </row>
    <row r="3731" spans="7:16" x14ac:dyDescent="0.2">
      <c r="G3731" s="199"/>
      <c r="I3731" s="199"/>
      <c r="K3731" s="199"/>
      <c r="M3731" s="199"/>
      <c r="N3731" s="200"/>
      <c r="P3731" s="199"/>
    </row>
    <row r="3732" spans="7:16" x14ac:dyDescent="0.2">
      <c r="G3732" s="199"/>
      <c r="I3732" s="199"/>
      <c r="K3732" s="199"/>
      <c r="M3732" s="199"/>
      <c r="N3732" s="200"/>
      <c r="P3732" s="199"/>
    </row>
    <row r="3733" spans="7:16" x14ac:dyDescent="0.2">
      <c r="G3733" s="199"/>
      <c r="I3733" s="199"/>
      <c r="K3733" s="199"/>
      <c r="M3733" s="199"/>
      <c r="N3733" s="200"/>
      <c r="P3733" s="199"/>
    </row>
    <row r="3734" spans="7:16" x14ac:dyDescent="0.2">
      <c r="G3734" s="199"/>
      <c r="I3734" s="199"/>
      <c r="K3734" s="199"/>
      <c r="M3734" s="199"/>
      <c r="N3734" s="200"/>
      <c r="P3734" s="199"/>
    </row>
    <row r="3735" spans="7:16" x14ac:dyDescent="0.2">
      <c r="G3735" s="199"/>
      <c r="I3735" s="199"/>
      <c r="K3735" s="199"/>
      <c r="M3735" s="199"/>
      <c r="N3735" s="200"/>
      <c r="P3735" s="199"/>
    </row>
    <row r="3736" spans="7:16" x14ac:dyDescent="0.2">
      <c r="G3736" s="199"/>
      <c r="I3736" s="199"/>
      <c r="K3736" s="199"/>
      <c r="M3736" s="199"/>
      <c r="N3736" s="200"/>
      <c r="P3736" s="199"/>
    </row>
    <row r="3737" spans="7:16" x14ac:dyDescent="0.2">
      <c r="G3737" s="199"/>
      <c r="I3737" s="199"/>
      <c r="K3737" s="199"/>
      <c r="M3737" s="199"/>
      <c r="N3737" s="200"/>
      <c r="P3737" s="199"/>
    </row>
    <row r="3738" spans="7:16" x14ac:dyDescent="0.2">
      <c r="G3738" s="199"/>
      <c r="I3738" s="199"/>
      <c r="K3738" s="199"/>
      <c r="M3738" s="199"/>
      <c r="N3738" s="200"/>
      <c r="P3738" s="199"/>
    </row>
    <row r="3739" spans="7:16" x14ac:dyDescent="0.2">
      <c r="G3739" s="199"/>
      <c r="I3739" s="199"/>
      <c r="K3739" s="199"/>
      <c r="M3739" s="199"/>
      <c r="N3739" s="200"/>
      <c r="P3739" s="199"/>
    </row>
    <row r="3740" spans="7:16" x14ac:dyDescent="0.2">
      <c r="G3740" s="199"/>
      <c r="I3740" s="199"/>
      <c r="K3740" s="199"/>
      <c r="M3740" s="199"/>
      <c r="N3740" s="200"/>
      <c r="P3740" s="199"/>
    </row>
    <row r="3741" spans="7:16" x14ac:dyDescent="0.2">
      <c r="G3741" s="199"/>
      <c r="I3741" s="199"/>
      <c r="K3741" s="199"/>
      <c r="M3741" s="199"/>
      <c r="N3741" s="200"/>
      <c r="P3741" s="199"/>
    </row>
    <row r="3742" spans="7:16" x14ac:dyDescent="0.2">
      <c r="G3742" s="199"/>
      <c r="I3742" s="199"/>
      <c r="K3742" s="199"/>
      <c r="M3742" s="199"/>
      <c r="N3742" s="200"/>
      <c r="P3742" s="199"/>
    </row>
    <row r="3743" spans="7:16" x14ac:dyDescent="0.2">
      <c r="G3743" s="199"/>
      <c r="I3743" s="199"/>
      <c r="K3743" s="199"/>
      <c r="M3743" s="199"/>
      <c r="N3743" s="200"/>
      <c r="P3743" s="199"/>
    </row>
    <row r="3744" spans="7:16" x14ac:dyDescent="0.2">
      <c r="G3744" s="199"/>
      <c r="I3744" s="199"/>
      <c r="K3744" s="199"/>
      <c r="M3744" s="199"/>
      <c r="N3744" s="200"/>
      <c r="P3744" s="199"/>
    </row>
    <row r="3745" spans="7:16" x14ac:dyDescent="0.2">
      <c r="G3745" s="199"/>
      <c r="I3745" s="199"/>
      <c r="K3745" s="199"/>
      <c r="M3745" s="199"/>
      <c r="N3745" s="200"/>
      <c r="P3745" s="199"/>
    </row>
    <row r="3746" spans="7:16" x14ac:dyDescent="0.2">
      <c r="G3746" s="199"/>
      <c r="I3746" s="199"/>
      <c r="K3746" s="199"/>
      <c r="M3746" s="199"/>
      <c r="N3746" s="200"/>
      <c r="P3746" s="199"/>
    </row>
    <row r="3747" spans="7:16" x14ac:dyDescent="0.2">
      <c r="G3747" s="199"/>
      <c r="I3747" s="199"/>
      <c r="K3747" s="199"/>
      <c r="M3747" s="199"/>
      <c r="N3747" s="200"/>
      <c r="P3747" s="199"/>
    </row>
    <row r="3748" spans="7:16" x14ac:dyDescent="0.2">
      <c r="G3748" s="199"/>
      <c r="I3748" s="199"/>
      <c r="K3748" s="199"/>
      <c r="M3748" s="199"/>
      <c r="N3748" s="200"/>
      <c r="P3748" s="199"/>
    </row>
    <row r="3749" spans="7:16" x14ac:dyDescent="0.2">
      <c r="G3749" s="199"/>
      <c r="I3749" s="199"/>
      <c r="K3749" s="199"/>
      <c r="M3749" s="199"/>
      <c r="N3749" s="200"/>
      <c r="P3749" s="199"/>
    </row>
    <row r="3750" spans="7:16" x14ac:dyDescent="0.2">
      <c r="G3750" s="199"/>
      <c r="I3750" s="199"/>
      <c r="K3750" s="199"/>
      <c r="M3750" s="199"/>
      <c r="N3750" s="200"/>
      <c r="P3750" s="199"/>
    </row>
    <row r="3751" spans="7:16" x14ac:dyDescent="0.2">
      <c r="G3751" s="199"/>
      <c r="I3751" s="199"/>
      <c r="K3751" s="199"/>
      <c r="M3751" s="199"/>
      <c r="N3751" s="200"/>
      <c r="P3751" s="199"/>
    </row>
    <row r="3752" spans="7:16" x14ac:dyDescent="0.2">
      <c r="G3752" s="199"/>
      <c r="I3752" s="199"/>
      <c r="K3752" s="199"/>
      <c r="M3752" s="199"/>
      <c r="N3752" s="200"/>
      <c r="P3752" s="199"/>
    </row>
    <row r="3753" spans="7:16" x14ac:dyDescent="0.2">
      <c r="G3753" s="199"/>
      <c r="I3753" s="199"/>
      <c r="K3753" s="199"/>
      <c r="M3753" s="199"/>
      <c r="N3753" s="200"/>
      <c r="P3753" s="199"/>
    </row>
    <row r="3754" spans="7:16" x14ac:dyDescent="0.2">
      <c r="G3754" s="199"/>
      <c r="I3754" s="199"/>
      <c r="K3754" s="199"/>
      <c r="M3754" s="199"/>
      <c r="N3754" s="200"/>
      <c r="P3754" s="199"/>
    </row>
    <row r="3755" spans="7:16" x14ac:dyDescent="0.2">
      <c r="G3755" s="199"/>
      <c r="I3755" s="199"/>
      <c r="K3755" s="199"/>
      <c r="M3755" s="199"/>
      <c r="N3755" s="200"/>
      <c r="P3755" s="199"/>
    </row>
    <row r="3756" spans="7:16" x14ac:dyDescent="0.2">
      <c r="G3756" s="199"/>
      <c r="I3756" s="199"/>
      <c r="K3756" s="199"/>
      <c r="M3756" s="199"/>
      <c r="N3756" s="200"/>
      <c r="P3756" s="199"/>
    </row>
    <row r="3757" spans="7:16" x14ac:dyDescent="0.2">
      <c r="G3757" s="199"/>
      <c r="I3757" s="199"/>
      <c r="K3757" s="199"/>
      <c r="M3757" s="199"/>
      <c r="N3757" s="200"/>
      <c r="P3757" s="199"/>
    </row>
    <row r="3758" spans="7:16" x14ac:dyDescent="0.2">
      <c r="G3758" s="199"/>
      <c r="I3758" s="199"/>
      <c r="K3758" s="199"/>
      <c r="M3758" s="199"/>
      <c r="N3758" s="200"/>
      <c r="P3758" s="199"/>
    </row>
    <row r="3759" spans="7:16" x14ac:dyDescent="0.2">
      <c r="G3759" s="199"/>
      <c r="I3759" s="199"/>
      <c r="K3759" s="199"/>
      <c r="M3759" s="199"/>
      <c r="N3759" s="200"/>
      <c r="P3759" s="199"/>
    </row>
    <row r="3760" spans="7:16" x14ac:dyDescent="0.2">
      <c r="G3760" s="199"/>
      <c r="I3760" s="199"/>
      <c r="K3760" s="199"/>
      <c r="M3760" s="199"/>
      <c r="N3760" s="200"/>
      <c r="P3760" s="199"/>
    </row>
    <row r="3761" spans="7:16" x14ac:dyDescent="0.2">
      <c r="G3761" s="199"/>
      <c r="I3761" s="199"/>
      <c r="K3761" s="199"/>
      <c r="M3761" s="199"/>
      <c r="N3761" s="200"/>
      <c r="P3761" s="199"/>
    </row>
    <row r="3762" spans="7:16" x14ac:dyDescent="0.2">
      <c r="G3762" s="199"/>
      <c r="I3762" s="199"/>
      <c r="K3762" s="199"/>
      <c r="M3762" s="199"/>
      <c r="N3762" s="200"/>
      <c r="P3762" s="199"/>
    </row>
    <row r="3763" spans="7:16" x14ac:dyDescent="0.2">
      <c r="G3763" s="199"/>
      <c r="I3763" s="199"/>
      <c r="K3763" s="199"/>
      <c r="M3763" s="199"/>
      <c r="N3763" s="200"/>
      <c r="P3763" s="199"/>
    </row>
    <row r="3764" spans="7:16" x14ac:dyDescent="0.2">
      <c r="G3764" s="199"/>
      <c r="I3764" s="199"/>
      <c r="K3764" s="199"/>
      <c r="M3764" s="199"/>
      <c r="N3764" s="200"/>
      <c r="P3764" s="199"/>
    </row>
    <row r="3765" spans="7:16" x14ac:dyDescent="0.2">
      <c r="G3765" s="199"/>
      <c r="I3765" s="199"/>
      <c r="K3765" s="199"/>
      <c r="M3765" s="199"/>
      <c r="N3765" s="200"/>
      <c r="P3765" s="199"/>
    </row>
    <row r="3766" spans="7:16" x14ac:dyDescent="0.2">
      <c r="G3766" s="199"/>
      <c r="I3766" s="199"/>
      <c r="K3766" s="199"/>
      <c r="M3766" s="199"/>
      <c r="N3766" s="200"/>
      <c r="P3766" s="199"/>
    </row>
    <row r="3767" spans="7:16" x14ac:dyDescent="0.2">
      <c r="G3767" s="199"/>
      <c r="I3767" s="199"/>
      <c r="K3767" s="199"/>
      <c r="M3767" s="199"/>
      <c r="N3767" s="200"/>
      <c r="P3767" s="199"/>
    </row>
    <row r="3768" spans="7:16" x14ac:dyDescent="0.2">
      <c r="G3768" s="199"/>
      <c r="I3768" s="199"/>
      <c r="K3768" s="199"/>
      <c r="M3768" s="199"/>
      <c r="N3768" s="200"/>
      <c r="P3768" s="199"/>
    </row>
    <row r="3769" spans="7:16" x14ac:dyDescent="0.2">
      <c r="G3769" s="199"/>
      <c r="I3769" s="199"/>
      <c r="K3769" s="199"/>
      <c r="M3769" s="199"/>
      <c r="N3769" s="200"/>
      <c r="P3769" s="199"/>
    </row>
    <row r="3770" spans="7:16" x14ac:dyDescent="0.2">
      <c r="G3770" s="199"/>
      <c r="I3770" s="199"/>
      <c r="K3770" s="199"/>
      <c r="M3770" s="199"/>
      <c r="N3770" s="200"/>
      <c r="P3770" s="199"/>
    </row>
    <row r="3771" spans="7:16" x14ac:dyDescent="0.2">
      <c r="G3771" s="199"/>
      <c r="I3771" s="199"/>
      <c r="K3771" s="199"/>
      <c r="M3771" s="199"/>
      <c r="N3771" s="200"/>
      <c r="P3771" s="199"/>
    </row>
    <row r="3772" spans="7:16" x14ac:dyDescent="0.2">
      <c r="G3772" s="199"/>
      <c r="I3772" s="199"/>
      <c r="K3772" s="199"/>
      <c r="M3772" s="199"/>
      <c r="N3772" s="200"/>
      <c r="P3772" s="199"/>
    </row>
    <row r="3773" spans="7:16" x14ac:dyDescent="0.2">
      <c r="G3773" s="199"/>
      <c r="I3773" s="199"/>
      <c r="K3773" s="199"/>
      <c r="M3773" s="199"/>
      <c r="N3773" s="200"/>
      <c r="P3773" s="199"/>
    </row>
    <row r="3774" spans="7:16" x14ac:dyDescent="0.2">
      <c r="G3774" s="199"/>
      <c r="I3774" s="199"/>
      <c r="K3774" s="199"/>
      <c r="M3774" s="199"/>
      <c r="N3774" s="200"/>
      <c r="P3774" s="199"/>
    </row>
    <row r="3775" spans="7:16" x14ac:dyDescent="0.2">
      <c r="G3775" s="199"/>
      <c r="I3775" s="199"/>
      <c r="K3775" s="199"/>
      <c r="M3775" s="199"/>
      <c r="N3775" s="200"/>
      <c r="P3775" s="199"/>
    </row>
    <row r="3776" spans="7:16" x14ac:dyDescent="0.2">
      <c r="G3776" s="199"/>
      <c r="I3776" s="199"/>
      <c r="K3776" s="199"/>
      <c r="M3776" s="199"/>
      <c r="N3776" s="200"/>
      <c r="P3776" s="199"/>
    </row>
    <row r="3777" spans="7:16" x14ac:dyDescent="0.2">
      <c r="G3777" s="199"/>
      <c r="I3777" s="199"/>
      <c r="K3777" s="199"/>
      <c r="M3777" s="199"/>
      <c r="N3777" s="200"/>
      <c r="P3777" s="199"/>
    </row>
    <row r="3778" spans="7:16" x14ac:dyDescent="0.2">
      <c r="G3778" s="199"/>
      <c r="I3778" s="199"/>
      <c r="K3778" s="199"/>
      <c r="M3778" s="199"/>
      <c r="N3778" s="200"/>
      <c r="P3778" s="199"/>
    </row>
    <row r="3779" spans="7:16" x14ac:dyDescent="0.2">
      <c r="G3779" s="199"/>
      <c r="I3779" s="199"/>
      <c r="K3779" s="199"/>
      <c r="M3779" s="199"/>
      <c r="N3779" s="200"/>
      <c r="P3779" s="199"/>
    </row>
    <row r="3780" spans="7:16" x14ac:dyDescent="0.2">
      <c r="G3780" s="199"/>
      <c r="I3780" s="199"/>
      <c r="K3780" s="199"/>
      <c r="M3780" s="199"/>
      <c r="N3780" s="200"/>
      <c r="P3780" s="199"/>
    </row>
    <row r="3781" spans="7:16" x14ac:dyDescent="0.2">
      <c r="G3781" s="199"/>
      <c r="I3781" s="199"/>
      <c r="K3781" s="199"/>
      <c r="M3781" s="199"/>
      <c r="N3781" s="200"/>
      <c r="P3781" s="199"/>
    </row>
    <row r="3782" spans="7:16" x14ac:dyDescent="0.2">
      <c r="G3782" s="199"/>
      <c r="I3782" s="199"/>
      <c r="K3782" s="199"/>
      <c r="M3782" s="199"/>
      <c r="N3782" s="200"/>
      <c r="P3782" s="199"/>
    </row>
    <row r="3783" spans="7:16" x14ac:dyDescent="0.2">
      <c r="G3783" s="199"/>
      <c r="I3783" s="199"/>
      <c r="K3783" s="199"/>
      <c r="M3783" s="199"/>
      <c r="N3783" s="200"/>
      <c r="P3783" s="199"/>
    </row>
    <row r="3784" spans="7:16" x14ac:dyDescent="0.2">
      <c r="G3784" s="199"/>
      <c r="I3784" s="199"/>
      <c r="K3784" s="199"/>
      <c r="M3784" s="199"/>
      <c r="N3784" s="200"/>
      <c r="P3784" s="199"/>
    </row>
    <row r="3785" spans="7:16" x14ac:dyDescent="0.2">
      <c r="G3785" s="199"/>
      <c r="I3785" s="199"/>
      <c r="K3785" s="199"/>
      <c r="M3785" s="199"/>
      <c r="N3785" s="200"/>
      <c r="P3785" s="199"/>
    </row>
    <row r="3786" spans="7:16" x14ac:dyDescent="0.2">
      <c r="G3786" s="199"/>
      <c r="I3786" s="199"/>
      <c r="K3786" s="199"/>
      <c r="M3786" s="199"/>
      <c r="N3786" s="200"/>
      <c r="P3786" s="199"/>
    </row>
    <row r="3787" spans="7:16" x14ac:dyDescent="0.2">
      <c r="G3787" s="199"/>
      <c r="I3787" s="199"/>
      <c r="K3787" s="199"/>
      <c r="M3787" s="199"/>
      <c r="N3787" s="200"/>
      <c r="P3787" s="199"/>
    </row>
    <row r="3788" spans="7:16" x14ac:dyDescent="0.2">
      <c r="G3788" s="199"/>
      <c r="I3788" s="199"/>
      <c r="K3788" s="199"/>
      <c r="M3788" s="199"/>
      <c r="N3788" s="200"/>
      <c r="P3788" s="199"/>
    </row>
    <row r="3789" spans="7:16" x14ac:dyDescent="0.2">
      <c r="G3789" s="199"/>
      <c r="I3789" s="199"/>
      <c r="K3789" s="199"/>
      <c r="M3789" s="199"/>
      <c r="N3789" s="200"/>
      <c r="P3789" s="199"/>
    </row>
    <row r="3790" spans="7:16" x14ac:dyDescent="0.2">
      <c r="G3790" s="199"/>
      <c r="I3790" s="199"/>
      <c r="K3790" s="199"/>
      <c r="M3790" s="199"/>
      <c r="N3790" s="200"/>
      <c r="P3790" s="199"/>
    </row>
    <row r="3791" spans="7:16" x14ac:dyDescent="0.2">
      <c r="G3791" s="199"/>
      <c r="I3791" s="199"/>
      <c r="K3791" s="199"/>
      <c r="M3791" s="199"/>
      <c r="N3791" s="200"/>
      <c r="P3791" s="199"/>
    </row>
    <row r="3792" spans="7:16" x14ac:dyDescent="0.2">
      <c r="G3792" s="199"/>
      <c r="I3792" s="199"/>
      <c r="K3792" s="199"/>
      <c r="M3792" s="199"/>
      <c r="N3792" s="200"/>
      <c r="P3792" s="199"/>
    </row>
    <row r="3793" spans="7:16" x14ac:dyDescent="0.2">
      <c r="G3793" s="199"/>
      <c r="I3793" s="199"/>
      <c r="K3793" s="199"/>
      <c r="M3793" s="199"/>
      <c r="N3793" s="200"/>
      <c r="P3793" s="199"/>
    </row>
    <row r="3794" spans="7:16" x14ac:dyDescent="0.2">
      <c r="G3794" s="199"/>
      <c r="I3794" s="199"/>
      <c r="K3794" s="199"/>
      <c r="M3794" s="199"/>
      <c r="N3794" s="200"/>
      <c r="P3794" s="199"/>
    </row>
    <row r="3795" spans="7:16" x14ac:dyDescent="0.2">
      <c r="G3795" s="199"/>
      <c r="I3795" s="199"/>
      <c r="K3795" s="199"/>
      <c r="M3795" s="199"/>
      <c r="N3795" s="200"/>
      <c r="P3795" s="199"/>
    </row>
    <row r="3796" spans="7:16" x14ac:dyDescent="0.2">
      <c r="G3796" s="199"/>
      <c r="I3796" s="199"/>
      <c r="K3796" s="199"/>
      <c r="M3796" s="199"/>
      <c r="N3796" s="200"/>
      <c r="P3796" s="199"/>
    </row>
    <row r="3797" spans="7:16" x14ac:dyDescent="0.2">
      <c r="G3797" s="199"/>
      <c r="I3797" s="199"/>
      <c r="K3797" s="199"/>
      <c r="M3797" s="199"/>
      <c r="N3797" s="200"/>
      <c r="P3797" s="199"/>
    </row>
    <row r="3798" spans="7:16" x14ac:dyDescent="0.2">
      <c r="G3798" s="199"/>
      <c r="I3798" s="199"/>
      <c r="K3798" s="199"/>
      <c r="M3798" s="199"/>
      <c r="N3798" s="200"/>
      <c r="P3798" s="199"/>
    </row>
    <row r="3799" spans="7:16" x14ac:dyDescent="0.2">
      <c r="G3799" s="199"/>
      <c r="I3799" s="199"/>
      <c r="K3799" s="199"/>
      <c r="M3799" s="199"/>
      <c r="N3799" s="200"/>
      <c r="P3799" s="199"/>
    </row>
    <row r="3800" spans="7:16" x14ac:dyDescent="0.2">
      <c r="G3800" s="199"/>
      <c r="I3800" s="199"/>
      <c r="K3800" s="199"/>
      <c r="M3800" s="199"/>
      <c r="N3800" s="200"/>
      <c r="P3800" s="199"/>
    </row>
    <row r="3801" spans="7:16" x14ac:dyDescent="0.2">
      <c r="G3801" s="199"/>
      <c r="I3801" s="199"/>
      <c r="K3801" s="199"/>
      <c r="M3801" s="199"/>
      <c r="N3801" s="200"/>
      <c r="P3801" s="199"/>
    </row>
    <row r="3802" spans="7:16" x14ac:dyDescent="0.2">
      <c r="G3802" s="199"/>
      <c r="I3802" s="199"/>
      <c r="K3802" s="199"/>
      <c r="M3802" s="199"/>
      <c r="N3802" s="200"/>
      <c r="P3802" s="199"/>
    </row>
    <row r="3803" spans="7:16" x14ac:dyDescent="0.2">
      <c r="G3803" s="199"/>
      <c r="I3803" s="199"/>
      <c r="K3803" s="199"/>
      <c r="M3803" s="199"/>
      <c r="N3803" s="200"/>
      <c r="P3803" s="199"/>
    </row>
    <row r="3804" spans="7:16" x14ac:dyDescent="0.2">
      <c r="G3804" s="199"/>
      <c r="I3804" s="199"/>
      <c r="K3804" s="199"/>
      <c r="M3804" s="199"/>
      <c r="N3804" s="200"/>
      <c r="P3804" s="199"/>
    </row>
    <row r="3805" spans="7:16" x14ac:dyDescent="0.2">
      <c r="G3805" s="199"/>
      <c r="I3805" s="199"/>
      <c r="K3805" s="199"/>
      <c r="M3805" s="199"/>
      <c r="N3805" s="200"/>
      <c r="P3805" s="199"/>
    </row>
    <row r="3806" spans="7:16" x14ac:dyDescent="0.2">
      <c r="G3806" s="199"/>
      <c r="I3806" s="199"/>
      <c r="K3806" s="199"/>
      <c r="M3806" s="199"/>
      <c r="N3806" s="200"/>
      <c r="P3806" s="199"/>
    </row>
    <row r="3807" spans="7:16" x14ac:dyDescent="0.2">
      <c r="G3807" s="199"/>
      <c r="I3807" s="199"/>
      <c r="K3807" s="199"/>
      <c r="M3807" s="199"/>
      <c r="N3807" s="200"/>
      <c r="P3807" s="199"/>
    </row>
    <row r="3808" spans="7:16" x14ac:dyDescent="0.2">
      <c r="G3808" s="199"/>
      <c r="I3808" s="199"/>
      <c r="K3808" s="199"/>
      <c r="M3808" s="199"/>
      <c r="N3808" s="200"/>
      <c r="P3808" s="199"/>
    </row>
    <row r="3809" spans="7:16" x14ac:dyDescent="0.2">
      <c r="G3809" s="199"/>
      <c r="I3809" s="199"/>
      <c r="K3809" s="199"/>
      <c r="M3809" s="199"/>
      <c r="N3809" s="200"/>
      <c r="P3809" s="199"/>
    </row>
    <row r="3810" spans="7:16" x14ac:dyDescent="0.2">
      <c r="G3810" s="199"/>
      <c r="I3810" s="199"/>
      <c r="K3810" s="199"/>
      <c r="M3810" s="199"/>
      <c r="N3810" s="200"/>
      <c r="P3810" s="199"/>
    </row>
    <row r="3811" spans="7:16" x14ac:dyDescent="0.2">
      <c r="G3811" s="199"/>
      <c r="I3811" s="199"/>
      <c r="K3811" s="199"/>
      <c r="M3811" s="199"/>
      <c r="N3811" s="200"/>
      <c r="P3811" s="199"/>
    </row>
    <row r="3812" spans="7:16" x14ac:dyDescent="0.2">
      <c r="G3812" s="199"/>
      <c r="I3812" s="199"/>
      <c r="K3812" s="199"/>
      <c r="M3812" s="199"/>
      <c r="N3812" s="200"/>
      <c r="P3812" s="199"/>
    </row>
    <row r="3813" spans="7:16" x14ac:dyDescent="0.2">
      <c r="G3813" s="199"/>
      <c r="I3813" s="199"/>
      <c r="K3813" s="199"/>
      <c r="M3813" s="199"/>
      <c r="N3813" s="200"/>
      <c r="P3813" s="199"/>
    </row>
    <row r="3814" spans="7:16" x14ac:dyDescent="0.2">
      <c r="G3814" s="199"/>
      <c r="I3814" s="199"/>
      <c r="K3814" s="199"/>
      <c r="M3814" s="199"/>
      <c r="N3814" s="200"/>
      <c r="P3814" s="199"/>
    </row>
    <row r="3815" spans="7:16" x14ac:dyDescent="0.2">
      <c r="G3815" s="199"/>
      <c r="I3815" s="199"/>
      <c r="K3815" s="199"/>
      <c r="M3815" s="199"/>
      <c r="N3815" s="200"/>
      <c r="P3815" s="199"/>
    </row>
    <row r="3816" spans="7:16" x14ac:dyDescent="0.2">
      <c r="G3816" s="199"/>
      <c r="I3816" s="199"/>
      <c r="K3816" s="199"/>
      <c r="M3816" s="199"/>
      <c r="N3816" s="200"/>
      <c r="P3816" s="199"/>
    </row>
    <row r="3817" spans="7:16" x14ac:dyDescent="0.2">
      <c r="G3817" s="199"/>
      <c r="I3817" s="199"/>
      <c r="K3817" s="199"/>
      <c r="M3817" s="199"/>
      <c r="N3817" s="200"/>
      <c r="P3817" s="199"/>
    </row>
    <row r="3818" spans="7:16" x14ac:dyDescent="0.2">
      <c r="G3818" s="199"/>
      <c r="I3818" s="199"/>
      <c r="K3818" s="199"/>
      <c r="M3818" s="199"/>
      <c r="N3818" s="200"/>
      <c r="P3818" s="199"/>
    </row>
    <row r="3819" spans="7:16" x14ac:dyDescent="0.2">
      <c r="G3819" s="199"/>
      <c r="I3819" s="199"/>
      <c r="K3819" s="199"/>
      <c r="M3819" s="199"/>
      <c r="N3819" s="200"/>
      <c r="P3819" s="199"/>
    </row>
    <row r="3820" spans="7:16" x14ac:dyDescent="0.2">
      <c r="G3820" s="199"/>
      <c r="I3820" s="199"/>
      <c r="K3820" s="199"/>
      <c r="M3820" s="199"/>
      <c r="N3820" s="200"/>
      <c r="P3820" s="199"/>
    </row>
    <row r="3821" spans="7:16" x14ac:dyDescent="0.2">
      <c r="G3821" s="199"/>
      <c r="I3821" s="199"/>
      <c r="K3821" s="199"/>
      <c r="M3821" s="199"/>
      <c r="N3821" s="200"/>
      <c r="P3821" s="199"/>
    </row>
    <row r="3822" spans="7:16" x14ac:dyDescent="0.2">
      <c r="G3822" s="199"/>
      <c r="I3822" s="199"/>
      <c r="K3822" s="199"/>
      <c r="M3822" s="199"/>
      <c r="N3822" s="200"/>
      <c r="P3822" s="199"/>
    </row>
    <row r="3823" spans="7:16" x14ac:dyDescent="0.2">
      <c r="G3823" s="199"/>
      <c r="I3823" s="199"/>
      <c r="K3823" s="199"/>
      <c r="M3823" s="199"/>
      <c r="N3823" s="200"/>
      <c r="P3823" s="199"/>
    </row>
    <row r="3824" spans="7:16" x14ac:dyDescent="0.2">
      <c r="G3824" s="199"/>
      <c r="I3824" s="199"/>
      <c r="K3824" s="199"/>
      <c r="M3824" s="199"/>
      <c r="N3824" s="200"/>
      <c r="P3824" s="199"/>
    </row>
    <row r="3825" spans="7:16" x14ac:dyDescent="0.2">
      <c r="G3825" s="199"/>
      <c r="I3825" s="199"/>
      <c r="K3825" s="199"/>
      <c r="M3825" s="199"/>
      <c r="N3825" s="200"/>
      <c r="P3825" s="199"/>
    </row>
    <row r="3826" spans="7:16" x14ac:dyDescent="0.2">
      <c r="G3826" s="199"/>
      <c r="I3826" s="199"/>
      <c r="K3826" s="199"/>
      <c r="M3826" s="199"/>
      <c r="N3826" s="200"/>
      <c r="P3826" s="199"/>
    </row>
    <row r="3827" spans="7:16" x14ac:dyDescent="0.2">
      <c r="G3827" s="199"/>
      <c r="I3827" s="199"/>
      <c r="K3827" s="199"/>
      <c r="M3827" s="199"/>
      <c r="N3827" s="200"/>
      <c r="P3827" s="199"/>
    </row>
    <row r="3828" spans="7:16" x14ac:dyDescent="0.2">
      <c r="G3828" s="199"/>
      <c r="I3828" s="199"/>
      <c r="K3828" s="199"/>
      <c r="M3828" s="199"/>
      <c r="N3828" s="200"/>
      <c r="P3828" s="199"/>
    </row>
    <row r="3829" spans="7:16" x14ac:dyDescent="0.2">
      <c r="G3829" s="199"/>
      <c r="I3829" s="199"/>
      <c r="K3829" s="199"/>
      <c r="M3829" s="199"/>
      <c r="N3829" s="200"/>
      <c r="P3829" s="199"/>
    </row>
    <row r="3830" spans="7:16" x14ac:dyDescent="0.2">
      <c r="G3830" s="199"/>
      <c r="I3830" s="199"/>
      <c r="K3830" s="199"/>
      <c r="M3830" s="199"/>
      <c r="N3830" s="200"/>
      <c r="P3830" s="199"/>
    </row>
    <row r="3831" spans="7:16" x14ac:dyDescent="0.2">
      <c r="G3831" s="199"/>
      <c r="I3831" s="199"/>
      <c r="K3831" s="199"/>
      <c r="M3831" s="199"/>
      <c r="N3831" s="200"/>
      <c r="P3831" s="199"/>
    </row>
    <row r="3832" spans="7:16" x14ac:dyDescent="0.2">
      <c r="G3832" s="199"/>
      <c r="I3832" s="199"/>
      <c r="K3832" s="199"/>
      <c r="M3832" s="199"/>
      <c r="N3832" s="200"/>
      <c r="P3832" s="199"/>
    </row>
    <row r="3833" spans="7:16" x14ac:dyDescent="0.2">
      <c r="G3833" s="199"/>
      <c r="I3833" s="199"/>
      <c r="K3833" s="199"/>
      <c r="M3833" s="199"/>
      <c r="N3833" s="200"/>
      <c r="P3833" s="199"/>
    </row>
    <row r="3834" spans="7:16" x14ac:dyDescent="0.2">
      <c r="G3834" s="199"/>
      <c r="I3834" s="199"/>
      <c r="K3834" s="199"/>
      <c r="M3834" s="199"/>
      <c r="N3834" s="200"/>
      <c r="P3834" s="199"/>
    </row>
    <row r="3835" spans="7:16" x14ac:dyDescent="0.2">
      <c r="G3835" s="199"/>
      <c r="I3835" s="199"/>
      <c r="K3835" s="199"/>
      <c r="M3835" s="199"/>
      <c r="N3835" s="200"/>
      <c r="P3835" s="199"/>
    </row>
    <row r="3836" spans="7:16" x14ac:dyDescent="0.2">
      <c r="G3836" s="199"/>
      <c r="I3836" s="199"/>
      <c r="K3836" s="199"/>
      <c r="M3836" s="199"/>
      <c r="N3836" s="200"/>
      <c r="P3836" s="199"/>
    </row>
    <row r="3837" spans="7:16" x14ac:dyDescent="0.2">
      <c r="G3837" s="199"/>
      <c r="I3837" s="199"/>
      <c r="K3837" s="199"/>
      <c r="M3837" s="199"/>
      <c r="N3837" s="200"/>
      <c r="P3837" s="199"/>
    </row>
    <row r="3838" spans="7:16" x14ac:dyDescent="0.2">
      <c r="G3838" s="199"/>
      <c r="I3838" s="199"/>
      <c r="K3838" s="199"/>
      <c r="M3838" s="199"/>
      <c r="N3838" s="200"/>
      <c r="P3838" s="199"/>
    </row>
    <row r="3839" spans="7:16" x14ac:dyDescent="0.2">
      <c r="G3839" s="199"/>
      <c r="I3839" s="199"/>
      <c r="K3839" s="199"/>
      <c r="M3839" s="199"/>
      <c r="N3839" s="200"/>
      <c r="P3839" s="199"/>
    </row>
    <row r="3840" spans="7:16" x14ac:dyDescent="0.2">
      <c r="G3840" s="199"/>
      <c r="I3840" s="199"/>
      <c r="K3840" s="199"/>
      <c r="M3840" s="199"/>
      <c r="N3840" s="200"/>
      <c r="P3840" s="199"/>
    </row>
    <row r="3841" spans="7:16" x14ac:dyDescent="0.2">
      <c r="G3841" s="199"/>
      <c r="I3841" s="199"/>
      <c r="K3841" s="199"/>
      <c r="M3841" s="199"/>
      <c r="N3841" s="200"/>
      <c r="P3841" s="199"/>
    </row>
    <row r="3842" spans="7:16" x14ac:dyDescent="0.2">
      <c r="G3842" s="199"/>
      <c r="I3842" s="199"/>
      <c r="K3842" s="199"/>
      <c r="M3842" s="199"/>
      <c r="N3842" s="200"/>
      <c r="P3842" s="199"/>
    </row>
    <row r="3843" spans="7:16" x14ac:dyDescent="0.2">
      <c r="G3843" s="199"/>
      <c r="I3843" s="199"/>
      <c r="K3843" s="199"/>
      <c r="M3843" s="199"/>
      <c r="N3843" s="200"/>
      <c r="P3843" s="199"/>
    </row>
    <row r="3844" spans="7:16" x14ac:dyDescent="0.2">
      <c r="G3844" s="199"/>
      <c r="I3844" s="199"/>
      <c r="K3844" s="199"/>
      <c r="M3844" s="199"/>
      <c r="N3844" s="200"/>
      <c r="P3844" s="199"/>
    </row>
    <row r="3845" spans="7:16" x14ac:dyDescent="0.2">
      <c r="G3845" s="199"/>
      <c r="I3845" s="199"/>
      <c r="K3845" s="199"/>
      <c r="M3845" s="199"/>
      <c r="N3845" s="200"/>
      <c r="P3845" s="199"/>
    </row>
    <row r="3846" spans="7:16" x14ac:dyDescent="0.2">
      <c r="G3846" s="199"/>
      <c r="I3846" s="199"/>
      <c r="K3846" s="199"/>
      <c r="M3846" s="199"/>
      <c r="N3846" s="200"/>
      <c r="P3846" s="199"/>
    </row>
    <row r="3847" spans="7:16" x14ac:dyDescent="0.2">
      <c r="G3847" s="199"/>
      <c r="I3847" s="199"/>
      <c r="K3847" s="199"/>
      <c r="M3847" s="199"/>
      <c r="N3847" s="200"/>
      <c r="P3847" s="199"/>
    </row>
    <row r="3848" spans="7:16" x14ac:dyDescent="0.2">
      <c r="G3848" s="199"/>
      <c r="I3848" s="199"/>
      <c r="K3848" s="199"/>
      <c r="M3848" s="199"/>
      <c r="N3848" s="200"/>
      <c r="P3848" s="199"/>
    </row>
    <row r="3849" spans="7:16" x14ac:dyDescent="0.2">
      <c r="G3849" s="199"/>
      <c r="I3849" s="199"/>
      <c r="K3849" s="199"/>
      <c r="M3849" s="199"/>
      <c r="N3849" s="200"/>
      <c r="P3849" s="199"/>
    </row>
    <row r="3850" spans="7:16" x14ac:dyDescent="0.2">
      <c r="G3850" s="199"/>
      <c r="I3850" s="199"/>
      <c r="K3850" s="199"/>
      <c r="M3850" s="199"/>
      <c r="N3850" s="200"/>
      <c r="P3850" s="199"/>
    </row>
    <row r="3851" spans="7:16" x14ac:dyDescent="0.2">
      <c r="G3851" s="199"/>
      <c r="I3851" s="199"/>
      <c r="K3851" s="199"/>
      <c r="M3851" s="199"/>
      <c r="N3851" s="200"/>
      <c r="P3851" s="199"/>
    </row>
    <row r="3852" spans="7:16" x14ac:dyDescent="0.2">
      <c r="G3852" s="199"/>
      <c r="I3852" s="199"/>
      <c r="K3852" s="199"/>
      <c r="M3852" s="199"/>
      <c r="N3852" s="200"/>
      <c r="P3852" s="199"/>
    </row>
    <row r="3853" spans="7:16" x14ac:dyDescent="0.2">
      <c r="G3853" s="199"/>
      <c r="I3853" s="199"/>
      <c r="K3853" s="199"/>
      <c r="M3853" s="199"/>
      <c r="N3853" s="200"/>
      <c r="P3853" s="199"/>
    </row>
    <row r="3854" spans="7:16" x14ac:dyDescent="0.2">
      <c r="G3854" s="199"/>
      <c r="I3854" s="199"/>
      <c r="K3854" s="199"/>
      <c r="M3854" s="199"/>
      <c r="N3854" s="200"/>
      <c r="P3854" s="199"/>
    </row>
    <row r="3855" spans="7:16" x14ac:dyDescent="0.2">
      <c r="G3855" s="199"/>
      <c r="I3855" s="199"/>
      <c r="K3855" s="199"/>
      <c r="M3855" s="199"/>
      <c r="N3855" s="200"/>
      <c r="P3855" s="199"/>
    </row>
    <row r="3856" spans="7:16" x14ac:dyDescent="0.2">
      <c r="G3856" s="199"/>
      <c r="I3856" s="199"/>
      <c r="K3856" s="199"/>
      <c r="M3856" s="199"/>
      <c r="N3856" s="200"/>
      <c r="P3856" s="199"/>
    </row>
    <row r="3857" spans="7:16" x14ac:dyDescent="0.2">
      <c r="G3857" s="199"/>
      <c r="I3857" s="199"/>
      <c r="K3857" s="199"/>
      <c r="M3857" s="199"/>
      <c r="N3857" s="200"/>
      <c r="P3857" s="199"/>
    </row>
    <row r="3858" spans="7:16" x14ac:dyDescent="0.2">
      <c r="G3858" s="199"/>
      <c r="I3858" s="199"/>
      <c r="K3858" s="199"/>
      <c r="M3858" s="199"/>
      <c r="N3858" s="200"/>
      <c r="P3858" s="199"/>
    </row>
    <row r="3859" spans="7:16" x14ac:dyDescent="0.2">
      <c r="G3859" s="199"/>
      <c r="I3859" s="199"/>
      <c r="K3859" s="199"/>
      <c r="M3859" s="199"/>
      <c r="N3859" s="200"/>
      <c r="P3859" s="199"/>
    </row>
    <row r="3860" spans="7:16" x14ac:dyDescent="0.2">
      <c r="G3860" s="199"/>
      <c r="I3860" s="199"/>
      <c r="K3860" s="199"/>
      <c r="M3860" s="199"/>
      <c r="N3860" s="200"/>
      <c r="P3860" s="199"/>
    </row>
    <row r="3861" spans="7:16" x14ac:dyDescent="0.2">
      <c r="G3861" s="199"/>
      <c r="I3861" s="199"/>
      <c r="K3861" s="199"/>
      <c r="M3861" s="199"/>
      <c r="N3861" s="200"/>
      <c r="P3861" s="199"/>
    </row>
    <row r="3862" spans="7:16" x14ac:dyDescent="0.2">
      <c r="G3862" s="199"/>
      <c r="I3862" s="199"/>
      <c r="K3862" s="199"/>
      <c r="M3862" s="199"/>
      <c r="N3862" s="200"/>
      <c r="P3862" s="199"/>
    </row>
    <row r="3863" spans="7:16" x14ac:dyDescent="0.2">
      <c r="G3863" s="199"/>
      <c r="I3863" s="199"/>
      <c r="K3863" s="199"/>
      <c r="M3863" s="199"/>
      <c r="N3863" s="200"/>
      <c r="P3863" s="199"/>
    </row>
    <row r="3864" spans="7:16" x14ac:dyDescent="0.2">
      <c r="G3864" s="199"/>
      <c r="I3864" s="199"/>
      <c r="K3864" s="199"/>
      <c r="M3864" s="199"/>
      <c r="N3864" s="200"/>
      <c r="P3864" s="199"/>
    </row>
    <row r="3865" spans="7:16" x14ac:dyDescent="0.2">
      <c r="G3865" s="199"/>
      <c r="I3865" s="199"/>
      <c r="K3865" s="199"/>
      <c r="M3865" s="199"/>
      <c r="N3865" s="200"/>
      <c r="P3865" s="199"/>
    </row>
    <row r="3866" spans="7:16" x14ac:dyDescent="0.2">
      <c r="G3866" s="199"/>
      <c r="I3866" s="199"/>
      <c r="K3866" s="199"/>
      <c r="M3866" s="199"/>
      <c r="N3866" s="200"/>
      <c r="P3866" s="199"/>
    </row>
    <row r="3867" spans="7:16" x14ac:dyDescent="0.2">
      <c r="G3867" s="199"/>
      <c r="I3867" s="199"/>
      <c r="K3867" s="199"/>
      <c r="M3867" s="199"/>
      <c r="N3867" s="200"/>
      <c r="P3867" s="199"/>
    </row>
    <row r="3868" spans="7:16" x14ac:dyDescent="0.2">
      <c r="G3868" s="199"/>
      <c r="I3868" s="199"/>
      <c r="K3868" s="199"/>
      <c r="M3868" s="199"/>
      <c r="N3868" s="200"/>
      <c r="P3868" s="199"/>
    </row>
    <row r="3869" spans="7:16" x14ac:dyDescent="0.2">
      <c r="G3869" s="199"/>
      <c r="I3869" s="199"/>
      <c r="K3869" s="199"/>
      <c r="M3869" s="199"/>
      <c r="N3869" s="200"/>
      <c r="P3869" s="199"/>
    </row>
    <row r="3870" spans="7:16" x14ac:dyDescent="0.2">
      <c r="G3870" s="199"/>
      <c r="I3870" s="199"/>
      <c r="K3870" s="199"/>
      <c r="M3870" s="199"/>
      <c r="N3870" s="200"/>
      <c r="P3870" s="199"/>
    </row>
    <row r="3871" spans="7:16" x14ac:dyDescent="0.2">
      <c r="G3871" s="199"/>
      <c r="I3871" s="199"/>
      <c r="K3871" s="199"/>
      <c r="M3871" s="199"/>
      <c r="N3871" s="200"/>
      <c r="P3871" s="199"/>
    </row>
    <row r="3872" spans="7:16" x14ac:dyDescent="0.2">
      <c r="G3872" s="199"/>
      <c r="I3872" s="199"/>
      <c r="K3872" s="199"/>
      <c r="M3872" s="199"/>
      <c r="N3872" s="200"/>
      <c r="P3872" s="199"/>
    </row>
    <row r="3873" spans="7:16" x14ac:dyDescent="0.2">
      <c r="G3873" s="199"/>
      <c r="I3873" s="199"/>
      <c r="K3873" s="199"/>
      <c r="M3873" s="199"/>
      <c r="N3873" s="200"/>
      <c r="P3873" s="199"/>
    </row>
    <row r="3874" spans="7:16" x14ac:dyDescent="0.2">
      <c r="G3874" s="199"/>
      <c r="I3874" s="199"/>
      <c r="K3874" s="199"/>
      <c r="M3874" s="199"/>
      <c r="N3874" s="200"/>
      <c r="P3874" s="199"/>
    </row>
    <row r="3875" spans="7:16" x14ac:dyDescent="0.2">
      <c r="G3875" s="199"/>
      <c r="I3875" s="199"/>
      <c r="K3875" s="199"/>
      <c r="M3875" s="199"/>
      <c r="N3875" s="200"/>
      <c r="P3875" s="199"/>
    </row>
    <row r="3876" spans="7:16" x14ac:dyDescent="0.2">
      <c r="G3876" s="199"/>
      <c r="I3876" s="199"/>
      <c r="K3876" s="199"/>
      <c r="M3876" s="199"/>
      <c r="N3876" s="200"/>
      <c r="P3876" s="199"/>
    </row>
    <row r="3877" spans="7:16" x14ac:dyDescent="0.2">
      <c r="G3877" s="199"/>
      <c r="I3877" s="199"/>
      <c r="K3877" s="199"/>
      <c r="M3877" s="199"/>
      <c r="N3877" s="200"/>
      <c r="P3877" s="199"/>
    </row>
    <row r="3878" spans="7:16" x14ac:dyDescent="0.2">
      <c r="G3878" s="199"/>
      <c r="I3878" s="199"/>
      <c r="K3878" s="199"/>
      <c r="M3878" s="199"/>
      <c r="N3878" s="200"/>
      <c r="P3878" s="199"/>
    </row>
    <row r="3879" spans="7:16" x14ac:dyDescent="0.2">
      <c r="G3879" s="199"/>
      <c r="I3879" s="199"/>
      <c r="K3879" s="199"/>
      <c r="M3879" s="199"/>
      <c r="N3879" s="200"/>
      <c r="P3879" s="199"/>
    </row>
    <row r="3880" spans="7:16" x14ac:dyDescent="0.2">
      <c r="G3880" s="199"/>
      <c r="I3880" s="199"/>
      <c r="K3880" s="199"/>
      <c r="M3880" s="199"/>
      <c r="N3880" s="200"/>
      <c r="P3880" s="199"/>
    </row>
    <row r="3881" spans="7:16" x14ac:dyDescent="0.2">
      <c r="G3881" s="199"/>
      <c r="I3881" s="199"/>
      <c r="K3881" s="199"/>
      <c r="M3881" s="199"/>
      <c r="N3881" s="200"/>
      <c r="P3881" s="199"/>
    </row>
    <row r="3882" spans="7:16" x14ac:dyDescent="0.2">
      <c r="G3882" s="199"/>
      <c r="I3882" s="199"/>
      <c r="K3882" s="199"/>
      <c r="M3882" s="199"/>
      <c r="N3882" s="200"/>
      <c r="P3882" s="199"/>
    </row>
    <row r="3883" spans="7:16" x14ac:dyDescent="0.2">
      <c r="G3883" s="199"/>
      <c r="I3883" s="199"/>
      <c r="K3883" s="199"/>
      <c r="M3883" s="199"/>
      <c r="N3883" s="200"/>
      <c r="P3883" s="199"/>
    </row>
    <row r="3884" spans="7:16" x14ac:dyDescent="0.2">
      <c r="G3884" s="199"/>
      <c r="I3884" s="199"/>
      <c r="K3884" s="199"/>
      <c r="M3884" s="199"/>
      <c r="N3884" s="200"/>
      <c r="P3884" s="199"/>
    </row>
    <row r="3885" spans="7:16" x14ac:dyDescent="0.2">
      <c r="G3885" s="199"/>
      <c r="I3885" s="199"/>
      <c r="K3885" s="199"/>
      <c r="M3885" s="199"/>
      <c r="N3885" s="200"/>
      <c r="P3885" s="199"/>
    </row>
    <row r="3886" spans="7:16" x14ac:dyDescent="0.2">
      <c r="G3886" s="199"/>
      <c r="I3886" s="199"/>
      <c r="K3886" s="199"/>
      <c r="M3886" s="199"/>
      <c r="N3886" s="200"/>
      <c r="P3886" s="199"/>
    </row>
    <row r="3887" spans="7:16" x14ac:dyDescent="0.2">
      <c r="G3887" s="199"/>
      <c r="I3887" s="199"/>
      <c r="K3887" s="199"/>
      <c r="M3887" s="199"/>
      <c r="N3887" s="200"/>
      <c r="P3887" s="199"/>
    </row>
    <row r="3888" spans="7:16" x14ac:dyDescent="0.2">
      <c r="G3888" s="199"/>
      <c r="I3888" s="199"/>
      <c r="K3888" s="199"/>
      <c r="M3888" s="199"/>
      <c r="N3888" s="200"/>
      <c r="P3888" s="199"/>
    </row>
    <row r="3889" spans="7:16" x14ac:dyDescent="0.2">
      <c r="G3889" s="199"/>
      <c r="I3889" s="199"/>
      <c r="K3889" s="199"/>
      <c r="M3889" s="199"/>
      <c r="N3889" s="200"/>
      <c r="P3889" s="199"/>
    </row>
    <row r="3890" spans="7:16" x14ac:dyDescent="0.2">
      <c r="G3890" s="199"/>
      <c r="I3890" s="199"/>
      <c r="K3890" s="199"/>
      <c r="M3890" s="199"/>
      <c r="N3890" s="200"/>
      <c r="P3890" s="199"/>
    </row>
    <row r="3891" spans="7:16" x14ac:dyDescent="0.2">
      <c r="G3891" s="199"/>
      <c r="I3891" s="199"/>
      <c r="K3891" s="199"/>
      <c r="M3891" s="199"/>
      <c r="N3891" s="200"/>
      <c r="P3891" s="199"/>
    </row>
    <row r="3892" spans="7:16" x14ac:dyDescent="0.2">
      <c r="G3892" s="199"/>
      <c r="I3892" s="199"/>
      <c r="K3892" s="199"/>
      <c r="M3892" s="199"/>
      <c r="N3892" s="200"/>
      <c r="P3892" s="199"/>
    </row>
    <row r="3893" spans="7:16" x14ac:dyDescent="0.2">
      <c r="G3893" s="199"/>
      <c r="I3893" s="199"/>
      <c r="K3893" s="199"/>
      <c r="M3893" s="199"/>
      <c r="N3893" s="200"/>
      <c r="P3893" s="199"/>
    </row>
    <row r="3894" spans="7:16" x14ac:dyDescent="0.2">
      <c r="G3894" s="199"/>
      <c r="I3894" s="199"/>
      <c r="K3894" s="199"/>
      <c r="M3894" s="199"/>
      <c r="N3894" s="200"/>
      <c r="P3894" s="199"/>
    </row>
    <row r="3895" spans="7:16" x14ac:dyDescent="0.2">
      <c r="G3895" s="199"/>
      <c r="I3895" s="199"/>
      <c r="K3895" s="199"/>
      <c r="M3895" s="199"/>
      <c r="N3895" s="200"/>
      <c r="P3895" s="199"/>
    </row>
    <row r="3896" spans="7:16" x14ac:dyDescent="0.2">
      <c r="G3896" s="199"/>
      <c r="I3896" s="199"/>
      <c r="K3896" s="199"/>
      <c r="M3896" s="199"/>
      <c r="N3896" s="200"/>
      <c r="P3896" s="199"/>
    </row>
    <row r="3897" spans="7:16" x14ac:dyDescent="0.2">
      <c r="G3897" s="199"/>
      <c r="I3897" s="199"/>
      <c r="K3897" s="199"/>
      <c r="M3897" s="199"/>
      <c r="N3897" s="200"/>
      <c r="P3897" s="199"/>
    </row>
    <row r="3898" spans="7:16" x14ac:dyDescent="0.2">
      <c r="G3898" s="199"/>
      <c r="I3898" s="199"/>
      <c r="K3898" s="199"/>
      <c r="M3898" s="199"/>
      <c r="N3898" s="200"/>
      <c r="P3898" s="199"/>
    </row>
    <row r="3899" spans="7:16" x14ac:dyDescent="0.2">
      <c r="G3899" s="199"/>
      <c r="I3899" s="199"/>
      <c r="K3899" s="199"/>
      <c r="M3899" s="199"/>
      <c r="N3899" s="200"/>
      <c r="P3899" s="199"/>
    </row>
    <row r="3900" spans="7:16" x14ac:dyDescent="0.2">
      <c r="G3900" s="199"/>
      <c r="I3900" s="199"/>
      <c r="K3900" s="199"/>
      <c r="M3900" s="199"/>
      <c r="N3900" s="200"/>
      <c r="P3900" s="199"/>
    </row>
    <row r="3901" spans="7:16" x14ac:dyDescent="0.2">
      <c r="G3901" s="199"/>
      <c r="I3901" s="199"/>
      <c r="K3901" s="199"/>
      <c r="M3901" s="199"/>
      <c r="N3901" s="200"/>
      <c r="P3901" s="199"/>
    </row>
    <row r="3902" spans="7:16" x14ac:dyDescent="0.2">
      <c r="G3902" s="199"/>
      <c r="I3902" s="199"/>
      <c r="K3902" s="199"/>
      <c r="M3902" s="199"/>
      <c r="N3902" s="200"/>
      <c r="P3902" s="199"/>
    </row>
    <row r="3903" spans="7:16" x14ac:dyDescent="0.2">
      <c r="G3903" s="199"/>
      <c r="I3903" s="199"/>
      <c r="K3903" s="199"/>
      <c r="M3903" s="199"/>
      <c r="N3903" s="200"/>
      <c r="P3903" s="199"/>
    </row>
    <row r="3904" spans="7:16" x14ac:dyDescent="0.2">
      <c r="G3904" s="199"/>
      <c r="I3904" s="199"/>
      <c r="K3904" s="199"/>
      <c r="M3904" s="199"/>
      <c r="N3904" s="200"/>
      <c r="P3904" s="199"/>
    </row>
    <row r="3905" spans="7:16" x14ac:dyDescent="0.2">
      <c r="G3905" s="199"/>
      <c r="I3905" s="199"/>
      <c r="K3905" s="199"/>
      <c r="M3905" s="199"/>
      <c r="N3905" s="200"/>
      <c r="P3905" s="199"/>
    </row>
    <row r="3906" spans="7:16" x14ac:dyDescent="0.2">
      <c r="G3906" s="199"/>
      <c r="I3906" s="199"/>
      <c r="K3906" s="199"/>
      <c r="M3906" s="199"/>
      <c r="N3906" s="200"/>
      <c r="P3906" s="199"/>
    </row>
    <row r="3907" spans="7:16" x14ac:dyDescent="0.2">
      <c r="G3907" s="199"/>
      <c r="I3907" s="199"/>
      <c r="K3907" s="199"/>
      <c r="M3907" s="199"/>
      <c r="N3907" s="200"/>
      <c r="P3907" s="199"/>
    </row>
    <row r="3908" spans="7:16" x14ac:dyDescent="0.2">
      <c r="G3908" s="199"/>
      <c r="I3908" s="199"/>
      <c r="K3908" s="199"/>
      <c r="M3908" s="199"/>
      <c r="N3908" s="200"/>
      <c r="P3908" s="199"/>
    </row>
    <row r="3909" spans="7:16" x14ac:dyDescent="0.2">
      <c r="G3909" s="199"/>
      <c r="I3909" s="199"/>
      <c r="K3909" s="199"/>
      <c r="M3909" s="199"/>
      <c r="N3909" s="200"/>
      <c r="P3909" s="199"/>
    </row>
    <row r="3910" spans="7:16" x14ac:dyDescent="0.2">
      <c r="G3910" s="199"/>
      <c r="I3910" s="199"/>
      <c r="K3910" s="199"/>
      <c r="M3910" s="199"/>
      <c r="N3910" s="200"/>
      <c r="P3910" s="199"/>
    </row>
    <row r="3911" spans="7:16" x14ac:dyDescent="0.2">
      <c r="G3911" s="199"/>
      <c r="I3911" s="199"/>
      <c r="K3911" s="199"/>
      <c r="M3911" s="199"/>
      <c r="N3911" s="200"/>
      <c r="P3911" s="199"/>
    </row>
    <row r="3912" spans="7:16" x14ac:dyDescent="0.2">
      <c r="G3912" s="199"/>
      <c r="I3912" s="199"/>
      <c r="K3912" s="199"/>
      <c r="M3912" s="199"/>
      <c r="N3912" s="200"/>
      <c r="P3912" s="199"/>
    </row>
    <row r="3913" spans="7:16" x14ac:dyDescent="0.2">
      <c r="G3913" s="199"/>
      <c r="I3913" s="199"/>
      <c r="K3913" s="199"/>
      <c r="M3913" s="199"/>
      <c r="N3913" s="200"/>
      <c r="P3913" s="199"/>
    </row>
    <row r="3914" spans="7:16" x14ac:dyDescent="0.2">
      <c r="G3914" s="199"/>
      <c r="I3914" s="199"/>
      <c r="K3914" s="199"/>
      <c r="M3914" s="199"/>
      <c r="N3914" s="200"/>
      <c r="P3914" s="199"/>
    </row>
    <row r="3915" spans="7:16" x14ac:dyDescent="0.2">
      <c r="G3915" s="199"/>
      <c r="I3915" s="199"/>
      <c r="K3915" s="199"/>
      <c r="M3915" s="199"/>
      <c r="N3915" s="200"/>
      <c r="P3915" s="199"/>
    </row>
    <row r="3916" spans="7:16" x14ac:dyDescent="0.2">
      <c r="G3916" s="199"/>
      <c r="I3916" s="199"/>
      <c r="K3916" s="199"/>
      <c r="M3916" s="199"/>
      <c r="N3916" s="200"/>
      <c r="P3916" s="199"/>
    </row>
    <row r="3917" spans="7:16" x14ac:dyDescent="0.2">
      <c r="G3917" s="199"/>
      <c r="I3917" s="199"/>
      <c r="K3917" s="199"/>
      <c r="M3917" s="199"/>
      <c r="N3917" s="200"/>
      <c r="P3917" s="199"/>
    </row>
    <row r="3918" spans="7:16" x14ac:dyDescent="0.2">
      <c r="G3918" s="199"/>
      <c r="I3918" s="199"/>
      <c r="K3918" s="199"/>
      <c r="M3918" s="199"/>
      <c r="N3918" s="200"/>
      <c r="P3918" s="199"/>
    </row>
    <row r="3919" spans="7:16" x14ac:dyDescent="0.2">
      <c r="G3919" s="199"/>
      <c r="I3919" s="199"/>
      <c r="K3919" s="199"/>
      <c r="M3919" s="199"/>
      <c r="N3919" s="200"/>
      <c r="P3919" s="199"/>
    </row>
    <row r="3920" spans="7:16" x14ac:dyDescent="0.2">
      <c r="G3920" s="199"/>
      <c r="I3920" s="199"/>
      <c r="K3920" s="199"/>
      <c r="M3920" s="199"/>
      <c r="N3920" s="200"/>
      <c r="P3920" s="199"/>
    </row>
    <row r="3921" spans="7:16" x14ac:dyDescent="0.2">
      <c r="G3921" s="199"/>
      <c r="I3921" s="199"/>
      <c r="K3921" s="199"/>
      <c r="M3921" s="199"/>
      <c r="N3921" s="200"/>
      <c r="P3921" s="199"/>
    </row>
    <row r="3922" spans="7:16" x14ac:dyDescent="0.2">
      <c r="G3922" s="199"/>
      <c r="I3922" s="199"/>
      <c r="K3922" s="199"/>
      <c r="M3922" s="199"/>
      <c r="N3922" s="200"/>
      <c r="P3922" s="199"/>
    </row>
    <row r="3923" spans="7:16" x14ac:dyDescent="0.2">
      <c r="G3923" s="199"/>
      <c r="I3923" s="199"/>
      <c r="K3923" s="199"/>
      <c r="M3923" s="199"/>
      <c r="N3923" s="200"/>
      <c r="P3923" s="199"/>
    </row>
    <row r="3924" spans="7:16" x14ac:dyDescent="0.2">
      <c r="G3924" s="199"/>
      <c r="I3924" s="199"/>
      <c r="K3924" s="199"/>
      <c r="M3924" s="199"/>
      <c r="N3924" s="200"/>
      <c r="P3924" s="199"/>
    </row>
    <row r="3925" spans="7:16" x14ac:dyDescent="0.2">
      <c r="G3925" s="199"/>
      <c r="I3925" s="199"/>
      <c r="K3925" s="199"/>
      <c r="M3925" s="199"/>
      <c r="N3925" s="200"/>
      <c r="P3925" s="199"/>
    </row>
    <row r="3926" spans="7:16" x14ac:dyDescent="0.2">
      <c r="G3926" s="199"/>
      <c r="I3926" s="199"/>
      <c r="K3926" s="199"/>
      <c r="M3926" s="199"/>
      <c r="N3926" s="200"/>
      <c r="P3926" s="199"/>
    </row>
    <row r="3927" spans="7:16" x14ac:dyDescent="0.2">
      <c r="G3927" s="199"/>
      <c r="I3927" s="199"/>
      <c r="K3927" s="199"/>
      <c r="M3927" s="199"/>
      <c r="N3927" s="200"/>
      <c r="P3927" s="199"/>
    </row>
    <row r="3928" spans="7:16" x14ac:dyDescent="0.2">
      <c r="G3928" s="199"/>
      <c r="I3928" s="199"/>
      <c r="K3928" s="199"/>
      <c r="M3928" s="199"/>
      <c r="N3928" s="200"/>
      <c r="P3928" s="199"/>
    </row>
    <row r="3929" spans="7:16" x14ac:dyDescent="0.2">
      <c r="G3929" s="199"/>
      <c r="I3929" s="199"/>
      <c r="K3929" s="199"/>
      <c r="M3929" s="199"/>
      <c r="N3929" s="200"/>
      <c r="P3929" s="199"/>
    </row>
    <row r="3930" spans="7:16" x14ac:dyDescent="0.2">
      <c r="G3930" s="199"/>
      <c r="I3930" s="199"/>
      <c r="K3930" s="199"/>
      <c r="M3930" s="199"/>
      <c r="N3930" s="200"/>
      <c r="P3930" s="199"/>
    </row>
    <row r="3931" spans="7:16" x14ac:dyDescent="0.2">
      <c r="G3931" s="199"/>
      <c r="I3931" s="199"/>
      <c r="K3931" s="199"/>
      <c r="M3931" s="199"/>
      <c r="N3931" s="200"/>
      <c r="P3931" s="199"/>
    </row>
    <row r="3932" spans="7:16" x14ac:dyDescent="0.2">
      <c r="G3932" s="199"/>
      <c r="I3932" s="199"/>
      <c r="K3932" s="199"/>
      <c r="M3932" s="199"/>
      <c r="N3932" s="200"/>
      <c r="P3932" s="199"/>
    </row>
    <row r="3933" spans="7:16" x14ac:dyDescent="0.2">
      <c r="G3933" s="199"/>
      <c r="I3933" s="199"/>
      <c r="K3933" s="199"/>
      <c r="M3933" s="199"/>
      <c r="N3933" s="200"/>
      <c r="P3933" s="199"/>
    </row>
    <row r="3934" spans="7:16" x14ac:dyDescent="0.2">
      <c r="G3934" s="199"/>
      <c r="I3934" s="199"/>
      <c r="K3934" s="199"/>
      <c r="M3934" s="199"/>
      <c r="N3934" s="200"/>
      <c r="P3934" s="199"/>
    </row>
    <row r="3935" spans="7:16" x14ac:dyDescent="0.2">
      <c r="G3935" s="199"/>
      <c r="I3935" s="199"/>
      <c r="K3935" s="199"/>
      <c r="M3935" s="199"/>
      <c r="N3935" s="200"/>
      <c r="P3935" s="199"/>
    </row>
    <row r="3936" spans="7:16" x14ac:dyDescent="0.2">
      <c r="G3936" s="199"/>
      <c r="I3936" s="199"/>
      <c r="K3936" s="199"/>
      <c r="M3936" s="199"/>
      <c r="N3936" s="200"/>
      <c r="P3936" s="199"/>
    </row>
    <row r="3937" spans="7:16" x14ac:dyDescent="0.2">
      <c r="G3937" s="199"/>
      <c r="I3937" s="199"/>
      <c r="K3937" s="199"/>
      <c r="M3937" s="199"/>
      <c r="N3937" s="200"/>
      <c r="P3937" s="199"/>
    </row>
    <row r="3938" spans="7:16" x14ac:dyDescent="0.2">
      <c r="G3938" s="199"/>
      <c r="I3938" s="199"/>
      <c r="K3938" s="199"/>
      <c r="M3938" s="199"/>
      <c r="N3938" s="200"/>
      <c r="P3938" s="199"/>
    </row>
    <row r="3939" spans="7:16" x14ac:dyDescent="0.2">
      <c r="G3939" s="199"/>
      <c r="I3939" s="199"/>
      <c r="K3939" s="199"/>
      <c r="M3939" s="199"/>
      <c r="N3939" s="200"/>
      <c r="P3939" s="199"/>
    </row>
    <row r="3940" spans="7:16" x14ac:dyDescent="0.2">
      <c r="G3940" s="199"/>
      <c r="I3940" s="199"/>
      <c r="K3940" s="199"/>
      <c r="M3940" s="199"/>
      <c r="N3940" s="200"/>
      <c r="P3940" s="199"/>
    </row>
    <row r="3941" spans="7:16" x14ac:dyDescent="0.2">
      <c r="G3941" s="199"/>
      <c r="I3941" s="199"/>
      <c r="K3941" s="199"/>
      <c r="M3941" s="199"/>
      <c r="N3941" s="200"/>
      <c r="P3941" s="199"/>
    </row>
    <row r="3942" spans="7:16" x14ac:dyDescent="0.2">
      <c r="G3942" s="199"/>
      <c r="I3942" s="199"/>
      <c r="K3942" s="199"/>
      <c r="M3942" s="199"/>
      <c r="N3942" s="200"/>
      <c r="P3942" s="199"/>
    </row>
    <row r="3943" spans="7:16" x14ac:dyDescent="0.2">
      <c r="G3943" s="199"/>
      <c r="I3943" s="199"/>
      <c r="K3943" s="199"/>
      <c r="M3943" s="199"/>
      <c r="N3943" s="200"/>
      <c r="P3943" s="199"/>
    </row>
    <row r="3944" spans="7:16" x14ac:dyDescent="0.2">
      <c r="G3944" s="199"/>
      <c r="I3944" s="199"/>
      <c r="K3944" s="199"/>
      <c r="M3944" s="199"/>
      <c r="N3944" s="200"/>
      <c r="P3944" s="199"/>
    </row>
    <row r="3945" spans="7:16" x14ac:dyDescent="0.2">
      <c r="G3945" s="199"/>
      <c r="I3945" s="199"/>
      <c r="K3945" s="199"/>
      <c r="M3945" s="199"/>
      <c r="N3945" s="200"/>
      <c r="P3945" s="199"/>
    </row>
    <row r="3946" spans="7:16" x14ac:dyDescent="0.2">
      <c r="G3946" s="199"/>
      <c r="I3946" s="199"/>
      <c r="K3946" s="199"/>
      <c r="M3946" s="199"/>
      <c r="N3946" s="200"/>
      <c r="P3946" s="199"/>
    </row>
    <row r="3947" spans="7:16" x14ac:dyDescent="0.2">
      <c r="G3947" s="199"/>
      <c r="I3947" s="199"/>
      <c r="K3947" s="199"/>
      <c r="M3947" s="199"/>
      <c r="N3947" s="200"/>
      <c r="P3947" s="199"/>
    </row>
    <row r="3948" spans="7:16" x14ac:dyDescent="0.2">
      <c r="G3948" s="199"/>
      <c r="I3948" s="199"/>
      <c r="K3948" s="199"/>
      <c r="M3948" s="199"/>
      <c r="N3948" s="200"/>
      <c r="P3948" s="199"/>
    </row>
    <row r="3949" spans="7:16" x14ac:dyDescent="0.2">
      <c r="G3949" s="199"/>
      <c r="I3949" s="199"/>
      <c r="K3949" s="199"/>
      <c r="M3949" s="199"/>
      <c r="N3949" s="200"/>
      <c r="P3949" s="199"/>
    </row>
    <row r="3950" spans="7:16" x14ac:dyDescent="0.2">
      <c r="G3950" s="199"/>
      <c r="I3950" s="199"/>
      <c r="K3950" s="199"/>
      <c r="M3950" s="199"/>
      <c r="N3950" s="200"/>
      <c r="P3950" s="199"/>
    </row>
    <row r="3951" spans="7:16" x14ac:dyDescent="0.2">
      <c r="G3951" s="199"/>
      <c r="I3951" s="199"/>
      <c r="K3951" s="199"/>
      <c r="M3951" s="199"/>
      <c r="N3951" s="200"/>
      <c r="P3951" s="199"/>
    </row>
    <row r="3952" spans="7:16" x14ac:dyDescent="0.2">
      <c r="G3952" s="199"/>
      <c r="I3952" s="199"/>
      <c r="K3952" s="199"/>
      <c r="M3952" s="199"/>
      <c r="N3952" s="200"/>
      <c r="P3952" s="199"/>
    </row>
    <row r="3953" spans="7:16" x14ac:dyDescent="0.2">
      <c r="G3953" s="199"/>
      <c r="I3953" s="199"/>
      <c r="K3953" s="199"/>
      <c r="M3953" s="199"/>
      <c r="N3953" s="200"/>
      <c r="P3953" s="199"/>
    </row>
    <row r="3954" spans="7:16" x14ac:dyDescent="0.2">
      <c r="G3954" s="199"/>
      <c r="I3954" s="199"/>
      <c r="K3954" s="199"/>
      <c r="M3954" s="199"/>
      <c r="N3954" s="200"/>
      <c r="P3954" s="199"/>
    </row>
    <row r="3955" spans="7:16" x14ac:dyDescent="0.2">
      <c r="G3955" s="199"/>
      <c r="I3955" s="199"/>
      <c r="K3955" s="199"/>
      <c r="M3955" s="199"/>
      <c r="N3955" s="200"/>
      <c r="P3955" s="199"/>
    </row>
    <row r="3956" spans="7:16" x14ac:dyDescent="0.2">
      <c r="G3956" s="199"/>
      <c r="I3956" s="199"/>
      <c r="K3956" s="199"/>
      <c r="M3956" s="199"/>
      <c r="N3956" s="200"/>
      <c r="P3956" s="199"/>
    </row>
    <row r="3957" spans="7:16" x14ac:dyDescent="0.2">
      <c r="G3957" s="199"/>
      <c r="I3957" s="199"/>
      <c r="K3957" s="199"/>
      <c r="M3957" s="199"/>
      <c r="N3957" s="200"/>
      <c r="P3957" s="199"/>
    </row>
    <row r="3958" spans="7:16" x14ac:dyDescent="0.2">
      <c r="G3958" s="199"/>
      <c r="I3958" s="199"/>
      <c r="K3958" s="199"/>
      <c r="M3958" s="199"/>
      <c r="N3958" s="200"/>
      <c r="P3958" s="199"/>
    </row>
    <row r="3959" spans="7:16" x14ac:dyDescent="0.2">
      <c r="G3959" s="199"/>
      <c r="I3959" s="199"/>
      <c r="K3959" s="199"/>
      <c r="M3959" s="199"/>
      <c r="N3959" s="200"/>
      <c r="P3959" s="199"/>
    </row>
    <row r="3960" spans="7:16" x14ac:dyDescent="0.2">
      <c r="G3960" s="199"/>
      <c r="I3960" s="199"/>
      <c r="K3960" s="199"/>
      <c r="M3960" s="199"/>
      <c r="N3960" s="200"/>
      <c r="P3960" s="199"/>
    </row>
    <row r="3961" spans="7:16" x14ac:dyDescent="0.2">
      <c r="G3961" s="199"/>
      <c r="I3961" s="199"/>
      <c r="K3961" s="199"/>
      <c r="M3961" s="199"/>
      <c r="N3961" s="200"/>
      <c r="P3961" s="199"/>
    </row>
    <row r="3962" spans="7:16" x14ac:dyDescent="0.2">
      <c r="G3962" s="199"/>
      <c r="I3962" s="199"/>
      <c r="K3962" s="199"/>
      <c r="M3962" s="199"/>
      <c r="N3962" s="200"/>
      <c r="P3962" s="199"/>
    </row>
    <row r="3963" spans="7:16" x14ac:dyDescent="0.2">
      <c r="G3963" s="199"/>
      <c r="I3963" s="199"/>
      <c r="K3963" s="199"/>
      <c r="M3963" s="199"/>
      <c r="N3963" s="200"/>
      <c r="P3963" s="199"/>
    </row>
    <row r="3964" spans="7:16" x14ac:dyDescent="0.2">
      <c r="G3964" s="199"/>
      <c r="I3964" s="199"/>
      <c r="K3964" s="199"/>
      <c r="M3964" s="199"/>
      <c r="N3964" s="200"/>
      <c r="P3964" s="199"/>
    </row>
    <row r="3965" spans="7:16" x14ac:dyDescent="0.2">
      <c r="G3965" s="199"/>
      <c r="I3965" s="199"/>
      <c r="K3965" s="199"/>
      <c r="M3965" s="199"/>
      <c r="N3965" s="200"/>
      <c r="P3965" s="199"/>
    </row>
    <row r="3966" spans="7:16" x14ac:dyDescent="0.2">
      <c r="G3966" s="199"/>
      <c r="I3966" s="199"/>
      <c r="K3966" s="199"/>
      <c r="M3966" s="199"/>
      <c r="N3966" s="200"/>
      <c r="P3966" s="199"/>
    </row>
    <row r="3967" spans="7:16" x14ac:dyDescent="0.2">
      <c r="G3967" s="199"/>
      <c r="I3967" s="199"/>
      <c r="K3967" s="199"/>
      <c r="M3967" s="199"/>
      <c r="N3967" s="200"/>
      <c r="P3967" s="199"/>
    </row>
    <row r="3968" spans="7:16" x14ac:dyDescent="0.2">
      <c r="G3968" s="199"/>
      <c r="I3968" s="199"/>
      <c r="K3968" s="199"/>
      <c r="M3968" s="199"/>
      <c r="N3968" s="200"/>
      <c r="P3968" s="199"/>
    </row>
    <row r="3969" spans="7:16" x14ac:dyDescent="0.2">
      <c r="G3969" s="199"/>
      <c r="I3969" s="199"/>
      <c r="K3969" s="199"/>
      <c r="M3969" s="199"/>
      <c r="N3969" s="200"/>
      <c r="P3969" s="199"/>
    </row>
    <row r="3970" spans="7:16" x14ac:dyDescent="0.2">
      <c r="G3970" s="199"/>
      <c r="I3970" s="199"/>
      <c r="K3970" s="199"/>
      <c r="M3970" s="199"/>
      <c r="N3970" s="200"/>
      <c r="P3970" s="199"/>
    </row>
    <row r="3971" spans="7:16" x14ac:dyDescent="0.2">
      <c r="G3971" s="199"/>
      <c r="I3971" s="199"/>
      <c r="K3971" s="199"/>
      <c r="M3971" s="199"/>
      <c r="N3971" s="200"/>
      <c r="P3971" s="199"/>
    </row>
    <row r="3972" spans="7:16" x14ac:dyDescent="0.2">
      <c r="G3972" s="199"/>
      <c r="I3972" s="199"/>
      <c r="K3972" s="199"/>
      <c r="M3972" s="199"/>
      <c r="N3972" s="200"/>
      <c r="P3972" s="199"/>
    </row>
    <row r="3973" spans="7:16" x14ac:dyDescent="0.2">
      <c r="G3973" s="199"/>
      <c r="I3973" s="199"/>
      <c r="K3973" s="199"/>
      <c r="M3973" s="199"/>
      <c r="N3973" s="200"/>
      <c r="P3973" s="199"/>
    </row>
    <row r="3974" spans="7:16" x14ac:dyDescent="0.2">
      <c r="G3974" s="199"/>
      <c r="I3974" s="199"/>
      <c r="K3974" s="199"/>
      <c r="M3974" s="199"/>
      <c r="N3974" s="200"/>
      <c r="P3974" s="199"/>
    </row>
    <row r="3975" spans="7:16" x14ac:dyDescent="0.2">
      <c r="G3975" s="199"/>
      <c r="I3975" s="199"/>
      <c r="K3975" s="199"/>
      <c r="M3975" s="199"/>
      <c r="N3975" s="200"/>
      <c r="P3975" s="199"/>
    </row>
    <row r="3976" spans="7:16" x14ac:dyDescent="0.2">
      <c r="G3976" s="199"/>
      <c r="I3976" s="199"/>
      <c r="K3976" s="199"/>
      <c r="M3976" s="199"/>
      <c r="N3976" s="200"/>
      <c r="P3976" s="199"/>
    </row>
    <row r="3977" spans="7:16" x14ac:dyDescent="0.2">
      <c r="G3977" s="199"/>
      <c r="I3977" s="199"/>
      <c r="K3977" s="199"/>
      <c r="M3977" s="199"/>
      <c r="N3977" s="200"/>
      <c r="P3977" s="199"/>
    </row>
    <row r="3978" spans="7:16" x14ac:dyDescent="0.2">
      <c r="G3978" s="199"/>
      <c r="I3978" s="199"/>
      <c r="K3978" s="199"/>
      <c r="M3978" s="199"/>
      <c r="N3978" s="200"/>
      <c r="P3978" s="199"/>
    </row>
    <row r="3979" spans="7:16" x14ac:dyDescent="0.2">
      <c r="G3979" s="199"/>
      <c r="I3979" s="199"/>
      <c r="K3979" s="199"/>
      <c r="M3979" s="199"/>
      <c r="N3979" s="200"/>
      <c r="P3979" s="199"/>
    </row>
    <row r="3980" spans="7:16" x14ac:dyDescent="0.2">
      <c r="G3980" s="199"/>
      <c r="I3980" s="199"/>
      <c r="K3980" s="199"/>
      <c r="M3980" s="199"/>
      <c r="N3980" s="200"/>
      <c r="P3980" s="199"/>
    </row>
    <row r="3981" spans="7:16" x14ac:dyDescent="0.2">
      <c r="G3981" s="199"/>
      <c r="I3981" s="199"/>
      <c r="K3981" s="199"/>
      <c r="M3981" s="199"/>
      <c r="N3981" s="200"/>
      <c r="P3981" s="199"/>
    </row>
    <row r="3982" spans="7:16" x14ac:dyDescent="0.2">
      <c r="G3982" s="199"/>
      <c r="I3982" s="199"/>
      <c r="K3982" s="199"/>
      <c r="M3982" s="199"/>
      <c r="N3982" s="200"/>
      <c r="P3982" s="199"/>
    </row>
    <row r="3983" spans="7:16" x14ac:dyDescent="0.2">
      <c r="G3983" s="199"/>
      <c r="I3983" s="199"/>
      <c r="K3983" s="199"/>
      <c r="M3983" s="199"/>
      <c r="N3983" s="200"/>
      <c r="P3983" s="199"/>
    </row>
    <row r="3984" spans="7:16" x14ac:dyDescent="0.2">
      <c r="G3984" s="199"/>
      <c r="I3984" s="199"/>
      <c r="K3984" s="199"/>
      <c r="M3984" s="199"/>
      <c r="N3984" s="200"/>
      <c r="P3984" s="199"/>
    </row>
    <row r="3985" spans="7:16" x14ac:dyDescent="0.2">
      <c r="G3985" s="199"/>
      <c r="I3985" s="199"/>
      <c r="K3985" s="199"/>
      <c r="M3985" s="199"/>
      <c r="N3985" s="200"/>
      <c r="P3985" s="199"/>
    </row>
    <row r="3986" spans="7:16" x14ac:dyDescent="0.2">
      <c r="G3986" s="199"/>
      <c r="I3986" s="199"/>
      <c r="K3986" s="199"/>
      <c r="M3986" s="199"/>
      <c r="N3986" s="200"/>
      <c r="P3986" s="199"/>
    </row>
    <row r="3987" spans="7:16" x14ac:dyDescent="0.2">
      <c r="G3987" s="199"/>
      <c r="I3987" s="199"/>
      <c r="K3987" s="199"/>
      <c r="M3987" s="199"/>
      <c r="N3987" s="200"/>
      <c r="P3987" s="199"/>
    </row>
    <row r="3988" spans="7:16" x14ac:dyDescent="0.2">
      <c r="G3988" s="199"/>
      <c r="I3988" s="199"/>
      <c r="K3988" s="199"/>
      <c r="M3988" s="199"/>
      <c r="N3988" s="200"/>
      <c r="P3988" s="199"/>
    </row>
    <row r="3989" spans="7:16" x14ac:dyDescent="0.2">
      <c r="G3989" s="199"/>
      <c r="I3989" s="199"/>
      <c r="K3989" s="199"/>
      <c r="M3989" s="199"/>
      <c r="N3989" s="200"/>
      <c r="P3989" s="199"/>
    </row>
    <row r="3990" spans="7:16" x14ac:dyDescent="0.2">
      <c r="G3990" s="199"/>
      <c r="I3990" s="199"/>
      <c r="K3990" s="199"/>
      <c r="M3990" s="199"/>
      <c r="N3990" s="200"/>
      <c r="P3990" s="199"/>
    </row>
    <row r="3991" spans="7:16" x14ac:dyDescent="0.2">
      <c r="G3991" s="199"/>
      <c r="I3991" s="199"/>
      <c r="K3991" s="199"/>
      <c r="M3991" s="199"/>
      <c r="N3991" s="200"/>
      <c r="P3991" s="199"/>
    </row>
    <row r="3992" spans="7:16" x14ac:dyDescent="0.2">
      <c r="G3992" s="199"/>
      <c r="I3992" s="199"/>
      <c r="K3992" s="199"/>
      <c r="M3992" s="199"/>
      <c r="N3992" s="200"/>
      <c r="P3992" s="199"/>
    </row>
    <row r="3993" spans="7:16" x14ac:dyDescent="0.2">
      <c r="G3993" s="199"/>
      <c r="I3993" s="199"/>
      <c r="K3993" s="199"/>
      <c r="M3993" s="199"/>
      <c r="N3993" s="200"/>
      <c r="P3993" s="199"/>
    </row>
    <row r="3994" spans="7:16" x14ac:dyDescent="0.2">
      <c r="G3994" s="199"/>
      <c r="I3994" s="199"/>
      <c r="K3994" s="199"/>
      <c r="M3994" s="199"/>
      <c r="N3994" s="200"/>
      <c r="P3994" s="199"/>
    </row>
    <row r="3995" spans="7:16" x14ac:dyDescent="0.2">
      <c r="G3995" s="199"/>
      <c r="I3995" s="199"/>
      <c r="K3995" s="199"/>
      <c r="M3995" s="199"/>
      <c r="N3995" s="200"/>
      <c r="P3995" s="199"/>
    </row>
    <row r="3996" spans="7:16" x14ac:dyDescent="0.2">
      <c r="G3996" s="199"/>
      <c r="I3996" s="199"/>
      <c r="K3996" s="199"/>
      <c r="M3996" s="199"/>
      <c r="N3996" s="200"/>
      <c r="P3996" s="199"/>
    </row>
    <row r="3997" spans="7:16" x14ac:dyDescent="0.2">
      <c r="G3997" s="199"/>
      <c r="I3997" s="199"/>
      <c r="K3997" s="199"/>
      <c r="M3997" s="199"/>
      <c r="N3997" s="200"/>
      <c r="P3997" s="199"/>
    </row>
    <row r="3998" spans="7:16" x14ac:dyDescent="0.2">
      <c r="G3998" s="199"/>
      <c r="I3998" s="199"/>
      <c r="K3998" s="199"/>
      <c r="M3998" s="199"/>
      <c r="N3998" s="200"/>
      <c r="P3998" s="199"/>
    </row>
    <row r="3999" spans="7:16" x14ac:dyDescent="0.2">
      <c r="G3999" s="199"/>
      <c r="I3999" s="199"/>
      <c r="K3999" s="199"/>
      <c r="M3999" s="199"/>
      <c r="N3999" s="200"/>
      <c r="P3999" s="199"/>
    </row>
    <row r="4000" spans="7:16" x14ac:dyDescent="0.2">
      <c r="G4000" s="199"/>
      <c r="I4000" s="199"/>
      <c r="K4000" s="199"/>
      <c r="M4000" s="199"/>
      <c r="N4000" s="200"/>
      <c r="P4000" s="199"/>
    </row>
    <row r="4001" spans="7:16" x14ac:dyDescent="0.2">
      <c r="G4001" s="199"/>
      <c r="I4001" s="199"/>
      <c r="K4001" s="199"/>
      <c r="M4001" s="199"/>
      <c r="N4001" s="200"/>
      <c r="P4001" s="199"/>
    </row>
    <row r="4002" spans="7:16" x14ac:dyDescent="0.2">
      <c r="G4002" s="199"/>
      <c r="I4002" s="199"/>
      <c r="K4002" s="199"/>
      <c r="M4002" s="199"/>
      <c r="N4002" s="200"/>
      <c r="P4002" s="199"/>
    </row>
    <row r="4003" spans="7:16" x14ac:dyDescent="0.2">
      <c r="G4003" s="199"/>
      <c r="I4003" s="199"/>
      <c r="K4003" s="199"/>
      <c r="M4003" s="199"/>
      <c r="N4003" s="200"/>
      <c r="P4003" s="199"/>
    </row>
    <row r="4004" spans="7:16" x14ac:dyDescent="0.2">
      <c r="G4004" s="199"/>
      <c r="I4004" s="199"/>
      <c r="K4004" s="199"/>
      <c r="M4004" s="199"/>
      <c r="N4004" s="200"/>
      <c r="P4004" s="199"/>
    </row>
    <row r="4005" spans="7:16" x14ac:dyDescent="0.2">
      <c r="G4005" s="199"/>
      <c r="I4005" s="199"/>
      <c r="K4005" s="199"/>
      <c r="M4005" s="199"/>
      <c r="N4005" s="200"/>
      <c r="P4005" s="199"/>
    </row>
    <row r="4006" spans="7:16" x14ac:dyDescent="0.2">
      <c r="G4006" s="199"/>
      <c r="I4006" s="199"/>
      <c r="K4006" s="199"/>
      <c r="M4006" s="199"/>
      <c r="N4006" s="200"/>
      <c r="P4006" s="199"/>
    </row>
    <row r="4007" spans="7:16" x14ac:dyDescent="0.2">
      <c r="G4007" s="199"/>
      <c r="I4007" s="199"/>
      <c r="K4007" s="199"/>
      <c r="M4007" s="199"/>
      <c r="N4007" s="200"/>
      <c r="P4007" s="199"/>
    </row>
    <row r="4008" spans="7:16" x14ac:dyDescent="0.2">
      <c r="G4008" s="199"/>
      <c r="I4008" s="199"/>
      <c r="K4008" s="199"/>
      <c r="M4008" s="199"/>
      <c r="N4008" s="200"/>
      <c r="P4008" s="199"/>
    </row>
    <row r="4009" spans="7:16" x14ac:dyDescent="0.2">
      <c r="G4009" s="199"/>
      <c r="I4009" s="199"/>
      <c r="K4009" s="199"/>
      <c r="M4009" s="199"/>
      <c r="N4009" s="200"/>
      <c r="P4009" s="199"/>
    </row>
    <row r="4010" spans="7:16" x14ac:dyDescent="0.2">
      <c r="G4010" s="199"/>
      <c r="I4010" s="199"/>
      <c r="K4010" s="199"/>
      <c r="M4010" s="199"/>
      <c r="N4010" s="200"/>
      <c r="P4010" s="199"/>
    </row>
    <row r="4011" spans="7:16" x14ac:dyDescent="0.2">
      <c r="G4011" s="199"/>
      <c r="I4011" s="199"/>
      <c r="K4011" s="199"/>
      <c r="M4011" s="199"/>
      <c r="N4011" s="200"/>
      <c r="P4011" s="199"/>
    </row>
    <row r="4012" spans="7:16" x14ac:dyDescent="0.2">
      <c r="G4012" s="199"/>
      <c r="I4012" s="199"/>
      <c r="K4012" s="199"/>
      <c r="M4012" s="199"/>
      <c r="N4012" s="200"/>
      <c r="P4012" s="199"/>
    </row>
    <row r="4013" spans="7:16" x14ac:dyDescent="0.2">
      <c r="G4013" s="199"/>
      <c r="I4013" s="199"/>
      <c r="K4013" s="199"/>
      <c r="M4013" s="199"/>
      <c r="N4013" s="200"/>
      <c r="P4013" s="199"/>
    </row>
    <row r="4014" spans="7:16" x14ac:dyDescent="0.2">
      <c r="G4014" s="199"/>
      <c r="I4014" s="199"/>
      <c r="K4014" s="199"/>
      <c r="M4014" s="199"/>
      <c r="N4014" s="200"/>
      <c r="P4014" s="199"/>
    </row>
    <row r="4015" spans="7:16" x14ac:dyDescent="0.2">
      <c r="G4015" s="199"/>
      <c r="I4015" s="199"/>
      <c r="K4015" s="199"/>
      <c r="M4015" s="199"/>
      <c r="N4015" s="200"/>
      <c r="P4015" s="199"/>
    </row>
    <row r="4016" spans="7:16" x14ac:dyDescent="0.2">
      <c r="G4016" s="199"/>
      <c r="I4016" s="199"/>
      <c r="K4016" s="199"/>
      <c r="M4016" s="199"/>
      <c r="N4016" s="200"/>
      <c r="P4016" s="199"/>
    </row>
    <row r="4017" spans="7:16" x14ac:dyDescent="0.2">
      <c r="G4017" s="199"/>
      <c r="I4017" s="199"/>
      <c r="K4017" s="199"/>
      <c r="M4017" s="199"/>
      <c r="N4017" s="200"/>
      <c r="P4017" s="199"/>
    </row>
    <row r="4018" spans="7:16" x14ac:dyDescent="0.2">
      <c r="G4018" s="199"/>
      <c r="I4018" s="199"/>
      <c r="K4018" s="199"/>
      <c r="M4018" s="199"/>
      <c r="N4018" s="200"/>
      <c r="P4018" s="199"/>
    </row>
    <row r="4019" spans="7:16" x14ac:dyDescent="0.2">
      <c r="G4019" s="199"/>
      <c r="I4019" s="199"/>
      <c r="K4019" s="199"/>
      <c r="M4019" s="199"/>
      <c r="N4019" s="200"/>
      <c r="P4019" s="199"/>
    </row>
    <row r="4020" spans="7:16" x14ac:dyDescent="0.2">
      <c r="G4020" s="199"/>
      <c r="I4020" s="199"/>
      <c r="K4020" s="199"/>
      <c r="M4020" s="199"/>
      <c r="N4020" s="200"/>
      <c r="P4020" s="199"/>
    </row>
    <row r="4021" spans="7:16" x14ac:dyDescent="0.2">
      <c r="G4021" s="199"/>
      <c r="I4021" s="199"/>
      <c r="K4021" s="199"/>
      <c r="M4021" s="199"/>
      <c r="N4021" s="200"/>
      <c r="P4021" s="199"/>
    </row>
    <row r="4022" spans="7:16" x14ac:dyDescent="0.2">
      <c r="G4022" s="199"/>
      <c r="I4022" s="199"/>
      <c r="K4022" s="199"/>
      <c r="M4022" s="199"/>
      <c r="N4022" s="200"/>
      <c r="P4022" s="199"/>
    </row>
    <row r="4023" spans="7:16" x14ac:dyDescent="0.2">
      <c r="G4023" s="199"/>
      <c r="I4023" s="199"/>
      <c r="K4023" s="199"/>
      <c r="M4023" s="199"/>
      <c r="N4023" s="200"/>
      <c r="P4023" s="199"/>
    </row>
    <row r="4024" spans="7:16" x14ac:dyDescent="0.2">
      <c r="G4024" s="199"/>
      <c r="I4024" s="199"/>
      <c r="K4024" s="199"/>
      <c r="M4024" s="199"/>
      <c r="N4024" s="200"/>
      <c r="P4024" s="199"/>
    </row>
    <row r="4025" spans="7:16" x14ac:dyDescent="0.2">
      <c r="G4025" s="199"/>
      <c r="I4025" s="199"/>
      <c r="K4025" s="199"/>
      <c r="M4025" s="199"/>
      <c r="N4025" s="200"/>
      <c r="P4025" s="199"/>
    </row>
    <row r="4026" spans="7:16" x14ac:dyDescent="0.2">
      <c r="G4026" s="199"/>
      <c r="I4026" s="199"/>
      <c r="K4026" s="199"/>
      <c r="M4026" s="199"/>
      <c r="N4026" s="200"/>
      <c r="P4026" s="199"/>
    </row>
    <row r="4027" spans="7:16" x14ac:dyDescent="0.2">
      <c r="G4027" s="199"/>
      <c r="I4027" s="199"/>
      <c r="K4027" s="199"/>
      <c r="M4027" s="199"/>
      <c r="N4027" s="200"/>
      <c r="P4027" s="199"/>
    </row>
    <row r="4028" spans="7:16" x14ac:dyDescent="0.2">
      <c r="G4028" s="199"/>
      <c r="I4028" s="199"/>
      <c r="K4028" s="199"/>
      <c r="M4028" s="199"/>
      <c r="N4028" s="200"/>
      <c r="P4028" s="199"/>
    </row>
    <row r="4029" spans="7:16" x14ac:dyDescent="0.2">
      <c r="G4029" s="199"/>
      <c r="I4029" s="199"/>
      <c r="K4029" s="199"/>
      <c r="M4029" s="199"/>
      <c r="N4029" s="200"/>
      <c r="P4029" s="199"/>
    </row>
    <row r="4030" spans="7:16" x14ac:dyDescent="0.2">
      <c r="G4030" s="199"/>
      <c r="I4030" s="199"/>
      <c r="K4030" s="199"/>
      <c r="M4030" s="199"/>
      <c r="N4030" s="200"/>
      <c r="P4030" s="199"/>
    </row>
    <row r="4031" spans="7:16" x14ac:dyDescent="0.2">
      <c r="G4031" s="199"/>
      <c r="I4031" s="199"/>
      <c r="K4031" s="199"/>
      <c r="M4031" s="199"/>
      <c r="N4031" s="200"/>
      <c r="P4031" s="199"/>
    </row>
    <row r="4032" spans="7:16" x14ac:dyDescent="0.2">
      <c r="G4032" s="199"/>
      <c r="I4032" s="199"/>
      <c r="K4032" s="199"/>
      <c r="M4032" s="199"/>
      <c r="N4032" s="200"/>
      <c r="P4032" s="199"/>
    </row>
    <row r="4033" spans="7:16" x14ac:dyDescent="0.2">
      <c r="G4033" s="199"/>
      <c r="I4033" s="199"/>
      <c r="K4033" s="199"/>
      <c r="M4033" s="199"/>
      <c r="N4033" s="200"/>
      <c r="P4033" s="199"/>
    </row>
    <row r="4034" spans="7:16" x14ac:dyDescent="0.2">
      <c r="G4034" s="199"/>
      <c r="I4034" s="199"/>
      <c r="K4034" s="199"/>
      <c r="M4034" s="199"/>
      <c r="N4034" s="200"/>
      <c r="P4034" s="199"/>
    </row>
    <row r="4035" spans="7:16" x14ac:dyDescent="0.2">
      <c r="G4035" s="199"/>
      <c r="I4035" s="199"/>
      <c r="K4035" s="199"/>
      <c r="M4035" s="199"/>
      <c r="N4035" s="200"/>
      <c r="P4035" s="199"/>
    </row>
    <row r="4036" spans="7:16" x14ac:dyDescent="0.2">
      <c r="G4036" s="199"/>
      <c r="I4036" s="199"/>
      <c r="K4036" s="199"/>
      <c r="M4036" s="199"/>
      <c r="N4036" s="200"/>
      <c r="P4036" s="199"/>
    </row>
    <row r="4037" spans="7:16" x14ac:dyDescent="0.2">
      <c r="G4037" s="199"/>
      <c r="I4037" s="199"/>
      <c r="K4037" s="199"/>
      <c r="M4037" s="199"/>
      <c r="N4037" s="200"/>
      <c r="P4037" s="199"/>
    </row>
    <row r="4038" spans="7:16" x14ac:dyDescent="0.2">
      <c r="G4038" s="199"/>
      <c r="I4038" s="199"/>
      <c r="K4038" s="199"/>
      <c r="M4038" s="199"/>
      <c r="N4038" s="200"/>
      <c r="P4038" s="199"/>
    </row>
    <row r="4039" spans="7:16" x14ac:dyDescent="0.2">
      <c r="G4039" s="199"/>
      <c r="I4039" s="199"/>
      <c r="K4039" s="199"/>
      <c r="M4039" s="199"/>
      <c r="N4039" s="200"/>
      <c r="P4039" s="199"/>
    </row>
    <row r="4040" spans="7:16" x14ac:dyDescent="0.2">
      <c r="G4040" s="199"/>
      <c r="I4040" s="199"/>
      <c r="K4040" s="199"/>
      <c r="M4040" s="199"/>
      <c r="N4040" s="200"/>
      <c r="P4040" s="199"/>
    </row>
    <row r="4041" spans="7:16" x14ac:dyDescent="0.2">
      <c r="G4041" s="199"/>
      <c r="I4041" s="199"/>
      <c r="K4041" s="199"/>
      <c r="M4041" s="199"/>
      <c r="N4041" s="200"/>
      <c r="P4041" s="199"/>
    </row>
    <row r="4042" spans="7:16" x14ac:dyDescent="0.2">
      <c r="G4042" s="199"/>
      <c r="I4042" s="199"/>
      <c r="K4042" s="199"/>
      <c r="M4042" s="199"/>
      <c r="N4042" s="200"/>
      <c r="P4042" s="199"/>
    </row>
    <row r="4043" spans="7:16" x14ac:dyDescent="0.2">
      <c r="G4043" s="199"/>
      <c r="I4043" s="199"/>
      <c r="K4043" s="199"/>
      <c r="M4043" s="199"/>
      <c r="N4043" s="200"/>
      <c r="P4043" s="199"/>
    </row>
    <row r="4044" spans="7:16" x14ac:dyDescent="0.2">
      <c r="G4044" s="199"/>
      <c r="I4044" s="199"/>
      <c r="K4044" s="199"/>
      <c r="M4044" s="199"/>
      <c r="N4044" s="200"/>
      <c r="P4044" s="199"/>
    </row>
    <row r="4045" spans="7:16" x14ac:dyDescent="0.2">
      <c r="G4045" s="199"/>
      <c r="I4045" s="199"/>
      <c r="K4045" s="199"/>
      <c r="M4045" s="199"/>
      <c r="N4045" s="200"/>
      <c r="P4045" s="199"/>
    </row>
    <row r="4046" spans="7:16" x14ac:dyDescent="0.2">
      <c r="G4046" s="199"/>
      <c r="I4046" s="199"/>
      <c r="K4046" s="199"/>
      <c r="M4046" s="199"/>
      <c r="N4046" s="200"/>
      <c r="P4046" s="199"/>
    </row>
    <row r="4047" spans="7:16" x14ac:dyDescent="0.2">
      <c r="G4047" s="199"/>
      <c r="I4047" s="199"/>
      <c r="K4047" s="199"/>
      <c r="M4047" s="199"/>
      <c r="N4047" s="200"/>
      <c r="P4047" s="199"/>
    </row>
    <row r="4048" spans="7:16" x14ac:dyDescent="0.2">
      <c r="G4048" s="199"/>
      <c r="I4048" s="199"/>
      <c r="K4048" s="199"/>
      <c r="M4048" s="199"/>
      <c r="N4048" s="200"/>
      <c r="P4048" s="199"/>
    </row>
    <row r="4049" spans="7:16" x14ac:dyDescent="0.2">
      <c r="G4049" s="199"/>
      <c r="I4049" s="199"/>
      <c r="K4049" s="199"/>
      <c r="M4049" s="199"/>
      <c r="N4049" s="200"/>
      <c r="P4049" s="199"/>
    </row>
    <row r="4050" spans="7:16" x14ac:dyDescent="0.2">
      <c r="G4050" s="199"/>
      <c r="I4050" s="199"/>
      <c r="K4050" s="199"/>
      <c r="M4050" s="199"/>
      <c r="N4050" s="200"/>
      <c r="P4050" s="199"/>
    </row>
    <row r="4051" spans="7:16" x14ac:dyDescent="0.2">
      <c r="G4051" s="199"/>
      <c r="I4051" s="199"/>
      <c r="K4051" s="199"/>
      <c r="M4051" s="199"/>
      <c r="N4051" s="200"/>
      <c r="P4051" s="199"/>
    </row>
    <row r="4052" spans="7:16" x14ac:dyDescent="0.2">
      <c r="G4052" s="199"/>
      <c r="I4052" s="199"/>
      <c r="K4052" s="199"/>
      <c r="M4052" s="199"/>
      <c r="N4052" s="200"/>
      <c r="P4052" s="199"/>
    </row>
    <row r="4053" spans="7:16" x14ac:dyDescent="0.2">
      <c r="G4053" s="199"/>
      <c r="I4053" s="199"/>
      <c r="K4053" s="199"/>
      <c r="M4053" s="199"/>
      <c r="N4053" s="200"/>
      <c r="P4053" s="199"/>
    </row>
    <row r="4054" spans="7:16" x14ac:dyDescent="0.2">
      <c r="G4054" s="199"/>
      <c r="I4054" s="199"/>
      <c r="K4054" s="199"/>
      <c r="M4054" s="199"/>
      <c r="N4054" s="200"/>
      <c r="P4054" s="199"/>
    </row>
    <row r="4055" spans="7:16" x14ac:dyDescent="0.2">
      <c r="G4055" s="199"/>
      <c r="I4055" s="199"/>
      <c r="K4055" s="199"/>
      <c r="M4055" s="199"/>
      <c r="N4055" s="200"/>
      <c r="P4055" s="199"/>
    </row>
    <row r="4056" spans="7:16" x14ac:dyDescent="0.2">
      <c r="G4056" s="199"/>
      <c r="I4056" s="199"/>
      <c r="K4056" s="199"/>
      <c r="M4056" s="199"/>
      <c r="N4056" s="200"/>
      <c r="P4056" s="199"/>
    </row>
    <row r="4057" spans="7:16" x14ac:dyDescent="0.2">
      <c r="G4057" s="199"/>
      <c r="I4057" s="199"/>
      <c r="K4057" s="199"/>
      <c r="M4057" s="199"/>
      <c r="N4057" s="200"/>
      <c r="P4057" s="199"/>
    </row>
    <row r="4058" spans="7:16" x14ac:dyDescent="0.2">
      <c r="G4058" s="199"/>
      <c r="I4058" s="199"/>
      <c r="K4058" s="199"/>
      <c r="M4058" s="199"/>
      <c r="N4058" s="200"/>
      <c r="P4058" s="199"/>
    </row>
    <row r="4059" spans="7:16" x14ac:dyDescent="0.2">
      <c r="G4059" s="199"/>
      <c r="I4059" s="199"/>
      <c r="K4059" s="199"/>
      <c r="M4059" s="199"/>
      <c r="N4059" s="200"/>
      <c r="P4059" s="199"/>
    </row>
    <row r="4060" spans="7:16" x14ac:dyDescent="0.2">
      <c r="G4060" s="199"/>
      <c r="I4060" s="199"/>
      <c r="K4060" s="199"/>
      <c r="M4060" s="199"/>
      <c r="N4060" s="200"/>
      <c r="P4060" s="199"/>
    </row>
    <row r="4061" spans="7:16" x14ac:dyDescent="0.2">
      <c r="G4061" s="199"/>
      <c r="I4061" s="199"/>
      <c r="K4061" s="199"/>
      <c r="M4061" s="199"/>
      <c r="N4061" s="200"/>
      <c r="P4061" s="199"/>
    </row>
    <row r="4062" spans="7:16" x14ac:dyDescent="0.2">
      <c r="G4062" s="199"/>
      <c r="I4062" s="199"/>
      <c r="K4062" s="199"/>
      <c r="M4062" s="199"/>
      <c r="N4062" s="200"/>
      <c r="P4062" s="199"/>
    </row>
    <row r="4063" spans="7:16" x14ac:dyDescent="0.2">
      <c r="G4063" s="199"/>
      <c r="I4063" s="199"/>
      <c r="K4063" s="199"/>
      <c r="M4063" s="199"/>
      <c r="N4063" s="200"/>
      <c r="P4063" s="199"/>
    </row>
    <row r="4064" spans="7:16" x14ac:dyDescent="0.2">
      <c r="G4064" s="199"/>
      <c r="I4064" s="199"/>
      <c r="K4064" s="199"/>
      <c r="M4064" s="199"/>
      <c r="N4064" s="200"/>
      <c r="P4064" s="199"/>
    </row>
    <row r="4065" spans="7:16" x14ac:dyDescent="0.2">
      <c r="G4065" s="199"/>
      <c r="I4065" s="199"/>
      <c r="K4065" s="199"/>
      <c r="M4065" s="199"/>
      <c r="N4065" s="200"/>
      <c r="P4065" s="199"/>
    </row>
    <row r="4066" spans="7:16" x14ac:dyDescent="0.2">
      <c r="G4066" s="199"/>
      <c r="I4066" s="199"/>
      <c r="K4066" s="199"/>
      <c r="M4066" s="199"/>
      <c r="N4066" s="200"/>
      <c r="P4066" s="199"/>
    </row>
    <row r="4067" spans="7:16" x14ac:dyDescent="0.2">
      <c r="G4067" s="199"/>
      <c r="I4067" s="199"/>
      <c r="K4067" s="199"/>
      <c r="M4067" s="199"/>
      <c r="N4067" s="200"/>
      <c r="P4067" s="199"/>
    </row>
    <row r="4068" spans="7:16" x14ac:dyDescent="0.2">
      <c r="G4068" s="199"/>
      <c r="I4068" s="199"/>
      <c r="K4068" s="199"/>
      <c r="M4068" s="199"/>
      <c r="N4068" s="200"/>
      <c r="P4068" s="199"/>
    </row>
    <row r="4069" spans="7:16" x14ac:dyDescent="0.2">
      <c r="G4069" s="199"/>
      <c r="I4069" s="199"/>
      <c r="K4069" s="199"/>
      <c r="M4069" s="199"/>
      <c r="N4069" s="200"/>
      <c r="P4069" s="199"/>
    </row>
    <row r="4070" spans="7:16" x14ac:dyDescent="0.2">
      <c r="G4070" s="199"/>
      <c r="I4070" s="199"/>
      <c r="K4070" s="199"/>
      <c r="M4070" s="199"/>
      <c r="N4070" s="200"/>
      <c r="P4070" s="199"/>
    </row>
    <row r="4071" spans="7:16" x14ac:dyDescent="0.2">
      <c r="G4071" s="199"/>
      <c r="I4071" s="199"/>
      <c r="K4071" s="199"/>
      <c r="M4071" s="199"/>
      <c r="N4071" s="200"/>
      <c r="P4071" s="199"/>
    </row>
    <row r="4072" spans="7:16" x14ac:dyDescent="0.2">
      <c r="G4072" s="199"/>
      <c r="I4072" s="199"/>
      <c r="K4072" s="199"/>
      <c r="M4072" s="199"/>
      <c r="N4072" s="200"/>
      <c r="P4072" s="199"/>
    </row>
    <row r="4073" spans="7:16" x14ac:dyDescent="0.2">
      <c r="G4073" s="199"/>
      <c r="I4073" s="199"/>
      <c r="K4073" s="199"/>
      <c r="M4073" s="199"/>
      <c r="N4073" s="200"/>
      <c r="P4073" s="199"/>
    </row>
    <row r="4074" spans="7:16" x14ac:dyDescent="0.2">
      <c r="G4074" s="199"/>
      <c r="I4074" s="199"/>
      <c r="K4074" s="199"/>
      <c r="M4074" s="199"/>
      <c r="N4074" s="200"/>
      <c r="P4074" s="199"/>
    </row>
    <row r="4075" spans="7:16" x14ac:dyDescent="0.2">
      <c r="G4075" s="199"/>
      <c r="I4075" s="199"/>
      <c r="K4075" s="199"/>
      <c r="M4075" s="199"/>
      <c r="N4075" s="200"/>
      <c r="P4075" s="199"/>
    </row>
    <row r="4076" spans="7:16" x14ac:dyDescent="0.2">
      <c r="G4076" s="199"/>
      <c r="I4076" s="199"/>
      <c r="K4076" s="199"/>
      <c r="M4076" s="199"/>
      <c r="N4076" s="200"/>
      <c r="P4076" s="199"/>
    </row>
    <row r="4077" spans="7:16" x14ac:dyDescent="0.2">
      <c r="G4077" s="199"/>
      <c r="I4077" s="199"/>
      <c r="K4077" s="199"/>
      <c r="M4077" s="199"/>
      <c r="N4077" s="200"/>
      <c r="P4077" s="199"/>
    </row>
    <row r="4078" spans="7:16" x14ac:dyDescent="0.2">
      <c r="G4078" s="199"/>
      <c r="I4078" s="199"/>
      <c r="K4078" s="199"/>
      <c r="M4078" s="199"/>
      <c r="N4078" s="200"/>
      <c r="P4078" s="199"/>
    </row>
    <row r="4079" spans="7:16" x14ac:dyDescent="0.2">
      <c r="G4079" s="199"/>
      <c r="I4079" s="199"/>
      <c r="K4079" s="199"/>
      <c r="M4079" s="199"/>
      <c r="N4079" s="200"/>
      <c r="P4079" s="199"/>
    </row>
    <row r="4080" spans="7:16" x14ac:dyDescent="0.2">
      <c r="G4080" s="199"/>
      <c r="I4080" s="199"/>
      <c r="K4080" s="199"/>
      <c r="M4080" s="199"/>
      <c r="N4080" s="200"/>
      <c r="P4080" s="199"/>
    </row>
    <row r="4081" spans="7:16" x14ac:dyDescent="0.2">
      <c r="G4081" s="199"/>
      <c r="I4081" s="199"/>
      <c r="K4081" s="199"/>
      <c r="M4081" s="199"/>
      <c r="N4081" s="200"/>
      <c r="P4081" s="199"/>
    </row>
    <row r="4082" spans="7:16" x14ac:dyDescent="0.2">
      <c r="G4082" s="199"/>
      <c r="I4082" s="199"/>
      <c r="K4082" s="199"/>
      <c r="M4082" s="199"/>
      <c r="N4082" s="200"/>
      <c r="P4082" s="199"/>
    </row>
    <row r="4083" spans="7:16" x14ac:dyDescent="0.2">
      <c r="G4083" s="199"/>
      <c r="I4083" s="199"/>
      <c r="K4083" s="199"/>
      <c r="M4083" s="199"/>
      <c r="N4083" s="200"/>
      <c r="P4083" s="199"/>
    </row>
    <row r="4084" spans="7:16" x14ac:dyDescent="0.2">
      <c r="G4084" s="199"/>
      <c r="I4084" s="199"/>
      <c r="K4084" s="199"/>
      <c r="M4084" s="199"/>
      <c r="N4084" s="200"/>
      <c r="P4084" s="199"/>
    </row>
    <row r="4085" spans="7:16" x14ac:dyDescent="0.2">
      <c r="G4085" s="199"/>
      <c r="I4085" s="199"/>
      <c r="K4085" s="199"/>
      <c r="M4085" s="199"/>
      <c r="N4085" s="200"/>
      <c r="P4085" s="199"/>
    </row>
    <row r="4086" spans="7:16" x14ac:dyDescent="0.2">
      <c r="G4086" s="199"/>
      <c r="I4086" s="199"/>
      <c r="K4086" s="199"/>
      <c r="M4086" s="199"/>
      <c r="N4086" s="200"/>
      <c r="P4086" s="199"/>
    </row>
    <row r="4087" spans="7:16" x14ac:dyDescent="0.2">
      <c r="G4087" s="199"/>
      <c r="I4087" s="199"/>
      <c r="K4087" s="199"/>
      <c r="M4087" s="199"/>
      <c r="N4087" s="200"/>
      <c r="P4087" s="199"/>
    </row>
    <row r="4088" spans="7:16" x14ac:dyDescent="0.2">
      <c r="G4088" s="199"/>
      <c r="I4088" s="199"/>
      <c r="K4088" s="199"/>
      <c r="M4088" s="199"/>
      <c r="N4088" s="200"/>
      <c r="P4088" s="199"/>
    </row>
    <row r="4089" spans="7:16" x14ac:dyDescent="0.2">
      <c r="G4089" s="199"/>
      <c r="I4089" s="199"/>
      <c r="K4089" s="199"/>
      <c r="M4089" s="199"/>
      <c r="N4089" s="200"/>
      <c r="P4089" s="199"/>
    </row>
    <row r="4090" spans="7:16" x14ac:dyDescent="0.2">
      <c r="G4090" s="199"/>
      <c r="I4090" s="199"/>
      <c r="K4090" s="199"/>
      <c r="M4090" s="199"/>
      <c r="N4090" s="200"/>
      <c r="P4090" s="199"/>
    </row>
    <row r="4091" spans="7:16" x14ac:dyDescent="0.2">
      <c r="G4091" s="199"/>
      <c r="I4091" s="199"/>
      <c r="K4091" s="199"/>
      <c r="M4091" s="199"/>
      <c r="N4091" s="200"/>
      <c r="P4091" s="199"/>
    </row>
    <row r="4092" spans="7:16" x14ac:dyDescent="0.2">
      <c r="G4092" s="199"/>
      <c r="I4092" s="199"/>
      <c r="K4092" s="199"/>
      <c r="M4092" s="199"/>
      <c r="N4092" s="200"/>
      <c r="P4092" s="199"/>
    </row>
    <row r="4093" spans="7:16" x14ac:dyDescent="0.2">
      <c r="G4093" s="199"/>
      <c r="I4093" s="199"/>
      <c r="K4093" s="199"/>
      <c r="M4093" s="199"/>
      <c r="N4093" s="200"/>
      <c r="P4093" s="199"/>
    </row>
    <row r="4094" spans="7:16" x14ac:dyDescent="0.2">
      <c r="G4094" s="199"/>
      <c r="I4094" s="199"/>
      <c r="K4094" s="199"/>
      <c r="M4094" s="199"/>
      <c r="N4094" s="200"/>
      <c r="P4094" s="199"/>
    </row>
    <row r="4095" spans="7:16" x14ac:dyDescent="0.2">
      <c r="G4095" s="199"/>
      <c r="I4095" s="199"/>
      <c r="K4095" s="199"/>
      <c r="M4095" s="199"/>
      <c r="N4095" s="200"/>
      <c r="P4095" s="199"/>
    </row>
    <row r="4096" spans="7:16" x14ac:dyDescent="0.2">
      <c r="G4096" s="199"/>
      <c r="I4096" s="199"/>
      <c r="K4096" s="199"/>
      <c r="M4096" s="199"/>
      <c r="N4096" s="200"/>
      <c r="P4096" s="199"/>
    </row>
    <row r="4097" spans="7:16" x14ac:dyDescent="0.2">
      <c r="G4097" s="199"/>
      <c r="I4097" s="199"/>
      <c r="K4097" s="199"/>
      <c r="M4097" s="199"/>
      <c r="N4097" s="200"/>
      <c r="P4097" s="199"/>
    </row>
    <row r="4098" spans="7:16" x14ac:dyDescent="0.2">
      <c r="G4098" s="199"/>
      <c r="I4098" s="199"/>
      <c r="K4098" s="199"/>
      <c r="M4098" s="199"/>
      <c r="N4098" s="200"/>
      <c r="P4098" s="199"/>
    </row>
    <row r="4099" spans="7:16" x14ac:dyDescent="0.2">
      <c r="G4099" s="199"/>
      <c r="I4099" s="199"/>
      <c r="K4099" s="199"/>
      <c r="M4099" s="199"/>
      <c r="N4099" s="200"/>
      <c r="P4099" s="199"/>
    </row>
    <row r="4100" spans="7:16" x14ac:dyDescent="0.2">
      <c r="G4100" s="199"/>
      <c r="I4100" s="199"/>
      <c r="K4100" s="199"/>
      <c r="M4100" s="199"/>
      <c r="N4100" s="200"/>
      <c r="P4100" s="199"/>
    </row>
    <row r="4101" spans="7:16" x14ac:dyDescent="0.2">
      <c r="G4101" s="199"/>
      <c r="I4101" s="199"/>
      <c r="K4101" s="199"/>
      <c r="M4101" s="199"/>
      <c r="N4101" s="200"/>
      <c r="P4101" s="199"/>
    </row>
    <row r="4102" spans="7:16" x14ac:dyDescent="0.2">
      <c r="G4102" s="199"/>
      <c r="I4102" s="199"/>
      <c r="K4102" s="199"/>
      <c r="M4102" s="199"/>
      <c r="N4102" s="200"/>
      <c r="P4102" s="199"/>
    </row>
    <row r="4103" spans="7:16" x14ac:dyDescent="0.2">
      <c r="G4103" s="199"/>
      <c r="I4103" s="199"/>
      <c r="K4103" s="199"/>
      <c r="M4103" s="199"/>
      <c r="N4103" s="200"/>
      <c r="P4103" s="199"/>
    </row>
    <row r="4104" spans="7:16" x14ac:dyDescent="0.2">
      <c r="G4104" s="199"/>
      <c r="I4104" s="199"/>
      <c r="K4104" s="199"/>
      <c r="M4104" s="199"/>
      <c r="N4104" s="200"/>
      <c r="P4104" s="199"/>
    </row>
    <row r="4105" spans="7:16" x14ac:dyDescent="0.2">
      <c r="G4105" s="199"/>
      <c r="I4105" s="199"/>
      <c r="K4105" s="199"/>
      <c r="M4105" s="199"/>
      <c r="N4105" s="200"/>
      <c r="P4105" s="199"/>
    </row>
    <row r="4106" spans="7:16" x14ac:dyDescent="0.2">
      <c r="G4106" s="199"/>
      <c r="I4106" s="199"/>
      <c r="K4106" s="199"/>
      <c r="M4106" s="199"/>
      <c r="N4106" s="200"/>
      <c r="P4106" s="199"/>
    </row>
    <row r="4107" spans="7:16" x14ac:dyDescent="0.2">
      <c r="G4107" s="199"/>
      <c r="I4107" s="199"/>
      <c r="K4107" s="199"/>
      <c r="M4107" s="199"/>
      <c r="N4107" s="200"/>
      <c r="P4107" s="199"/>
    </row>
    <row r="4108" spans="7:16" x14ac:dyDescent="0.2">
      <c r="G4108" s="199"/>
      <c r="I4108" s="199"/>
      <c r="K4108" s="199"/>
      <c r="M4108" s="199"/>
      <c r="N4108" s="200"/>
      <c r="P4108" s="199"/>
    </row>
    <row r="4109" spans="7:16" x14ac:dyDescent="0.2">
      <c r="G4109" s="199"/>
      <c r="I4109" s="199"/>
      <c r="K4109" s="199"/>
      <c r="M4109" s="199"/>
      <c r="N4109" s="200"/>
      <c r="P4109" s="199"/>
    </row>
    <row r="4110" spans="7:16" x14ac:dyDescent="0.2">
      <c r="G4110" s="199"/>
      <c r="I4110" s="199"/>
      <c r="K4110" s="199"/>
      <c r="M4110" s="199"/>
      <c r="N4110" s="200"/>
      <c r="P4110" s="199"/>
    </row>
    <row r="4111" spans="7:16" x14ac:dyDescent="0.2">
      <c r="G4111" s="199"/>
      <c r="I4111" s="199"/>
      <c r="K4111" s="199"/>
      <c r="M4111" s="199"/>
      <c r="N4111" s="200"/>
      <c r="P4111" s="199"/>
    </row>
    <row r="4112" spans="7:16" x14ac:dyDescent="0.2">
      <c r="G4112" s="199"/>
      <c r="I4112" s="199"/>
      <c r="K4112" s="199"/>
      <c r="M4112" s="199"/>
      <c r="N4112" s="200"/>
      <c r="P4112" s="199"/>
    </row>
    <row r="4113" spans="7:16" x14ac:dyDescent="0.2">
      <c r="G4113" s="199"/>
      <c r="I4113" s="199"/>
      <c r="K4113" s="199"/>
      <c r="M4113" s="199"/>
      <c r="N4113" s="200"/>
      <c r="P4113" s="199"/>
    </row>
    <row r="4114" spans="7:16" x14ac:dyDescent="0.2">
      <c r="G4114" s="199"/>
      <c r="I4114" s="199"/>
      <c r="K4114" s="199"/>
      <c r="M4114" s="199"/>
      <c r="N4114" s="200"/>
      <c r="P4114" s="199"/>
    </row>
    <row r="4115" spans="7:16" x14ac:dyDescent="0.2">
      <c r="G4115" s="199"/>
      <c r="I4115" s="199"/>
      <c r="K4115" s="199"/>
      <c r="M4115" s="199"/>
      <c r="N4115" s="200"/>
      <c r="P4115" s="199"/>
    </row>
    <row r="4116" spans="7:16" x14ac:dyDescent="0.2">
      <c r="G4116" s="199"/>
      <c r="I4116" s="199"/>
      <c r="K4116" s="199"/>
      <c r="M4116" s="199"/>
      <c r="N4116" s="200"/>
      <c r="P4116" s="199"/>
    </row>
    <row r="4117" spans="7:16" x14ac:dyDescent="0.2">
      <c r="G4117" s="199"/>
      <c r="I4117" s="199"/>
      <c r="K4117" s="199"/>
      <c r="M4117" s="199"/>
      <c r="N4117" s="200"/>
      <c r="P4117" s="199"/>
    </row>
    <row r="4118" spans="7:16" x14ac:dyDescent="0.2">
      <c r="G4118" s="199"/>
      <c r="I4118" s="199"/>
      <c r="K4118" s="199"/>
      <c r="M4118" s="199"/>
      <c r="N4118" s="200"/>
      <c r="P4118" s="199"/>
    </row>
    <row r="4119" spans="7:16" x14ac:dyDescent="0.2">
      <c r="G4119" s="199"/>
      <c r="I4119" s="199"/>
      <c r="K4119" s="199"/>
      <c r="M4119" s="199"/>
      <c r="N4119" s="200"/>
      <c r="P4119" s="199"/>
    </row>
    <row r="4120" spans="7:16" x14ac:dyDescent="0.2">
      <c r="G4120" s="199"/>
      <c r="I4120" s="199"/>
      <c r="K4120" s="199"/>
      <c r="M4120" s="199"/>
      <c r="N4120" s="200"/>
      <c r="P4120" s="199"/>
    </row>
    <row r="4121" spans="7:16" x14ac:dyDescent="0.2">
      <c r="G4121" s="199"/>
      <c r="I4121" s="199"/>
      <c r="K4121" s="199"/>
      <c r="M4121" s="199"/>
      <c r="N4121" s="200"/>
      <c r="P4121" s="199"/>
    </row>
    <row r="4122" spans="7:16" x14ac:dyDescent="0.2">
      <c r="G4122" s="199"/>
      <c r="I4122" s="199"/>
      <c r="K4122" s="199"/>
      <c r="M4122" s="199"/>
      <c r="N4122" s="200"/>
      <c r="P4122" s="199"/>
    </row>
    <row r="4123" spans="7:16" x14ac:dyDescent="0.2">
      <c r="G4123" s="199"/>
      <c r="I4123" s="199"/>
      <c r="K4123" s="199"/>
      <c r="M4123" s="199"/>
      <c r="N4123" s="200"/>
      <c r="P4123" s="199"/>
    </row>
    <row r="4124" spans="7:16" x14ac:dyDescent="0.2">
      <c r="G4124" s="199"/>
      <c r="I4124" s="199"/>
      <c r="K4124" s="199"/>
      <c r="M4124" s="199"/>
      <c r="N4124" s="200"/>
      <c r="P4124" s="199"/>
    </row>
    <row r="4125" spans="7:16" x14ac:dyDescent="0.2">
      <c r="G4125" s="199"/>
      <c r="I4125" s="199"/>
      <c r="K4125" s="199"/>
      <c r="M4125" s="199"/>
      <c r="N4125" s="200"/>
      <c r="P4125" s="199"/>
    </row>
    <row r="4126" spans="7:16" x14ac:dyDescent="0.2">
      <c r="G4126" s="199"/>
      <c r="I4126" s="199"/>
      <c r="K4126" s="199"/>
      <c r="M4126" s="199"/>
      <c r="N4126" s="200"/>
      <c r="P4126" s="199"/>
    </row>
    <row r="4127" spans="7:16" x14ac:dyDescent="0.2">
      <c r="G4127" s="199"/>
      <c r="I4127" s="199"/>
      <c r="K4127" s="199"/>
      <c r="M4127" s="199"/>
      <c r="N4127" s="200"/>
      <c r="P4127" s="199"/>
    </row>
    <row r="4128" spans="7:16" x14ac:dyDescent="0.2">
      <c r="G4128" s="199"/>
      <c r="I4128" s="199"/>
      <c r="K4128" s="199"/>
      <c r="M4128" s="199"/>
      <c r="N4128" s="200"/>
      <c r="P4128" s="199"/>
    </row>
    <row r="4129" spans="7:16" x14ac:dyDescent="0.2">
      <c r="G4129" s="199"/>
      <c r="I4129" s="199"/>
      <c r="K4129" s="199"/>
      <c r="M4129" s="199"/>
      <c r="N4129" s="200"/>
      <c r="P4129" s="199"/>
    </row>
    <row r="4130" spans="7:16" x14ac:dyDescent="0.2">
      <c r="G4130" s="199"/>
      <c r="I4130" s="199"/>
      <c r="K4130" s="199"/>
      <c r="M4130" s="199"/>
      <c r="N4130" s="200"/>
      <c r="P4130" s="199"/>
    </row>
    <row r="4131" spans="7:16" x14ac:dyDescent="0.2">
      <c r="G4131" s="199"/>
      <c r="I4131" s="199"/>
      <c r="K4131" s="199"/>
      <c r="M4131" s="199"/>
      <c r="N4131" s="200"/>
      <c r="P4131" s="199"/>
    </row>
    <row r="4132" spans="7:16" x14ac:dyDescent="0.2">
      <c r="G4132" s="199"/>
      <c r="I4132" s="199"/>
      <c r="K4132" s="199"/>
      <c r="M4132" s="199"/>
      <c r="N4132" s="200"/>
      <c r="P4132" s="199"/>
    </row>
    <row r="4133" spans="7:16" x14ac:dyDescent="0.2">
      <c r="G4133" s="199"/>
      <c r="I4133" s="199"/>
      <c r="K4133" s="199"/>
      <c r="M4133" s="199"/>
      <c r="N4133" s="200"/>
      <c r="P4133" s="199"/>
    </row>
    <row r="4134" spans="7:16" x14ac:dyDescent="0.2">
      <c r="G4134" s="199"/>
      <c r="I4134" s="199"/>
      <c r="K4134" s="199"/>
      <c r="M4134" s="199"/>
      <c r="N4134" s="200"/>
      <c r="P4134" s="199"/>
    </row>
    <row r="4135" spans="7:16" x14ac:dyDescent="0.2">
      <c r="G4135" s="199"/>
      <c r="I4135" s="199"/>
      <c r="K4135" s="199"/>
      <c r="M4135" s="199"/>
      <c r="N4135" s="200"/>
      <c r="P4135" s="199"/>
    </row>
    <row r="4136" spans="7:16" x14ac:dyDescent="0.2">
      <c r="G4136" s="199"/>
      <c r="I4136" s="199"/>
      <c r="K4136" s="199"/>
      <c r="M4136" s="199"/>
      <c r="N4136" s="200"/>
      <c r="P4136" s="199"/>
    </row>
    <row r="4137" spans="7:16" x14ac:dyDescent="0.2">
      <c r="G4137" s="199"/>
      <c r="I4137" s="199"/>
      <c r="K4137" s="199"/>
      <c r="M4137" s="199"/>
      <c r="N4137" s="200"/>
      <c r="P4137" s="199"/>
    </row>
    <row r="4138" spans="7:16" x14ac:dyDescent="0.2">
      <c r="G4138" s="199"/>
      <c r="I4138" s="199"/>
      <c r="K4138" s="199"/>
      <c r="M4138" s="199"/>
      <c r="N4138" s="200"/>
      <c r="P4138" s="199"/>
    </row>
    <row r="4139" spans="7:16" x14ac:dyDescent="0.2">
      <c r="G4139" s="199"/>
      <c r="I4139" s="199"/>
      <c r="K4139" s="199"/>
      <c r="M4139" s="199"/>
      <c r="N4139" s="200"/>
      <c r="P4139" s="199"/>
    </row>
    <row r="4140" spans="7:16" x14ac:dyDescent="0.2">
      <c r="G4140" s="199"/>
      <c r="I4140" s="199"/>
      <c r="K4140" s="199"/>
      <c r="M4140" s="199"/>
      <c r="N4140" s="200"/>
      <c r="P4140" s="199"/>
    </row>
    <row r="4141" spans="7:16" x14ac:dyDescent="0.2">
      <c r="G4141" s="199"/>
      <c r="I4141" s="199"/>
      <c r="K4141" s="199"/>
      <c r="M4141" s="199"/>
      <c r="N4141" s="200"/>
      <c r="P4141" s="199"/>
    </row>
    <row r="4142" spans="7:16" x14ac:dyDescent="0.2">
      <c r="G4142" s="199"/>
      <c r="I4142" s="199"/>
      <c r="K4142" s="199"/>
      <c r="M4142" s="199"/>
      <c r="N4142" s="200"/>
      <c r="P4142" s="199"/>
    </row>
    <row r="4143" spans="7:16" x14ac:dyDescent="0.2">
      <c r="G4143" s="199"/>
      <c r="I4143" s="199"/>
      <c r="K4143" s="199"/>
      <c r="M4143" s="199"/>
      <c r="N4143" s="200"/>
      <c r="P4143" s="199"/>
    </row>
    <row r="4144" spans="7:16" x14ac:dyDescent="0.2">
      <c r="G4144" s="199"/>
      <c r="I4144" s="199"/>
      <c r="K4144" s="199"/>
      <c r="M4144" s="199"/>
      <c r="N4144" s="200"/>
      <c r="P4144" s="199"/>
    </row>
    <row r="4145" spans="7:16" x14ac:dyDescent="0.2">
      <c r="G4145" s="199"/>
      <c r="I4145" s="199"/>
      <c r="K4145" s="199"/>
      <c r="M4145" s="199"/>
      <c r="N4145" s="200"/>
      <c r="P4145" s="199"/>
    </row>
    <row r="4146" spans="7:16" x14ac:dyDescent="0.2">
      <c r="G4146" s="199"/>
      <c r="I4146" s="199"/>
      <c r="K4146" s="199"/>
      <c r="M4146" s="199"/>
      <c r="N4146" s="200"/>
      <c r="P4146" s="199"/>
    </row>
    <row r="4147" spans="7:16" x14ac:dyDescent="0.2">
      <c r="G4147" s="199"/>
      <c r="I4147" s="199"/>
      <c r="K4147" s="199"/>
      <c r="M4147" s="199"/>
      <c r="N4147" s="200"/>
      <c r="P4147" s="199"/>
    </row>
    <row r="4148" spans="7:16" x14ac:dyDescent="0.2">
      <c r="G4148" s="199"/>
      <c r="I4148" s="199"/>
      <c r="K4148" s="199"/>
      <c r="M4148" s="199"/>
      <c r="N4148" s="200"/>
      <c r="P4148" s="199"/>
    </row>
    <row r="4149" spans="7:16" x14ac:dyDescent="0.2">
      <c r="G4149" s="199"/>
      <c r="I4149" s="199"/>
      <c r="K4149" s="199"/>
      <c r="M4149" s="199"/>
      <c r="N4149" s="200"/>
      <c r="P4149" s="199"/>
    </row>
    <row r="4150" spans="7:16" x14ac:dyDescent="0.2">
      <c r="G4150" s="199"/>
      <c r="I4150" s="199"/>
      <c r="K4150" s="199"/>
      <c r="M4150" s="199"/>
      <c r="N4150" s="200"/>
      <c r="P4150" s="199"/>
    </row>
    <row r="4151" spans="7:16" x14ac:dyDescent="0.2">
      <c r="G4151" s="199"/>
      <c r="I4151" s="199"/>
      <c r="K4151" s="199"/>
      <c r="M4151" s="199"/>
      <c r="N4151" s="200"/>
      <c r="P4151" s="199"/>
    </row>
    <row r="4152" spans="7:16" x14ac:dyDescent="0.2">
      <c r="G4152" s="199"/>
      <c r="I4152" s="199"/>
      <c r="K4152" s="199"/>
      <c r="M4152" s="199"/>
      <c r="N4152" s="200"/>
      <c r="P4152" s="199"/>
    </row>
    <row r="4153" spans="7:16" x14ac:dyDescent="0.2">
      <c r="G4153" s="199"/>
      <c r="I4153" s="199"/>
      <c r="K4153" s="199"/>
      <c r="M4153" s="199"/>
      <c r="N4153" s="200"/>
      <c r="P4153" s="199"/>
    </row>
    <row r="4154" spans="7:16" x14ac:dyDescent="0.2">
      <c r="G4154" s="199"/>
      <c r="I4154" s="199"/>
      <c r="K4154" s="199"/>
      <c r="M4154" s="199"/>
      <c r="N4154" s="200"/>
      <c r="P4154" s="199"/>
    </row>
    <row r="4155" spans="7:16" x14ac:dyDescent="0.2">
      <c r="G4155" s="199"/>
      <c r="I4155" s="199"/>
      <c r="K4155" s="199"/>
      <c r="M4155" s="199"/>
      <c r="N4155" s="200"/>
      <c r="P4155" s="199"/>
    </row>
    <row r="4156" spans="7:16" x14ac:dyDescent="0.2">
      <c r="G4156" s="199"/>
      <c r="I4156" s="199"/>
      <c r="K4156" s="199"/>
      <c r="M4156" s="199"/>
      <c r="N4156" s="200"/>
      <c r="P4156" s="199"/>
    </row>
    <row r="4157" spans="7:16" x14ac:dyDescent="0.2">
      <c r="G4157" s="199"/>
      <c r="I4157" s="199"/>
      <c r="K4157" s="199"/>
      <c r="M4157" s="199"/>
      <c r="N4157" s="200"/>
      <c r="P4157" s="199"/>
    </row>
    <row r="4158" spans="7:16" x14ac:dyDescent="0.2">
      <c r="G4158" s="199"/>
      <c r="I4158" s="199"/>
      <c r="K4158" s="199"/>
      <c r="M4158" s="199"/>
      <c r="N4158" s="200"/>
      <c r="P4158" s="199"/>
    </row>
    <row r="4159" spans="7:16" x14ac:dyDescent="0.2">
      <c r="G4159" s="199"/>
      <c r="I4159" s="199"/>
      <c r="K4159" s="199"/>
      <c r="M4159" s="199"/>
      <c r="N4159" s="200"/>
      <c r="P4159" s="199"/>
    </row>
    <row r="4160" spans="7:16" x14ac:dyDescent="0.2">
      <c r="G4160" s="199"/>
      <c r="I4160" s="199"/>
      <c r="K4160" s="199"/>
      <c r="M4160" s="199"/>
      <c r="N4160" s="200"/>
      <c r="P4160" s="199"/>
    </row>
    <row r="4161" spans="7:16" x14ac:dyDescent="0.2">
      <c r="G4161" s="199"/>
      <c r="I4161" s="199"/>
      <c r="K4161" s="199"/>
      <c r="M4161" s="199"/>
      <c r="N4161" s="200"/>
      <c r="P4161" s="199"/>
    </row>
    <row r="4162" spans="7:16" x14ac:dyDescent="0.2">
      <c r="G4162" s="199"/>
      <c r="I4162" s="199"/>
      <c r="K4162" s="199"/>
      <c r="M4162" s="199"/>
      <c r="N4162" s="200"/>
      <c r="P4162" s="199"/>
    </row>
    <row r="4163" spans="7:16" x14ac:dyDescent="0.2">
      <c r="G4163" s="199"/>
      <c r="I4163" s="199"/>
      <c r="K4163" s="199"/>
      <c r="M4163" s="199"/>
      <c r="N4163" s="200"/>
      <c r="P4163" s="199"/>
    </row>
    <row r="4164" spans="7:16" x14ac:dyDescent="0.2">
      <c r="G4164" s="199"/>
      <c r="I4164" s="199"/>
      <c r="K4164" s="199"/>
      <c r="M4164" s="199"/>
      <c r="N4164" s="200"/>
      <c r="P4164" s="199"/>
    </row>
    <row r="4165" spans="7:16" x14ac:dyDescent="0.2">
      <c r="G4165" s="199"/>
      <c r="I4165" s="199"/>
      <c r="K4165" s="199"/>
      <c r="M4165" s="199"/>
      <c r="N4165" s="200"/>
      <c r="P4165" s="199"/>
    </row>
    <row r="4166" spans="7:16" x14ac:dyDescent="0.2">
      <c r="G4166" s="199"/>
      <c r="I4166" s="199"/>
      <c r="K4166" s="199"/>
      <c r="M4166" s="199"/>
      <c r="N4166" s="200"/>
      <c r="P4166" s="199"/>
    </row>
    <row r="4167" spans="7:16" x14ac:dyDescent="0.2">
      <c r="G4167" s="199"/>
      <c r="I4167" s="199"/>
      <c r="K4167" s="199"/>
      <c r="M4167" s="199"/>
      <c r="N4167" s="200"/>
      <c r="P4167" s="199"/>
    </row>
    <row r="4168" spans="7:16" x14ac:dyDescent="0.2">
      <c r="G4168" s="199"/>
      <c r="I4168" s="199"/>
      <c r="K4168" s="199"/>
      <c r="M4168" s="199"/>
      <c r="N4168" s="200"/>
      <c r="P4168" s="199"/>
    </row>
    <row r="4169" spans="7:16" x14ac:dyDescent="0.2">
      <c r="G4169" s="199"/>
      <c r="I4169" s="199"/>
      <c r="K4169" s="199"/>
      <c r="M4169" s="199"/>
      <c r="N4169" s="200"/>
      <c r="P4169" s="199"/>
    </row>
    <row r="4170" spans="7:16" x14ac:dyDescent="0.2">
      <c r="G4170" s="199"/>
      <c r="I4170" s="199"/>
      <c r="K4170" s="199"/>
      <c r="M4170" s="199"/>
      <c r="N4170" s="200"/>
      <c r="P4170" s="199"/>
    </row>
    <row r="4171" spans="7:16" x14ac:dyDescent="0.2">
      <c r="G4171" s="199"/>
      <c r="I4171" s="199"/>
      <c r="K4171" s="199"/>
      <c r="M4171" s="199"/>
      <c r="N4171" s="200"/>
      <c r="P4171" s="199"/>
    </row>
    <row r="4172" spans="7:16" x14ac:dyDescent="0.2">
      <c r="G4172" s="199"/>
      <c r="I4172" s="199"/>
      <c r="K4172" s="199"/>
      <c r="M4172" s="199"/>
      <c r="N4172" s="200"/>
      <c r="P4172" s="199"/>
    </row>
    <row r="4173" spans="7:16" x14ac:dyDescent="0.2">
      <c r="G4173" s="199"/>
      <c r="I4173" s="199"/>
      <c r="K4173" s="199"/>
      <c r="M4173" s="199"/>
      <c r="N4173" s="200"/>
      <c r="P4173" s="199"/>
    </row>
    <row r="4174" spans="7:16" x14ac:dyDescent="0.2">
      <c r="G4174" s="199"/>
      <c r="I4174" s="199"/>
      <c r="K4174" s="199"/>
      <c r="M4174" s="199"/>
      <c r="N4174" s="200"/>
      <c r="P4174" s="199"/>
    </row>
    <row r="4175" spans="7:16" x14ac:dyDescent="0.2">
      <c r="G4175" s="199"/>
      <c r="I4175" s="199"/>
      <c r="K4175" s="199"/>
      <c r="M4175" s="199"/>
      <c r="N4175" s="200"/>
      <c r="P4175" s="199"/>
    </row>
    <row r="4176" spans="7:16" x14ac:dyDescent="0.2">
      <c r="G4176" s="199"/>
      <c r="I4176" s="199"/>
      <c r="K4176" s="199"/>
      <c r="M4176" s="199"/>
      <c r="N4176" s="200"/>
      <c r="P4176" s="199"/>
    </row>
    <row r="4177" spans="7:16" x14ac:dyDescent="0.2">
      <c r="G4177" s="199"/>
      <c r="I4177" s="199"/>
      <c r="K4177" s="199"/>
      <c r="M4177" s="199"/>
      <c r="N4177" s="200"/>
      <c r="P4177" s="199"/>
    </row>
    <row r="4178" spans="7:16" x14ac:dyDescent="0.2">
      <c r="G4178" s="199"/>
      <c r="I4178" s="199"/>
      <c r="K4178" s="199"/>
      <c r="M4178" s="199"/>
      <c r="N4178" s="200"/>
      <c r="P4178" s="199"/>
    </row>
    <row r="4179" spans="7:16" x14ac:dyDescent="0.2">
      <c r="G4179" s="199"/>
      <c r="I4179" s="199"/>
      <c r="K4179" s="199"/>
      <c r="M4179" s="199"/>
      <c r="N4179" s="200"/>
      <c r="P4179" s="199"/>
    </row>
    <row r="4180" spans="7:16" x14ac:dyDescent="0.2">
      <c r="G4180" s="199"/>
      <c r="I4180" s="199"/>
      <c r="K4180" s="199"/>
      <c r="M4180" s="199"/>
      <c r="N4180" s="200"/>
      <c r="P4180" s="199"/>
    </row>
    <row r="4181" spans="7:16" x14ac:dyDescent="0.2">
      <c r="G4181" s="199"/>
      <c r="I4181" s="199"/>
      <c r="K4181" s="199"/>
      <c r="M4181" s="199"/>
      <c r="N4181" s="200"/>
      <c r="P4181" s="199"/>
    </row>
    <row r="4182" spans="7:16" x14ac:dyDescent="0.2">
      <c r="G4182" s="199"/>
      <c r="I4182" s="199"/>
      <c r="K4182" s="199"/>
      <c r="M4182" s="199"/>
      <c r="N4182" s="200"/>
      <c r="P4182" s="199"/>
    </row>
    <row r="4183" spans="7:16" x14ac:dyDescent="0.2">
      <c r="G4183" s="199"/>
      <c r="I4183" s="199"/>
      <c r="K4183" s="199"/>
      <c r="M4183" s="199"/>
      <c r="N4183" s="200"/>
      <c r="P4183" s="199"/>
    </row>
    <row r="4184" spans="7:16" x14ac:dyDescent="0.2">
      <c r="G4184" s="199"/>
      <c r="I4184" s="199"/>
      <c r="K4184" s="199"/>
      <c r="M4184" s="199"/>
      <c r="N4184" s="200"/>
      <c r="P4184" s="199"/>
    </row>
    <row r="4185" spans="7:16" x14ac:dyDescent="0.2">
      <c r="G4185" s="199"/>
      <c r="I4185" s="199"/>
      <c r="K4185" s="199"/>
      <c r="M4185" s="199"/>
      <c r="N4185" s="200"/>
      <c r="P4185" s="199"/>
    </row>
    <row r="4186" spans="7:16" x14ac:dyDescent="0.2">
      <c r="G4186" s="199"/>
      <c r="I4186" s="199"/>
      <c r="K4186" s="199"/>
      <c r="M4186" s="199"/>
      <c r="N4186" s="200"/>
      <c r="P4186" s="199"/>
    </row>
    <row r="4187" spans="7:16" x14ac:dyDescent="0.2">
      <c r="G4187" s="199"/>
      <c r="I4187" s="199"/>
      <c r="K4187" s="199"/>
      <c r="M4187" s="199"/>
      <c r="N4187" s="200"/>
      <c r="P4187" s="199"/>
    </row>
    <row r="4188" spans="7:16" x14ac:dyDescent="0.2">
      <c r="G4188" s="199"/>
      <c r="I4188" s="199"/>
      <c r="K4188" s="199"/>
      <c r="M4188" s="199"/>
      <c r="N4188" s="200"/>
      <c r="P4188" s="199"/>
    </row>
    <row r="4189" spans="7:16" x14ac:dyDescent="0.2">
      <c r="G4189" s="199"/>
      <c r="I4189" s="199"/>
      <c r="K4189" s="199"/>
      <c r="M4189" s="199"/>
      <c r="N4189" s="200"/>
      <c r="P4189" s="199"/>
    </row>
    <row r="4190" spans="7:16" x14ac:dyDescent="0.2">
      <c r="G4190" s="199"/>
      <c r="I4190" s="199"/>
      <c r="K4190" s="199"/>
      <c r="M4190" s="199"/>
      <c r="N4190" s="200"/>
      <c r="P4190" s="199"/>
    </row>
    <row r="4191" spans="7:16" x14ac:dyDescent="0.2">
      <c r="G4191" s="199"/>
      <c r="I4191" s="199"/>
      <c r="K4191" s="199"/>
      <c r="M4191" s="199"/>
      <c r="N4191" s="200"/>
      <c r="P4191" s="199"/>
    </row>
    <row r="4192" spans="7:16" x14ac:dyDescent="0.2">
      <c r="G4192" s="199"/>
      <c r="I4192" s="199"/>
      <c r="K4192" s="199"/>
      <c r="M4192" s="199"/>
      <c r="N4192" s="200"/>
      <c r="P4192" s="199"/>
    </row>
    <row r="4193" spans="7:16" x14ac:dyDescent="0.2">
      <c r="G4193" s="199"/>
      <c r="I4193" s="199"/>
      <c r="K4193" s="199"/>
      <c r="M4193" s="199"/>
      <c r="N4193" s="200"/>
      <c r="P4193" s="199"/>
    </row>
    <row r="4194" spans="7:16" x14ac:dyDescent="0.2">
      <c r="G4194" s="199"/>
      <c r="I4194" s="199"/>
      <c r="K4194" s="199"/>
      <c r="M4194" s="199"/>
      <c r="N4194" s="200"/>
      <c r="P4194" s="199"/>
    </row>
    <row r="4195" spans="7:16" x14ac:dyDescent="0.2">
      <c r="G4195" s="199"/>
      <c r="I4195" s="199"/>
      <c r="K4195" s="199"/>
      <c r="M4195" s="199"/>
      <c r="N4195" s="200"/>
      <c r="P4195" s="199"/>
    </row>
    <row r="4196" spans="7:16" x14ac:dyDescent="0.2">
      <c r="G4196" s="199"/>
      <c r="I4196" s="199"/>
      <c r="K4196" s="199"/>
      <c r="M4196" s="199"/>
      <c r="N4196" s="200"/>
      <c r="P4196" s="199"/>
    </row>
    <row r="4197" spans="7:16" x14ac:dyDescent="0.2">
      <c r="G4197" s="199"/>
      <c r="I4197" s="199"/>
      <c r="K4197" s="199"/>
      <c r="M4197" s="199"/>
      <c r="N4197" s="200"/>
      <c r="P4197" s="199"/>
    </row>
    <row r="4198" spans="7:16" x14ac:dyDescent="0.2">
      <c r="G4198" s="199"/>
      <c r="I4198" s="199"/>
      <c r="K4198" s="199"/>
      <c r="M4198" s="199"/>
      <c r="N4198" s="200"/>
      <c r="P4198" s="199"/>
    </row>
    <row r="4199" spans="7:16" x14ac:dyDescent="0.2">
      <c r="G4199" s="199"/>
      <c r="I4199" s="199"/>
      <c r="K4199" s="199"/>
      <c r="M4199" s="199"/>
      <c r="N4199" s="200"/>
      <c r="P4199" s="199"/>
    </row>
    <row r="4200" spans="7:16" x14ac:dyDescent="0.2">
      <c r="G4200" s="199"/>
      <c r="I4200" s="199"/>
      <c r="K4200" s="199"/>
      <c r="M4200" s="199"/>
      <c r="N4200" s="200"/>
      <c r="P4200" s="199"/>
    </row>
    <row r="4201" spans="7:16" x14ac:dyDescent="0.2">
      <c r="G4201" s="199"/>
      <c r="I4201" s="199"/>
      <c r="K4201" s="199"/>
      <c r="M4201" s="199"/>
      <c r="N4201" s="200"/>
      <c r="P4201" s="199"/>
    </row>
    <row r="4202" spans="7:16" x14ac:dyDescent="0.2">
      <c r="G4202" s="199"/>
      <c r="I4202" s="199"/>
      <c r="K4202" s="199"/>
      <c r="M4202" s="199"/>
      <c r="N4202" s="200"/>
      <c r="P4202" s="199"/>
    </row>
    <row r="4203" spans="7:16" x14ac:dyDescent="0.2">
      <c r="G4203" s="199"/>
      <c r="I4203" s="199"/>
      <c r="K4203" s="199"/>
      <c r="M4203" s="199"/>
      <c r="N4203" s="200"/>
      <c r="P4203" s="199"/>
    </row>
    <row r="4204" spans="7:16" x14ac:dyDescent="0.2">
      <c r="G4204" s="199"/>
      <c r="I4204" s="199"/>
      <c r="K4204" s="199"/>
      <c r="M4204" s="199"/>
      <c r="N4204" s="200"/>
      <c r="P4204" s="199"/>
    </row>
    <row r="4205" spans="7:16" x14ac:dyDescent="0.2">
      <c r="G4205" s="199"/>
      <c r="I4205" s="199"/>
      <c r="K4205" s="199"/>
      <c r="M4205" s="199"/>
      <c r="N4205" s="200"/>
      <c r="P4205" s="199"/>
    </row>
    <row r="4206" spans="7:16" x14ac:dyDescent="0.2">
      <c r="G4206" s="199"/>
      <c r="I4206" s="199"/>
      <c r="K4206" s="199"/>
      <c r="M4206" s="199"/>
      <c r="N4206" s="200"/>
      <c r="P4206" s="199"/>
    </row>
    <row r="4207" spans="7:16" x14ac:dyDescent="0.2">
      <c r="G4207" s="199"/>
      <c r="I4207" s="199"/>
      <c r="K4207" s="199"/>
      <c r="M4207" s="199"/>
      <c r="N4207" s="200"/>
      <c r="P4207" s="199"/>
    </row>
    <row r="4208" spans="7:16" x14ac:dyDescent="0.2">
      <c r="G4208" s="199"/>
      <c r="I4208" s="199"/>
      <c r="K4208" s="199"/>
      <c r="M4208" s="199"/>
      <c r="N4208" s="200"/>
      <c r="P4208" s="199"/>
    </row>
    <row r="4209" spans="7:16" x14ac:dyDescent="0.2">
      <c r="G4209" s="199"/>
      <c r="I4209" s="199"/>
      <c r="K4209" s="199"/>
      <c r="M4209" s="199"/>
      <c r="N4209" s="200"/>
      <c r="P4209" s="199"/>
    </row>
    <row r="4210" spans="7:16" x14ac:dyDescent="0.2">
      <c r="G4210" s="199"/>
      <c r="I4210" s="199"/>
      <c r="K4210" s="199"/>
      <c r="M4210" s="199"/>
      <c r="N4210" s="200"/>
      <c r="P4210" s="199"/>
    </row>
    <row r="4211" spans="7:16" x14ac:dyDescent="0.2">
      <c r="G4211" s="199"/>
      <c r="I4211" s="199"/>
      <c r="K4211" s="199"/>
      <c r="M4211" s="199"/>
      <c r="N4211" s="200"/>
      <c r="P4211" s="199"/>
    </row>
    <row r="4212" spans="7:16" x14ac:dyDescent="0.2">
      <c r="G4212" s="199"/>
      <c r="I4212" s="199"/>
      <c r="K4212" s="199"/>
      <c r="M4212" s="199"/>
      <c r="N4212" s="200"/>
      <c r="P4212" s="199"/>
    </row>
    <row r="4213" spans="7:16" x14ac:dyDescent="0.2">
      <c r="G4213" s="199"/>
      <c r="I4213" s="199"/>
      <c r="K4213" s="199"/>
      <c r="M4213" s="199"/>
      <c r="N4213" s="200"/>
      <c r="P4213" s="199"/>
    </row>
    <row r="4214" spans="7:16" x14ac:dyDescent="0.2">
      <c r="G4214" s="199"/>
      <c r="I4214" s="199"/>
      <c r="K4214" s="199"/>
      <c r="M4214" s="199"/>
      <c r="N4214" s="200"/>
      <c r="P4214" s="199"/>
    </row>
    <row r="4215" spans="7:16" x14ac:dyDescent="0.2">
      <c r="G4215" s="199"/>
      <c r="I4215" s="199"/>
      <c r="K4215" s="199"/>
      <c r="M4215" s="199"/>
      <c r="N4215" s="200"/>
      <c r="P4215" s="199"/>
    </row>
    <row r="4216" spans="7:16" x14ac:dyDescent="0.2">
      <c r="G4216" s="199"/>
      <c r="I4216" s="199"/>
      <c r="K4216" s="199"/>
      <c r="M4216" s="199"/>
      <c r="N4216" s="200"/>
      <c r="P4216" s="199"/>
    </row>
    <row r="4217" spans="7:16" x14ac:dyDescent="0.2">
      <c r="G4217" s="199"/>
      <c r="I4217" s="199"/>
      <c r="K4217" s="199"/>
      <c r="M4217" s="199"/>
      <c r="N4217" s="200"/>
      <c r="P4217" s="199"/>
    </row>
    <row r="4218" spans="7:16" x14ac:dyDescent="0.2">
      <c r="G4218" s="199"/>
      <c r="I4218" s="199"/>
      <c r="K4218" s="199"/>
      <c r="M4218" s="199"/>
      <c r="N4218" s="200"/>
      <c r="P4218" s="199"/>
    </row>
    <row r="4219" spans="7:16" x14ac:dyDescent="0.2">
      <c r="G4219" s="199"/>
      <c r="I4219" s="199"/>
      <c r="K4219" s="199"/>
      <c r="M4219" s="199"/>
      <c r="N4219" s="200"/>
      <c r="P4219" s="199"/>
    </row>
    <row r="4220" spans="7:16" x14ac:dyDescent="0.2">
      <c r="G4220" s="199"/>
      <c r="I4220" s="199"/>
      <c r="K4220" s="199"/>
      <c r="M4220" s="199"/>
      <c r="N4220" s="200"/>
      <c r="P4220" s="199"/>
    </row>
    <row r="4221" spans="7:16" x14ac:dyDescent="0.2">
      <c r="G4221" s="199"/>
      <c r="I4221" s="199"/>
      <c r="K4221" s="199"/>
      <c r="M4221" s="199"/>
      <c r="N4221" s="200"/>
      <c r="P4221" s="199"/>
    </row>
    <row r="4222" spans="7:16" x14ac:dyDescent="0.2">
      <c r="G4222" s="199"/>
      <c r="I4222" s="199"/>
      <c r="K4222" s="199"/>
      <c r="M4222" s="199"/>
      <c r="N4222" s="200"/>
      <c r="P4222" s="199"/>
    </row>
    <row r="4223" spans="7:16" x14ac:dyDescent="0.2">
      <c r="G4223" s="199"/>
      <c r="I4223" s="199"/>
      <c r="K4223" s="199"/>
      <c r="M4223" s="199"/>
      <c r="N4223" s="200"/>
      <c r="P4223" s="199"/>
    </row>
    <row r="4224" spans="7:16" x14ac:dyDescent="0.2">
      <c r="G4224" s="199"/>
      <c r="I4224" s="199"/>
      <c r="K4224" s="199"/>
      <c r="M4224" s="199"/>
      <c r="N4224" s="200"/>
      <c r="P4224" s="199"/>
    </row>
    <row r="4225" spans="7:16" x14ac:dyDescent="0.2">
      <c r="G4225" s="199"/>
      <c r="I4225" s="199"/>
      <c r="K4225" s="199"/>
      <c r="M4225" s="199"/>
      <c r="N4225" s="200"/>
      <c r="P4225" s="199"/>
    </row>
    <row r="4226" spans="7:16" x14ac:dyDescent="0.2">
      <c r="G4226" s="199"/>
      <c r="I4226" s="199"/>
      <c r="K4226" s="199"/>
      <c r="M4226" s="199"/>
      <c r="N4226" s="200"/>
      <c r="P4226" s="199"/>
    </row>
    <row r="4227" spans="7:16" x14ac:dyDescent="0.2">
      <c r="G4227" s="199"/>
      <c r="I4227" s="199"/>
      <c r="K4227" s="199"/>
      <c r="M4227" s="199"/>
      <c r="N4227" s="200"/>
      <c r="P4227" s="199"/>
    </row>
    <row r="4228" spans="7:16" x14ac:dyDescent="0.2">
      <c r="G4228" s="199"/>
      <c r="I4228" s="199"/>
      <c r="K4228" s="199"/>
      <c r="M4228" s="199"/>
      <c r="N4228" s="200"/>
      <c r="P4228" s="199"/>
    </row>
    <row r="4229" spans="7:16" x14ac:dyDescent="0.2">
      <c r="G4229" s="199"/>
      <c r="I4229" s="199"/>
      <c r="K4229" s="199"/>
      <c r="M4229" s="199"/>
      <c r="N4229" s="200"/>
      <c r="P4229" s="199"/>
    </row>
    <row r="4230" spans="7:16" x14ac:dyDescent="0.2">
      <c r="G4230" s="199"/>
      <c r="I4230" s="199"/>
      <c r="K4230" s="199"/>
      <c r="M4230" s="199"/>
      <c r="N4230" s="200"/>
      <c r="P4230" s="199"/>
    </row>
    <row r="4231" spans="7:16" x14ac:dyDescent="0.2">
      <c r="G4231" s="199"/>
      <c r="I4231" s="199"/>
      <c r="K4231" s="199"/>
      <c r="M4231" s="199"/>
      <c r="N4231" s="200"/>
      <c r="P4231" s="199"/>
    </row>
    <row r="4232" spans="7:16" x14ac:dyDescent="0.2">
      <c r="G4232" s="199"/>
      <c r="I4232" s="199"/>
      <c r="K4232" s="199"/>
      <c r="M4232" s="199"/>
      <c r="N4232" s="200"/>
      <c r="P4232" s="199"/>
    </row>
    <row r="4233" spans="7:16" x14ac:dyDescent="0.2">
      <c r="G4233" s="199"/>
      <c r="I4233" s="199"/>
      <c r="K4233" s="199"/>
      <c r="M4233" s="199"/>
      <c r="N4233" s="200"/>
      <c r="P4233" s="199"/>
    </row>
    <row r="4234" spans="7:16" x14ac:dyDescent="0.2">
      <c r="G4234" s="199"/>
      <c r="I4234" s="199"/>
      <c r="K4234" s="199"/>
      <c r="M4234" s="199"/>
      <c r="N4234" s="200"/>
      <c r="P4234" s="199"/>
    </row>
    <row r="4235" spans="7:16" x14ac:dyDescent="0.2">
      <c r="G4235" s="199"/>
      <c r="I4235" s="199"/>
      <c r="K4235" s="199"/>
      <c r="M4235" s="199"/>
      <c r="N4235" s="200"/>
      <c r="P4235" s="199"/>
    </row>
    <row r="4236" spans="7:16" x14ac:dyDescent="0.2">
      <c r="G4236" s="199"/>
      <c r="I4236" s="199"/>
      <c r="K4236" s="199"/>
      <c r="M4236" s="199"/>
      <c r="N4236" s="200"/>
      <c r="P4236" s="199"/>
    </row>
    <row r="4237" spans="7:16" x14ac:dyDescent="0.2">
      <c r="G4237" s="199"/>
      <c r="I4237" s="199"/>
      <c r="K4237" s="199"/>
      <c r="M4237" s="199"/>
      <c r="N4237" s="200"/>
      <c r="P4237" s="199"/>
    </row>
    <row r="4238" spans="7:16" x14ac:dyDescent="0.2">
      <c r="G4238" s="199"/>
      <c r="I4238" s="199"/>
      <c r="K4238" s="199"/>
      <c r="M4238" s="199"/>
      <c r="N4238" s="200"/>
      <c r="P4238" s="199"/>
    </row>
    <row r="4239" spans="7:16" x14ac:dyDescent="0.2">
      <c r="G4239" s="199"/>
      <c r="I4239" s="199"/>
      <c r="K4239" s="199"/>
      <c r="M4239" s="199"/>
      <c r="N4239" s="200"/>
      <c r="P4239" s="199"/>
    </row>
    <row r="4240" spans="7:16" x14ac:dyDescent="0.2">
      <c r="G4240" s="199"/>
      <c r="I4240" s="199"/>
      <c r="K4240" s="199"/>
      <c r="M4240" s="199"/>
      <c r="N4240" s="200"/>
      <c r="P4240" s="199"/>
    </row>
    <row r="4241" spans="7:16" x14ac:dyDescent="0.2">
      <c r="G4241" s="199"/>
      <c r="I4241" s="199"/>
      <c r="K4241" s="199"/>
      <c r="M4241" s="199"/>
      <c r="N4241" s="200"/>
      <c r="P4241" s="199"/>
    </row>
    <row r="4242" spans="7:16" x14ac:dyDescent="0.2">
      <c r="G4242" s="199"/>
      <c r="I4242" s="199"/>
      <c r="K4242" s="199"/>
      <c r="M4242" s="199"/>
      <c r="N4242" s="200"/>
      <c r="P4242" s="199"/>
    </row>
    <row r="4243" spans="7:16" x14ac:dyDescent="0.2">
      <c r="G4243" s="199"/>
      <c r="I4243" s="199"/>
      <c r="K4243" s="199"/>
      <c r="M4243" s="199"/>
      <c r="N4243" s="200"/>
      <c r="P4243" s="199"/>
    </row>
    <row r="4244" spans="7:16" x14ac:dyDescent="0.2">
      <c r="G4244" s="199"/>
      <c r="I4244" s="199"/>
      <c r="K4244" s="199"/>
      <c r="M4244" s="199"/>
      <c r="N4244" s="200"/>
      <c r="P4244" s="199"/>
    </row>
    <row r="4245" spans="7:16" x14ac:dyDescent="0.2">
      <c r="G4245" s="199"/>
      <c r="I4245" s="199"/>
      <c r="K4245" s="199"/>
      <c r="M4245" s="199"/>
      <c r="N4245" s="200"/>
      <c r="P4245" s="199"/>
    </row>
    <row r="4246" spans="7:16" x14ac:dyDescent="0.2">
      <c r="G4246" s="199"/>
      <c r="I4246" s="199"/>
      <c r="K4246" s="199"/>
      <c r="M4246" s="199"/>
      <c r="N4246" s="200"/>
      <c r="P4246" s="199"/>
    </row>
    <row r="4247" spans="7:16" x14ac:dyDescent="0.2">
      <c r="G4247" s="199"/>
      <c r="I4247" s="199"/>
      <c r="K4247" s="199"/>
      <c r="M4247" s="199"/>
      <c r="N4247" s="200"/>
      <c r="P4247" s="199"/>
    </row>
    <row r="4248" spans="7:16" x14ac:dyDescent="0.2">
      <c r="G4248" s="199"/>
      <c r="I4248" s="199"/>
      <c r="K4248" s="199"/>
      <c r="M4248" s="199"/>
      <c r="N4248" s="200"/>
      <c r="P4248" s="199"/>
    </row>
    <row r="4249" spans="7:16" x14ac:dyDescent="0.2">
      <c r="G4249" s="199"/>
      <c r="I4249" s="199"/>
      <c r="K4249" s="199"/>
      <c r="M4249" s="199"/>
      <c r="N4249" s="200"/>
      <c r="P4249" s="199"/>
    </row>
    <row r="4250" spans="7:16" x14ac:dyDescent="0.2">
      <c r="G4250" s="199"/>
      <c r="I4250" s="199"/>
      <c r="K4250" s="199"/>
      <c r="M4250" s="199"/>
      <c r="N4250" s="200"/>
      <c r="P4250" s="199"/>
    </row>
    <row r="4251" spans="7:16" x14ac:dyDescent="0.2">
      <c r="G4251" s="199"/>
      <c r="I4251" s="199"/>
      <c r="K4251" s="199"/>
      <c r="M4251" s="199"/>
      <c r="N4251" s="200"/>
      <c r="P4251" s="199"/>
    </row>
    <row r="4252" spans="7:16" x14ac:dyDescent="0.2">
      <c r="G4252" s="199"/>
      <c r="I4252" s="199"/>
      <c r="K4252" s="199"/>
      <c r="M4252" s="199"/>
      <c r="N4252" s="200"/>
      <c r="P4252" s="199"/>
    </row>
    <row r="4253" spans="7:16" x14ac:dyDescent="0.2">
      <c r="G4253" s="199"/>
      <c r="I4253" s="199"/>
      <c r="K4253" s="199"/>
      <c r="M4253" s="199"/>
      <c r="N4253" s="200"/>
      <c r="P4253" s="199"/>
    </row>
    <row r="4254" spans="7:16" x14ac:dyDescent="0.2">
      <c r="G4254" s="199"/>
      <c r="I4254" s="199"/>
      <c r="K4254" s="199"/>
      <c r="M4254" s="199"/>
      <c r="N4254" s="200"/>
      <c r="P4254" s="199"/>
    </row>
    <row r="4255" spans="7:16" x14ac:dyDescent="0.2">
      <c r="G4255" s="199"/>
      <c r="I4255" s="199"/>
      <c r="K4255" s="199"/>
      <c r="M4255" s="199"/>
      <c r="N4255" s="200"/>
      <c r="P4255" s="199"/>
    </row>
    <row r="4256" spans="7:16" x14ac:dyDescent="0.2">
      <c r="G4256" s="199"/>
      <c r="I4256" s="199"/>
      <c r="K4256" s="199"/>
      <c r="M4256" s="199"/>
      <c r="N4256" s="200"/>
      <c r="P4256" s="199"/>
    </row>
    <row r="4257" spans="7:16" x14ac:dyDescent="0.2">
      <c r="G4257" s="199"/>
      <c r="I4257" s="199"/>
      <c r="K4257" s="199"/>
      <c r="M4257" s="199"/>
      <c r="N4257" s="200"/>
      <c r="P4257" s="199"/>
    </row>
    <row r="4258" spans="7:16" x14ac:dyDescent="0.2">
      <c r="G4258" s="199"/>
      <c r="I4258" s="199"/>
      <c r="K4258" s="199"/>
      <c r="M4258" s="199"/>
      <c r="N4258" s="200"/>
      <c r="P4258" s="199"/>
    </row>
    <row r="4259" spans="7:16" x14ac:dyDescent="0.2">
      <c r="G4259" s="199"/>
      <c r="I4259" s="199"/>
      <c r="K4259" s="199"/>
      <c r="M4259" s="199"/>
      <c r="N4259" s="200"/>
      <c r="P4259" s="199"/>
    </row>
    <row r="4260" spans="7:16" x14ac:dyDescent="0.2">
      <c r="G4260" s="199"/>
      <c r="I4260" s="199"/>
      <c r="K4260" s="199"/>
      <c r="M4260" s="199"/>
      <c r="N4260" s="200"/>
      <c r="P4260" s="199"/>
    </row>
    <row r="4261" spans="7:16" x14ac:dyDescent="0.2">
      <c r="G4261" s="199"/>
      <c r="I4261" s="199"/>
      <c r="K4261" s="199"/>
      <c r="M4261" s="199"/>
      <c r="N4261" s="200"/>
      <c r="P4261" s="199"/>
    </row>
    <row r="4262" spans="7:16" x14ac:dyDescent="0.2">
      <c r="G4262" s="199"/>
      <c r="I4262" s="199"/>
      <c r="K4262" s="199"/>
      <c r="M4262" s="199"/>
      <c r="N4262" s="200"/>
      <c r="P4262" s="199"/>
    </row>
    <row r="4263" spans="7:16" x14ac:dyDescent="0.2">
      <c r="G4263" s="199"/>
      <c r="I4263" s="199"/>
      <c r="K4263" s="199"/>
      <c r="M4263" s="199"/>
      <c r="N4263" s="200"/>
      <c r="P4263" s="199"/>
    </row>
    <row r="4264" spans="7:16" x14ac:dyDescent="0.2">
      <c r="G4264" s="199"/>
      <c r="I4264" s="199"/>
      <c r="K4264" s="199"/>
      <c r="M4264" s="199"/>
      <c r="N4264" s="200"/>
      <c r="P4264" s="199"/>
    </row>
    <row r="4265" spans="7:16" x14ac:dyDescent="0.2">
      <c r="G4265" s="199"/>
      <c r="I4265" s="199"/>
      <c r="K4265" s="199"/>
      <c r="M4265" s="199"/>
      <c r="N4265" s="200"/>
      <c r="P4265" s="199"/>
    </row>
    <row r="4266" spans="7:16" x14ac:dyDescent="0.2">
      <c r="G4266" s="199"/>
      <c r="I4266" s="199"/>
      <c r="K4266" s="199"/>
      <c r="M4266" s="199"/>
      <c r="N4266" s="200"/>
      <c r="P4266" s="199"/>
    </row>
    <row r="4267" spans="7:16" x14ac:dyDescent="0.2">
      <c r="G4267" s="199"/>
      <c r="I4267" s="199"/>
      <c r="K4267" s="199"/>
      <c r="M4267" s="199"/>
      <c r="N4267" s="200"/>
      <c r="P4267" s="199"/>
    </row>
    <row r="4268" spans="7:16" x14ac:dyDescent="0.2">
      <c r="G4268" s="199"/>
      <c r="I4268" s="199"/>
      <c r="K4268" s="199"/>
      <c r="M4268" s="199"/>
      <c r="N4268" s="200"/>
      <c r="P4268" s="199"/>
    </row>
    <row r="4269" spans="7:16" x14ac:dyDescent="0.2">
      <c r="G4269" s="199"/>
      <c r="I4269" s="199"/>
      <c r="K4269" s="199"/>
      <c r="M4269" s="199"/>
      <c r="N4269" s="200"/>
      <c r="P4269" s="199"/>
    </row>
    <row r="4270" spans="7:16" x14ac:dyDescent="0.2">
      <c r="G4270" s="199"/>
      <c r="I4270" s="199"/>
      <c r="K4270" s="199"/>
      <c r="M4270" s="199"/>
      <c r="N4270" s="200"/>
      <c r="P4270" s="199"/>
    </row>
    <row r="4271" spans="7:16" x14ac:dyDescent="0.2">
      <c r="G4271" s="199"/>
      <c r="I4271" s="199"/>
      <c r="K4271" s="199"/>
      <c r="M4271" s="199"/>
      <c r="N4271" s="200"/>
      <c r="P4271" s="199"/>
    </row>
    <row r="4272" spans="7:16" x14ac:dyDescent="0.2">
      <c r="G4272" s="199"/>
      <c r="I4272" s="199"/>
      <c r="K4272" s="199"/>
      <c r="M4272" s="199"/>
      <c r="N4272" s="200"/>
      <c r="P4272" s="199"/>
    </row>
    <row r="4273" spans="7:16" x14ac:dyDescent="0.2">
      <c r="G4273" s="199"/>
      <c r="I4273" s="199"/>
      <c r="K4273" s="199"/>
      <c r="M4273" s="199"/>
      <c r="N4273" s="200"/>
      <c r="P4273" s="199"/>
    </row>
    <row r="4274" spans="7:16" x14ac:dyDescent="0.2">
      <c r="G4274" s="199"/>
      <c r="I4274" s="199"/>
      <c r="K4274" s="199"/>
      <c r="M4274" s="199"/>
      <c r="N4274" s="200"/>
      <c r="P4274" s="199"/>
    </row>
    <row r="4275" spans="7:16" x14ac:dyDescent="0.2">
      <c r="G4275" s="199"/>
      <c r="I4275" s="199"/>
      <c r="K4275" s="199"/>
      <c r="M4275" s="199"/>
      <c r="N4275" s="200"/>
      <c r="P4275" s="199"/>
    </row>
    <row r="4276" spans="7:16" x14ac:dyDescent="0.2">
      <c r="G4276" s="199"/>
      <c r="I4276" s="199"/>
      <c r="K4276" s="199"/>
      <c r="M4276" s="199"/>
      <c r="N4276" s="200"/>
      <c r="P4276" s="199"/>
    </row>
    <row r="4277" spans="7:16" x14ac:dyDescent="0.2">
      <c r="G4277" s="199"/>
      <c r="I4277" s="199"/>
      <c r="K4277" s="199"/>
      <c r="M4277" s="199"/>
      <c r="N4277" s="200"/>
      <c r="P4277" s="199"/>
    </row>
    <row r="4278" spans="7:16" x14ac:dyDescent="0.2">
      <c r="G4278" s="199"/>
      <c r="I4278" s="199"/>
      <c r="K4278" s="199"/>
      <c r="M4278" s="199"/>
      <c r="N4278" s="200"/>
      <c r="P4278" s="199"/>
    </row>
    <row r="4279" spans="7:16" x14ac:dyDescent="0.2">
      <c r="G4279" s="199"/>
      <c r="I4279" s="199"/>
      <c r="K4279" s="199"/>
      <c r="M4279" s="199"/>
      <c r="N4279" s="200"/>
      <c r="P4279" s="199"/>
    </row>
    <row r="4280" spans="7:16" x14ac:dyDescent="0.2">
      <c r="G4280" s="199"/>
      <c r="I4280" s="199"/>
      <c r="K4280" s="199"/>
      <c r="M4280" s="199"/>
      <c r="N4280" s="200"/>
      <c r="P4280" s="199"/>
    </row>
    <row r="4281" spans="7:16" x14ac:dyDescent="0.2">
      <c r="G4281" s="199"/>
      <c r="I4281" s="199"/>
      <c r="K4281" s="199"/>
      <c r="M4281" s="199"/>
      <c r="N4281" s="200"/>
      <c r="P4281" s="199"/>
    </row>
    <row r="4282" spans="7:16" x14ac:dyDescent="0.2">
      <c r="G4282" s="199"/>
      <c r="I4282" s="199"/>
      <c r="K4282" s="199"/>
      <c r="M4282" s="199"/>
      <c r="N4282" s="200"/>
      <c r="P4282" s="199"/>
    </row>
    <row r="4283" spans="7:16" x14ac:dyDescent="0.2">
      <c r="G4283" s="199"/>
      <c r="I4283" s="199"/>
      <c r="K4283" s="199"/>
      <c r="M4283" s="199"/>
      <c r="N4283" s="200"/>
      <c r="P4283" s="199"/>
    </row>
    <row r="4284" spans="7:16" x14ac:dyDescent="0.2">
      <c r="G4284" s="199"/>
      <c r="I4284" s="199"/>
      <c r="K4284" s="199"/>
      <c r="M4284" s="199"/>
      <c r="N4284" s="200"/>
      <c r="P4284" s="199"/>
    </row>
    <row r="4285" spans="7:16" x14ac:dyDescent="0.2">
      <c r="G4285" s="199"/>
      <c r="I4285" s="199"/>
      <c r="K4285" s="199"/>
      <c r="M4285" s="199"/>
      <c r="N4285" s="200"/>
      <c r="P4285" s="199"/>
    </row>
    <row r="4286" spans="7:16" x14ac:dyDescent="0.2">
      <c r="G4286" s="199"/>
      <c r="I4286" s="199"/>
      <c r="K4286" s="199"/>
      <c r="M4286" s="199"/>
      <c r="N4286" s="200"/>
      <c r="P4286" s="199"/>
    </row>
    <row r="4287" spans="7:16" x14ac:dyDescent="0.2">
      <c r="G4287" s="199"/>
      <c r="I4287" s="199"/>
      <c r="K4287" s="199"/>
      <c r="M4287" s="199"/>
      <c r="N4287" s="200"/>
      <c r="P4287" s="199"/>
    </row>
    <row r="4288" spans="7:16" x14ac:dyDescent="0.2">
      <c r="G4288" s="199"/>
      <c r="I4288" s="199"/>
      <c r="K4288" s="199"/>
      <c r="M4288" s="199"/>
      <c r="N4288" s="200"/>
      <c r="P4288" s="199"/>
    </row>
    <row r="4289" spans="7:16" x14ac:dyDescent="0.2">
      <c r="G4289" s="199"/>
      <c r="I4289" s="199"/>
      <c r="K4289" s="199"/>
      <c r="M4289" s="199"/>
      <c r="N4289" s="200"/>
      <c r="P4289" s="199"/>
    </row>
    <row r="4290" spans="7:16" x14ac:dyDescent="0.2">
      <c r="G4290" s="199"/>
      <c r="I4290" s="199"/>
      <c r="K4290" s="199"/>
      <c r="M4290" s="199"/>
      <c r="N4290" s="200"/>
      <c r="P4290" s="199"/>
    </row>
    <row r="4291" spans="7:16" x14ac:dyDescent="0.2">
      <c r="G4291" s="199"/>
      <c r="I4291" s="199"/>
      <c r="K4291" s="199"/>
      <c r="M4291" s="199"/>
      <c r="N4291" s="200"/>
      <c r="P4291" s="199"/>
    </row>
    <row r="4292" spans="7:16" x14ac:dyDescent="0.2">
      <c r="G4292" s="199"/>
      <c r="I4292" s="199"/>
      <c r="K4292" s="199"/>
      <c r="M4292" s="199"/>
      <c r="N4292" s="200"/>
      <c r="P4292" s="199"/>
    </row>
    <row r="4293" spans="7:16" x14ac:dyDescent="0.2">
      <c r="G4293" s="199"/>
      <c r="I4293" s="199"/>
      <c r="K4293" s="199"/>
      <c r="M4293" s="199"/>
      <c r="N4293" s="200"/>
      <c r="P4293" s="199"/>
    </row>
    <row r="4294" spans="7:16" x14ac:dyDescent="0.2">
      <c r="G4294" s="199"/>
      <c r="I4294" s="199"/>
      <c r="K4294" s="199"/>
      <c r="M4294" s="199"/>
      <c r="N4294" s="200"/>
      <c r="P4294" s="199"/>
    </row>
    <row r="4295" spans="7:16" x14ac:dyDescent="0.2">
      <c r="G4295" s="199"/>
      <c r="I4295" s="199"/>
      <c r="K4295" s="199"/>
      <c r="M4295" s="199"/>
      <c r="N4295" s="200"/>
      <c r="P4295" s="199"/>
    </row>
    <row r="4296" spans="7:16" x14ac:dyDescent="0.2">
      <c r="G4296" s="199"/>
      <c r="I4296" s="199"/>
      <c r="K4296" s="199"/>
      <c r="M4296" s="199"/>
      <c r="N4296" s="200"/>
      <c r="P4296" s="199"/>
    </row>
    <row r="4297" spans="7:16" x14ac:dyDescent="0.2">
      <c r="G4297" s="199"/>
      <c r="I4297" s="199"/>
      <c r="K4297" s="199"/>
      <c r="M4297" s="199"/>
      <c r="N4297" s="200"/>
      <c r="P4297" s="199"/>
    </row>
    <row r="4298" spans="7:16" x14ac:dyDescent="0.2">
      <c r="G4298" s="199"/>
      <c r="I4298" s="199"/>
      <c r="K4298" s="199"/>
      <c r="M4298" s="199"/>
      <c r="N4298" s="200"/>
      <c r="P4298" s="199"/>
    </row>
    <row r="4299" spans="7:16" x14ac:dyDescent="0.2">
      <c r="G4299" s="199"/>
      <c r="I4299" s="199"/>
      <c r="K4299" s="199"/>
      <c r="M4299" s="199"/>
      <c r="N4299" s="200"/>
      <c r="P4299" s="199"/>
    </row>
    <row r="4300" spans="7:16" x14ac:dyDescent="0.2">
      <c r="G4300" s="199"/>
      <c r="I4300" s="199"/>
      <c r="K4300" s="199"/>
      <c r="M4300" s="199"/>
      <c r="N4300" s="200"/>
      <c r="P4300" s="199"/>
    </row>
    <row r="4301" spans="7:16" x14ac:dyDescent="0.2">
      <c r="G4301" s="199"/>
      <c r="I4301" s="199"/>
      <c r="K4301" s="199"/>
      <c r="M4301" s="199"/>
      <c r="N4301" s="200"/>
      <c r="P4301" s="199"/>
    </row>
    <row r="4302" spans="7:16" x14ac:dyDescent="0.2">
      <c r="G4302" s="199"/>
      <c r="I4302" s="199"/>
      <c r="K4302" s="199"/>
      <c r="M4302" s="199"/>
      <c r="N4302" s="200"/>
      <c r="P4302" s="199"/>
    </row>
    <row r="4303" spans="7:16" x14ac:dyDescent="0.2">
      <c r="G4303" s="199"/>
      <c r="I4303" s="199"/>
      <c r="K4303" s="199"/>
      <c r="M4303" s="199"/>
      <c r="N4303" s="200"/>
      <c r="P4303" s="199"/>
    </row>
    <row r="4304" spans="7:16" x14ac:dyDescent="0.2">
      <c r="G4304" s="199"/>
      <c r="I4304" s="199"/>
      <c r="K4304" s="199"/>
      <c r="M4304" s="199"/>
      <c r="N4304" s="200"/>
      <c r="P4304" s="199"/>
    </row>
    <row r="4305" spans="7:16" x14ac:dyDescent="0.2">
      <c r="G4305" s="199"/>
      <c r="I4305" s="199"/>
      <c r="K4305" s="199"/>
      <c r="M4305" s="199"/>
      <c r="N4305" s="200"/>
      <c r="P4305" s="199"/>
    </row>
    <row r="4306" spans="7:16" x14ac:dyDescent="0.2">
      <c r="G4306" s="199"/>
      <c r="I4306" s="199"/>
      <c r="K4306" s="199"/>
      <c r="M4306" s="199"/>
      <c r="N4306" s="200"/>
      <c r="P4306" s="199"/>
    </row>
    <row r="4307" spans="7:16" x14ac:dyDescent="0.2">
      <c r="G4307" s="199"/>
      <c r="I4307" s="199"/>
      <c r="K4307" s="199"/>
      <c r="M4307" s="199"/>
      <c r="N4307" s="200"/>
      <c r="P4307" s="199"/>
    </row>
    <row r="4308" spans="7:16" x14ac:dyDescent="0.2">
      <c r="G4308" s="199"/>
      <c r="I4308" s="199"/>
      <c r="K4308" s="199"/>
      <c r="M4308" s="199"/>
      <c r="N4308" s="200"/>
      <c r="P4308" s="199"/>
    </row>
    <row r="4309" spans="7:16" x14ac:dyDescent="0.2">
      <c r="G4309" s="199"/>
      <c r="I4309" s="199"/>
      <c r="K4309" s="199"/>
      <c r="M4309" s="199"/>
      <c r="N4309" s="200"/>
      <c r="P4309" s="199"/>
    </row>
    <row r="4310" spans="7:16" x14ac:dyDescent="0.2">
      <c r="G4310" s="199"/>
      <c r="I4310" s="199"/>
      <c r="K4310" s="199"/>
      <c r="M4310" s="199"/>
      <c r="N4310" s="200"/>
      <c r="P4310" s="199"/>
    </row>
    <row r="4311" spans="7:16" x14ac:dyDescent="0.2">
      <c r="G4311" s="199"/>
      <c r="I4311" s="199"/>
      <c r="K4311" s="199"/>
      <c r="M4311" s="199"/>
      <c r="N4311" s="200"/>
      <c r="P4311" s="199"/>
    </row>
    <row r="4312" spans="7:16" x14ac:dyDescent="0.2">
      <c r="G4312" s="199"/>
      <c r="I4312" s="199"/>
      <c r="K4312" s="199"/>
      <c r="M4312" s="199"/>
      <c r="N4312" s="200"/>
      <c r="P4312" s="199"/>
    </row>
    <row r="4313" spans="7:16" x14ac:dyDescent="0.2">
      <c r="G4313" s="199"/>
      <c r="I4313" s="199"/>
      <c r="K4313" s="199"/>
      <c r="M4313" s="199"/>
      <c r="N4313" s="200"/>
      <c r="P4313" s="199"/>
    </row>
    <row r="4314" spans="7:16" x14ac:dyDescent="0.2">
      <c r="G4314" s="199"/>
      <c r="I4314" s="199"/>
      <c r="K4314" s="199"/>
      <c r="M4314" s="199"/>
      <c r="N4314" s="200"/>
      <c r="P4314" s="199"/>
    </row>
    <row r="4315" spans="7:16" x14ac:dyDescent="0.2">
      <c r="G4315" s="199"/>
      <c r="I4315" s="199"/>
      <c r="K4315" s="199"/>
      <c r="M4315" s="199"/>
      <c r="N4315" s="200"/>
      <c r="P4315" s="199"/>
    </row>
    <row r="4316" spans="7:16" x14ac:dyDescent="0.2">
      <c r="G4316" s="199"/>
      <c r="I4316" s="199"/>
      <c r="K4316" s="199"/>
      <c r="M4316" s="199"/>
      <c r="N4316" s="200"/>
      <c r="P4316" s="199"/>
    </row>
    <row r="4317" spans="7:16" x14ac:dyDescent="0.2">
      <c r="G4317" s="199"/>
      <c r="I4317" s="199"/>
      <c r="K4317" s="199"/>
      <c r="M4317" s="199"/>
      <c r="N4317" s="200"/>
      <c r="P4317" s="199"/>
    </row>
    <row r="4318" spans="7:16" x14ac:dyDescent="0.2">
      <c r="G4318" s="199"/>
      <c r="I4318" s="199"/>
      <c r="K4318" s="199"/>
      <c r="M4318" s="199"/>
      <c r="N4318" s="200"/>
      <c r="P4318" s="199"/>
    </row>
    <row r="4319" spans="7:16" x14ac:dyDescent="0.2">
      <c r="G4319" s="199"/>
      <c r="I4319" s="199"/>
      <c r="K4319" s="199"/>
      <c r="M4319" s="199"/>
      <c r="N4319" s="200"/>
      <c r="P4319" s="199"/>
    </row>
    <row r="4320" spans="7:16" x14ac:dyDescent="0.2">
      <c r="G4320" s="199"/>
      <c r="I4320" s="199"/>
      <c r="K4320" s="199"/>
      <c r="M4320" s="199"/>
      <c r="N4320" s="200"/>
      <c r="P4320" s="199"/>
    </row>
    <row r="4321" spans="7:16" x14ac:dyDescent="0.2">
      <c r="G4321" s="199"/>
      <c r="I4321" s="199"/>
      <c r="K4321" s="199"/>
      <c r="M4321" s="199"/>
      <c r="N4321" s="200"/>
      <c r="P4321" s="199"/>
    </row>
    <row r="4322" spans="7:16" x14ac:dyDescent="0.2">
      <c r="G4322" s="199"/>
      <c r="I4322" s="199"/>
      <c r="K4322" s="199"/>
      <c r="M4322" s="199"/>
      <c r="N4322" s="200"/>
      <c r="P4322" s="199"/>
    </row>
    <row r="4323" spans="7:16" x14ac:dyDescent="0.2">
      <c r="G4323" s="199"/>
      <c r="I4323" s="199"/>
      <c r="K4323" s="199"/>
      <c r="M4323" s="199"/>
      <c r="N4323" s="200"/>
      <c r="P4323" s="199"/>
    </row>
    <row r="4324" spans="7:16" x14ac:dyDescent="0.2">
      <c r="G4324" s="199"/>
      <c r="I4324" s="199"/>
      <c r="K4324" s="199"/>
      <c r="M4324" s="199"/>
      <c r="N4324" s="200"/>
      <c r="P4324" s="199"/>
    </row>
    <row r="4325" spans="7:16" x14ac:dyDescent="0.2">
      <c r="G4325" s="199"/>
      <c r="I4325" s="199"/>
      <c r="K4325" s="199"/>
      <c r="M4325" s="199"/>
      <c r="N4325" s="200"/>
      <c r="P4325" s="199"/>
    </row>
    <row r="4326" spans="7:16" x14ac:dyDescent="0.2">
      <c r="G4326" s="199"/>
      <c r="I4326" s="199"/>
      <c r="K4326" s="199"/>
      <c r="M4326" s="199"/>
      <c r="N4326" s="200"/>
      <c r="P4326" s="199"/>
    </row>
    <row r="4327" spans="7:16" x14ac:dyDescent="0.2">
      <c r="G4327" s="199"/>
      <c r="I4327" s="199"/>
      <c r="K4327" s="199"/>
      <c r="M4327" s="199"/>
      <c r="N4327" s="200"/>
      <c r="P4327" s="199"/>
    </row>
    <row r="4328" spans="7:16" x14ac:dyDescent="0.2">
      <c r="G4328" s="199"/>
      <c r="I4328" s="199"/>
      <c r="K4328" s="199"/>
      <c r="M4328" s="199"/>
      <c r="N4328" s="200"/>
      <c r="P4328" s="199"/>
    </row>
    <row r="4329" spans="7:16" x14ac:dyDescent="0.2">
      <c r="G4329" s="199"/>
      <c r="I4329" s="199"/>
      <c r="K4329" s="199"/>
      <c r="M4329" s="199"/>
      <c r="N4329" s="200"/>
      <c r="P4329" s="199"/>
    </row>
    <row r="4330" spans="7:16" x14ac:dyDescent="0.2">
      <c r="G4330" s="199"/>
      <c r="I4330" s="199"/>
      <c r="K4330" s="199"/>
      <c r="M4330" s="199"/>
      <c r="N4330" s="200"/>
      <c r="P4330" s="199"/>
    </row>
    <row r="4331" spans="7:16" x14ac:dyDescent="0.2">
      <c r="G4331" s="199"/>
      <c r="I4331" s="199"/>
      <c r="K4331" s="199"/>
      <c r="M4331" s="199"/>
      <c r="N4331" s="200"/>
      <c r="P4331" s="199"/>
    </row>
    <row r="4332" spans="7:16" x14ac:dyDescent="0.2">
      <c r="G4332" s="199"/>
      <c r="I4332" s="199"/>
      <c r="K4332" s="199"/>
      <c r="M4332" s="199"/>
      <c r="N4332" s="200"/>
      <c r="P4332" s="199"/>
    </row>
    <row r="4333" spans="7:16" x14ac:dyDescent="0.2">
      <c r="G4333" s="199"/>
      <c r="I4333" s="199"/>
      <c r="K4333" s="199"/>
      <c r="M4333" s="199"/>
      <c r="N4333" s="200"/>
      <c r="P4333" s="199"/>
    </row>
    <row r="4334" spans="7:16" x14ac:dyDescent="0.2">
      <c r="G4334" s="199"/>
      <c r="I4334" s="199"/>
      <c r="K4334" s="199"/>
      <c r="M4334" s="199"/>
      <c r="N4334" s="200"/>
      <c r="P4334" s="199"/>
    </row>
    <row r="4335" spans="7:16" x14ac:dyDescent="0.2">
      <c r="G4335" s="199"/>
      <c r="I4335" s="199"/>
      <c r="K4335" s="199"/>
      <c r="M4335" s="199"/>
      <c r="N4335" s="200"/>
      <c r="P4335" s="199"/>
    </row>
    <row r="4336" spans="7:16" x14ac:dyDescent="0.2">
      <c r="G4336" s="199"/>
      <c r="I4336" s="199"/>
      <c r="K4336" s="199"/>
      <c r="M4336" s="199"/>
      <c r="N4336" s="200"/>
      <c r="P4336" s="199"/>
    </row>
    <row r="4337" spans="7:16" x14ac:dyDescent="0.2">
      <c r="G4337" s="199"/>
      <c r="I4337" s="199"/>
      <c r="K4337" s="199"/>
      <c r="M4337" s="199"/>
      <c r="N4337" s="200"/>
      <c r="P4337" s="199"/>
    </row>
    <row r="4338" spans="7:16" x14ac:dyDescent="0.2">
      <c r="G4338" s="199"/>
      <c r="I4338" s="199"/>
      <c r="K4338" s="199"/>
      <c r="M4338" s="199"/>
      <c r="N4338" s="200"/>
      <c r="P4338" s="199"/>
    </row>
    <row r="4339" spans="7:16" x14ac:dyDescent="0.2">
      <c r="G4339" s="199"/>
      <c r="I4339" s="199"/>
      <c r="K4339" s="199"/>
      <c r="M4339" s="199"/>
      <c r="N4339" s="200"/>
      <c r="P4339" s="199"/>
    </row>
    <row r="4340" spans="7:16" x14ac:dyDescent="0.2">
      <c r="G4340" s="199"/>
      <c r="I4340" s="199"/>
      <c r="K4340" s="199"/>
      <c r="M4340" s="199"/>
      <c r="N4340" s="200"/>
      <c r="P4340" s="199"/>
    </row>
    <row r="4341" spans="7:16" x14ac:dyDescent="0.2">
      <c r="G4341" s="199"/>
      <c r="I4341" s="199"/>
      <c r="K4341" s="199"/>
      <c r="M4341" s="199"/>
      <c r="N4341" s="200"/>
      <c r="P4341" s="199"/>
    </row>
    <row r="4342" spans="7:16" x14ac:dyDescent="0.2">
      <c r="G4342" s="199"/>
      <c r="I4342" s="199"/>
      <c r="K4342" s="199"/>
      <c r="M4342" s="199"/>
      <c r="N4342" s="200"/>
      <c r="P4342" s="199"/>
    </row>
    <row r="4343" spans="7:16" x14ac:dyDescent="0.2">
      <c r="G4343" s="199"/>
      <c r="I4343" s="199"/>
      <c r="K4343" s="199"/>
      <c r="M4343" s="199"/>
      <c r="N4343" s="200"/>
      <c r="P4343" s="199"/>
    </row>
    <row r="4344" spans="7:16" x14ac:dyDescent="0.2">
      <c r="G4344" s="199"/>
      <c r="I4344" s="199"/>
      <c r="K4344" s="199"/>
      <c r="M4344" s="199"/>
      <c r="N4344" s="200"/>
      <c r="P4344" s="199"/>
    </row>
    <row r="4345" spans="7:16" x14ac:dyDescent="0.2">
      <c r="G4345" s="199"/>
      <c r="I4345" s="199"/>
      <c r="K4345" s="199"/>
      <c r="M4345" s="199"/>
      <c r="N4345" s="200"/>
      <c r="P4345" s="199"/>
    </row>
    <row r="4346" spans="7:16" x14ac:dyDescent="0.2">
      <c r="G4346" s="199"/>
      <c r="I4346" s="199"/>
      <c r="K4346" s="199"/>
      <c r="M4346" s="199"/>
      <c r="N4346" s="200"/>
      <c r="P4346" s="199"/>
    </row>
    <row r="4347" spans="7:16" x14ac:dyDescent="0.2">
      <c r="G4347" s="199"/>
      <c r="I4347" s="199"/>
      <c r="K4347" s="199"/>
      <c r="M4347" s="199"/>
      <c r="N4347" s="200"/>
      <c r="P4347" s="199"/>
    </row>
    <row r="4348" spans="7:16" x14ac:dyDescent="0.2">
      <c r="G4348" s="199"/>
      <c r="I4348" s="199"/>
      <c r="K4348" s="199"/>
      <c r="M4348" s="199"/>
      <c r="N4348" s="200"/>
      <c r="P4348" s="199"/>
    </row>
    <row r="4349" spans="7:16" x14ac:dyDescent="0.2">
      <c r="G4349" s="199"/>
      <c r="I4349" s="199"/>
      <c r="K4349" s="199"/>
      <c r="M4349" s="199"/>
      <c r="N4349" s="200"/>
      <c r="P4349" s="199"/>
    </row>
    <row r="4350" spans="7:16" x14ac:dyDescent="0.2">
      <c r="G4350" s="199"/>
      <c r="I4350" s="199"/>
      <c r="K4350" s="199"/>
      <c r="M4350" s="199"/>
      <c r="N4350" s="200"/>
      <c r="P4350" s="199"/>
    </row>
    <row r="4351" spans="7:16" x14ac:dyDescent="0.2">
      <c r="G4351" s="199"/>
      <c r="I4351" s="199"/>
      <c r="K4351" s="199"/>
      <c r="M4351" s="199"/>
      <c r="N4351" s="200"/>
      <c r="P4351" s="199"/>
    </row>
    <row r="4352" spans="7:16" x14ac:dyDescent="0.2">
      <c r="G4352" s="199"/>
      <c r="I4352" s="199"/>
      <c r="K4352" s="199"/>
      <c r="M4352" s="199"/>
      <c r="N4352" s="200"/>
      <c r="P4352" s="199"/>
    </row>
    <row r="4353" spans="7:16" x14ac:dyDescent="0.2">
      <c r="G4353" s="199"/>
      <c r="I4353" s="199"/>
      <c r="K4353" s="199"/>
      <c r="M4353" s="199"/>
      <c r="N4353" s="200"/>
      <c r="P4353" s="199"/>
    </row>
    <row r="4354" spans="7:16" x14ac:dyDescent="0.2">
      <c r="G4354" s="199"/>
      <c r="I4354" s="199"/>
      <c r="K4354" s="199"/>
      <c r="M4354" s="199"/>
      <c r="N4354" s="200"/>
      <c r="P4354" s="199"/>
    </row>
    <row r="4355" spans="7:16" x14ac:dyDescent="0.2">
      <c r="G4355" s="199"/>
      <c r="I4355" s="199"/>
      <c r="K4355" s="199"/>
      <c r="M4355" s="199"/>
      <c r="N4355" s="200"/>
      <c r="P4355" s="199"/>
    </row>
    <row r="4356" spans="7:16" x14ac:dyDescent="0.2">
      <c r="G4356" s="199"/>
      <c r="I4356" s="199"/>
      <c r="K4356" s="199"/>
      <c r="M4356" s="199"/>
      <c r="N4356" s="200"/>
      <c r="P4356" s="199"/>
    </row>
    <row r="4357" spans="7:16" x14ac:dyDescent="0.2">
      <c r="G4357" s="199"/>
      <c r="I4357" s="199"/>
      <c r="K4357" s="199"/>
      <c r="M4357" s="199"/>
      <c r="N4357" s="200"/>
      <c r="P4357" s="199"/>
    </row>
    <row r="4358" spans="7:16" x14ac:dyDescent="0.2">
      <c r="G4358" s="199"/>
      <c r="I4358" s="199"/>
      <c r="K4358" s="199"/>
      <c r="M4358" s="199"/>
      <c r="N4358" s="200"/>
      <c r="P4358" s="199"/>
    </row>
    <row r="4359" spans="7:16" x14ac:dyDescent="0.2">
      <c r="G4359" s="199"/>
      <c r="I4359" s="199"/>
      <c r="K4359" s="199"/>
      <c r="M4359" s="199"/>
      <c r="N4359" s="200"/>
      <c r="P4359" s="199"/>
    </row>
    <row r="4360" spans="7:16" x14ac:dyDescent="0.2">
      <c r="G4360" s="199"/>
      <c r="I4360" s="199"/>
      <c r="K4360" s="199"/>
      <c r="M4360" s="199"/>
      <c r="N4360" s="200"/>
      <c r="P4360" s="199"/>
    </row>
    <row r="4361" spans="7:16" x14ac:dyDescent="0.2">
      <c r="G4361" s="199"/>
      <c r="I4361" s="199"/>
      <c r="K4361" s="199"/>
      <c r="M4361" s="199"/>
      <c r="N4361" s="200"/>
      <c r="P4361" s="199"/>
    </row>
    <row r="4362" spans="7:16" x14ac:dyDescent="0.2">
      <c r="G4362" s="199"/>
      <c r="I4362" s="199"/>
      <c r="K4362" s="199"/>
      <c r="M4362" s="199"/>
      <c r="N4362" s="200"/>
      <c r="P4362" s="199"/>
    </row>
    <row r="4363" spans="7:16" x14ac:dyDescent="0.2">
      <c r="G4363" s="199"/>
      <c r="I4363" s="199"/>
      <c r="K4363" s="199"/>
      <c r="M4363" s="199"/>
      <c r="N4363" s="200"/>
      <c r="P4363" s="199"/>
    </row>
    <row r="4364" spans="7:16" x14ac:dyDescent="0.2">
      <c r="G4364" s="199"/>
      <c r="I4364" s="199"/>
      <c r="K4364" s="199"/>
      <c r="M4364" s="199"/>
      <c r="N4364" s="200"/>
      <c r="P4364" s="199"/>
    </row>
    <row r="4365" spans="7:16" x14ac:dyDescent="0.2">
      <c r="G4365" s="199"/>
      <c r="I4365" s="199"/>
      <c r="K4365" s="199"/>
      <c r="M4365" s="199"/>
      <c r="N4365" s="200"/>
      <c r="P4365" s="199"/>
    </row>
    <row r="4366" spans="7:16" x14ac:dyDescent="0.2">
      <c r="G4366" s="199"/>
      <c r="I4366" s="199"/>
      <c r="K4366" s="199"/>
      <c r="M4366" s="199"/>
      <c r="N4366" s="200"/>
      <c r="P4366" s="199"/>
    </row>
    <row r="4367" spans="7:16" x14ac:dyDescent="0.2">
      <c r="G4367" s="199"/>
      <c r="I4367" s="199"/>
      <c r="K4367" s="199"/>
      <c r="M4367" s="199"/>
      <c r="N4367" s="200"/>
      <c r="P4367" s="199"/>
    </row>
    <row r="4368" spans="7:16" x14ac:dyDescent="0.2">
      <c r="G4368" s="199"/>
      <c r="I4368" s="199"/>
      <c r="K4368" s="199"/>
      <c r="M4368" s="199"/>
      <c r="N4368" s="200"/>
      <c r="P4368" s="199"/>
    </row>
    <row r="4369" spans="7:16" x14ac:dyDescent="0.2">
      <c r="G4369" s="199"/>
      <c r="I4369" s="199"/>
      <c r="K4369" s="199"/>
      <c r="M4369" s="199"/>
      <c r="N4369" s="200"/>
      <c r="P4369" s="199"/>
    </row>
    <row r="4370" spans="7:16" x14ac:dyDescent="0.2">
      <c r="G4370" s="199"/>
      <c r="I4370" s="199"/>
      <c r="K4370" s="199"/>
      <c r="M4370" s="199"/>
      <c r="N4370" s="200"/>
      <c r="P4370" s="199"/>
    </row>
    <row r="4371" spans="7:16" x14ac:dyDescent="0.2">
      <c r="G4371" s="199"/>
      <c r="I4371" s="199"/>
      <c r="K4371" s="199"/>
      <c r="M4371" s="199"/>
      <c r="N4371" s="200"/>
      <c r="P4371" s="199"/>
    </row>
    <row r="4372" spans="7:16" x14ac:dyDescent="0.2">
      <c r="G4372" s="199"/>
      <c r="I4372" s="199"/>
      <c r="K4372" s="199"/>
      <c r="M4372" s="199"/>
      <c r="N4372" s="200"/>
      <c r="P4372" s="199"/>
    </row>
    <row r="4373" spans="7:16" x14ac:dyDescent="0.2">
      <c r="G4373" s="199"/>
      <c r="I4373" s="199"/>
      <c r="K4373" s="199"/>
      <c r="M4373" s="199"/>
      <c r="N4373" s="200"/>
      <c r="P4373" s="199"/>
    </row>
    <row r="4374" spans="7:16" x14ac:dyDescent="0.2">
      <c r="G4374" s="199"/>
      <c r="I4374" s="199"/>
      <c r="K4374" s="199"/>
      <c r="M4374" s="199"/>
      <c r="N4374" s="200"/>
      <c r="P4374" s="199"/>
    </row>
    <row r="4375" spans="7:16" x14ac:dyDescent="0.2">
      <c r="G4375" s="199"/>
      <c r="I4375" s="199"/>
      <c r="K4375" s="199"/>
      <c r="M4375" s="199"/>
      <c r="N4375" s="200"/>
      <c r="P4375" s="199"/>
    </row>
    <row r="4376" spans="7:16" x14ac:dyDescent="0.2">
      <c r="G4376" s="199"/>
      <c r="I4376" s="199"/>
      <c r="K4376" s="199"/>
      <c r="M4376" s="199"/>
      <c r="N4376" s="200"/>
      <c r="P4376" s="199"/>
    </row>
    <row r="4377" spans="7:16" x14ac:dyDescent="0.2">
      <c r="G4377" s="199"/>
      <c r="I4377" s="199"/>
      <c r="K4377" s="199"/>
      <c r="M4377" s="199"/>
      <c r="N4377" s="200"/>
      <c r="P4377" s="199"/>
    </row>
    <row r="4378" spans="7:16" x14ac:dyDescent="0.2">
      <c r="G4378" s="199"/>
      <c r="I4378" s="199"/>
      <c r="K4378" s="199"/>
      <c r="M4378" s="199"/>
      <c r="N4378" s="200"/>
      <c r="P4378" s="199"/>
    </row>
    <row r="4379" spans="7:16" x14ac:dyDescent="0.2">
      <c r="G4379" s="199"/>
      <c r="I4379" s="199"/>
      <c r="K4379" s="199"/>
      <c r="M4379" s="199"/>
      <c r="N4379" s="200"/>
      <c r="P4379" s="199"/>
    </row>
    <row r="4380" spans="7:16" x14ac:dyDescent="0.2">
      <c r="G4380" s="199"/>
      <c r="I4380" s="199"/>
      <c r="K4380" s="199"/>
      <c r="M4380" s="199"/>
      <c r="N4380" s="200"/>
      <c r="P4380" s="199"/>
    </row>
    <row r="4381" spans="7:16" x14ac:dyDescent="0.2">
      <c r="G4381" s="199"/>
      <c r="I4381" s="199"/>
      <c r="K4381" s="199"/>
      <c r="M4381" s="199"/>
      <c r="N4381" s="200"/>
      <c r="P4381" s="199"/>
    </row>
    <row r="4382" spans="7:16" x14ac:dyDescent="0.2">
      <c r="G4382" s="199"/>
      <c r="I4382" s="199"/>
      <c r="K4382" s="199"/>
      <c r="M4382" s="199"/>
      <c r="N4382" s="200"/>
      <c r="P4382" s="199"/>
    </row>
    <row r="4383" spans="7:16" x14ac:dyDescent="0.2">
      <c r="G4383" s="199"/>
      <c r="I4383" s="199"/>
      <c r="K4383" s="199"/>
      <c r="M4383" s="199"/>
      <c r="N4383" s="200"/>
      <c r="P4383" s="199"/>
    </row>
    <row r="4384" spans="7:16" x14ac:dyDescent="0.2">
      <c r="G4384" s="199"/>
      <c r="I4384" s="199"/>
      <c r="K4384" s="199"/>
      <c r="M4384" s="199"/>
      <c r="N4384" s="200"/>
      <c r="P4384" s="199"/>
    </row>
    <row r="4385" spans="7:16" x14ac:dyDescent="0.2">
      <c r="G4385" s="199"/>
      <c r="I4385" s="199"/>
      <c r="K4385" s="199"/>
      <c r="M4385" s="199"/>
      <c r="N4385" s="200"/>
      <c r="P4385" s="199"/>
    </row>
    <row r="4386" spans="7:16" x14ac:dyDescent="0.2">
      <c r="G4386" s="199"/>
      <c r="I4386" s="199"/>
      <c r="K4386" s="199"/>
      <c r="M4386" s="199"/>
      <c r="N4386" s="200"/>
      <c r="P4386" s="199"/>
    </row>
    <row r="4387" spans="7:16" x14ac:dyDescent="0.2">
      <c r="G4387" s="199"/>
      <c r="I4387" s="199"/>
      <c r="K4387" s="199"/>
      <c r="M4387" s="199"/>
      <c r="N4387" s="200"/>
      <c r="P4387" s="199"/>
    </row>
    <row r="4388" spans="7:16" x14ac:dyDescent="0.2">
      <c r="G4388" s="199"/>
      <c r="I4388" s="199"/>
      <c r="K4388" s="199"/>
      <c r="M4388" s="199"/>
      <c r="N4388" s="200"/>
      <c r="P4388" s="199"/>
    </row>
    <row r="4389" spans="7:16" x14ac:dyDescent="0.2">
      <c r="G4389" s="199"/>
      <c r="I4389" s="199"/>
      <c r="K4389" s="199"/>
      <c r="M4389" s="199"/>
      <c r="N4389" s="200"/>
      <c r="P4389" s="199"/>
    </row>
    <row r="4390" spans="7:16" x14ac:dyDescent="0.2">
      <c r="G4390" s="199"/>
      <c r="I4390" s="199"/>
      <c r="K4390" s="199"/>
      <c r="M4390" s="199"/>
      <c r="N4390" s="200"/>
      <c r="P4390" s="199"/>
    </row>
    <row r="4391" spans="7:16" x14ac:dyDescent="0.2">
      <c r="G4391" s="199"/>
      <c r="I4391" s="199"/>
      <c r="K4391" s="199"/>
      <c r="M4391" s="199"/>
      <c r="N4391" s="200"/>
      <c r="P4391" s="199"/>
    </row>
    <row r="4392" spans="7:16" x14ac:dyDescent="0.2">
      <c r="G4392" s="199"/>
      <c r="I4392" s="199"/>
      <c r="K4392" s="199"/>
      <c r="M4392" s="199"/>
      <c r="N4392" s="200"/>
      <c r="P4392" s="199"/>
    </row>
    <row r="4393" spans="7:16" x14ac:dyDescent="0.2">
      <c r="G4393" s="199"/>
      <c r="I4393" s="199"/>
      <c r="K4393" s="199"/>
      <c r="M4393" s="199"/>
      <c r="N4393" s="200"/>
      <c r="P4393" s="199"/>
    </row>
    <row r="4394" spans="7:16" x14ac:dyDescent="0.2">
      <c r="G4394" s="199"/>
      <c r="I4394" s="199"/>
      <c r="K4394" s="199"/>
      <c r="M4394" s="199"/>
      <c r="N4394" s="200"/>
      <c r="P4394" s="199"/>
    </row>
    <row r="4395" spans="7:16" x14ac:dyDescent="0.2">
      <c r="G4395" s="199"/>
      <c r="I4395" s="199"/>
      <c r="K4395" s="199"/>
      <c r="M4395" s="199"/>
      <c r="N4395" s="200"/>
      <c r="P4395" s="199"/>
    </row>
    <row r="4396" spans="7:16" x14ac:dyDescent="0.2">
      <c r="G4396" s="199"/>
      <c r="I4396" s="199"/>
      <c r="K4396" s="199"/>
      <c r="M4396" s="199"/>
      <c r="N4396" s="200"/>
      <c r="P4396" s="199"/>
    </row>
    <row r="4397" spans="7:16" x14ac:dyDescent="0.2">
      <c r="G4397" s="199"/>
      <c r="I4397" s="199"/>
      <c r="K4397" s="199"/>
      <c r="M4397" s="199"/>
      <c r="N4397" s="200"/>
      <c r="P4397" s="199"/>
    </row>
    <row r="4398" spans="7:16" x14ac:dyDescent="0.2">
      <c r="G4398" s="199"/>
      <c r="I4398" s="199"/>
      <c r="K4398" s="199"/>
      <c r="M4398" s="199"/>
      <c r="N4398" s="200"/>
      <c r="P4398" s="199"/>
    </row>
    <row r="4399" spans="7:16" x14ac:dyDescent="0.2">
      <c r="G4399" s="199"/>
      <c r="I4399" s="199"/>
      <c r="K4399" s="199"/>
      <c r="M4399" s="199"/>
      <c r="N4399" s="200"/>
      <c r="P4399" s="199"/>
    </row>
    <row r="4400" spans="7:16" x14ac:dyDescent="0.2">
      <c r="G4400" s="199"/>
      <c r="I4400" s="199"/>
      <c r="K4400" s="199"/>
      <c r="M4400" s="199"/>
      <c r="N4400" s="200"/>
      <c r="P4400" s="199"/>
    </row>
    <row r="4401" spans="7:16" x14ac:dyDescent="0.2">
      <c r="G4401" s="199"/>
      <c r="I4401" s="199"/>
      <c r="K4401" s="199"/>
      <c r="M4401" s="199"/>
      <c r="N4401" s="200"/>
      <c r="P4401" s="199"/>
    </row>
    <row r="4402" spans="7:16" x14ac:dyDescent="0.2">
      <c r="G4402" s="199"/>
      <c r="I4402" s="199"/>
      <c r="K4402" s="199"/>
      <c r="M4402" s="199"/>
      <c r="N4402" s="200"/>
      <c r="P4402" s="199"/>
    </row>
    <row r="4403" spans="7:16" x14ac:dyDescent="0.2">
      <c r="G4403" s="199"/>
      <c r="I4403" s="199"/>
      <c r="K4403" s="199"/>
      <c r="M4403" s="199"/>
      <c r="N4403" s="200"/>
      <c r="P4403" s="199"/>
    </row>
    <row r="4404" spans="7:16" x14ac:dyDescent="0.2">
      <c r="G4404" s="199"/>
      <c r="I4404" s="199"/>
      <c r="K4404" s="199"/>
      <c r="M4404" s="199"/>
      <c r="N4404" s="200"/>
      <c r="P4404" s="199"/>
    </row>
    <row r="4405" spans="7:16" x14ac:dyDescent="0.2">
      <c r="G4405" s="199"/>
      <c r="I4405" s="199"/>
      <c r="K4405" s="199"/>
      <c r="M4405" s="199"/>
      <c r="N4405" s="200"/>
      <c r="P4405" s="199"/>
    </row>
    <row r="4406" spans="7:16" x14ac:dyDescent="0.2">
      <c r="G4406" s="199"/>
      <c r="I4406" s="199"/>
      <c r="K4406" s="199"/>
      <c r="M4406" s="199"/>
      <c r="N4406" s="200"/>
      <c r="P4406" s="199"/>
    </row>
    <row r="4407" spans="7:16" x14ac:dyDescent="0.2">
      <c r="G4407" s="199"/>
      <c r="I4407" s="199"/>
      <c r="K4407" s="199"/>
      <c r="M4407" s="199"/>
      <c r="N4407" s="200"/>
      <c r="P4407" s="199"/>
    </row>
    <row r="4408" spans="7:16" x14ac:dyDescent="0.2">
      <c r="G4408" s="199"/>
      <c r="I4408" s="199"/>
      <c r="K4408" s="199"/>
      <c r="M4408" s="199"/>
      <c r="N4408" s="200"/>
      <c r="P4408" s="199"/>
    </row>
    <row r="4409" spans="7:16" x14ac:dyDescent="0.2">
      <c r="G4409" s="199"/>
      <c r="I4409" s="199"/>
      <c r="K4409" s="199"/>
      <c r="M4409" s="199"/>
      <c r="N4409" s="200"/>
      <c r="P4409" s="199"/>
    </row>
    <row r="4410" spans="7:16" x14ac:dyDescent="0.2">
      <c r="G4410" s="199"/>
      <c r="I4410" s="199"/>
      <c r="K4410" s="199"/>
      <c r="M4410" s="199"/>
      <c r="N4410" s="200"/>
      <c r="P4410" s="199"/>
    </row>
    <row r="4411" spans="7:16" x14ac:dyDescent="0.2">
      <c r="G4411" s="199"/>
      <c r="I4411" s="199"/>
      <c r="K4411" s="199"/>
      <c r="M4411" s="199"/>
      <c r="N4411" s="200"/>
      <c r="P4411" s="199"/>
    </row>
    <row r="4412" spans="7:16" x14ac:dyDescent="0.2">
      <c r="G4412" s="199"/>
      <c r="I4412" s="199"/>
      <c r="K4412" s="199"/>
      <c r="M4412" s="199"/>
      <c r="N4412" s="200"/>
      <c r="P4412" s="199"/>
    </row>
    <row r="4413" spans="7:16" x14ac:dyDescent="0.2">
      <c r="G4413" s="199"/>
      <c r="I4413" s="199"/>
      <c r="K4413" s="199"/>
      <c r="M4413" s="199"/>
      <c r="N4413" s="200"/>
      <c r="P4413" s="199"/>
    </row>
    <row r="4414" spans="7:16" x14ac:dyDescent="0.2">
      <c r="G4414" s="199"/>
      <c r="I4414" s="199"/>
      <c r="K4414" s="199"/>
      <c r="M4414" s="199"/>
      <c r="N4414" s="200"/>
      <c r="P4414" s="199"/>
    </row>
    <row r="4415" spans="7:16" x14ac:dyDescent="0.2">
      <c r="G4415" s="199"/>
      <c r="I4415" s="199"/>
      <c r="K4415" s="199"/>
      <c r="M4415" s="199"/>
      <c r="N4415" s="200"/>
      <c r="P4415" s="199"/>
    </row>
    <row r="4416" spans="7:16" x14ac:dyDescent="0.2">
      <c r="G4416" s="199"/>
      <c r="I4416" s="199"/>
      <c r="K4416" s="199"/>
      <c r="M4416" s="199"/>
      <c r="N4416" s="200"/>
      <c r="P4416" s="199"/>
    </row>
    <row r="4417" spans="7:16" x14ac:dyDescent="0.2">
      <c r="G4417" s="199"/>
      <c r="I4417" s="199"/>
      <c r="K4417" s="199"/>
      <c r="M4417" s="199"/>
      <c r="N4417" s="200"/>
      <c r="P4417" s="199"/>
    </row>
    <row r="4418" spans="7:16" x14ac:dyDescent="0.2">
      <c r="G4418" s="199"/>
      <c r="I4418" s="199"/>
      <c r="K4418" s="199"/>
      <c r="M4418" s="199"/>
      <c r="N4418" s="200"/>
      <c r="P4418" s="199"/>
    </row>
    <row r="4419" spans="7:16" x14ac:dyDescent="0.2">
      <c r="G4419" s="199"/>
      <c r="I4419" s="199"/>
      <c r="K4419" s="199"/>
      <c r="M4419" s="199"/>
      <c r="N4419" s="200"/>
      <c r="P4419" s="199"/>
    </row>
    <row r="4420" spans="7:16" x14ac:dyDescent="0.2">
      <c r="G4420" s="199"/>
      <c r="I4420" s="199"/>
      <c r="K4420" s="199"/>
      <c r="M4420" s="199"/>
      <c r="N4420" s="200"/>
      <c r="P4420" s="199"/>
    </row>
    <row r="4421" spans="7:16" x14ac:dyDescent="0.2">
      <c r="G4421" s="199"/>
      <c r="I4421" s="199"/>
      <c r="K4421" s="199"/>
      <c r="M4421" s="199"/>
      <c r="N4421" s="200"/>
      <c r="P4421" s="199"/>
    </row>
    <row r="4422" spans="7:16" x14ac:dyDescent="0.2">
      <c r="G4422" s="199"/>
      <c r="I4422" s="199"/>
      <c r="K4422" s="199"/>
      <c r="M4422" s="199"/>
      <c r="N4422" s="200"/>
      <c r="P4422" s="199"/>
    </row>
    <row r="4423" spans="7:16" x14ac:dyDescent="0.2">
      <c r="G4423" s="199"/>
      <c r="I4423" s="199"/>
      <c r="K4423" s="199"/>
      <c r="M4423" s="199"/>
      <c r="N4423" s="200"/>
      <c r="P4423" s="199"/>
    </row>
    <row r="4424" spans="7:16" x14ac:dyDescent="0.2">
      <c r="G4424" s="199"/>
      <c r="I4424" s="199"/>
      <c r="K4424" s="199"/>
      <c r="M4424" s="199"/>
      <c r="N4424" s="200"/>
      <c r="P4424" s="199"/>
    </row>
    <row r="4425" spans="7:16" x14ac:dyDescent="0.2">
      <c r="G4425" s="199"/>
      <c r="I4425" s="199"/>
      <c r="K4425" s="199"/>
      <c r="M4425" s="199"/>
      <c r="N4425" s="200"/>
      <c r="P4425" s="199"/>
    </row>
    <row r="4426" spans="7:16" x14ac:dyDescent="0.2">
      <c r="G4426" s="199"/>
      <c r="I4426" s="199"/>
      <c r="K4426" s="199"/>
      <c r="M4426" s="199"/>
      <c r="N4426" s="200"/>
      <c r="P4426" s="199"/>
    </row>
    <row r="4427" spans="7:16" x14ac:dyDescent="0.2">
      <c r="G4427" s="199"/>
      <c r="I4427" s="199"/>
      <c r="K4427" s="199"/>
      <c r="M4427" s="199"/>
      <c r="N4427" s="200"/>
      <c r="P4427" s="199"/>
    </row>
    <row r="4428" spans="7:16" x14ac:dyDescent="0.2">
      <c r="G4428" s="199"/>
      <c r="I4428" s="199"/>
      <c r="K4428" s="199"/>
      <c r="M4428" s="199"/>
      <c r="N4428" s="200"/>
      <c r="P4428" s="199"/>
    </row>
    <row r="4429" spans="7:16" x14ac:dyDescent="0.2">
      <c r="G4429" s="199"/>
      <c r="I4429" s="199"/>
      <c r="K4429" s="199"/>
      <c r="M4429" s="199"/>
      <c r="N4429" s="200"/>
      <c r="P4429" s="199"/>
    </row>
    <row r="4430" spans="7:16" x14ac:dyDescent="0.2">
      <c r="G4430" s="199"/>
      <c r="I4430" s="199"/>
      <c r="K4430" s="199"/>
      <c r="M4430" s="199"/>
      <c r="N4430" s="200"/>
      <c r="P4430" s="199"/>
    </row>
    <row r="4431" spans="7:16" x14ac:dyDescent="0.2">
      <c r="G4431" s="199"/>
      <c r="I4431" s="199"/>
      <c r="K4431" s="199"/>
      <c r="M4431" s="199"/>
      <c r="N4431" s="200"/>
      <c r="P4431" s="199"/>
    </row>
    <row r="4432" spans="7:16" x14ac:dyDescent="0.2">
      <c r="G4432" s="199"/>
      <c r="I4432" s="199"/>
      <c r="K4432" s="199"/>
      <c r="M4432" s="199"/>
      <c r="N4432" s="200"/>
      <c r="P4432" s="199"/>
    </row>
    <row r="4433" spans="7:16" x14ac:dyDescent="0.2">
      <c r="G4433" s="199"/>
      <c r="I4433" s="199"/>
      <c r="K4433" s="199"/>
      <c r="M4433" s="199"/>
      <c r="N4433" s="200"/>
      <c r="P4433" s="199"/>
    </row>
    <row r="4434" spans="7:16" x14ac:dyDescent="0.2">
      <c r="G4434" s="199"/>
      <c r="I4434" s="199"/>
      <c r="K4434" s="199"/>
      <c r="M4434" s="199"/>
      <c r="N4434" s="200"/>
      <c r="P4434" s="199"/>
    </row>
    <row r="4435" spans="7:16" x14ac:dyDescent="0.2">
      <c r="G4435" s="199"/>
      <c r="I4435" s="199"/>
      <c r="K4435" s="199"/>
      <c r="M4435" s="199"/>
      <c r="N4435" s="200"/>
      <c r="P4435" s="199"/>
    </row>
    <row r="4436" spans="7:16" x14ac:dyDescent="0.2">
      <c r="G4436" s="199"/>
      <c r="I4436" s="199"/>
      <c r="K4436" s="199"/>
      <c r="M4436" s="199"/>
      <c r="N4436" s="200"/>
      <c r="P4436" s="199"/>
    </row>
    <row r="4437" spans="7:16" x14ac:dyDescent="0.2">
      <c r="G4437" s="199"/>
      <c r="I4437" s="199"/>
      <c r="K4437" s="199"/>
      <c r="M4437" s="199"/>
      <c r="N4437" s="200"/>
      <c r="P4437" s="199"/>
    </row>
    <row r="4438" spans="7:16" x14ac:dyDescent="0.2">
      <c r="G4438" s="199"/>
      <c r="I4438" s="199"/>
      <c r="K4438" s="199"/>
      <c r="M4438" s="199"/>
      <c r="N4438" s="200"/>
      <c r="P4438" s="199"/>
    </row>
    <row r="4439" spans="7:16" x14ac:dyDescent="0.2">
      <c r="G4439" s="199"/>
      <c r="I4439" s="199"/>
      <c r="K4439" s="199"/>
      <c r="M4439" s="199"/>
      <c r="N4439" s="200"/>
      <c r="P4439" s="199"/>
    </row>
    <row r="4440" spans="7:16" x14ac:dyDescent="0.2">
      <c r="G4440" s="199"/>
      <c r="I4440" s="199"/>
      <c r="K4440" s="199"/>
      <c r="M4440" s="199"/>
      <c r="N4440" s="200"/>
      <c r="P4440" s="199"/>
    </row>
    <row r="4441" spans="7:16" x14ac:dyDescent="0.2">
      <c r="G4441" s="199"/>
      <c r="I4441" s="199"/>
      <c r="K4441" s="199"/>
      <c r="M4441" s="199"/>
      <c r="N4441" s="200"/>
      <c r="P4441" s="199"/>
    </row>
    <row r="4442" spans="7:16" x14ac:dyDescent="0.2">
      <c r="G4442" s="199"/>
      <c r="I4442" s="199"/>
      <c r="K4442" s="199"/>
      <c r="M4442" s="199"/>
      <c r="N4442" s="200"/>
      <c r="P4442" s="199"/>
    </row>
    <row r="4443" spans="7:16" x14ac:dyDescent="0.2">
      <c r="G4443" s="199"/>
      <c r="I4443" s="199"/>
      <c r="K4443" s="199"/>
      <c r="M4443" s="199"/>
      <c r="N4443" s="200"/>
      <c r="P4443" s="199"/>
    </row>
    <row r="4444" spans="7:16" x14ac:dyDescent="0.2">
      <c r="G4444" s="199"/>
      <c r="I4444" s="199"/>
      <c r="K4444" s="199"/>
      <c r="M4444" s="199"/>
      <c r="N4444" s="200"/>
      <c r="P4444" s="199"/>
    </row>
    <row r="4445" spans="7:16" x14ac:dyDescent="0.2">
      <c r="G4445" s="199"/>
      <c r="I4445" s="199"/>
      <c r="K4445" s="199"/>
      <c r="M4445" s="199"/>
      <c r="N4445" s="200"/>
      <c r="P4445" s="199"/>
    </row>
    <row r="4446" spans="7:16" x14ac:dyDescent="0.2">
      <c r="G4446" s="199"/>
      <c r="I4446" s="199"/>
      <c r="K4446" s="199"/>
      <c r="M4446" s="199"/>
      <c r="N4446" s="200"/>
      <c r="P4446" s="199"/>
    </row>
    <row r="4447" spans="7:16" x14ac:dyDescent="0.2">
      <c r="G4447" s="199"/>
      <c r="I4447" s="199"/>
      <c r="K4447" s="199"/>
      <c r="M4447" s="199"/>
      <c r="N4447" s="200"/>
      <c r="P4447" s="199"/>
    </row>
    <row r="4448" spans="7:16" x14ac:dyDescent="0.2">
      <c r="G4448" s="199"/>
      <c r="I4448" s="199"/>
      <c r="K4448" s="199"/>
      <c r="M4448" s="199"/>
      <c r="N4448" s="200"/>
      <c r="P4448" s="199"/>
    </row>
    <row r="4449" spans="7:16" x14ac:dyDescent="0.2">
      <c r="G4449" s="199"/>
      <c r="I4449" s="199"/>
      <c r="K4449" s="199"/>
      <c r="M4449" s="199"/>
      <c r="N4449" s="200"/>
      <c r="P4449" s="199"/>
    </row>
    <row r="4450" spans="7:16" x14ac:dyDescent="0.2">
      <c r="G4450" s="199"/>
      <c r="I4450" s="199"/>
      <c r="K4450" s="199"/>
      <c r="M4450" s="199"/>
      <c r="N4450" s="200"/>
      <c r="P4450" s="199"/>
    </row>
    <row r="4451" spans="7:16" x14ac:dyDescent="0.2">
      <c r="G4451" s="199"/>
      <c r="I4451" s="199"/>
      <c r="K4451" s="199"/>
      <c r="M4451" s="199"/>
      <c r="N4451" s="200"/>
      <c r="P4451" s="199"/>
    </row>
    <row r="4452" spans="7:16" x14ac:dyDescent="0.2">
      <c r="G4452" s="199"/>
      <c r="I4452" s="199"/>
      <c r="K4452" s="199"/>
      <c r="M4452" s="199"/>
      <c r="N4452" s="200"/>
      <c r="P4452" s="199"/>
    </row>
    <row r="4453" spans="7:16" x14ac:dyDescent="0.2">
      <c r="G4453" s="199"/>
      <c r="I4453" s="199"/>
      <c r="K4453" s="199"/>
      <c r="M4453" s="199"/>
      <c r="N4453" s="200"/>
      <c r="P4453" s="199"/>
    </row>
    <row r="4454" spans="7:16" x14ac:dyDescent="0.2">
      <c r="G4454" s="199"/>
      <c r="I4454" s="199"/>
      <c r="K4454" s="199"/>
      <c r="M4454" s="199"/>
      <c r="N4454" s="200"/>
      <c r="P4454" s="199"/>
    </row>
    <row r="4455" spans="7:16" x14ac:dyDescent="0.2">
      <c r="G4455" s="199"/>
      <c r="I4455" s="199"/>
      <c r="K4455" s="199"/>
      <c r="M4455" s="199"/>
      <c r="N4455" s="200"/>
      <c r="P4455" s="199"/>
    </row>
    <row r="4456" spans="7:16" x14ac:dyDescent="0.2">
      <c r="G4456" s="199"/>
      <c r="I4456" s="199"/>
      <c r="K4456" s="199"/>
      <c r="M4456" s="199"/>
      <c r="N4456" s="200"/>
      <c r="P4456" s="199"/>
    </row>
    <row r="4457" spans="7:16" x14ac:dyDescent="0.2">
      <c r="G4457" s="199"/>
      <c r="I4457" s="199"/>
      <c r="K4457" s="199"/>
      <c r="M4457" s="199"/>
      <c r="N4457" s="200"/>
      <c r="P4457" s="199"/>
    </row>
    <row r="4458" spans="7:16" x14ac:dyDescent="0.2">
      <c r="G4458" s="199"/>
      <c r="I4458" s="199"/>
      <c r="K4458" s="199"/>
      <c r="M4458" s="199"/>
      <c r="N4458" s="200"/>
      <c r="P4458" s="199"/>
    </row>
    <row r="4459" spans="7:16" x14ac:dyDescent="0.2">
      <c r="G4459" s="199"/>
      <c r="I4459" s="199"/>
      <c r="K4459" s="199"/>
      <c r="M4459" s="199"/>
      <c r="N4459" s="200"/>
      <c r="P4459" s="199"/>
    </row>
    <row r="4460" spans="7:16" x14ac:dyDescent="0.2">
      <c r="G4460" s="199"/>
      <c r="I4460" s="199"/>
      <c r="K4460" s="199"/>
      <c r="M4460" s="199"/>
      <c r="N4460" s="200"/>
      <c r="P4460" s="199"/>
    </row>
    <row r="4461" spans="7:16" x14ac:dyDescent="0.2">
      <c r="G4461" s="199"/>
      <c r="I4461" s="199"/>
      <c r="K4461" s="199"/>
      <c r="M4461" s="199"/>
      <c r="N4461" s="200"/>
      <c r="P4461" s="199"/>
    </row>
    <row r="4462" spans="7:16" x14ac:dyDescent="0.2">
      <c r="G4462" s="199"/>
      <c r="I4462" s="199"/>
      <c r="K4462" s="199"/>
      <c r="M4462" s="199"/>
      <c r="N4462" s="200"/>
      <c r="P4462" s="199"/>
    </row>
    <row r="4463" spans="7:16" x14ac:dyDescent="0.2">
      <c r="G4463" s="199"/>
      <c r="I4463" s="199"/>
      <c r="K4463" s="199"/>
      <c r="M4463" s="199"/>
      <c r="N4463" s="200"/>
      <c r="P4463" s="199"/>
    </row>
    <row r="4464" spans="7:16" x14ac:dyDescent="0.2">
      <c r="G4464" s="199"/>
      <c r="I4464" s="199"/>
      <c r="K4464" s="199"/>
      <c r="M4464" s="199"/>
      <c r="N4464" s="200"/>
      <c r="P4464" s="199"/>
    </row>
    <row r="4465" spans="7:16" x14ac:dyDescent="0.2">
      <c r="G4465" s="199"/>
      <c r="I4465" s="199"/>
      <c r="K4465" s="199"/>
      <c r="M4465" s="199"/>
      <c r="N4465" s="200"/>
      <c r="P4465" s="199"/>
    </row>
    <row r="4466" spans="7:16" x14ac:dyDescent="0.2">
      <c r="G4466" s="199"/>
      <c r="I4466" s="199"/>
      <c r="K4466" s="199"/>
      <c r="M4466" s="199"/>
      <c r="N4466" s="200"/>
      <c r="P4466" s="199"/>
    </row>
    <row r="4467" spans="7:16" x14ac:dyDescent="0.2">
      <c r="G4467" s="199"/>
      <c r="I4467" s="199"/>
      <c r="K4467" s="199"/>
      <c r="M4467" s="199"/>
      <c r="N4467" s="200"/>
      <c r="P4467" s="199"/>
    </row>
    <row r="4468" spans="7:16" x14ac:dyDescent="0.2">
      <c r="G4468" s="199"/>
      <c r="I4468" s="199"/>
      <c r="K4468" s="199"/>
      <c r="M4468" s="199"/>
      <c r="N4468" s="200"/>
      <c r="P4468" s="199"/>
    </row>
    <row r="4469" spans="7:16" x14ac:dyDescent="0.2">
      <c r="G4469" s="199"/>
      <c r="I4469" s="199"/>
      <c r="K4469" s="199"/>
      <c r="M4469" s="199"/>
      <c r="N4469" s="200"/>
      <c r="P4469" s="199"/>
    </row>
    <row r="4470" spans="7:16" x14ac:dyDescent="0.2">
      <c r="G4470" s="199"/>
      <c r="I4470" s="199"/>
      <c r="K4470" s="199"/>
      <c r="M4470" s="199"/>
      <c r="N4470" s="200"/>
      <c r="P4470" s="199"/>
    </row>
    <row r="4471" spans="7:16" x14ac:dyDescent="0.2">
      <c r="G4471" s="199"/>
      <c r="I4471" s="199"/>
      <c r="K4471" s="199"/>
      <c r="M4471" s="199"/>
      <c r="N4471" s="200"/>
      <c r="P4471" s="199"/>
    </row>
    <row r="4472" spans="7:16" x14ac:dyDescent="0.2">
      <c r="G4472" s="199"/>
      <c r="I4472" s="199"/>
      <c r="K4472" s="199"/>
      <c r="M4472" s="199"/>
      <c r="N4472" s="200"/>
      <c r="P4472" s="199"/>
    </row>
    <row r="4473" spans="7:16" x14ac:dyDescent="0.2">
      <c r="G4473" s="199"/>
      <c r="I4473" s="199"/>
      <c r="K4473" s="199"/>
      <c r="M4473" s="199"/>
      <c r="N4473" s="200"/>
      <c r="P4473" s="199"/>
    </row>
    <row r="4474" spans="7:16" x14ac:dyDescent="0.2">
      <c r="G4474" s="199"/>
      <c r="I4474" s="199"/>
      <c r="K4474" s="199"/>
      <c r="M4474" s="199"/>
      <c r="N4474" s="200"/>
      <c r="P4474" s="199"/>
    </row>
    <row r="4475" spans="7:16" x14ac:dyDescent="0.2">
      <c r="G4475" s="199"/>
      <c r="I4475" s="199"/>
      <c r="K4475" s="199"/>
      <c r="M4475" s="199"/>
      <c r="N4475" s="200"/>
      <c r="P4475" s="199"/>
    </row>
    <row r="4476" spans="7:16" x14ac:dyDescent="0.2">
      <c r="G4476" s="199"/>
      <c r="I4476" s="199"/>
      <c r="K4476" s="199"/>
      <c r="M4476" s="199"/>
      <c r="N4476" s="200"/>
      <c r="P4476" s="199"/>
    </row>
    <row r="4477" spans="7:16" x14ac:dyDescent="0.2">
      <c r="G4477" s="199"/>
      <c r="I4477" s="199"/>
      <c r="K4477" s="199"/>
      <c r="M4477" s="199"/>
      <c r="N4477" s="200"/>
      <c r="P4477" s="199"/>
    </row>
    <row r="4478" spans="7:16" x14ac:dyDescent="0.2">
      <c r="G4478" s="199"/>
      <c r="I4478" s="199"/>
      <c r="K4478" s="199"/>
      <c r="M4478" s="199"/>
      <c r="N4478" s="200"/>
      <c r="P4478" s="199"/>
    </row>
    <row r="4479" spans="7:16" x14ac:dyDescent="0.2">
      <c r="G4479" s="199"/>
      <c r="I4479" s="199"/>
      <c r="K4479" s="199"/>
      <c r="M4479" s="199"/>
      <c r="N4479" s="200"/>
      <c r="P4479" s="199"/>
    </row>
    <row r="4480" spans="7:16" x14ac:dyDescent="0.2">
      <c r="G4480" s="199"/>
      <c r="I4480" s="199"/>
      <c r="K4480" s="199"/>
      <c r="M4480" s="199"/>
      <c r="N4480" s="200"/>
      <c r="P4480" s="199"/>
    </row>
    <row r="4481" spans="7:16" x14ac:dyDescent="0.2">
      <c r="G4481" s="199"/>
      <c r="I4481" s="199"/>
      <c r="K4481" s="199"/>
      <c r="M4481" s="199"/>
      <c r="N4481" s="200"/>
      <c r="P4481" s="199"/>
    </row>
    <row r="4482" spans="7:16" x14ac:dyDescent="0.2">
      <c r="G4482" s="199"/>
      <c r="I4482" s="199"/>
      <c r="K4482" s="199"/>
      <c r="M4482" s="199"/>
      <c r="N4482" s="200"/>
      <c r="P4482" s="199"/>
    </row>
    <row r="4483" spans="7:16" x14ac:dyDescent="0.2">
      <c r="G4483" s="199"/>
      <c r="I4483" s="199"/>
      <c r="K4483" s="199"/>
      <c r="M4483" s="199"/>
      <c r="N4483" s="200"/>
      <c r="P4483" s="199"/>
    </row>
    <row r="4484" spans="7:16" x14ac:dyDescent="0.2">
      <c r="G4484" s="199"/>
      <c r="I4484" s="199"/>
      <c r="K4484" s="199"/>
      <c r="M4484" s="199"/>
      <c r="N4484" s="200"/>
      <c r="P4484" s="199"/>
    </row>
    <row r="4485" spans="7:16" x14ac:dyDescent="0.2">
      <c r="G4485" s="199"/>
      <c r="I4485" s="199"/>
      <c r="K4485" s="199"/>
      <c r="M4485" s="199"/>
      <c r="N4485" s="200"/>
      <c r="P4485" s="199"/>
    </row>
    <row r="4486" spans="7:16" x14ac:dyDescent="0.2">
      <c r="G4486" s="199"/>
      <c r="I4486" s="199"/>
      <c r="K4486" s="199"/>
      <c r="M4486" s="199"/>
      <c r="N4486" s="200"/>
      <c r="P4486" s="199"/>
    </row>
    <row r="4487" spans="7:16" x14ac:dyDescent="0.2">
      <c r="G4487" s="199"/>
      <c r="I4487" s="199"/>
      <c r="K4487" s="199"/>
      <c r="M4487" s="199"/>
      <c r="N4487" s="200"/>
      <c r="P4487" s="199"/>
    </row>
    <row r="4488" spans="7:16" x14ac:dyDescent="0.2">
      <c r="G4488" s="199"/>
      <c r="I4488" s="199"/>
      <c r="K4488" s="199"/>
      <c r="M4488" s="199"/>
      <c r="N4488" s="200"/>
      <c r="P4488" s="199"/>
    </row>
    <row r="4489" spans="7:16" x14ac:dyDescent="0.2">
      <c r="G4489" s="199"/>
      <c r="I4489" s="199"/>
      <c r="K4489" s="199"/>
      <c r="M4489" s="199"/>
      <c r="N4489" s="200"/>
      <c r="P4489" s="199"/>
    </row>
    <row r="4490" spans="7:16" x14ac:dyDescent="0.2">
      <c r="G4490" s="199"/>
      <c r="I4490" s="199"/>
      <c r="K4490" s="199"/>
      <c r="M4490" s="199"/>
      <c r="N4490" s="200"/>
      <c r="P4490" s="199"/>
    </row>
    <row r="4491" spans="7:16" x14ac:dyDescent="0.2">
      <c r="G4491" s="199"/>
      <c r="I4491" s="199"/>
      <c r="K4491" s="199"/>
      <c r="M4491" s="199"/>
      <c r="N4491" s="200"/>
      <c r="P4491" s="199"/>
    </row>
    <row r="4492" spans="7:16" x14ac:dyDescent="0.2">
      <c r="G4492" s="199"/>
      <c r="I4492" s="199"/>
      <c r="K4492" s="199"/>
      <c r="M4492" s="199"/>
      <c r="N4492" s="200"/>
      <c r="P4492" s="199"/>
    </row>
    <row r="4493" spans="7:16" x14ac:dyDescent="0.2">
      <c r="G4493" s="199"/>
      <c r="I4493" s="199"/>
      <c r="K4493" s="199"/>
      <c r="M4493" s="199"/>
      <c r="N4493" s="200"/>
      <c r="P4493" s="199"/>
    </row>
    <row r="4494" spans="7:16" x14ac:dyDescent="0.2">
      <c r="G4494" s="199"/>
      <c r="I4494" s="199"/>
      <c r="K4494" s="199"/>
      <c r="M4494" s="199"/>
      <c r="N4494" s="200"/>
      <c r="P4494" s="199"/>
    </row>
    <row r="4495" spans="7:16" x14ac:dyDescent="0.2">
      <c r="G4495" s="199"/>
      <c r="I4495" s="199"/>
      <c r="K4495" s="199"/>
      <c r="M4495" s="199"/>
      <c r="N4495" s="200"/>
      <c r="P4495" s="199"/>
    </row>
    <row r="4496" spans="7:16" x14ac:dyDescent="0.2">
      <c r="G4496" s="199"/>
      <c r="I4496" s="199"/>
      <c r="K4496" s="199"/>
      <c r="M4496" s="199"/>
      <c r="N4496" s="200"/>
      <c r="P4496" s="199"/>
    </row>
    <row r="4497" spans="7:16" x14ac:dyDescent="0.2">
      <c r="G4497" s="199"/>
      <c r="I4497" s="199"/>
      <c r="K4497" s="199"/>
      <c r="M4497" s="199"/>
      <c r="N4497" s="200"/>
      <c r="P4497" s="199"/>
    </row>
    <row r="4498" spans="7:16" x14ac:dyDescent="0.2">
      <c r="G4498" s="199"/>
      <c r="I4498" s="199"/>
      <c r="K4498" s="199"/>
      <c r="M4498" s="199"/>
      <c r="N4498" s="200"/>
      <c r="P4498" s="199"/>
    </row>
    <row r="4499" spans="7:16" x14ac:dyDescent="0.2">
      <c r="G4499" s="199"/>
      <c r="I4499" s="199"/>
      <c r="K4499" s="199"/>
      <c r="M4499" s="199"/>
      <c r="N4499" s="200"/>
      <c r="P4499" s="199"/>
    </row>
    <row r="4500" spans="7:16" x14ac:dyDescent="0.2">
      <c r="G4500" s="199"/>
      <c r="I4500" s="199"/>
      <c r="K4500" s="199"/>
      <c r="M4500" s="199"/>
      <c r="N4500" s="200"/>
      <c r="P4500" s="199"/>
    </row>
    <row r="4501" spans="7:16" x14ac:dyDescent="0.2">
      <c r="G4501" s="199"/>
      <c r="I4501" s="199"/>
      <c r="K4501" s="199"/>
      <c r="M4501" s="199"/>
      <c r="N4501" s="200"/>
      <c r="P4501" s="199"/>
    </row>
    <row r="4502" spans="7:16" x14ac:dyDescent="0.2">
      <c r="G4502" s="199"/>
      <c r="I4502" s="199"/>
      <c r="K4502" s="199"/>
      <c r="M4502" s="199"/>
      <c r="N4502" s="200"/>
      <c r="P4502" s="199"/>
    </row>
    <row r="4503" spans="7:16" x14ac:dyDescent="0.2">
      <c r="G4503" s="199"/>
      <c r="I4503" s="199"/>
      <c r="K4503" s="199"/>
      <c r="M4503" s="199"/>
      <c r="N4503" s="200"/>
      <c r="P4503" s="199"/>
    </row>
    <row r="4504" spans="7:16" x14ac:dyDescent="0.2">
      <c r="G4504" s="199"/>
      <c r="I4504" s="199"/>
      <c r="K4504" s="199"/>
      <c r="M4504" s="199"/>
      <c r="N4504" s="200"/>
      <c r="P4504" s="199"/>
    </row>
    <row r="4505" spans="7:16" x14ac:dyDescent="0.2">
      <c r="G4505" s="199"/>
      <c r="I4505" s="199"/>
      <c r="K4505" s="199"/>
      <c r="M4505" s="199"/>
      <c r="N4505" s="200"/>
      <c r="P4505" s="199"/>
    </row>
    <row r="4506" spans="7:16" x14ac:dyDescent="0.2">
      <c r="G4506" s="199"/>
      <c r="I4506" s="199"/>
      <c r="K4506" s="199"/>
      <c r="M4506" s="199"/>
      <c r="N4506" s="200"/>
      <c r="P4506" s="199"/>
    </row>
    <row r="4507" spans="7:16" x14ac:dyDescent="0.2">
      <c r="G4507" s="199"/>
      <c r="I4507" s="199"/>
      <c r="K4507" s="199"/>
      <c r="M4507" s="199"/>
      <c r="N4507" s="200"/>
      <c r="P4507" s="199"/>
    </row>
    <row r="4508" spans="7:16" x14ac:dyDescent="0.2">
      <c r="G4508" s="199"/>
      <c r="I4508" s="199"/>
      <c r="K4508" s="199"/>
      <c r="M4508" s="199"/>
      <c r="N4508" s="200"/>
      <c r="P4508" s="199"/>
    </row>
    <row r="4509" spans="7:16" x14ac:dyDescent="0.2">
      <c r="G4509" s="199"/>
      <c r="I4509" s="199"/>
      <c r="K4509" s="199"/>
      <c r="M4509" s="199"/>
      <c r="N4509" s="200"/>
      <c r="P4509" s="199"/>
    </row>
    <row r="4510" spans="7:16" x14ac:dyDescent="0.2">
      <c r="G4510" s="199"/>
      <c r="I4510" s="199"/>
      <c r="K4510" s="199"/>
      <c r="M4510" s="199"/>
      <c r="N4510" s="200"/>
      <c r="P4510" s="199"/>
    </row>
    <row r="4511" spans="7:16" x14ac:dyDescent="0.2">
      <c r="G4511" s="199"/>
      <c r="I4511" s="199"/>
      <c r="K4511" s="199"/>
      <c r="M4511" s="199"/>
      <c r="N4511" s="200"/>
      <c r="P4511" s="199"/>
    </row>
    <row r="4512" spans="7:16" x14ac:dyDescent="0.2">
      <c r="G4512" s="199"/>
      <c r="I4512" s="199"/>
      <c r="K4512" s="199"/>
      <c r="M4512" s="199"/>
      <c r="N4512" s="200"/>
      <c r="P4512" s="199"/>
    </row>
    <row r="4513" spans="7:16" x14ac:dyDescent="0.2">
      <c r="G4513" s="199"/>
      <c r="I4513" s="199"/>
      <c r="K4513" s="199"/>
      <c r="M4513" s="199"/>
      <c r="N4513" s="200"/>
      <c r="P4513" s="199"/>
    </row>
    <row r="4514" spans="7:16" x14ac:dyDescent="0.2">
      <c r="G4514" s="199"/>
      <c r="I4514" s="199"/>
      <c r="K4514" s="199"/>
      <c r="M4514" s="199"/>
      <c r="N4514" s="200"/>
      <c r="P4514" s="199"/>
    </row>
    <row r="4515" spans="7:16" x14ac:dyDescent="0.2">
      <c r="G4515" s="199"/>
      <c r="I4515" s="199"/>
      <c r="K4515" s="199"/>
      <c r="M4515" s="199"/>
      <c r="N4515" s="200"/>
      <c r="P4515" s="199"/>
    </row>
    <row r="4516" spans="7:16" x14ac:dyDescent="0.2">
      <c r="G4516" s="199"/>
      <c r="I4516" s="199"/>
      <c r="K4516" s="199"/>
      <c r="M4516" s="199"/>
      <c r="N4516" s="200"/>
      <c r="P4516" s="199"/>
    </row>
    <row r="4517" spans="7:16" x14ac:dyDescent="0.2">
      <c r="G4517" s="199"/>
      <c r="I4517" s="199"/>
      <c r="K4517" s="199"/>
      <c r="M4517" s="199"/>
      <c r="N4517" s="200"/>
      <c r="P4517" s="199"/>
    </row>
    <row r="4518" spans="7:16" x14ac:dyDescent="0.2">
      <c r="G4518" s="199"/>
      <c r="I4518" s="199"/>
      <c r="K4518" s="199"/>
      <c r="M4518" s="199"/>
      <c r="N4518" s="200"/>
      <c r="P4518" s="199"/>
    </row>
    <row r="4519" spans="7:16" x14ac:dyDescent="0.2">
      <c r="G4519" s="199"/>
      <c r="I4519" s="199"/>
      <c r="K4519" s="199"/>
      <c r="M4519" s="199"/>
      <c r="N4519" s="200"/>
      <c r="P4519" s="199"/>
    </row>
    <row r="4520" spans="7:16" x14ac:dyDescent="0.2">
      <c r="G4520" s="199"/>
      <c r="I4520" s="199"/>
      <c r="K4520" s="199"/>
      <c r="M4520" s="199"/>
      <c r="N4520" s="200"/>
      <c r="P4520" s="199"/>
    </row>
    <row r="4521" spans="7:16" x14ac:dyDescent="0.2">
      <c r="G4521" s="199"/>
      <c r="I4521" s="199"/>
      <c r="K4521" s="199"/>
      <c r="M4521" s="199"/>
      <c r="N4521" s="200"/>
      <c r="P4521" s="199"/>
    </row>
    <row r="4522" spans="7:16" x14ac:dyDescent="0.2">
      <c r="G4522" s="199"/>
      <c r="I4522" s="199"/>
      <c r="K4522" s="199"/>
      <c r="M4522" s="199"/>
      <c r="N4522" s="200"/>
      <c r="P4522" s="199"/>
    </row>
    <row r="4523" spans="7:16" x14ac:dyDescent="0.2">
      <c r="G4523" s="199"/>
      <c r="I4523" s="199"/>
      <c r="K4523" s="199"/>
      <c r="M4523" s="199"/>
      <c r="N4523" s="200"/>
      <c r="P4523" s="199"/>
    </row>
    <row r="4524" spans="7:16" x14ac:dyDescent="0.2">
      <c r="G4524" s="199"/>
      <c r="I4524" s="199"/>
      <c r="K4524" s="199"/>
      <c r="M4524" s="199"/>
      <c r="N4524" s="200"/>
      <c r="P4524" s="199"/>
    </row>
    <row r="4525" spans="7:16" x14ac:dyDescent="0.2">
      <c r="G4525" s="199"/>
      <c r="I4525" s="199"/>
      <c r="K4525" s="199"/>
      <c r="M4525" s="199"/>
      <c r="N4525" s="200"/>
      <c r="P4525" s="199"/>
    </row>
    <row r="4526" spans="7:16" x14ac:dyDescent="0.2">
      <c r="G4526" s="199"/>
      <c r="I4526" s="199"/>
      <c r="K4526" s="199"/>
      <c r="M4526" s="199"/>
      <c r="N4526" s="200"/>
      <c r="P4526" s="199"/>
    </row>
    <row r="4527" spans="7:16" x14ac:dyDescent="0.2">
      <c r="G4527" s="199"/>
      <c r="I4527" s="199"/>
      <c r="K4527" s="199"/>
      <c r="M4527" s="199"/>
      <c r="N4527" s="200"/>
      <c r="P4527" s="199"/>
    </row>
    <row r="4528" spans="7:16" x14ac:dyDescent="0.2">
      <c r="G4528" s="199"/>
      <c r="I4528" s="199"/>
      <c r="K4528" s="199"/>
      <c r="M4528" s="199"/>
      <c r="N4528" s="200"/>
      <c r="P4528" s="199"/>
    </row>
    <row r="4529" spans="7:16" x14ac:dyDescent="0.2">
      <c r="G4529" s="199"/>
      <c r="I4529" s="199"/>
      <c r="K4529" s="199"/>
      <c r="M4529" s="199"/>
      <c r="N4529" s="200"/>
      <c r="P4529" s="199"/>
    </row>
    <row r="4530" spans="7:16" x14ac:dyDescent="0.2">
      <c r="G4530" s="199"/>
      <c r="I4530" s="199"/>
      <c r="K4530" s="199"/>
      <c r="M4530" s="199"/>
      <c r="N4530" s="200"/>
      <c r="P4530" s="199"/>
    </row>
    <row r="4531" spans="7:16" x14ac:dyDescent="0.2">
      <c r="G4531" s="199"/>
      <c r="I4531" s="199"/>
      <c r="K4531" s="199"/>
      <c r="M4531" s="199"/>
      <c r="N4531" s="200"/>
      <c r="P4531" s="199"/>
    </row>
    <row r="4532" spans="7:16" x14ac:dyDescent="0.2">
      <c r="G4532" s="199"/>
      <c r="I4532" s="199"/>
      <c r="K4532" s="199"/>
      <c r="M4532" s="199"/>
      <c r="N4532" s="200"/>
      <c r="P4532" s="199"/>
    </row>
    <row r="4533" spans="7:16" x14ac:dyDescent="0.2">
      <c r="G4533" s="199"/>
      <c r="I4533" s="199"/>
      <c r="K4533" s="199"/>
      <c r="M4533" s="199"/>
      <c r="N4533" s="200"/>
      <c r="P4533" s="199"/>
    </row>
    <row r="4534" spans="7:16" x14ac:dyDescent="0.2">
      <c r="G4534" s="199"/>
      <c r="I4534" s="199"/>
      <c r="K4534" s="199"/>
      <c r="M4534" s="199"/>
      <c r="N4534" s="200"/>
      <c r="P4534" s="199"/>
    </row>
    <row r="4535" spans="7:16" x14ac:dyDescent="0.2">
      <c r="G4535" s="199"/>
      <c r="I4535" s="199"/>
      <c r="K4535" s="199"/>
      <c r="M4535" s="199"/>
      <c r="N4535" s="200"/>
      <c r="P4535" s="199"/>
    </row>
    <row r="4536" spans="7:16" x14ac:dyDescent="0.2">
      <c r="G4536" s="199"/>
      <c r="I4536" s="199"/>
      <c r="K4536" s="199"/>
      <c r="M4536" s="199"/>
      <c r="N4536" s="200"/>
      <c r="P4536" s="199"/>
    </row>
    <row r="4537" spans="7:16" x14ac:dyDescent="0.2">
      <c r="G4537" s="199"/>
      <c r="I4537" s="199"/>
      <c r="K4537" s="199"/>
      <c r="M4537" s="199"/>
      <c r="N4537" s="200"/>
      <c r="P4537" s="199"/>
    </row>
    <row r="4538" spans="7:16" x14ac:dyDescent="0.2">
      <c r="G4538" s="199"/>
      <c r="I4538" s="199"/>
      <c r="K4538" s="199"/>
      <c r="M4538" s="199"/>
      <c r="N4538" s="200"/>
      <c r="P4538" s="199"/>
    </row>
    <row r="4539" spans="7:16" x14ac:dyDescent="0.2">
      <c r="G4539" s="199"/>
      <c r="I4539" s="199"/>
      <c r="K4539" s="199"/>
      <c r="M4539" s="199"/>
      <c r="N4539" s="200"/>
      <c r="P4539" s="199"/>
    </row>
    <row r="4540" spans="7:16" x14ac:dyDescent="0.2">
      <c r="G4540" s="199"/>
      <c r="I4540" s="199"/>
      <c r="K4540" s="199"/>
      <c r="M4540" s="199"/>
      <c r="N4540" s="200"/>
      <c r="P4540" s="199"/>
    </row>
    <row r="4541" spans="7:16" x14ac:dyDescent="0.2">
      <c r="G4541" s="199"/>
      <c r="I4541" s="199"/>
      <c r="K4541" s="199"/>
      <c r="M4541" s="199"/>
      <c r="N4541" s="200"/>
      <c r="P4541" s="199"/>
    </row>
    <row r="4542" spans="7:16" x14ac:dyDescent="0.2">
      <c r="G4542" s="199"/>
      <c r="I4542" s="199"/>
      <c r="K4542" s="199"/>
      <c r="M4542" s="199"/>
      <c r="N4542" s="200"/>
      <c r="P4542" s="199"/>
    </row>
    <row r="4543" spans="7:16" x14ac:dyDescent="0.2">
      <c r="G4543" s="199"/>
      <c r="I4543" s="199"/>
      <c r="K4543" s="199"/>
      <c r="M4543" s="199"/>
      <c r="N4543" s="200"/>
      <c r="P4543" s="199"/>
    </row>
    <row r="4544" spans="7:16" x14ac:dyDescent="0.2">
      <c r="G4544" s="199"/>
      <c r="I4544" s="199"/>
      <c r="K4544" s="199"/>
      <c r="M4544" s="199"/>
      <c r="N4544" s="200"/>
      <c r="P4544" s="199"/>
    </row>
    <row r="4545" spans="7:16" x14ac:dyDescent="0.2">
      <c r="G4545" s="199"/>
      <c r="I4545" s="199"/>
      <c r="K4545" s="199"/>
      <c r="M4545" s="199"/>
      <c r="N4545" s="200"/>
      <c r="P4545" s="199"/>
    </row>
    <row r="4546" spans="7:16" x14ac:dyDescent="0.2">
      <c r="G4546" s="199"/>
      <c r="I4546" s="199"/>
      <c r="K4546" s="199"/>
      <c r="M4546" s="199"/>
      <c r="N4546" s="200"/>
      <c r="P4546" s="199"/>
    </row>
    <row r="4547" spans="7:16" x14ac:dyDescent="0.2">
      <c r="G4547" s="199"/>
      <c r="I4547" s="199"/>
      <c r="K4547" s="199"/>
      <c r="M4547" s="199"/>
      <c r="N4547" s="200"/>
      <c r="P4547" s="199"/>
    </row>
    <row r="4548" spans="7:16" x14ac:dyDescent="0.2">
      <c r="G4548" s="199"/>
      <c r="I4548" s="199"/>
      <c r="K4548" s="199"/>
      <c r="M4548" s="199"/>
      <c r="N4548" s="200"/>
      <c r="P4548" s="199"/>
    </row>
    <row r="4549" spans="7:16" x14ac:dyDescent="0.2">
      <c r="G4549" s="199"/>
      <c r="I4549" s="199"/>
      <c r="K4549" s="199"/>
      <c r="M4549" s="199"/>
      <c r="N4549" s="200"/>
      <c r="P4549" s="199"/>
    </row>
    <row r="4550" spans="7:16" x14ac:dyDescent="0.2">
      <c r="G4550" s="199"/>
      <c r="I4550" s="199"/>
      <c r="K4550" s="199"/>
      <c r="M4550" s="199"/>
      <c r="N4550" s="200"/>
      <c r="P4550" s="199"/>
    </row>
    <row r="4551" spans="7:16" x14ac:dyDescent="0.2">
      <c r="G4551" s="199"/>
      <c r="I4551" s="199"/>
      <c r="K4551" s="199"/>
      <c r="M4551" s="199"/>
      <c r="N4551" s="200"/>
      <c r="P4551" s="199"/>
    </row>
    <row r="4552" spans="7:16" x14ac:dyDescent="0.2">
      <c r="G4552" s="199"/>
      <c r="I4552" s="199"/>
      <c r="K4552" s="199"/>
      <c r="M4552" s="199"/>
      <c r="N4552" s="200"/>
      <c r="P4552" s="199"/>
    </row>
    <row r="4553" spans="7:16" x14ac:dyDescent="0.2">
      <c r="G4553" s="199"/>
      <c r="I4553" s="199"/>
      <c r="K4553" s="199"/>
      <c r="M4553" s="199"/>
      <c r="N4553" s="200"/>
      <c r="P4553" s="199"/>
    </row>
    <row r="4554" spans="7:16" x14ac:dyDescent="0.2">
      <c r="G4554" s="199"/>
      <c r="I4554" s="199"/>
      <c r="K4554" s="199"/>
      <c r="M4554" s="199"/>
      <c r="N4554" s="200"/>
      <c r="P4554" s="199"/>
    </row>
    <row r="4555" spans="7:16" x14ac:dyDescent="0.2">
      <c r="G4555" s="199"/>
      <c r="I4555" s="199"/>
      <c r="K4555" s="199"/>
      <c r="M4555" s="199"/>
      <c r="N4555" s="200"/>
      <c r="P4555" s="199"/>
    </row>
    <row r="4556" spans="7:16" x14ac:dyDescent="0.2">
      <c r="G4556" s="199"/>
      <c r="I4556" s="199"/>
      <c r="K4556" s="199"/>
      <c r="M4556" s="199"/>
      <c r="N4556" s="200"/>
      <c r="P4556" s="199"/>
    </row>
    <row r="4557" spans="7:16" x14ac:dyDescent="0.2">
      <c r="G4557" s="199"/>
      <c r="I4557" s="199"/>
      <c r="K4557" s="199"/>
      <c r="M4557" s="199"/>
      <c r="N4557" s="200"/>
      <c r="P4557" s="199"/>
    </row>
    <row r="4558" spans="7:16" x14ac:dyDescent="0.2">
      <c r="G4558" s="199"/>
      <c r="I4558" s="199"/>
      <c r="K4558" s="199"/>
      <c r="M4558" s="199"/>
      <c r="N4558" s="200"/>
      <c r="P4558" s="199"/>
    </row>
    <row r="4559" spans="7:16" x14ac:dyDescent="0.2">
      <c r="G4559" s="199"/>
      <c r="I4559" s="199"/>
      <c r="K4559" s="199"/>
      <c r="M4559" s="199"/>
      <c r="N4559" s="200"/>
      <c r="P4559" s="199"/>
    </row>
    <row r="4560" spans="7:16" x14ac:dyDescent="0.2">
      <c r="G4560" s="199"/>
      <c r="I4560" s="199"/>
      <c r="K4560" s="199"/>
      <c r="M4560" s="199"/>
      <c r="N4560" s="200"/>
      <c r="P4560" s="199"/>
    </row>
    <row r="4561" spans="7:16" x14ac:dyDescent="0.2">
      <c r="G4561" s="199"/>
      <c r="I4561" s="199"/>
      <c r="K4561" s="199"/>
      <c r="M4561" s="199"/>
      <c r="N4561" s="200"/>
      <c r="P4561" s="199"/>
    </row>
    <row r="4562" spans="7:16" x14ac:dyDescent="0.2">
      <c r="G4562" s="199"/>
      <c r="I4562" s="199"/>
      <c r="K4562" s="199"/>
      <c r="M4562" s="199"/>
      <c r="N4562" s="200"/>
      <c r="P4562" s="199"/>
    </row>
    <row r="4563" spans="7:16" x14ac:dyDescent="0.2">
      <c r="G4563" s="199"/>
      <c r="I4563" s="199"/>
      <c r="K4563" s="199"/>
      <c r="M4563" s="199"/>
      <c r="N4563" s="200"/>
      <c r="P4563" s="199"/>
    </row>
    <row r="4564" spans="7:16" x14ac:dyDescent="0.2">
      <c r="G4564" s="199"/>
      <c r="I4564" s="199"/>
      <c r="K4564" s="199"/>
      <c r="M4564" s="199"/>
      <c r="N4564" s="200"/>
      <c r="P4564" s="199"/>
    </row>
    <row r="4565" spans="7:16" x14ac:dyDescent="0.2">
      <c r="G4565" s="199"/>
      <c r="I4565" s="199"/>
      <c r="K4565" s="199"/>
      <c r="M4565" s="199"/>
      <c r="N4565" s="200"/>
      <c r="P4565" s="199"/>
    </row>
    <row r="4566" spans="7:16" x14ac:dyDescent="0.2">
      <c r="G4566" s="199"/>
      <c r="I4566" s="199"/>
      <c r="K4566" s="199"/>
      <c r="M4566" s="199"/>
      <c r="N4566" s="200"/>
      <c r="P4566" s="199"/>
    </row>
    <row r="4567" spans="7:16" x14ac:dyDescent="0.2">
      <c r="G4567" s="199"/>
      <c r="I4567" s="199"/>
      <c r="K4567" s="199"/>
      <c r="M4567" s="199"/>
      <c r="N4567" s="200"/>
      <c r="P4567" s="199"/>
    </row>
    <row r="4568" spans="7:16" x14ac:dyDescent="0.2">
      <c r="G4568" s="199"/>
      <c r="I4568" s="199"/>
      <c r="K4568" s="199"/>
      <c r="M4568" s="199"/>
      <c r="N4568" s="200"/>
      <c r="P4568" s="199"/>
    </row>
    <row r="4569" spans="7:16" x14ac:dyDescent="0.2">
      <c r="G4569" s="199"/>
      <c r="I4569" s="199"/>
      <c r="K4569" s="199"/>
      <c r="M4569" s="199"/>
      <c r="N4569" s="200"/>
      <c r="P4569" s="199"/>
    </row>
    <row r="4570" spans="7:16" x14ac:dyDescent="0.2">
      <c r="G4570" s="199"/>
      <c r="I4570" s="199"/>
      <c r="K4570" s="199"/>
      <c r="M4570" s="199"/>
      <c r="N4570" s="200"/>
      <c r="P4570" s="199"/>
    </row>
    <row r="4571" spans="7:16" x14ac:dyDescent="0.2">
      <c r="G4571" s="199"/>
      <c r="I4571" s="199"/>
      <c r="K4571" s="199"/>
      <c r="M4571" s="199"/>
      <c r="N4571" s="200"/>
      <c r="P4571" s="199"/>
    </row>
    <row r="4572" spans="7:16" x14ac:dyDescent="0.2">
      <c r="G4572" s="199"/>
      <c r="I4572" s="199"/>
      <c r="K4572" s="199"/>
      <c r="M4572" s="199"/>
      <c r="N4572" s="200"/>
      <c r="P4572" s="199"/>
    </row>
    <row r="4573" spans="7:16" x14ac:dyDescent="0.2">
      <c r="G4573" s="199"/>
      <c r="I4573" s="199"/>
      <c r="K4573" s="199"/>
      <c r="M4573" s="199"/>
      <c r="N4573" s="200"/>
      <c r="P4573" s="199"/>
    </row>
    <row r="4574" spans="7:16" x14ac:dyDescent="0.2">
      <c r="G4574" s="199"/>
      <c r="I4574" s="199"/>
      <c r="K4574" s="199"/>
      <c r="M4574" s="199"/>
      <c r="N4574" s="200"/>
      <c r="P4574" s="199"/>
    </row>
    <row r="4575" spans="7:16" x14ac:dyDescent="0.2">
      <c r="G4575" s="199"/>
      <c r="I4575" s="199"/>
      <c r="K4575" s="199"/>
      <c r="M4575" s="199"/>
      <c r="N4575" s="200"/>
      <c r="P4575" s="199"/>
    </row>
    <row r="4576" spans="7:16" x14ac:dyDescent="0.2">
      <c r="G4576" s="199"/>
      <c r="I4576" s="199"/>
      <c r="K4576" s="199"/>
      <c r="M4576" s="199"/>
      <c r="N4576" s="200"/>
      <c r="P4576" s="199"/>
    </row>
    <row r="4577" spans="7:16" x14ac:dyDescent="0.2">
      <c r="G4577" s="199"/>
      <c r="I4577" s="199"/>
      <c r="K4577" s="199"/>
      <c r="M4577" s="199"/>
      <c r="N4577" s="200"/>
      <c r="P4577" s="199"/>
    </row>
    <row r="4578" spans="7:16" x14ac:dyDescent="0.2">
      <c r="G4578" s="199"/>
      <c r="I4578" s="199"/>
      <c r="K4578" s="199"/>
      <c r="M4578" s="199"/>
      <c r="N4578" s="200"/>
      <c r="P4578" s="199"/>
    </row>
    <row r="4579" spans="7:16" x14ac:dyDescent="0.2">
      <c r="G4579" s="199"/>
      <c r="I4579" s="199"/>
      <c r="K4579" s="199"/>
      <c r="M4579" s="199"/>
      <c r="N4579" s="200"/>
      <c r="P4579" s="199"/>
    </row>
    <row r="4580" spans="7:16" x14ac:dyDescent="0.2">
      <c r="G4580" s="199"/>
      <c r="I4580" s="199"/>
      <c r="K4580" s="199"/>
      <c r="M4580" s="199"/>
      <c r="N4580" s="200"/>
      <c r="P4580" s="199"/>
    </row>
    <row r="4581" spans="7:16" x14ac:dyDescent="0.2">
      <c r="G4581" s="199"/>
      <c r="I4581" s="199"/>
      <c r="K4581" s="199"/>
      <c r="M4581" s="199"/>
      <c r="N4581" s="200"/>
      <c r="P4581" s="199"/>
    </row>
    <row r="4582" spans="7:16" x14ac:dyDescent="0.2">
      <c r="G4582" s="199"/>
      <c r="I4582" s="199"/>
      <c r="K4582" s="199"/>
      <c r="M4582" s="199"/>
      <c r="N4582" s="200"/>
      <c r="P4582" s="199"/>
    </row>
    <row r="4583" spans="7:16" x14ac:dyDescent="0.2">
      <c r="G4583" s="199"/>
      <c r="I4583" s="199"/>
      <c r="K4583" s="199"/>
      <c r="M4583" s="199"/>
      <c r="N4583" s="200"/>
      <c r="P4583" s="199"/>
    </row>
    <row r="4584" spans="7:16" x14ac:dyDescent="0.2">
      <c r="G4584" s="199"/>
      <c r="I4584" s="199"/>
      <c r="K4584" s="199"/>
      <c r="M4584" s="199"/>
      <c r="N4584" s="200"/>
      <c r="P4584" s="199"/>
    </row>
    <row r="4585" spans="7:16" x14ac:dyDescent="0.2">
      <c r="G4585" s="199"/>
      <c r="I4585" s="199"/>
      <c r="K4585" s="199"/>
      <c r="M4585" s="199"/>
      <c r="N4585" s="200"/>
      <c r="P4585" s="199"/>
    </row>
    <row r="4586" spans="7:16" x14ac:dyDescent="0.2">
      <c r="G4586" s="199"/>
      <c r="I4586" s="199"/>
      <c r="K4586" s="199"/>
      <c r="M4586" s="199"/>
      <c r="N4586" s="200"/>
      <c r="P4586" s="199"/>
    </row>
    <row r="4587" spans="7:16" x14ac:dyDescent="0.2">
      <c r="G4587" s="199"/>
      <c r="I4587" s="199"/>
      <c r="K4587" s="199"/>
      <c r="M4587" s="199"/>
      <c r="N4587" s="200"/>
      <c r="P4587" s="199"/>
    </row>
    <row r="4588" spans="7:16" x14ac:dyDescent="0.2">
      <c r="G4588" s="199"/>
      <c r="I4588" s="199"/>
      <c r="K4588" s="199"/>
      <c r="M4588" s="199"/>
      <c r="N4588" s="200"/>
      <c r="P4588" s="199"/>
    </row>
    <row r="4589" spans="7:16" x14ac:dyDescent="0.2">
      <c r="G4589" s="199"/>
      <c r="I4589" s="199"/>
      <c r="K4589" s="199"/>
      <c r="M4589" s="199"/>
      <c r="N4589" s="200"/>
      <c r="P4589" s="199"/>
    </row>
    <row r="4590" spans="7:16" x14ac:dyDescent="0.2">
      <c r="G4590" s="199"/>
      <c r="I4590" s="199"/>
      <c r="K4590" s="199"/>
      <c r="M4590" s="199"/>
      <c r="N4590" s="200"/>
      <c r="P4590" s="199"/>
    </row>
    <row r="4591" spans="7:16" x14ac:dyDescent="0.2">
      <c r="G4591" s="199"/>
      <c r="I4591" s="199"/>
      <c r="K4591" s="199"/>
      <c r="M4591" s="199"/>
      <c r="N4591" s="200"/>
      <c r="P4591" s="199"/>
    </row>
    <row r="4592" spans="7:16" x14ac:dyDescent="0.2">
      <c r="G4592" s="199"/>
      <c r="I4592" s="199"/>
      <c r="K4592" s="199"/>
      <c r="M4592" s="199"/>
      <c r="N4592" s="200"/>
      <c r="P4592" s="199"/>
    </row>
    <row r="4593" spans="7:16" x14ac:dyDescent="0.2">
      <c r="G4593" s="199"/>
      <c r="I4593" s="199"/>
      <c r="K4593" s="199"/>
      <c r="M4593" s="199"/>
      <c r="N4593" s="200"/>
      <c r="P4593" s="199"/>
    </row>
    <row r="4594" spans="7:16" x14ac:dyDescent="0.2">
      <c r="G4594" s="199"/>
      <c r="I4594" s="199"/>
      <c r="K4594" s="199"/>
      <c r="M4594" s="199"/>
      <c r="N4594" s="200"/>
      <c r="P4594" s="199"/>
    </row>
    <row r="4595" spans="7:16" x14ac:dyDescent="0.2">
      <c r="G4595" s="199"/>
      <c r="I4595" s="199"/>
      <c r="K4595" s="199"/>
      <c r="M4595" s="199"/>
      <c r="N4595" s="200"/>
      <c r="P4595" s="199"/>
    </row>
    <row r="4596" spans="7:16" x14ac:dyDescent="0.2">
      <c r="G4596" s="199"/>
      <c r="I4596" s="199"/>
      <c r="K4596" s="199"/>
      <c r="M4596" s="199"/>
      <c r="N4596" s="200"/>
      <c r="P4596" s="199"/>
    </row>
    <row r="4597" spans="7:16" x14ac:dyDescent="0.2">
      <c r="G4597" s="199"/>
      <c r="I4597" s="199"/>
      <c r="K4597" s="199"/>
      <c r="M4597" s="199"/>
      <c r="N4597" s="200"/>
      <c r="P4597" s="199"/>
    </row>
    <row r="4598" spans="7:16" x14ac:dyDescent="0.2">
      <c r="G4598" s="199"/>
      <c r="I4598" s="199"/>
      <c r="K4598" s="199"/>
      <c r="M4598" s="199"/>
      <c r="N4598" s="200"/>
      <c r="P4598" s="199"/>
    </row>
    <row r="4599" spans="7:16" x14ac:dyDescent="0.2">
      <c r="G4599" s="199"/>
      <c r="I4599" s="199"/>
      <c r="K4599" s="199"/>
      <c r="M4599" s="199"/>
      <c r="N4599" s="200"/>
      <c r="P4599" s="199"/>
    </row>
    <row r="4600" spans="7:16" x14ac:dyDescent="0.2">
      <c r="G4600" s="199"/>
      <c r="I4600" s="199"/>
      <c r="K4600" s="199"/>
      <c r="M4600" s="199"/>
      <c r="N4600" s="200"/>
      <c r="P4600" s="199"/>
    </row>
    <row r="4601" spans="7:16" x14ac:dyDescent="0.2">
      <c r="G4601" s="199"/>
      <c r="I4601" s="199"/>
      <c r="K4601" s="199"/>
      <c r="M4601" s="199"/>
      <c r="N4601" s="200"/>
      <c r="P4601" s="199"/>
    </row>
    <row r="4602" spans="7:16" x14ac:dyDescent="0.2">
      <c r="G4602" s="199"/>
      <c r="I4602" s="199"/>
      <c r="K4602" s="199"/>
      <c r="M4602" s="199"/>
      <c r="N4602" s="200"/>
      <c r="P4602" s="199"/>
    </row>
    <row r="4603" spans="7:16" x14ac:dyDescent="0.2">
      <c r="G4603" s="199"/>
      <c r="I4603" s="199"/>
      <c r="K4603" s="199"/>
      <c r="M4603" s="199"/>
      <c r="N4603" s="200"/>
      <c r="P4603" s="199"/>
    </row>
    <row r="4604" spans="7:16" x14ac:dyDescent="0.2">
      <c r="G4604" s="199"/>
      <c r="I4604" s="199"/>
      <c r="K4604" s="199"/>
      <c r="M4604" s="199"/>
      <c r="N4604" s="200"/>
      <c r="P4604" s="199"/>
    </row>
    <row r="4605" spans="7:16" x14ac:dyDescent="0.2">
      <c r="G4605" s="199"/>
      <c r="I4605" s="199"/>
      <c r="K4605" s="199"/>
      <c r="M4605" s="199"/>
      <c r="N4605" s="200"/>
      <c r="P4605" s="199"/>
    </row>
    <row r="4606" spans="7:16" x14ac:dyDescent="0.2">
      <c r="G4606" s="199"/>
      <c r="I4606" s="199"/>
      <c r="K4606" s="199"/>
      <c r="M4606" s="199"/>
      <c r="N4606" s="200"/>
      <c r="P4606" s="199"/>
    </row>
    <row r="4607" spans="7:16" x14ac:dyDescent="0.2">
      <c r="G4607" s="199"/>
      <c r="I4607" s="199"/>
      <c r="K4607" s="199"/>
      <c r="M4607" s="199"/>
      <c r="N4607" s="200"/>
      <c r="P4607" s="199"/>
    </row>
    <row r="4608" spans="7:16" x14ac:dyDescent="0.2">
      <c r="G4608" s="199"/>
      <c r="I4608" s="199"/>
      <c r="K4608" s="199"/>
      <c r="M4608" s="199"/>
      <c r="N4608" s="200"/>
      <c r="P4608" s="199"/>
    </row>
    <row r="4609" spans="7:16" x14ac:dyDescent="0.2">
      <c r="G4609" s="199"/>
      <c r="I4609" s="199"/>
      <c r="K4609" s="199"/>
      <c r="M4609" s="199"/>
      <c r="N4609" s="200"/>
      <c r="P4609" s="199"/>
    </row>
    <row r="4610" spans="7:16" x14ac:dyDescent="0.2">
      <c r="G4610" s="199"/>
      <c r="I4610" s="199"/>
      <c r="K4610" s="199"/>
      <c r="M4610" s="199"/>
      <c r="N4610" s="200"/>
      <c r="P4610" s="199"/>
    </row>
    <row r="4611" spans="7:16" x14ac:dyDescent="0.2">
      <c r="G4611" s="199"/>
      <c r="I4611" s="199"/>
      <c r="K4611" s="199"/>
      <c r="M4611" s="199"/>
      <c r="N4611" s="200"/>
      <c r="P4611" s="199"/>
    </row>
    <row r="4612" spans="7:16" x14ac:dyDescent="0.2">
      <c r="G4612" s="199"/>
      <c r="I4612" s="199"/>
      <c r="K4612" s="199"/>
      <c r="M4612" s="199"/>
      <c r="N4612" s="200"/>
      <c r="P4612" s="199"/>
    </row>
    <row r="4613" spans="7:16" x14ac:dyDescent="0.2">
      <c r="G4613" s="199"/>
      <c r="I4613" s="199"/>
      <c r="K4613" s="199"/>
      <c r="M4613" s="199"/>
      <c r="N4613" s="200"/>
      <c r="P4613" s="199"/>
    </row>
    <row r="4614" spans="7:16" x14ac:dyDescent="0.2">
      <c r="G4614" s="199"/>
      <c r="I4614" s="199"/>
      <c r="K4614" s="199"/>
      <c r="M4614" s="199"/>
      <c r="N4614" s="200"/>
      <c r="P4614" s="199"/>
    </row>
    <row r="4615" spans="7:16" x14ac:dyDescent="0.2">
      <c r="G4615" s="199"/>
      <c r="I4615" s="199"/>
      <c r="K4615" s="199"/>
      <c r="M4615" s="199"/>
      <c r="N4615" s="200"/>
      <c r="P4615" s="199"/>
    </row>
    <row r="4616" spans="7:16" x14ac:dyDescent="0.2">
      <c r="G4616" s="199"/>
      <c r="I4616" s="199"/>
      <c r="K4616" s="199"/>
      <c r="M4616" s="199"/>
      <c r="N4616" s="200"/>
      <c r="P4616" s="199"/>
    </row>
    <row r="4617" spans="7:16" x14ac:dyDescent="0.2">
      <c r="G4617" s="199"/>
      <c r="I4617" s="199"/>
      <c r="K4617" s="199"/>
      <c r="M4617" s="199"/>
      <c r="N4617" s="200"/>
      <c r="P4617" s="199"/>
    </row>
    <row r="4618" spans="7:16" x14ac:dyDescent="0.2">
      <c r="G4618" s="199"/>
      <c r="I4618" s="199"/>
      <c r="K4618" s="199"/>
      <c r="M4618" s="199"/>
      <c r="N4618" s="200"/>
      <c r="P4618" s="199"/>
    </row>
    <row r="4619" spans="7:16" x14ac:dyDescent="0.2">
      <c r="G4619" s="199"/>
      <c r="I4619" s="199"/>
      <c r="K4619" s="199"/>
      <c r="M4619" s="199"/>
      <c r="N4619" s="200"/>
      <c r="P4619" s="199"/>
    </row>
    <row r="4620" spans="7:16" x14ac:dyDescent="0.2">
      <c r="G4620" s="199"/>
      <c r="I4620" s="199"/>
      <c r="K4620" s="199"/>
      <c r="M4620" s="199"/>
      <c r="N4620" s="200"/>
      <c r="P4620" s="199"/>
    </row>
    <row r="4621" spans="7:16" x14ac:dyDescent="0.2">
      <c r="G4621" s="199"/>
      <c r="I4621" s="199"/>
      <c r="K4621" s="199"/>
      <c r="M4621" s="199"/>
      <c r="N4621" s="200"/>
      <c r="P4621" s="199"/>
    </row>
    <row r="4622" spans="7:16" x14ac:dyDescent="0.2">
      <c r="G4622" s="199"/>
      <c r="I4622" s="199"/>
      <c r="K4622" s="199"/>
      <c r="M4622" s="199"/>
      <c r="N4622" s="200"/>
      <c r="P4622" s="199"/>
    </row>
    <row r="4623" spans="7:16" x14ac:dyDescent="0.2">
      <c r="G4623" s="199"/>
      <c r="I4623" s="199"/>
      <c r="K4623" s="199"/>
      <c r="M4623" s="199"/>
      <c r="N4623" s="200"/>
      <c r="P4623" s="199"/>
    </row>
    <row r="4624" spans="7:16" x14ac:dyDescent="0.2">
      <c r="G4624" s="199"/>
      <c r="I4624" s="199"/>
      <c r="K4624" s="199"/>
      <c r="M4624" s="199"/>
      <c r="N4624" s="200"/>
      <c r="P4624" s="199"/>
    </row>
    <row r="4625" spans="7:16" x14ac:dyDescent="0.2">
      <c r="G4625" s="199"/>
      <c r="I4625" s="199"/>
      <c r="K4625" s="199"/>
      <c r="M4625" s="199"/>
      <c r="N4625" s="200"/>
      <c r="P4625" s="199"/>
    </row>
    <row r="4626" spans="7:16" x14ac:dyDescent="0.2">
      <c r="G4626" s="199"/>
      <c r="I4626" s="199"/>
      <c r="K4626" s="199"/>
      <c r="M4626" s="199"/>
      <c r="N4626" s="200"/>
      <c r="P4626" s="199"/>
    </row>
    <row r="4627" spans="7:16" x14ac:dyDescent="0.2">
      <c r="G4627" s="199"/>
      <c r="I4627" s="199"/>
      <c r="K4627" s="199"/>
      <c r="M4627" s="199"/>
      <c r="N4627" s="200"/>
      <c r="P4627" s="199"/>
    </row>
    <row r="4628" spans="7:16" x14ac:dyDescent="0.2">
      <c r="G4628" s="199"/>
      <c r="I4628" s="199"/>
      <c r="K4628" s="199"/>
      <c r="M4628" s="199"/>
      <c r="N4628" s="200"/>
      <c r="P4628" s="199"/>
    </row>
    <row r="4629" spans="7:16" x14ac:dyDescent="0.2">
      <c r="G4629" s="199"/>
      <c r="I4629" s="199"/>
      <c r="K4629" s="199"/>
      <c r="M4629" s="199"/>
      <c r="N4629" s="200"/>
      <c r="P4629" s="199"/>
    </row>
    <row r="4630" spans="7:16" x14ac:dyDescent="0.2">
      <c r="G4630" s="199"/>
      <c r="I4630" s="199"/>
      <c r="K4630" s="199"/>
      <c r="M4630" s="199"/>
      <c r="N4630" s="200"/>
      <c r="P4630" s="199"/>
    </row>
    <row r="4631" spans="7:16" x14ac:dyDescent="0.2">
      <c r="G4631" s="199"/>
      <c r="I4631" s="199"/>
      <c r="K4631" s="199"/>
      <c r="M4631" s="199"/>
      <c r="N4631" s="200"/>
      <c r="P4631" s="199"/>
    </row>
    <row r="4632" spans="7:16" x14ac:dyDescent="0.2">
      <c r="G4632" s="199"/>
      <c r="I4632" s="199"/>
      <c r="K4632" s="199"/>
      <c r="M4632" s="199"/>
      <c r="N4632" s="200"/>
      <c r="P4632" s="199"/>
    </row>
    <row r="4633" spans="7:16" x14ac:dyDescent="0.2">
      <c r="G4633" s="199"/>
      <c r="I4633" s="199"/>
      <c r="K4633" s="199"/>
      <c r="M4633" s="199"/>
      <c r="N4633" s="200"/>
      <c r="P4633" s="199"/>
    </row>
    <row r="4634" spans="7:16" x14ac:dyDescent="0.2">
      <c r="G4634" s="199"/>
      <c r="I4634" s="199"/>
      <c r="K4634" s="199"/>
      <c r="M4634" s="199"/>
      <c r="N4634" s="200"/>
      <c r="P4634" s="199"/>
    </row>
    <row r="4635" spans="7:16" x14ac:dyDescent="0.2">
      <c r="G4635" s="199"/>
      <c r="I4635" s="199"/>
      <c r="K4635" s="199"/>
      <c r="M4635" s="199"/>
      <c r="N4635" s="200"/>
      <c r="P4635" s="199"/>
    </row>
    <row r="4636" spans="7:16" x14ac:dyDescent="0.2">
      <c r="G4636" s="199"/>
      <c r="I4636" s="199"/>
      <c r="K4636" s="199"/>
      <c r="M4636" s="199"/>
      <c r="N4636" s="200"/>
      <c r="P4636" s="199"/>
    </row>
    <row r="4637" spans="7:16" x14ac:dyDescent="0.2">
      <c r="G4637" s="199"/>
      <c r="I4637" s="199"/>
      <c r="K4637" s="199"/>
      <c r="M4637" s="199"/>
      <c r="N4637" s="200"/>
      <c r="P4637" s="199"/>
    </row>
    <row r="4638" spans="7:16" x14ac:dyDescent="0.2">
      <c r="G4638" s="199"/>
      <c r="I4638" s="199"/>
      <c r="K4638" s="199"/>
      <c r="M4638" s="199"/>
      <c r="N4638" s="200"/>
      <c r="P4638" s="199"/>
    </row>
    <row r="4639" spans="7:16" x14ac:dyDescent="0.2">
      <c r="G4639" s="199"/>
      <c r="I4639" s="199"/>
      <c r="K4639" s="199"/>
      <c r="M4639" s="199"/>
      <c r="N4639" s="200"/>
      <c r="P4639" s="199"/>
    </row>
    <row r="4640" spans="7:16" x14ac:dyDescent="0.2">
      <c r="G4640" s="199"/>
      <c r="I4640" s="199"/>
      <c r="K4640" s="199"/>
      <c r="M4640" s="199"/>
      <c r="N4640" s="200"/>
      <c r="P4640" s="199"/>
    </row>
    <row r="4641" spans="7:16" x14ac:dyDescent="0.2">
      <c r="G4641" s="199"/>
      <c r="I4641" s="199"/>
      <c r="K4641" s="199"/>
      <c r="M4641" s="199"/>
      <c r="N4641" s="200"/>
      <c r="P4641" s="199"/>
    </row>
    <row r="4642" spans="7:16" x14ac:dyDescent="0.2">
      <c r="G4642" s="199"/>
      <c r="I4642" s="199"/>
      <c r="K4642" s="199"/>
      <c r="M4642" s="199"/>
      <c r="N4642" s="200"/>
      <c r="P4642" s="199"/>
    </row>
    <row r="4643" spans="7:16" x14ac:dyDescent="0.2">
      <c r="G4643" s="199"/>
      <c r="I4643" s="199"/>
      <c r="K4643" s="199"/>
      <c r="M4643" s="199"/>
      <c r="N4643" s="200"/>
      <c r="P4643" s="199"/>
    </row>
    <row r="4644" spans="7:16" x14ac:dyDescent="0.2">
      <c r="G4644" s="199"/>
      <c r="I4644" s="199"/>
      <c r="K4644" s="199"/>
      <c r="M4644" s="199"/>
      <c r="N4644" s="200"/>
      <c r="P4644" s="199"/>
    </row>
    <row r="4645" spans="7:16" x14ac:dyDescent="0.2">
      <c r="G4645" s="199"/>
      <c r="I4645" s="199"/>
      <c r="K4645" s="199"/>
      <c r="M4645" s="199"/>
      <c r="N4645" s="200"/>
      <c r="P4645" s="199"/>
    </row>
    <row r="4646" spans="7:16" x14ac:dyDescent="0.2">
      <c r="G4646" s="199"/>
      <c r="I4646" s="199"/>
      <c r="K4646" s="199"/>
      <c r="M4646" s="199"/>
      <c r="N4646" s="200"/>
      <c r="P4646" s="199"/>
    </row>
    <row r="4647" spans="7:16" x14ac:dyDescent="0.2">
      <c r="G4647" s="199"/>
      <c r="I4647" s="199"/>
      <c r="K4647" s="199"/>
      <c r="M4647" s="199"/>
      <c r="N4647" s="200"/>
      <c r="P4647" s="199"/>
    </row>
    <row r="4648" spans="7:16" x14ac:dyDescent="0.2">
      <c r="G4648" s="199"/>
      <c r="I4648" s="199"/>
      <c r="K4648" s="199"/>
      <c r="M4648" s="199"/>
      <c r="N4648" s="200"/>
      <c r="P4648" s="199"/>
    </row>
    <row r="4649" spans="7:16" x14ac:dyDescent="0.2">
      <c r="G4649" s="199"/>
      <c r="I4649" s="199"/>
      <c r="K4649" s="199"/>
      <c r="M4649" s="199"/>
      <c r="N4649" s="200"/>
      <c r="P4649" s="199"/>
    </row>
    <row r="4650" spans="7:16" x14ac:dyDescent="0.2">
      <c r="G4650" s="199"/>
      <c r="I4650" s="199"/>
      <c r="K4650" s="199"/>
      <c r="M4650" s="199"/>
      <c r="N4650" s="200"/>
      <c r="P4650" s="199"/>
    </row>
    <row r="4651" spans="7:16" x14ac:dyDescent="0.2">
      <c r="G4651" s="199"/>
      <c r="I4651" s="199"/>
      <c r="K4651" s="199"/>
      <c r="M4651" s="199"/>
      <c r="N4651" s="200"/>
      <c r="P4651" s="199"/>
    </row>
    <row r="4652" spans="7:16" x14ac:dyDescent="0.2">
      <c r="G4652" s="199"/>
      <c r="I4652" s="199"/>
      <c r="K4652" s="199"/>
      <c r="M4652" s="199"/>
      <c r="N4652" s="200"/>
      <c r="P4652" s="199"/>
    </row>
    <row r="4653" spans="7:16" x14ac:dyDescent="0.2">
      <c r="G4653" s="199"/>
      <c r="I4653" s="199"/>
      <c r="K4653" s="199"/>
      <c r="M4653" s="199"/>
      <c r="N4653" s="200"/>
      <c r="P4653" s="199"/>
    </row>
    <row r="4654" spans="7:16" x14ac:dyDescent="0.2">
      <c r="G4654" s="199"/>
      <c r="I4654" s="199"/>
      <c r="K4654" s="199"/>
      <c r="M4654" s="199"/>
      <c r="N4654" s="200"/>
      <c r="P4654" s="199"/>
    </row>
    <row r="4655" spans="7:16" x14ac:dyDescent="0.2">
      <c r="G4655" s="199"/>
      <c r="I4655" s="199"/>
      <c r="K4655" s="199"/>
      <c r="M4655" s="199"/>
      <c r="N4655" s="200"/>
      <c r="P4655" s="199"/>
    </row>
    <row r="4656" spans="7:16" x14ac:dyDescent="0.2">
      <c r="G4656" s="199"/>
      <c r="I4656" s="199"/>
      <c r="K4656" s="199"/>
      <c r="M4656" s="199"/>
      <c r="N4656" s="200"/>
      <c r="P4656" s="199"/>
    </row>
    <row r="4657" spans="7:16" x14ac:dyDescent="0.2">
      <c r="G4657" s="199"/>
      <c r="I4657" s="199"/>
      <c r="K4657" s="199"/>
      <c r="M4657" s="199"/>
      <c r="N4657" s="200"/>
      <c r="P4657" s="199"/>
    </row>
    <row r="4658" spans="7:16" x14ac:dyDescent="0.2">
      <c r="G4658" s="199"/>
      <c r="I4658" s="199"/>
      <c r="K4658" s="199"/>
      <c r="M4658" s="199"/>
      <c r="N4658" s="200"/>
      <c r="P4658" s="199"/>
    </row>
    <row r="4659" spans="7:16" x14ac:dyDescent="0.2">
      <c r="G4659" s="199"/>
      <c r="I4659" s="199"/>
      <c r="K4659" s="199"/>
      <c r="M4659" s="199"/>
      <c r="N4659" s="200"/>
      <c r="P4659" s="199"/>
    </row>
    <row r="4660" spans="7:16" x14ac:dyDescent="0.2">
      <c r="G4660" s="199"/>
      <c r="I4660" s="199"/>
      <c r="K4660" s="199"/>
      <c r="M4660" s="199"/>
      <c r="N4660" s="200"/>
      <c r="P4660" s="199"/>
    </row>
    <row r="4661" spans="7:16" x14ac:dyDescent="0.2">
      <c r="G4661" s="199"/>
      <c r="I4661" s="199"/>
      <c r="K4661" s="199"/>
      <c r="M4661" s="199"/>
      <c r="N4661" s="200"/>
      <c r="P4661" s="199"/>
    </row>
    <row r="4662" spans="7:16" x14ac:dyDescent="0.2">
      <c r="G4662" s="199"/>
      <c r="I4662" s="199"/>
      <c r="K4662" s="199"/>
      <c r="M4662" s="199"/>
      <c r="N4662" s="200"/>
      <c r="P4662" s="199"/>
    </row>
    <row r="4663" spans="7:16" x14ac:dyDescent="0.2">
      <c r="G4663" s="199"/>
      <c r="I4663" s="199"/>
      <c r="K4663" s="199"/>
      <c r="M4663" s="199"/>
      <c r="N4663" s="200"/>
      <c r="P4663" s="199"/>
    </row>
    <row r="4664" spans="7:16" x14ac:dyDescent="0.2">
      <c r="G4664" s="199"/>
      <c r="I4664" s="199"/>
      <c r="K4664" s="199"/>
      <c r="M4664" s="199"/>
      <c r="N4664" s="200"/>
      <c r="P4664" s="199"/>
    </row>
    <row r="4665" spans="7:16" x14ac:dyDescent="0.2">
      <c r="G4665" s="199"/>
      <c r="I4665" s="199"/>
      <c r="K4665" s="199"/>
      <c r="M4665" s="199"/>
      <c r="N4665" s="200"/>
      <c r="P4665" s="199"/>
    </row>
    <row r="4666" spans="7:16" x14ac:dyDescent="0.2">
      <c r="G4666" s="199"/>
      <c r="I4666" s="199"/>
      <c r="K4666" s="199"/>
      <c r="M4666" s="199"/>
      <c r="N4666" s="200"/>
      <c r="P4666" s="199"/>
    </row>
    <row r="4667" spans="7:16" x14ac:dyDescent="0.2">
      <c r="G4667" s="199"/>
      <c r="I4667" s="199"/>
      <c r="K4667" s="199"/>
      <c r="M4667" s="199"/>
      <c r="N4667" s="200"/>
      <c r="P4667" s="199"/>
    </row>
    <row r="4668" spans="7:16" x14ac:dyDescent="0.2">
      <c r="G4668" s="199"/>
      <c r="I4668" s="199"/>
      <c r="K4668" s="199"/>
      <c r="M4668" s="199"/>
      <c r="N4668" s="200"/>
      <c r="P4668" s="199"/>
    </row>
    <row r="4669" spans="7:16" x14ac:dyDescent="0.2">
      <c r="G4669" s="199"/>
      <c r="I4669" s="199"/>
      <c r="K4669" s="199"/>
      <c r="M4669" s="199"/>
      <c r="N4669" s="200"/>
      <c r="P4669" s="199"/>
    </row>
    <row r="4670" spans="7:16" x14ac:dyDescent="0.2">
      <c r="G4670" s="199"/>
      <c r="I4670" s="199"/>
      <c r="K4670" s="199"/>
      <c r="M4670" s="199"/>
      <c r="N4670" s="200"/>
      <c r="P4670" s="199"/>
    </row>
    <row r="4671" spans="7:16" x14ac:dyDescent="0.2">
      <c r="G4671" s="199"/>
      <c r="I4671" s="199"/>
      <c r="K4671" s="199"/>
      <c r="M4671" s="199"/>
      <c r="N4671" s="200"/>
      <c r="P4671" s="199"/>
    </row>
    <row r="4672" spans="7:16" x14ac:dyDescent="0.2">
      <c r="G4672" s="199"/>
      <c r="I4672" s="199"/>
      <c r="K4672" s="199"/>
      <c r="M4672" s="199"/>
      <c r="N4672" s="200"/>
      <c r="P4672" s="199"/>
    </row>
    <row r="4673" spans="7:16" x14ac:dyDescent="0.2">
      <c r="G4673" s="199"/>
      <c r="I4673" s="199"/>
      <c r="K4673" s="199"/>
      <c r="M4673" s="199"/>
      <c r="N4673" s="200"/>
      <c r="P4673" s="199"/>
    </row>
    <row r="4674" spans="7:16" x14ac:dyDescent="0.2">
      <c r="G4674" s="199"/>
      <c r="I4674" s="199"/>
      <c r="K4674" s="199"/>
      <c r="M4674" s="199"/>
      <c r="N4674" s="200"/>
      <c r="P4674" s="199"/>
    </row>
    <row r="4675" spans="7:16" x14ac:dyDescent="0.2">
      <c r="G4675" s="199"/>
      <c r="I4675" s="199"/>
      <c r="K4675" s="199"/>
      <c r="M4675" s="199"/>
      <c r="N4675" s="200"/>
      <c r="P4675" s="199"/>
    </row>
    <row r="4676" spans="7:16" x14ac:dyDescent="0.2">
      <c r="G4676" s="199"/>
      <c r="I4676" s="199"/>
      <c r="K4676" s="199"/>
      <c r="M4676" s="199"/>
      <c r="N4676" s="200"/>
      <c r="P4676" s="199"/>
    </row>
    <row r="4677" spans="7:16" x14ac:dyDescent="0.2">
      <c r="G4677" s="199"/>
      <c r="I4677" s="199"/>
      <c r="K4677" s="199"/>
      <c r="M4677" s="199"/>
      <c r="N4677" s="200"/>
      <c r="P4677" s="199"/>
    </row>
    <row r="4678" spans="7:16" x14ac:dyDescent="0.2">
      <c r="G4678" s="199"/>
      <c r="I4678" s="199"/>
      <c r="K4678" s="199"/>
      <c r="M4678" s="199"/>
      <c r="N4678" s="200"/>
      <c r="P4678" s="199"/>
    </row>
    <row r="4679" spans="7:16" x14ac:dyDescent="0.2">
      <c r="G4679" s="199"/>
      <c r="I4679" s="199"/>
      <c r="K4679" s="199"/>
      <c r="M4679" s="199"/>
      <c r="N4679" s="200"/>
      <c r="P4679" s="199"/>
    </row>
    <row r="4680" spans="7:16" x14ac:dyDescent="0.2">
      <c r="G4680" s="199"/>
      <c r="I4680" s="199"/>
      <c r="K4680" s="199"/>
      <c r="M4680" s="199"/>
      <c r="N4680" s="200"/>
      <c r="P4680" s="199"/>
    </row>
    <row r="4681" spans="7:16" x14ac:dyDescent="0.2">
      <c r="G4681" s="199"/>
      <c r="I4681" s="199"/>
      <c r="K4681" s="199"/>
      <c r="M4681" s="199"/>
      <c r="N4681" s="200"/>
      <c r="P4681" s="199"/>
    </row>
    <row r="4682" spans="7:16" x14ac:dyDescent="0.2">
      <c r="G4682" s="199"/>
      <c r="I4682" s="199"/>
      <c r="K4682" s="199"/>
      <c r="M4682" s="199"/>
      <c r="N4682" s="200"/>
      <c r="P4682" s="199"/>
    </row>
    <row r="4683" spans="7:16" x14ac:dyDescent="0.2">
      <c r="G4683" s="199"/>
      <c r="I4683" s="199"/>
      <c r="K4683" s="199"/>
      <c r="M4683" s="199"/>
      <c r="N4683" s="200"/>
      <c r="P4683" s="199"/>
    </row>
    <row r="4684" spans="7:16" x14ac:dyDescent="0.2">
      <c r="G4684" s="199"/>
      <c r="I4684" s="199"/>
      <c r="K4684" s="199"/>
      <c r="M4684" s="199"/>
      <c r="N4684" s="200"/>
      <c r="P4684" s="199"/>
    </row>
    <row r="4685" spans="7:16" x14ac:dyDescent="0.2">
      <c r="G4685" s="199"/>
      <c r="I4685" s="199"/>
      <c r="K4685" s="199"/>
      <c r="M4685" s="199"/>
      <c r="N4685" s="200"/>
      <c r="P4685" s="199"/>
    </row>
    <row r="4686" spans="7:16" x14ac:dyDescent="0.2">
      <c r="G4686" s="199"/>
      <c r="I4686" s="199"/>
      <c r="K4686" s="199"/>
      <c r="M4686" s="199"/>
      <c r="N4686" s="200"/>
      <c r="P4686" s="199"/>
    </row>
    <row r="4687" spans="7:16" x14ac:dyDescent="0.2">
      <c r="G4687" s="199"/>
      <c r="I4687" s="199"/>
      <c r="K4687" s="199"/>
      <c r="M4687" s="199"/>
      <c r="N4687" s="200"/>
      <c r="P4687" s="199"/>
    </row>
    <row r="4688" spans="7:16" x14ac:dyDescent="0.2">
      <c r="G4688" s="199"/>
      <c r="I4688" s="199"/>
      <c r="K4688" s="199"/>
      <c r="M4688" s="199"/>
      <c r="N4688" s="200"/>
      <c r="P4688" s="199"/>
    </row>
    <row r="4689" spans="7:16" x14ac:dyDescent="0.2">
      <c r="G4689" s="199"/>
      <c r="I4689" s="199"/>
      <c r="K4689" s="199"/>
      <c r="M4689" s="199"/>
      <c r="N4689" s="200"/>
      <c r="P4689" s="199"/>
    </row>
    <row r="4690" spans="7:16" x14ac:dyDescent="0.2">
      <c r="G4690" s="199"/>
      <c r="I4690" s="199"/>
      <c r="K4690" s="199"/>
      <c r="M4690" s="199"/>
      <c r="N4690" s="200"/>
      <c r="P4690" s="199"/>
    </row>
    <row r="4691" spans="7:16" x14ac:dyDescent="0.2">
      <c r="G4691" s="199"/>
      <c r="I4691" s="199"/>
      <c r="K4691" s="199"/>
      <c r="M4691" s="199"/>
      <c r="N4691" s="200"/>
      <c r="P4691" s="199"/>
    </row>
    <row r="4692" spans="7:16" x14ac:dyDescent="0.2">
      <c r="G4692" s="199"/>
      <c r="I4692" s="199"/>
      <c r="K4692" s="199"/>
      <c r="M4692" s="199"/>
      <c r="N4692" s="200"/>
      <c r="P4692" s="199"/>
    </row>
    <row r="4693" spans="7:16" x14ac:dyDescent="0.2">
      <c r="G4693" s="199"/>
      <c r="I4693" s="199"/>
      <c r="K4693" s="199"/>
      <c r="M4693" s="199"/>
      <c r="N4693" s="200"/>
      <c r="P4693" s="199"/>
    </row>
    <row r="4694" spans="7:16" x14ac:dyDescent="0.2">
      <c r="G4694" s="199"/>
      <c r="I4694" s="199"/>
      <c r="K4694" s="199"/>
      <c r="M4694" s="199"/>
      <c r="N4694" s="200"/>
      <c r="P4694" s="199"/>
    </row>
    <row r="4695" spans="7:16" x14ac:dyDescent="0.2">
      <c r="G4695" s="199"/>
      <c r="I4695" s="199"/>
      <c r="K4695" s="199"/>
      <c r="M4695" s="199"/>
      <c r="N4695" s="200"/>
      <c r="P4695" s="199"/>
    </row>
    <row r="4696" spans="7:16" x14ac:dyDescent="0.2">
      <c r="G4696" s="199"/>
      <c r="I4696" s="199"/>
      <c r="K4696" s="199"/>
      <c r="M4696" s="199"/>
      <c r="N4696" s="200"/>
      <c r="P4696" s="199"/>
    </row>
    <row r="4697" spans="7:16" x14ac:dyDescent="0.2">
      <c r="G4697" s="199"/>
      <c r="I4697" s="199"/>
      <c r="K4697" s="199"/>
      <c r="M4697" s="199"/>
      <c r="N4697" s="200"/>
      <c r="P4697" s="199"/>
    </row>
    <row r="4698" spans="7:16" x14ac:dyDescent="0.2">
      <c r="G4698" s="199"/>
      <c r="I4698" s="199"/>
      <c r="K4698" s="199"/>
      <c r="M4698" s="199"/>
      <c r="N4698" s="200"/>
      <c r="P4698" s="199"/>
    </row>
    <row r="4699" spans="7:16" x14ac:dyDescent="0.2">
      <c r="G4699" s="199"/>
      <c r="I4699" s="199"/>
      <c r="K4699" s="199"/>
      <c r="M4699" s="199"/>
      <c r="N4699" s="200"/>
      <c r="P4699" s="199"/>
    </row>
    <row r="4700" spans="7:16" x14ac:dyDescent="0.2">
      <c r="G4700" s="199"/>
      <c r="I4700" s="199"/>
      <c r="K4700" s="199"/>
      <c r="M4700" s="199"/>
      <c r="N4700" s="200"/>
      <c r="P4700" s="199"/>
    </row>
    <row r="4701" spans="7:16" x14ac:dyDescent="0.2">
      <c r="G4701" s="199"/>
      <c r="I4701" s="199"/>
      <c r="K4701" s="199"/>
      <c r="M4701" s="199"/>
      <c r="N4701" s="200"/>
      <c r="P4701" s="199"/>
    </row>
    <row r="4702" spans="7:16" x14ac:dyDescent="0.2">
      <c r="G4702" s="199"/>
      <c r="I4702" s="199"/>
      <c r="K4702" s="199"/>
      <c r="M4702" s="199"/>
      <c r="N4702" s="200"/>
      <c r="P4702" s="199"/>
    </row>
    <row r="4703" spans="7:16" x14ac:dyDescent="0.2">
      <c r="G4703" s="199"/>
      <c r="I4703" s="199"/>
      <c r="K4703" s="199"/>
      <c r="M4703" s="199"/>
      <c r="N4703" s="200"/>
      <c r="P4703" s="199"/>
    </row>
    <row r="4704" spans="7:16" x14ac:dyDescent="0.2">
      <c r="G4704" s="199"/>
      <c r="I4704" s="199"/>
      <c r="K4704" s="199"/>
      <c r="M4704" s="199"/>
      <c r="N4704" s="200"/>
      <c r="P4704" s="199"/>
    </row>
    <row r="4705" spans="7:16" x14ac:dyDescent="0.2">
      <c r="G4705" s="199"/>
      <c r="I4705" s="199"/>
      <c r="K4705" s="199"/>
      <c r="M4705" s="199"/>
      <c r="N4705" s="200"/>
      <c r="P4705" s="199"/>
    </row>
    <row r="4706" spans="7:16" x14ac:dyDescent="0.2">
      <c r="G4706" s="199"/>
      <c r="I4706" s="199"/>
      <c r="K4706" s="199"/>
      <c r="M4706" s="199"/>
      <c r="N4706" s="200"/>
      <c r="P4706" s="199"/>
    </row>
    <row r="4707" spans="7:16" x14ac:dyDescent="0.2">
      <c r="G4707" s="199"/>
      <c r="I4707" s="199"/>
      <c r="K4707" s="199"/>
      <c r="M4707" s="199"/>
      <c r="N4707" s="200"/>
      <c r="P4707" s="199"/>
    </row>
    <row r="4708" spans="7:16" x14ac:dyDescent="0.2">
      <c r="G4708" s="199"/>
      <c r="I4708" s="199"/>
      <c r="K4708" s="199"/>
      <c r="M4708" s="199"/>
      <c r="N4708" s="200"/>
      <c r="P4708" s="199"/>
    </row>
    <row r="4709" spans="7:16" x14ac:dyDescent="0.2">
      <c r="G4709" s="199"/>
      <c r="I4709" s="199"/>
      <c r="K4709" s="199"/>
      <c r="M4709" s="199"/>
      <c r="N4709" s="200"/>
      <c r="P4709" s="199"/>
    </row>
    <row r="4710" spans="7:16" x14ac:dyDescent="0.2">
      <c r="G4710" s="199"/>
      <c r="I4710" s="199"/>
      <c r="K4710" s="199"/>
      <c r="M4710" s="199"/>
      <c r="N4710" s="200"/>
      <c r="P4710" s="199"/>
    </row>
    <row r="4711" spans="7:16" x14ac:dyDescent="0.2">
      <c r="G4711" s="199"/>
      <c r="I4711" s="199"/>
      <c r="K4711" s="199"/>
      <c r="M4711" s="199"/>
      <c r="N4711" s="200"/>
      <c r="P4711" s="199"/>
    </row>
    <row r="4712" spans="7:16" x14ac:dyDescent="0.2">
      <c r="G4712" s="199"/>
      <c r="I4712" s="199"/>
      <c r="K4712" s="199"/>
      <c r="M4712" s="199"/>
      <c r="N4712" s="200"/>
      <c r="P4712" s="199"/>
    </row>
    <row r="4713" spans="7:16" x14ac:dyDescent="0.2">
      <c r="G4713" s="199"/>
      <c r="I4713" s="199"/>
      <c r="K4713" s="199"/>
      <c r="M4713" s="199"/>
      <c r="N4713" s="200"/>
      <c r="P4713" s="199"/>
    </row>
    <row r="4714" spans="7:16" x14ac:dyDescent="0.2">
      <c r="G4714" s="199"/>
      <c r="I4714" s="199"/>
      <c r="K4714" s="199"/>
      <c r="M4714" s="199"/>
      <c r="N4714" s="200"/>
      <c r="P4714" s="199"/>
    </row>
    <row r="4715" spans="7:16" x14ac:dyDescent="0.2">
      <c r="G4715" s="199"/>
      <c r="I4715" s="199"/>
      <c r="K4715" s="199"/>
      <c r="M4715" s="199"/>
      <c r="N4715" s="200"/>
      <c r="P4715" s="199"/>
    </row>
    <row r="4716" spans="7:16" x14ac:dyDescent="0.2">
      <c r="G4716" s="199"/>
      <c r="I4716" s="199"/>
      <c r="K4716" s="199"/>
      <c r="M4716" s="199"/>
      <c r="N4716" s="200"/>
      <c r="P4716" s="199"/>
    </row>
    <row r="4717" spans="7:16" x14ac:dyDescent="0.2">
      <c r="G4717" s="199"/>
      <c r="I4717" s="199"/>
      <c r="K4717" s="199"/>
      <c r="M4717" s="199"/>
      <c r="N4717" s="200"/>
      <c r="P4717" s="199"/>
    </row>
    <row r="4718" spans="7:16" x14ac:dyDescent="0.2">
      <c r="G4718" s="199"/>
      <c r="I4718" s="199"/>
      <c r="K4718" s="199"/>
      <c r="M4718" s="199"/>
      <c r="N4718" s="200"/>
      <c r="P4718" s="199"/>
    </row>
    <row r="4719" spans="7:16" x14ac:dyDescent="0.2">
      <c r="G4719" s="199"/>
      <c r="I4719" s="199"/>
      <c r="K4719" s="199"/>
      <c r="M4719" s="199"/>
      <c r="N4719" s="200"/>
      <c r="P4719" s="199"/>
    </row>
    <row r="4720" spans="7:16" x14ac:dyDescent="0.2">
      <c r="G4720" s="199"/>
      <c r="I4720" s="199"/>
      <c r="K4720" s="199"/>
      <c r="M4720" s="199"/>
      <c r="N4720" s="200"/>
      <c r="P4720" s="199"/>
    </row>
    <row r="4721" spans="7:16" x14ac:dyDescent="0.2">
      <c r="G4721" s="199"/>
      <c r="I4721" s="199"/>
      <c r="K4721" s="199"/>
      <c r="M4721" s="199"/>
      <c r="N4721" s="200"/>
      <c r="P4721" s="199"/>
    </row>
    <row r="4722" spans="7:16" x14ac:dyDescent="0.2">
      <c r="G4722" s="199"/>
      <c r="I4722" s="199"/>
      <c r="K4722" s="199"/>
      <c r="M4722" s="199"/>
      <c r="N4722" s="200"/>
      <c r="P4722" s="199"/>
    </row>
    <row r="4723" spans="7:16" x14ac:dyDescent="0.2">
      <c r="G4723" s="199"/>
      <c r="I4723" s="199"/>
      <c r="K4723" s="199"/>
      <c r="M4723" s="199"/>
      <c r="N4723" s="200"/>
      <c r="P4723" s="199"/>
    </row>
    <row r="4724" spans="7:16" x14ac:dyDescent="0.2">
      <c r="G4724" s="199"/>
      <c r="I4724" s="199"/>
      <c r="K4724" s="199"/>
      <c r="M4724" s="199"/>
      <c r="N4724" s="200"/>
      <c r="P4724" s="199"/>
    </row>
    <row r="4725" spans="7:16" x14ac:dyDescent="0.2">
      <c r="G4725" s="199"/>
      <c r="I4725" s="199"/>
      <c r="K4725" s="199"/>
      <c r="M4725" s="199"/>
      <c r="N4725" s="200"/>
      <c r="P4725" s="199"/>
    </row>
    <row r="4726" spans="7:16" x14ac:dyDescent="0.2">
      <c r="G4726" s="199"/>
      <c r="I4726" s="199"/>
      <c r="K4726" s="199"/>
      <c r="M4726" s="199"/>
      <c r="N4726" s="200"/>
      <c r="P4726" s="199"/>
    </row>
    <row r="4727" spans="7:16" x14ac:dyDescent="0.2">
      <c r="G4727" s="199"/>
      <c r="I4727" s="199"/>
      <c r="K4727" s="199"/>
      <c r="M4727" s="199"/>
      <c r="N4727" s="200"/>
      <c r="P4727" s="199"/>
    </row>
    <row r="4728" spans="7:16" x14ac:dyDescent="0.2">
      <c r="G4728" s="199"/>
      <c r="I4728" s="199"/>
      <c r="K4728" s="199"/>
      <c r="M4728" s="199"/>
      <c r="N4728" s="200"/>
      <c r="P4728" s="199"/>
    </row>
    <row r="4729" spans="7:16" x14ac:dyDescent="0.2">
      <c r="G4729" s="199"/>
      <c r="I4729" s="199"/>
      <c r="K4729" s="199"/>
      <c r="M4729" s="199"/>
      <c r="N4729" s="200"/>
      <c r="P4729" s="199"/>
    </row>
    <row r="4730" spans="7:16" x14ac:dyDescent="0.2">
      <c r="G4730" s="199"/>
      <c r="I4730" s="199"/>
      <c r="K4730" s="199"/>
      <c r="M4730" s="199"/>
      <c r="N4730" s="200"/>
      <c r="P4730" s="199"/>
    </row>
    <row r="4731" spans="7:16" x14ac:dyDescent="0.2">
      <c r="G4731" s="199"/>
      <c r="I4731" s="199"/>
      <c r="K4731" s="199"/>
      <c r="M4731" s="199"/>
      <c r="N4731" s="200"/>
      <c r="P4731" s="199"/>
    </row>
    <row r="4732" spans="7:16" x14ac:dyDescent="0.2">
      <c r="G4732" s="199"/>
      <c r="I4732" s="199"/>
      <c r="K4732" s="199"/>
      <c r="M4732" s="199"/>
      <c r="N4732" s="200"/>
      <c r="P4732" s="199"/>
    </row>
    <row r="4733" spans="7:16" x14ac:dyDescent="0.2">
      <c r="G4733" s="199"/>
      <c r="I4733" s="199"/>
      <c r="K4733" s="199"/>
      <c r="M4733" s="199"/>
      <c r="N4733" s="200"/>
      <c r="P4733" s="199"/>
    </row>
    <row r="4734" spans="7:16" x14ac:dyDescent="0.2">
      <c r="G4734" s="199"/>
      <c r="I4734" s="199"/>
      <c r="K4734" s="199"/>
      <c r="M4734" s="199"/>
      <c r="N4734" s="200"/>
      <c r="P4734" s="199"/>
    </row>
    <row r="4735" spans="7:16" x14ac:dyDescent="0.2">
      <c r="G4735" s="199"/>
      <c r="I4735" s="199"/>
      <c r="K4735" s="199"/>
      <c r="M4735" s="199"/>
      <c r="N4735" s="200"/>
      <c r="P4735" s="199"/>
    </row>
    <row r="4736" spans="7:16" x14ac:dyDescent="0.2">
      <c r="G4736" s="199"/>
      <c r="I4736" s="199"/>
      <c r="K4736" s="199"/>
      <c r="M4736" s="199"/>
      <c r="N4736" s="200"/>
      <c r="P4736" s="199"/>
    </row>
    <row r="4737" spans="7:16" x14ac:dyDescent="0.2">
      <c r="G4737" s="199"/>
      <c r="I4737" s="199"/>
      <c r="K4737" s="199"/>
      <c r="M4737" s="199"/>
      <c r="N4737" s="200"/>
      <c r="P4737" s="199"/>
    </row>
    <row r="4738" spans="7:16" x14ac:dyDescent="0.2">
      <c r="G4738" s="199"/>
      <c r="I4738" s="199"/>
      <c r="K4738" s="199"/>
      <c r="M4738" s="199"/>
      <c r="N4738" s="200"/>
      <c r="P4738" s="199"/>
    </row>
    <row r="4739" spans="7:16" x14ac:dyDescent="0.2">
      <c r="G4739" s="199"/>
      <c r="I4739" s="199"/>
      <c r="K4739" s="199"/>
      <c r="M4739" s="199"/>
      <c r="N4739" s="200"/>
      <c r="P4739" s="199"/>
    </row>
    <row r="4740" spans="7:16" x14ac:dyDescent="0.2">
      <c r="G4740" s="199"/>
      <c r="I4740" s="199"/>
      <c r="K4740" s="199"/>
      <c r="M4740" s="199"/>
      <c r="N4740" s="200"/>
      <c r="P4740" s="199"/>
    </row>
    <row r="4741" spans="7:16" x14ac:dyDescent="0.2">
      <c r="G4741" s="199"/>
      <c r="I4741" s="199"/>
      <c r="K4741" s="199"/>
      <c r="M4741" s="199"/>
      <c r="N4741" s="200"/>
      <c r="P4741" s="199"/>
    </row>
    <row r="4742" spans="7:16" x14ac:dyDescent="0.2">
      <c r="G4742" s="199"/>
      <c r="I4742" s="199"/>
      <c r="K4742" s="199"/>
      <c r="M4742" s="199"/>
      <c r="N4742" s="200"/>
      <c r="P4742" s="199"/>
    </row>
    <row r="4743" spans="7:16" x14ac:dyDescent="0.2">
      <c r="G4743" s="199"/>
      <c r="I4743" s="199"/>
      <c r="K4743" s="199"/>
      <c r="M4743" s="199"/>
      <c r="N4743" s="200"/>
      <c r="P4743" s="199"/>
    </row>
    <row r="4744" spans="7:16" x14ac:dyDescent="0.2">
      <c r="G4744" s="199"/>
      <c r="I4744" s="199"/>
      <c r="K4744" s="199"/>
      <c r="M4744" s="199"/>
      <c r="N4744" s="200"/>
      <c r="P4744" s="199"/>
    </row>
    <row r="4745" spans="7:16" x14ac:dyDescent="0.2">
      <c r="G4745" s="199"/>
      <c r="I4745" s="199"/>
      <c r="K4745" s="199"/>
      <c r="M4745" s="199"/>
      <c r="N4745" s="200"/>
      <c r="P4745" s="199"/>
    </row>
    <row r="4746" spans="7:16" x14ac:dyDescent="0.2">
      <c r="G4746" s="199"/>
      <c r="I4746" s="199"/>
      <c r="K4746" s="199"/>
      <c r="M4746" s="199"/>
      <c r="N4746" s="200"/>
      <c r="P4746" s="199"/>
    </row>
    <row r="4747" spans="7:16" x14ac:dyDescent="0.2">
      <c r="G4747" s="199"/>
      <c r="I4747" s="199"/>
      <c r="K4747" s="199"/>
      <c r="M4747" s="199"/>
      <c r="N4747" s="200"/>
      <c r="P4747" s="199"/>
    </row>
    <row r="4748" spans="7:16" x14ac:dyDescent="0.2">
      <c r="G4748" s="199"/>
      <c r="I4748" s="199"/>
      <c r="K4748" s="199"/>
      <c r="M4748" s="199"/>
      <c r="N4748" s="200"/>
      <c r="P4748" s="199"/>
    </row>
    <row r="4749" spans="7:16" x14ac:dyDescent="0.2">
      <c r="G4749" s="199"/>
      <c r="I4749" s="199"/>
      <c r="K4749" s="199"/>
      <c r="M4749" s="199"/>
      <c r="N4749" s="200"/>
      <c r="P4749" s="199"/>
    </row>
    <row r="4750" spans="7:16" x14ac:dyDescent="0.2">
      <c r="G4750" s="199"/>
      <c r="I4750" s="199"/>
      <c r="K4750" s="199"/>
      <c r="M4750" s="199"/>
      <c r="N4750" s="200"/>
      <c r="P4750" s="199"/>
    </row>
    <row r="4751" spans="7:16" x14ac:dyDescent="0.2">
      <c r="G4751" s="199"/>
      <c r="I4751" s="199"/>
      <c r="K4751" s="199"/>
      <c r="M4751" s="199"/>
      <c r="N4751" s="200"/>
      <c r="P4751" s="199"/>
    </row>
    <row r="4752" spans="7:16" x14ac:dyDescent="0.2">
      <c r="G4752" s="199"/>
      <c r="I4752" s="199"/>
      <c r="K4752" s="199"/>
      <c r="M4752" s="199"/>
      <c r="N4752" s="200"/>
      <c r="P4752" s="199"/>
    </row>
    <row r="4753" spans="7:16" x14ac:dyDescent="0.2">
      <c r="G4753" s="199"/>
      <c r="I4753" s="199"/>
      <c r="K4753" s="199"/>
      <c r="M4753" s="199"/>
      <c r="N4753" s="200"/>
      <c r="P4753" s="199"/>
    </row>
    <row r="4754" spans="7:16" x14ac:dyDescent="0.2">
      <c r="G4754" s="199"/>
      <c r="I4754" s="199"/>
      <c r="K4754" s="199"/>
      <c r="M4754" s="199"/>
      <c r="N4754" s="200"/>
      <c r="P4754" s="199"/>
    </row>
    <row r="4755" spans="7:16" x14ac:dyDescent="0.2">
      <c r="G4755" s="199"/>
      <c r="I4755" s="199"/>
      <c r="K4755" s="199"/>
      <c r="M4755" s="199"/>
      <c r="N4755" s="200"/>
      <c r="P4755" s="199"/>
    </row>
    <row r="4756" spans="7:16" x14ac:dyDescent="0.2">
      <c r="G4756" s="199"/>
      <c r="I4756" s="199"/>
      <c r="K4756" s="199"/>
      <c r="M4756" s="199"/>
      <c r="N4756" s="200"/>
      <c r="P4756" s="199"/>
    </row>
    <row r="4757" spans="7:16" x14ac:dyDescent="0.2">
      <c r="G4757" s="199"/>
      <c r="I4757" s="199"/>
      <c r="K4757" s="199"/>
      <c r="M4757" s="199"/>
      <c r="N4757" s="200"/>
      <c r="P4757" s="199"/>
    </row>
    <row r="4758" spans="7:16" x14ac:dyDescent="0.2">
      <c r="G4758" s="199"/>
      <c r="I4758" s="199"/>
      <c r="K4758" s="199"/>
      <c r="M4758" s="199"/>
      <c r="N4758" s="200"/>
      <c r="P4758" s="199"/>
    </row>
    <row r="4759" spans="7:16" x14ac:dyDescent="0.2">
      <c r="G4759" s="199"/>
      <c r="I4759" s="199"/>
      <c r="K4759" s="199"/>
      <c r="M4759" s="199"/>
      <c r="N4759" s="200"/>
      <c r="P4759" s="199"/>
    </row>
    <row r="4760" spans="7:16" x14ac:dyDescent="0.2">
      <c r="G4760" s="199"/>
      <c r="I4760" s="199"/>
      <c r="K4760" s="199"/>
      <c r="M4760" s="199"/>
      <c r="N4760" s="200"/>
      <c r="P4760" s="199"/>
    </row>
    <row r="4761" spans="7:16" x14ac:dyDescent="0.2">
      <c r="G4761" s="199"/>
      <c r="I4761" s="199"/>
      <c r="K4761" s="199"/>
      <c r="M4761" s="199"/>
      <c r="N4761" s="200"/>
      <c r="P4761" s="199"/>
    </row>
    <row r="4762" spans="7:16" x14ac:dyDescent="0.2">
      <c r="G4762" s="199"/>
      <c r="I4762" s="199"/>
      <c r="K4762" s="199"/>
      <c r="M4762" s="199"/>
      <c r="N4762" s="200"/>
      <c r="P4762" s="199"/>
    </row>
    <row r="4763" spans="7:16" x14ac:dyDescent="0.2">
      <c r="G4763" s="199"/>
      <c r="I4763" s="199"/>
      <c r="K4763" s="199"/>
      <c r="M4763" s="199"/>
      <c r="N4763" s="200"/>
      <c r="P4763" s="199"/>
    </row>
    <row r="4764" spans="7:16" x14ac:dyDescent="0.2">
      <c r="G4764" s="199"/>
      <c r="I4764" s="199"/>
      <c r="K4764" s="199"/>
      <c r="M4764" s="199"/>
      <c r="N4764" s="200"/>
      <c r="P4764" s="199"/>
    </row>
    <row r="4765" spans="7:16" x14ac:dyDescent="0.2">
      <c r="G4765" s="199"/>
      <c r="I4765" s="199"/>
      <c r="K4765" s="199"/>
      <c r="M4765" s="199"/>
      <c r="N4765" s="200"/>
      <c r="P4765" s="199"/>
    </row>
    <row r="4766" spans="7:16" x14ac:dyDescent="0.2">
      <c r="G4766" s="199"/>
      <c r="I4766" s="199"/>
      <c r="K4766" s="199"/>
      <c r="M4766" s="199"/>
      <c r="N4766" s="200"/>
      <c r="P4766" s="199"/>
    </row>
    <row r="4767" spans="7:16" x14ac:dyDescent="0.2">
      <c r="G4767" s="199"/>
      <c r="I4767" s="199"/>
      <c r="K4767" s="199"/>
      <c r="M4767" s="199"/>
      <c r="N4767" s="200"/>
      <c r="P4767" s="199"/>
    </row>
    <row r="4768" spans="7:16" x14ac:dyDescent="0.2">
      <c r="G4768" s="199"/>
      <c r="I4768" s="199"/>
      <c r="K4768" s="199"/>
      <c r="M4768" s="199"/>
      <c r="N4768" s="200"/>
      <c r="P4768" s="199"/>
    </row>
    <row r="4769" spans="7:16" x14ac:dyDescent="0.2">
      <c r="G4769" s="199"/>
      <c r="I4769" s="199"/>
      <c r="K4769" s="199"/>
      <c r="M4769" s="199"/>
      <c r="N4769" s="200"/>
      <c r="P4769" s="199"/>
    </row>
    <row r="4770" spans="7:16" x14ac:dyDescent="0.2">
      <c r="G4770" s="199"/>
      <c r="I4770" s="199"/>
      <c r="K4770" s="199"/>
      <c r="M4770" s="199"/>
      <c r="N4770" s="200"/>
      <c r="P4770" s="199"/>
    </row>
    <row r="4771" spans="7:16" x14ac:dyDescent="0.2">
      <c r="G4771" s="199"/>
      <c r="I4771" s="199"/>
      <c r="K4771" s="199"/>
      <c r="M4771" s="199"/>
      <c r="N4771" s="200"/>
      <c r="P4771" s="199"/>
    </row>
    <row r="4772" spans="7:16" x14ac:dyDescent="0.2">
      <c r="G4772" s="199"/>
      <c r="I4772" s="199"/>
      <c r="K4772" s="199"/>
      <c r="M4772" s="199"/>
      <c r="N4772" s="200"/>
      <c r="P4772" s="199"/>
    </row>
    <row r="4773" spans="7:16" x14ac:dyDescent="0.2">
      <c r="G4773" s="199"/>
      <c r="I4773" s="199"/>
      <c r="K4773" s="199"/>
      <c r="M4773" s="199"/>
      <c r="N4773" s="200"/>
      <c r="P4773" s="199"/>
    </row>
    <row r="4774" spans="7:16" x14ac:dyDescent="0.2">
      <c r="G4774" s="199"/>
      <c r="I4774" s="199"/>
      <c r="K4774" s="199"/>
      <c r="M4774" s="199"/>
      <c r="N4774" s="200"/>
      <c r="P4774" s="199"/>
    </row>
    <row r="4775" spans="7:16" x14ac:dyDescent="0.2">
      <c r="G4775" s="199"/>
      <c r="I4775" s="199"/>
      <c r="K4775" s="199"/>
      <c r="M4775" s="199"/>
      <c r="N4775" s="200"/>
      <c r="P4775" s="199"/>
    </row>
    <row r="4776" spans="7:16" x14ac:dyDescent="0.2">
      <c r="G4776" s="199"/>
      <c r="I4776" s="199"/>
      <c r="K4776" s="199"/>
      <c r="M4776" s="199"/>
      <c r="N4776" s="200"/>
      <c r="P4776" s="199"/>
    </row>
    <row r="4777" spans="7:16" x14ac:dyDescent="0.2">
      <c r="G4777" s="199"/>
      <c r="I4777" s="199"/>
      <c r="K4777" s="199"/>
      <c r="M4777" s="199"/>
      <c r="N4777" s="200"/>
      <c r="P4777" s="199"/>
    </row>
    <row r="4778" spans="7:16" x14ac:dyDescent="0.2">
      <c r="G4778" s="199"/>
      <c r="I4778" s="199"/>
      <c r="K4778" s="199"/>
      <c r="M4778" s="199"/>
      <c r="N4778" s="200"/>
      <c r="P4778" s="199"/>
    </row>
    <row r="4779" spans="7:16" x14ac:dyDescent="0.2">
      <c r="G4779" s="199"/>
      <c r="I4779" s="199"/>
      <c r="K4779" s="199"/>
      <c r="M4779" s="199"/>
      <c r="N4779" s="200"/>
      <c r="P4779" s="199"/>
    </row>
    <row r="4780" spans="7:16" x14ac:dyDescent="0.2">
      <c r="G4780" s="199"/>
      <c r="I4780" s="199"/>
      <c r="K4780" s="199"/>
      <c r="M4780" s="199"/>
      <c r="N4780" s="200"/>
      <c r="P4780" s="199"/>
    </row>
    <row r="4781" spans="7:16" x14ac:dyDescent="0.2">
      <c r="G4781" s="199"/>
      <c r="I4781" s="199"/>
      <c r="K4781" s="199"/>
      <c r="M4781" s="199"/>
      <c r="N4781" s="200"/>
      <c r="P4781" s="199"/>
    </row>
    <row r="4782" spans="7:16" x14ac:dyDescent="0.2">
      <c r="G4782" s="199"/>
      <c r="I4782" s="199"/>
      <c r="K4782" s="199"/>
      <c r="M4782" s="199"/>
      <c r="N4782" s="200"/>
      <c r="P4782" s="199"/>
    </row>
    <row r="4783" spans="7:16" x14ac:dyDescent="0.2">
      <c r="G4783" s="199"/>
      <c r="I4783" s="199"/>
      <c r="K4783" s="199"/>
      <c r="M4783" s="199"/>
      <c r="N4783" s="200"/>
      <c r="P4783" s="199"/>
    </row>
    <row r="4784" spans="7:16" x14ac:dyDescent="0.2">
      <c r="G4784" s="199"/>
      <c r="I4784" s="199"/>
      <c r="K4784" s="199"/>
      <c r="M4784" s="199"/>
      <c r="N4784" s="200"/>
      <c r="P4784" s="199"/>
    </row>
    <row r="4785" spans="7:16" x14ac:dyDescent="0.2">
      <c r="G4785" s="199"/>
      <c r="I4785" s="199"/>
      <c r="K4785" s="199"/>
      <c r="M4785" s="199"/>
      <c r="N4785" s="200"/>
      <c r="P4785" s="199"/>
    </row>
    <row r="4786" spans="7:16" x14ac:dyDescent="0.2">
      <c r="G4786" s="199"/>
      <c r="I4786" s="199"/>
      <c r="K4786" s="199"/>
      <c r="M4786" s="199"/>
      <c r="N4786" s="200"/>
      <c r="P4786" s="199"/>
    </row>
    <row r="4787" spans="7:16" x14ac:dyDescent="0.2">
      <c r="G4787" s="199"/>
      <c r="I4787" s="199"/>
      <c r="K4787" s="199"/>
      <c r="M4787" s="199"/>
      <c r="N4787" s="200"/>
      <c r="P4787" s="199"/>
    </row>
    <row r="4788" spans="7:16" x14ac:dyDescent="0.2">
      <c r="G4788" s="199"/>
      <c r="I4788" s="199"/>
      <c r="K4788" s="199"/>
      <c r="M4788" s="199"/>
      <c r="N4788" s="200"/>
      <c r="P4788" s="199"/>
    </row>
    <row r="4789" spans="7:16" x14ac:dyDescent="0.2">
      <c r="G4789" s="199"/>
      <c r="I4789" s="199"/>
      <c r="K4789" s="199"/>
      <c r="M4789" s="199"/>
      <c r="N4789" s="200"/>
      <c r="P4789" s="199"/>
    </row>
    <row r="4790" spans="7:16" x14ac:dyDescent="0.2">
      <c r="G4790" s="199"/>
      <c r="I4790" s="199"/>
      <c r="K4790" s="199"/>
      <c r="M4790" s="199"/>
      <c r="N4790" s="200"/>
      <c r="P4790" s="199"/>
    </row>
    <row r="4791" spans="7:16" x14ac:dyDescent="0.2">
      <c r="G4791" s="199"/>
      <c r="I4791" s="199"/>
      <c r="K4791" s="199"/>
      <c r="M4791" s="199"/>
      <c r="N4791" s="200"/>
      <c r="P4791" s="199"/>
    </row>
    <row r="4792" spans="7:16" x14ac:dyDescent="0.2">
      <c r="G4792" s="199"/>
      <c r="I4792" s="199"/>
      <c r="K4792" s="199"/>
      <c r="M4792" s="199"/>
      <c r="N4792" s="200"/>
      <c r="P4792" s="199"/>
    </row>
    <row r="4793" spans="7:16" x14ac:dyDescent="0.2">
      <c r="G4793" s="199"/>
      <c r="I4793" s="199"/>
      <c r="K4793" s="199"/>
      <c r="M4793" s="199"/>
      <c r="N4793" s="200"/>
      <c r="P4793" s="199"/>
    </row>
    <row r="4794" spans="7:16" x14ac:dyDescent="0.2">
      <c r="G4794" s="199"/>
      <c r="I4794" s="199"/>
      <c r="K4794" s="199"/>
      <c r="M4794" s="199"/>
      <c r="N4794" s="200"/>
      <c r="P4794" s="199"/>
    </row>
    <row r="4795" spans="7:16" x14ac:dyDescent="0.2">
      <c r="G4795" s="199"/>
      <c r="I4795" s="199"/>
      <c r="K4795" s="199"/>
      <c r="M4795" s="199"/>
      <c r="N4795" s="200"/>
      <c r="P4795" s="199"/>
    </row>
    <row r="4796" spans="7:16" x14ac:dyDescent="0.2">
      <c r="G4796" s="199"/>
      <c r="I4796" s="199"/>
      <c r="K4796" s="199"/>
      <c r="M4796" s="199"/>
      <c r="N4796" s="200"/>
      <c r="P4796" s="199"/>
    </row>
    <row r="4797" spans="7:16" x14ac:dyDescent="0.2">
      <c r="G4797" s="199"/>
      <c r="I4797" s="199"/>
      <c r="K4797" s="199"/>
      <c r="M4797" s="199"/>
      <c r="N4797" s="200"/>
      <c r="P4797" s="199"/>
    </row>
    <row r="4798" spans="7:16" x14ac:dyDescent="0.2">
      <c r="G4798" s="199"/>
      <c r="I4798" s="199"/>
      <c r="K4798" s="199"/>
      <c r="M4798" s="199"/>
      <c r="N4798" s="200"/>
      <c r="P4798" s="199"/>
    </row>
    <row r="4799" spans="7:16" x14ac:dyDescent="0.2">
      <c r="G4799" s="199"/>
      <c r="I4799" s="199"/>
      <c r="K4799" s="199"/>
      <c r="M4799" s="199"/>
      <c r="N4799" s="200"/>
      <c r="P4799" s="199"/>
    </row>
    <row r="4800" spans="7:16" x14ac:dyDescent="0.2">
      <c r="G4800" s="199"/>
      <c r="I4800" s="199"/>
      <c r="K4800" s="199"/>
      <c r="M4800" s="199"/>
      <c r="N4800" s="200"/>
      <c r="P4800" s="199"/>
    </row>
    <row r="4801" spans="7:16" x14ac:dyDescent="0.2">
      <c r="G4801" s="199"/>
      <c r="I4801" s="199"/>
      <c r="K4801" s="199"/>
      <c r="M4801" s="199"/>
      <c r="N4801" s="200"/>
      <c r="P4801" s="199"/>
    </row>
    <row r="4802" spans="7:16" x14ac:dyDescent="0.2">
      <c r="G4802" s="199"/>
      <c r="I4802" s="199"/>
      <c r="K4802" s="199"/>
      <c r="M4802" s="199"/>
      <c r="N4802" s="200"/>
      <c r="P4802" s="199"/>
    </row>
    <row r="4803" spans="7:16" x14ac:dyDescent="0.2">
      <c r="G4803" s="199"/>
      <c r="I4803" s="199"/>
      <c r="K4803" s="199"/>
      <c r="M4803" s="199"/>
      <c r="N4803" s="200"/>
      <c r="P4803" s="199"/>
    </row>
    <row r="4804" spans="7:16" x14ac:dyDescent="0.2">
      <c r="G4804" s="199"/>
      <c r="I4804" s="199"/>
      <c r="K4804" s="199"/>
      <c r="M4804" s="199"/>
      <c r="N4804" s="200"/>
      <c r="P4804" s="199"/>
    </row>
    <row r="4805" spans="7:16" x14ac:dyDescent="0.2">
      <c r="G4805" s="199"/>
      <c r="I4805" s="199"/>
      <c r="K4805" s="199"/>
      <c r="M4805" s="199"/>
      <c r="N4805" s="200"/>
      <c r="P4805" s="199"/>
    </row>
    <row r="4806" spans="7:16" x14ac:dyDescent="0.2">
      <c r="G4806" s="199"/>
      <c r="I4806" s="199"/>
      <c r="K4806" s="199"/>
      <c r="M4806" s="199"/>
      <c r="N4806" s="200"/>
      <c r="P4806" s="199"/>
    </row>
    <row r="4807" spans="7:16" x14ac:dyDescent="0.2">
      <c r="G4807" s="199"/>
      <c r="I4807" s="199"/>
      <c r="K4807" s="199"/>
      <c r="M4807" s="199"/>
      <c r="N4807" s="200"/>
      <c r="P4807" s="199"/>
    </row>
    <row r="4808" spans="7:16" x14ac:dyDescent="0.2">
      <c r="G4808" s="199"/>
      <c r="I4808" s="199"/>
      <c r="K4808" s="199"/>
      <c r="M4808" s="199"/>
      <c r="N4808" s="200"/>
      <c r="P4808" s="199"/>
    </row>
    <row r="4809" spans="7:16" x14ac:dyDescent="0.2">
      <c r="G4809" s="199"/>
      <c r="I4809" s="199"/>
      <c r="K4809" s="199"/>
      <c r="M4809" s="199"/>
      <c r="N4809" s="200"/>
      <c r="P4809" s="199"/>
    </row>
    <row r="4810" spans="7:16" x14ac:dyDescent="0.2">
      <c r="G4810" s="199"/>
      <c r="I4810" s="199"/>
      <c r="K4810" s="199"/>
      <c r="M4810" s="199"/>
      <c r="N4810" s="200"/>
      <c r="P4810" s="199"/>
    </row>
    <row r="4811" spans="7:16" x14ac:dyDescent="0.2">
      <c r="G4811" s="199"/>
      <c r="I4811" s="199"/>
      <c r="K4811" s="199"/>
      <c r="M4811" s="199"/>
      <c r="N4811" s="200"/>
      <c r="P4811" s="199"/>
    </row>
    <row r="4812" spans="7:16" x14ac:dyDescent="0.2">
      <c r="G4812" s="199"/>
      <c r="I4812" s="199"/>
      <c r="K4812" s="199"/>
      <c r="M4812" s="199"/>
      <c r="N4812" s="200"/>
      <c r="P4812" s="199"/>
    </row>
    <row r="4813" spans="7:16" x14ac:dyDescent="0.2">
      <c r="G4813" s="199"/>
      <c r="I4813" s="199"/>
      <c r="K4813" s="199"/>
      <c r="M4813" s="199"/>
      <c r="N4813" s="200"/>
      <c r="P4813" s="199"/>
    </row>
    <row r="4814" spans="7:16" x14ac:dyDescent="0.2">
      <c r="G4814" s="199"/>
      <c r="I4814" s="199"/>
      <c r="K4814" s="199"/>
      <c r="M4814" s="199"/>
      <c r="N4814" s="200"/>
      <c r="P4814" s="199"/>
    </row>
    <row r="4815" spans="7:16" x14ac:dyDescent="0.2">
      <c r="G4815" s="199"/>
      <c r="I4815" s="199"/>
      <c r="K4815" s="199"/>
      <c r="M4815" s="199"/>
      <c r="N4815" s="200"/>
      <c r="P4815" s="199"/>
    </row>
    <row r="4816" spans="7:16" x14ac:dyDescent="0.2">
      <c r="G4816" s="199"/>
      <c r="I4816" s="199"/>
      <c r="K4816" s="199"/>
      <c r="M4816" s="199"/>
      <c r="N4816" s="200"/>
      <c r="P4816" s="199"/>
    </row>
    <row r="4817" spans="7:16" x14ac:dyDescent="0.2">
      <c r="G4817" s="199"/>
      <c r="I4817" s="199"/>
      <c r="K4817" s="199"/>
      <c r="M4817" s="199"/>
      <c r="N4817" s="200"/>
      <c r="P4817" s="199"/>
    </row>
    <row r="4818" spans="7:16" x14ac:dyDescent="0.2">
      <c r="G4818" s="199"/>
      <c r="I4818" s="199"/>
      <c r="K4818" s="199"/>
      <c r="M4818" s="199"/>
      <c r="N4818" s="200"/>
      <c r="P4818" s="199"/>
    </row>
    <row r="4819" spans="7:16" x14ac:dyDescent="0.2">
      <c r="G4819" s="199"/>
      <c r="I4819" s="199"/>
      <c r="K4819" s="199"/>
      <c r="M4819" s="199"/>
      <c r="N4819" s="200"/>
      <c r="P4819" s="199"/>
    </row>
    <row r="4820" spans="7:16" x14ac:dyDescent="0.2">
      <c r="G4820" s="199"/>
      <c r="I4820" s="199"/>
      <c r="K4820" s="199"/>
      <c r="M4820" s="199"/>
      <c r="N4820" s="200"/>
      <c r="P4820" s="199"/>
    </row>
    <row r="4821" spans="7:16" x14ac:dyDescent="0.2">
      <c r="G4821" s="199"/>
      <c r="I4821" s="199"/>
      <c r="K4821" s="199"/>
      <c r="M4821" s="199"/>
      <c r="N4821" s="200"/>
      <c r="P4821" s="199"/>
    </row>
    <row r="4822" spans="7:16" x14ac:dyDescent="0.2">
      <c r="G4822" s="199"/>
      <c r="I4822" s="199"/>
      <c r="K4822" s="199"/>
      <c r="M4822" s="199"/>
      <c r="N4822" s="200"/>
      <c r="P4822" s="199"/>
    </row>
    <row r="4823" spans="7:16" x14ac:dyDescent="0.2">
      <c r="G4823" s="199"/>
      <c r="I4823" s="199"/>
      <c r="K4823" s="199"/>
      <c r="M4823" s="199"/>
      <c r="N4823" s="200"/>
      <c r="P4823" s="199"/>
    </row>
    <row r="4824" spans="7:16" x14ac:dyDescent="0.2">
      <c r="G4824" s="199"/>
      <c r="I4824" s="199"/>
      <c r="K4824" s="199"/>
      <c r="M4824" s="199"/>
      <c r="N4824" s="200"/>
      <c r="P4824" s="199"/>
    </row>
    <row r="4825" spans="7:16" x14ac:dyDescent="0.2">
      <c r="G4825" s="199"/>
      <c r="I4825" s="199"/>
      <c r="K4825" s="199"/>
      <c r="M4825" s="199"/>
      <c r="N4825" s="200"/>
      <c r="P4825" s="199"/>
    </row>
    <row r="4826" spans="7:16" x14ac:dyDescent="0.2">
      <c r="G4826" s="199"/>
      <c r="I4826" s="199"/>
      <c r="K4826" s="199"/>
      <c r="M4826" s="199"/>
      <c r="N4826" s="200"/>
      <c r="P4826" s="199"/>
    </row>
    <row r="4827" spans="7:16" x14ac:dyDescent="0.2">
      <c r="G4827" s="199"/>
      <c r="I4827" s="199"/>
      <c r="K4827" s="199"/>
      <c r="M4827" s="199"/>
      <c r="N4827" s="200"/>
      <c r="P4827" s="199"/>
    </row>
    <row r="4828" spans="7:16" x14ac:dyDescent="0.2">
      <c r="G4828" s="199"/>
      <c r="I4828" s="199"/>
      <c r="K4828" s="199"/>
      <c r="M4828" s="199"/>
      <c r="N4828" s="200"/>
      <c r="P4828" s="199"/>
    </row>
    <row r="4829" spans="7:16" x14ac:dyDescent="0.2">
      <c r="G4829" s="199"/>
      <c r="I4829" s="199"/>
      <c r="K4829" s="199"/>
      <c r="M4829" s="199"/>
      <c r="N4829" s="200"/>
      <c r="P4829" s="199"/>
    </row>
    <row r="4830" spans="7:16" x14ac:dyDescent="0.2">
      <c r="G4830" s="199"/>
      <c r="I4830" s="199"/>
      <c r="K4830" s="199"/>
      <c r="M4830" s="199"/>
      <c r="N4830" s="200"/>
      <c r="P4830" s="199"/>
    </row>
    <row r="4831" spans="7:16" x14ac:dyDescent="0.2">
      <c r="G4831" s="199"/>
      <c r="I4831" s="199"/>
      <c r="K4831" s="199"/>
      <c r="M4831" s="199"/>
      <c r="N4831" s="200"/>
      <c r="P4831" s="199"/>
    </row>
    <row r="4832" spans="7:16" x14ac:dyDescent="0.2">
      <c r="G4832" s="199"/>
      <c r="I4832" s="199"/>
      <c r="K4832" s="199"/>
      <c r="M4832" s="199"/>
      <c r="N4832" s="200"/>
      <c r="P4832" s="199"/>
    </row>
    <row r="4833" spans="7:16" x14ac:dyDescent="0.2">
      <c r="G4833" s="199"/>
      <c r="I4833" s="199"/>
      <c r="K4833" s="199"/>
      <c r="M4833" s="199"/>
      <c r="N4833" s="200"/>
      <c r="P4833" s="199"/>
    </row>
    <row r="4834" spans="7:16" x14ac:dyDescent="0.2">
      <c r="G4834" s="199"/>
      <c r="I4834" s="199"/>
      <c r="K4834" s="199"/>
      <c r="M4834" s="199"/>
      <c r="N4834" s="200"/>
      <c r="P4834" s="199"/>
    </row>
    <row r="4835" spans="7:16" x14ac:dyDescent="0.2">
      <c r="G4835" s="199"/>
      <c r="I4835" s="199"/>
      <c r="K4835" s="199"/>
      <c r="M4835" s="199"/>
      <c r="N4835" s="200"/>
      <c r="P4835" s="199"/>
    </row>
    <row r="4836" spans="7:16" x14ac:dyDescent="0.2">
      <c r="G4836" s="199"/>
      <c r="I4836" s="199"/>
      <c r="K4836" s="199"/>
      <c r="M4836" s="199"/>
      <c r="N4836" s="200"/>
      <c r="P4836" s="199"/>
    </row>
    <row r="4837" spans="7:16" x14ac:dyDescent="0.2">
      <c r="G4837" s="199"/>
      <c r="I4837" s="199"/>
      <c r="K4837" s="199"/>
      <c r="M4837" s="199"/>
      <c r="N4837" s="200"/>
      <c r="P4837" s="199"/>
    </row>
    <row r="4838" spans="7:16" x14ac:dyDescent="0.2">
      <c r="G4838" s="199"/>
      <c r="I4838" s="199"/>
      <c r="K4838" s="199"/>
      <c r="M4838" s="199"/>
      <c r="N4838" s="200"/>
      <c r="P4838" s="199"/>
    </row>
    <row r="4839" spans="7:16" x14ac:dyDescent="0.2">
      <c r="G4839" s="199"/>
      <c r="I4839" s="199"/>
      <c r="K4839" s="199"/>
      <c r="M4839" s="199"/>
      <c r="N4839" s="200"/>
      <c r="P4839" s="199"/>
    </row>
    <row r="4840" spans="7:16" x14ac:dyDescent="0.2">
      <c r="G4840" s="199"/>
      <c r="I4840" s="199"/>
      <c r="K4840" s="199"/>
      <c r="M4840" s="199"/>
      <c r="N4840" s="200"/>
      <c r="P4840" s="199"/>
    </row>
    <row r="4841" spans="7:16" x14ac:dyDescent="0.2">
      <c r="G4841" s="199"/>
      <c r="I4841" s="199"/>
      <c r="K4841" s="199"/>
      <c r="M4841" s="199"/>
      <c r="N4841" s="200"/>
      <c r="P4841" s="199"/>
    </row>
    <row r="4842" spans="7:16" x14ac:dyDescent="0.2">
      <c r="G4842" s="199"/>
      <c r="I4842" s="199"/>
      <c r="K4842" s="199"/>
      <c r="M4842" s="199"/>
      <c r="N4842" s="200"/>
      <c r="P4842" s="199"/>
    </row>
    <row r="4843" spans="7:16" x14ac:dyDescent="0.2">
      <c r="G4843" s="199"/>
      <c r="I4843" s="199"/>
      <c r="K4843" s="199"/>
      <c r="M4843" s="199"/>
      <c r="N4843" s="200"/>
      <c r="P4843" s="199"/>
    </row>
    <row r="4844" spans="7:16" x14ac:dyDescent="0.2">
      <c r="G4844" s="199"/>
      <c r="I4844" s="199"/>
      <c r="K4844" s="199"/>
      <c r="M4844" s="199"/>
      <c r="N4844" s="200"/>
      <c r="P4844" s="199"/>
    </row>
    <row r="4845" spans="7:16" x14ac:dyDescent="0.2">
      <c r="G4845" s="199"/>
      <c r="I4845" s="199"/>
      <c r="K4845" s="199"/>
      <c r="M4845" s="199"/>
      <c r="N4845" s="200"/>
      <c r="P4845" s="199"/>
    </row>
    <row r="4846" spans="7:16" x14ac:dyDescent="0.2">
      <c r="G4846" s="199"/>
      <c r="I4846" s="199"/>
      <c r="K4846" s="199"/>
      <c r="M4846" s="199"/>
      <c r="N4846" s="200"/>
      <c r="P4846" s="199"/>
    </row>
    <row r="4847" spans="7:16" x14ac:dyDescent="0.2">
      <c r="G4847" s="199"/>
      <c r="I4847" s="199"/>
      <c r="K4847" s="199"/>
      <c r="M4847" s="199"/>
      <c r="N4847" s="200"/>
      <c r="P4847" s="199"/>
    </row>
    <row r="4848" spans="7:16" x14ac:dyDescent="0.2">
      <c r="G4848" s="199"/>
      <c r="I4848" s="199"/>
      <c r="K4848" s="199"/>
      <c r="M4848" s="199"/>
      <c r="N4848" s="200"/>
      <c r="P4848" s="199"/>
    </row>
    <row r="4849" spans="7:16" x14ac:dyDescent="0.2">
      <c r="G4849" s="199"/>
      <c r="I4849" s="199"/>
      <c r="K4849" s="199"/>
      <c r="M4849" s="199"/>
      <c r="N4849" s="200"/>
      <c r="P4849" s="199"/>
    </row>
    <row r="4850" spans="7:16" x14ac:dyDescent="0.2">
      <c r="G4850" s="199"/>
      <c r="I4850" s="199"/>
      <c r="K4850" s="199"/>
      <c r="M4850" s="199"/>
      <c r="N4850" s="200"/>
      <c r="P4850" s="199"/>
    </row>
    <row r="4851" spans="7:16" x14ac:dyDescent="0.2">
      <c r="G4851" s="199"/>
      <c r="I4851" s="199"/>
      <c r="K4851" s="199"/>
      <c r="M4851" s="199"/>
      <c r="N4851" s="200"/>
      <c r="P4851" s="199"/>
    </row>
    <row r="4852" spans="7:16" x14ac:dyDescent="0.2">
      <c r="G4852" s="199"/>
      <c r="I4852" s="199"/>
      <c r="K4852" s="199"/>
      <c r="M4852" s="199"/>
      <c r="N4852" s="200"/>
      <c r="P4852" s="199"/>
    </row>
    <row r="4853" spans="7:16" x14ac:dyDescent="0.2">
      <c r="G4853" s="199"/>
      <c r="I4853" s="199"/>
      <c r="K4853" s="199"/>
      <c r="M4853" s="199"/>
      <c r="N4853" s="200"/>
      <c r="P4853" s="199"/>
    </row>
    <row r="4854" spans="7:16" x14ac:dyDescent="0.2">
      <c r="G4854" s="199"/>
      <c r="I4854" s="199"/>
      <c r="K4854" s="199"/>
      <c r="M4854" s="199"/>
      <c r="N4854" s="200"/>
      <c r="P4854" s="199"/>
    </row>
    <row r="4855" spans="7:16" x14ac:dyDescent="0.2">
      <c r="G4855" s="199"/>
      <c r="I4855" s="199"/>
      <c r="K4855" s="199"/>
      <c r="M4855" s="199"/>
      <c r="N4855" s="200"/>
      <c r="P4855" s="199"/>
    </row>
    <row r="4856" spans="7:16" x14ac:dyDescent="0.2">
      <c r="G4856" s="199"/>
      <c r="I4856" s="199"/>
      <c r="K4856" s="199"/>
      <c r="M4856" s="199"/>
      <c r="N4856" s="200"/>
      <c r="P4856" s="199"/>
    </row>
    <row r="4857" spans="7:16" x14ac:dyDescent="0.2">
      <c r="G4857" s="199"/>
      <c r="I4857" s="199"/>
      <c r="K4857" s="199"/>
      <c r="M4857" s="199"/>
      <c r="N4857" s="200"/>
      <c r="P4857" s="199"/>
    </row>
    <row r="4858" spans="7:16" x14ac:dyDescent="0.2">
      <c r="G4858" s="199"/>
      <c r="I4858" s="199"/>
      <c r="K4858" s="199"/>
      <c r="M4858" s="199"/>
      <c r="N4858" s="200"/>
      <c r="P4858" s="199"/>
    </row>
    <row r="4859" spans="7:16" x14ac:dyDescent="0.2">
      <c r="G4859" s="199"/>
      <c r="I4859" s="199"/>
      <c r="K4859" s="199"/>
      <c r="M4859" s="199"/>
      <c r="N4859" s="200"/>
      <c r="P4859" s="199"/>
    </row>
    <row r="4860" spans="7:16" x14ac:dyDescent="0.2">
      <c r="G4860" s="199"/>
      <c r="I4860" s="199"/>
      <c r="K4860" s="199"/>
      <c r="M4860" s="199"/>
      <c r="N4860" s="200"/>
      <c r="P4860" s="199"/>
    </row>
    <row r="4861" spans="7:16" x14ac:dyDescent="0.2">
      <c r="G4861" s="199"/>
      <c r="I4861" s="199"/>
      <c r="K4861" s="199"/>
      <c r="M4861" s="199"/>
      <c r="N4861" s="200"/>
      <c r="P4861" s="199"/>
    </row>
    <row r="4862" spans="7:16" x14ac:dyDescent="0.2">
      <c r="G4862" s="199"/>
      <c r="I4862" s="199"/>
      <c r="K4862" s="199"/>
      <c r="M4862" s="199"/>
      <c r="N4862" s="200"/>
      <c r="P4862" s="199"/>
    </row>
    <row r="4863" spans="7:16" x14ac:dyDescent="0.2">
      <c r="G4863" s="199"/>
      <c r="I4863" s="199"/>
      <c r="K4863" s="199"/>
      <c r="M4863" s="199"/>
      <c r="N4863" s="200"/>
      <c r="P4863" s="199"/>
    </row>
    <row r="4864" spans="7:16" x14ac:dyDescent="0.2">
      <c r="G4864" s="199"/>
      <c r="I4864" s="199"/>
      <c r="K4864" s="199"/>
      <c r="M4864" s="199"/>
      <c r="N4864" s="200"/>
      <c r="P4864" s="199"/>
    </row>
    <row r="4865" spans="7:16" x14ac:dyDescent="0.2">
      <c r="G4865" s="199"/>
      <c r="I4865" s="199"/>
      <c r="K4865" s="199"/>
      <c r="M4865" s="199"/>
      <c r="N4865" s="200"/>
      <c r="P4865" s="199"/>
    </row>
    <row r="4866" spans="7:16" x14ac:dyDescent="0.2">
      <c r="G4866" s="199"/>
      <c r="I4866" s="199"/>
      <c r="K4866" s="199"/>
      <c r="M4866" s="199"/>
      <c r="N4866" s="200"/>
      <c r="P4866" s="199"/>
    </row>
    <row r="4867" spans="7:16" x14ac:dyDescent="0.2">
      <c r="G4867" s="199"/>
      <c r="I4867" s="199"/>
      <c r="K4867" s="199"/>
      <c r="M4867" s="199"/>
      <c r="N4867" s="200"/>
      <c r="P4867" s="199"/>
    </row>
    <row r="4868" spans="7:16" x14ac:dyDescent="0.2">
      <c r="G4868" s="199"/>
      <c r="I4868" s="199"/>
      <c r="K4868" s="199"/>
      <c r="M4868" s="199"/>
      <c r="N4868" s="200"/>
      <c r="P4868" s="199"/>
    </row>
    <row r="4869" spans="7:16" x14ac:dyDescent="0.2">
      <c r="G4869" s="199"/>
      <c r="I4869" s="199"/>
      <c r="K4869" s="199"/>
      <c r="M4869" s="199"/>
      <c r="N4869" s="200"/>
      <c r="P4869" s="199"/>
    </row>
    <row r="4870" spans="7:16" x14ac:dyDescent="0.2">
      <c r="G4870" s="199"/>
      <c r="I4870" s="199"/>
      <c r="K4870" s="199"/>
      <c r="M4870" s="199"/>
      <c r="N4870" s="200"/>
      <c r="P4870" s="199"/>
    </row>
    <row r="4871" spans="7:16" x14ac:dyDescent="0.2">
      <c r="G4871" s="199"/>
      <c r="I4871" s="199"/>
      <c r="K4871" s="199"/>
      <c r="M4871" s="199"/>
      <c r="N4871" s="200"/>
      <c r="P4871" s="199"/>
    </row>
    <row r="4872" spans="7:16" x14ac:dyDescent="0.2">
      <c r="G4872" s="199"/>
      <c r="I4872" s="199"/>
      <c r="K4872" s="199"/>
      <c r="M4872" s="199"/>
      <c r="N4872" s="200"/>
      <c r="P4872" s="199"/>
    </row>
    <row r="4873" spans="7:16" x14ac:dyDescent="0.2">
      <c r="G4873" s="199"/>
      <c r="I4873" s="199"/>
      <c r="K4873" s="199"/>
      <c r="M4873" s="199"/>
      <c r="N4873" s="200"/>
      <c r="P4873" s="199"/>
    </row>
    <row r="4874" spans="7:16" x14ac:dyDescent="0.2">
      <c r="G4874" s="199"/>
      <c r="I4874" s="199"/>
      <c r="K4874" s="199"/>
      <c r="M4874" s="199"/>
      <c r="N4874" s="200"/>
      <c r="P4874" s="199"/>
    </row>
    <row r="4875" spans="7:16" x14ac:dyDescent="0.2">
      <c r="G4875" s="199"/>
      <c r="I4875" s="199"/>
      <c r="K4875" s="199"/>
      <c r="M4875" s="199"/>
      <c r="N4875" s="200"/>
      <c r="P4875" s="199"/>
    </row>
    <row r="4876" spans="7:16" x14ac:dyDescent="0.2">
      <c r="G4876" s="199"/>
      <c r="I4876" s="199"/>
      <c r="K4876" s="199"/>
      <c r="M4876" s="199"/>
      <c r="N4876" s="200"/>
      <c r="P4876" s="199"/>
    </row>
    <row r="4877" spans="7:16" x14ac:dyDescent="0.2">
      <c r="G4877" s="199"/>
      <c r="I4877" s="199"/>
      <c r="K4877" s="199"/>
      <c r="M4877" s="199"/>
      <c r="N4877" s="200"/>
      <c r="P4877" s="199"/>
    </row>
    <row r="4878" spans="7:16" x14ac:dyDescent="0.2">
      <c r="G4878" s="199"/>
      <c r="I4878" s="199"/>
      <c r="K4878" s="199"/>
      <c r="M4878" s="199"/>
      <c r="N4878" s="200"/>
      <c r="P4878" s="199"/>
    </row>
    <row r="4879" spans="7:16" x14ac:dyDescent="0.2">
      <c r="G4879" s="199"/>
      <c r="I4879" s="199"/>
      <c r="K4879" s="199"/>
      <c r="M4879" s="199"/>
      <c r="N4879" s="200"/>
      <c r="P4879" s="199"/>
    </row>
    <row r="4880" spans="7:16" x14ac:dyDescent="0.2">
      <c r="G4880" s="199"/>
      <c r="I4880" s="199"/>
      <c r="K4880" s="199"/>
      <c r="M4880" s="199"/>
      <c r="N4880" s="200"/>
      <c r="P4880" s="199"/>
    </row>
    <row r="4881" spans="7:16" x14ac:dyDescent="0.2">
      <c r="G4881" s="199"/>
      <c r="I4881" s="199"/>
      <c r="K4881" s="199"/>
      <c r="M4881" s="199"/>
      <c r="N4881" s="200"/>
      <c r="P4881" s="199"/>
    </row>
    <row r="4882" spans="7:16" x14ac:dyDescent="0.2">
      <c r="G4882" s="199"/>
      <c r="I4882" s="199"/>
      <c r="K4882" s="199"/>
      <c r="M4882" s="199"/>
      <c r="N4882" s="200"/>
      <c r="P4882" s="199"/>
    </row>
    <row r="4883" spans="7:16" x14ac:dyDescent="0.2">
      <c r="G4883" s="199"/>
      <c r="I4883" s="199"/>
      <c r="K4883" s="199"/>
      <c r="M4883" s="199"/>
      <c r="N4883" s="200"/>
      <c r="P4883" s="199"/>
    </row>
    <row r="4884" spans="7:16" x14ac:dyDescent="0.2">
      <c r="G4884" s="199"/>
      <c r="I4884" s="199"/>
      <c r="K4884" s="199"/>
      <c r="M4884" s="199"/>
      <c r="N4884" s="200"/>
      <c r="P4884" s="199"/>
    </row>
    <row r="4885" spans="7:16" x14ac:dyDescent="0.2">
      <c r="G4885" s="199"/>
      <c r="I4885" s="199"/>
      <c r="K4885" s="199"/>
      <c r="M4885" s="199"/>
      <c r="N4885" s="200"/>
      <c r="P4885" s="199"/>
    </row>
    <row r="4886" spans="7:16" x14ac:dyDescent="0.2">
      <c r="G4886" s="199"/>
      <c r="I4886" s="199"/>
      <c r="K4886" s="199"/>
      <c r="M4886" s="199"/>
      <c r="N4886" s="200"/>
      <c r="P4886" s="199"/>
    </row>
    <row r="4887" spans="7:16" x14ac:dyDescent="0.2">
      <c r="G4887" s="199"/>
      <c r="I4887" s="199"/>
      <c r="K4887" s="199"/>
      <c r="M4887" s="199"/>
      <c r="N4887" s="200"/>
      <c r="P4887" s="199"/>
    </row>
    <row r="4888" spans="7:16" x14ac:dyDescent="0.2">
      <c r="G4888" s="199"/>
      <c r="I4888" s="199"/>
      <c r="K4888" s="199"/>
      <c r="M4888" s="199"/>
      <c r="N4888" s="200"/>
      <c r="P4888" s="199"/>
    </row>
    <row r="4889" spans="7:16" x14ac:dyDescent="0.2">
      <c r="G4889" s="199"/>
      <c r="I4889" s="199"/>
      <c r="K4889" s="199"/>
      <c r="M4889" s="199"/>
      <c r="N4889" s="200"/>
      <c r="P4889" s="199"/>
    </row>
    <row r="4890" spans="7:16" x14ac:dyDescent="0.2">
      <c r="G4890" s="199"/>
      <c r="I4890" s="199"/>
      <c r="K4890" s="199"/>
      <c r="M4890" s="199"/>
      <c r="N4890" s="200"/>
      <c r="P4890" s="199"/>
    </row>
    <row r="4891" spans="7:16" x14ac:dyDescent="0.2">
      <c r="G4891" s="199"/>
      <c r="I4891" s="199"/>
      <c r="K4891" s="199"/>
      <c r="M4891" s="199"/>
      <c r="N4891" s="200"/>
      <c r="P4891" s="199"/>
    </row>
    <row r="4892" spans="7:16" x14ac:dyDescent="0.2">
      <c r="G4892" s="199"/>
      <c r="I4892" s="199"/>
      <c r="K4892" s="199"/>
      <c r="M4892" s="199"/>
      <c r="N4892" s="200"/>
      <c r="P4892" s="199"/>
    </row>
    <row r="4893" spans="7:16" x14ac:dyDescent="0.2">
      <c r="G4893" s="199"/>
      <c r="I4893" s="199"/>
      <c r="K4893" s="199"/>
      <c r="M4893" s="199"/>
      <c r="N4893" s="200"/>
      <c r="P4893" s="199"/>
    </row>
    <row r="4894" spans="7:16" x14ac:dyDescent="0.2">
      <c r="G4894" s="199"/>
      <c r="I4894" s="199"/>
      <c r="K4894" s="199"/>
      <c r="M4894" s="199"/>
      <c r="N4894" s="200"/>
      <c r="P4894" s="199"/>
    </row>
    <row r="4895" spans="7:16" x14ac:dyDescent="0.2">
      <c r="G4895" s="199"/>
      <c r="I4895" s="199"/>
      <c r="K4895" s="199"/>
      <c r="M4895" s="199"/>
      <c r="N4895" s="200"/>
      <c r="P4895" s="199"/>
    </row>
    <row r="4896" spans="7:16" x14ac:dyDescent="0.2">
      <c r="G4896" s="199"/>
      <c r="I4896" s="199"/>
      <c r="K4896" s="199"/>
      <c r="M4896" s="199"/>
      <c r="N4896" s="200"/>
      <c r="P4896" s="199"/>
    </row>
    <row r="4897" spans="7:16" x14ac:dyDescent="0.2">
      <c r="G4897" s="199"/>
      <c r="I4897" s="199"/>
      <c r="K4897" s="199"/>
      <c r="M4897" s="199"/>
      <c r="N4897" s="200"/>
      <c r="P4897" s="199"/>
    </row>
    <row r="4898" spans="7:16" x14ac:dyDescent="0.2">
      <c r="G4898" s="199"/>
      <c r="I4898" s="199"/>
      <c r="K4898" s="199"/>
      <c r="M4898" s="199"/>
      <c r="N4898" s="200"/>
      <c r="P4898" s="199"/>
    </row>
    <row r="4899" spans="7:16" x14ac:dyDescent="0.2">
      <c r="G4899" s="199"/>
      <c r="I4899" s="199"/>
      <c r="K4899" s="199"/>
      <c r="M4899" s="199"/>
      <c r="N4899" s="200"/>
      <c r="P4899" s="199"/>
    </row>
    <row r="4900" spans="7:16" x14ac:dyDescent="0.2">
      <c r="G4900" s="199"/>
      <c r="I4900" s="199"/>
      <c r="K4900" s="199"/>
      <c r="M4900" s="199"/>
      <c r="N4900" s="200"/>
      <c r="P4900" s="199"/>
    </row>
    <row r="4901" spans="7:16" x14ac:dyDescent="0.2">
      <c r="G4901" s="199"/>
      <c r="I4901" s="199"/>
      <c r="K4901" s="199"/>
      <c r="M4901" s="199"/>
      <c r="N4901" s="200"/>
      <c r="P4901" s="199"/>
    </row>
    <row r="4902" spans="7:16" x14ac:dyDescent="0.2">
      <c r="G4902" s="199"/>
      <c r="I4902" s="199"/>
      <c r="K4902" s="199"/>
      <c r="M4902" s="199"/>
      <c r="N4902" s="200"/>
      <c r="P4902" s="199"/>
    </row>
    <row r="4903" spans="7:16" x14ac:dyDescent="0.2">
      <c r="G4903" s="199"/>
      <c r="I4903" s="199"/>
      <c r="K4903" s="199"/>
      <c r="M4903" s="199"/>
      <c r="N4903" s="200"/>
      <c r="P4903" s="199"/>
    </row>
    <row r="4904" spans="7:16" x14ac:dyDescent="0.2">
      <c r="G4904" s="199"/>
      <c r="I4904" s="199"/>
      <c r="K4904" s="199"/>
      <c r="M4904" s="199"/>
      <c r="N4904" s="200"/>
      <c r="P4904" s="199"/>
    </row>
    <row r="4905" spans="7:16" x14ac:dyDescent="0.2">
      <c r="G4905" s="199"/>
      <c r="I4905" s="199"/>
      <c r="K4905" s="199"/>
      <c r="M4905" s="199"/>
      <c r="N4905" s="200"/>
      <c r="P4905" s="199"/>
    </row>
    <row r="4906" spans="7:16" x14ac:dyDescent="0.2">
      <c r="G4906" s="199"/>
      <c r="I4906" s="199"/>
      <c r="K4906" s="199"/>
      <c r="M4906" s="199"/>
      <c r="N4906" s="200"/>
      <c r="P4906" s="199"/>
    </row>
    <row r="4907" spans="7:16" x14ac:dyDescent="0.2">
      <c r="G4907" s="199"/>
      <c r="I4907" s="199"/>
      <c r="K4907" s="199"/>
      <c r="M4907" s="199"/>
      <c r="N4907" s="200"/>
      <c r="P4907" s="199"/>
    </row>
    <row r="4908" spans="7:16" x14ac:dyDescent="0.2">
      <c r="G4908" s="199"/>
      <c r="I4908" s="199"/>
      <c r="K4908" s="199"/>
      <c r="M4908" s="199"/>
      <c r="N4908" s="200"/>
      <c r="P4908" s="199"/>
    </row>
    <row r="4909" spans="7:16" x14ac:dyDescent="0.2">
      <c r="G4909" s="199"/>
      <c r="I4909" s="199"/>
      <c r="K4909" s="199"/>
      <c r="M4909" s="199"/>
      <c r="N4909" s="200"/>
      <c r="P4909" s="199"/>
    </row>
    <row r="4910" spans="7:16" x14ac:dyDescent="0.2">
      <c r="G4910" s="199"/>
      <c r="I4910" s="199"/>
      <c r="K4910" s="199"/>
      <c r="M4910" s="199"/>
      <c r="N4910" s="200"/>
      <c r="P4910" s="199"/>
    </row>
    <row r="4911" spans="7:16" x14ac:dyDescent="0.2">
      <c r="G4911" s="199"/>
      <c r="I4911" s="199"/>
      <c r="K4911" s="199"/>
      <c r="M4911" s="199"/>
      <c r="N4911" s="200"/>
      <c r="P4911" s="199"/>
    </row>
    <row r="4912" spans="7:16" x14ac:dyDescent="0.2">
      <c r="G4912" s="199"/>
      <c r="I4912" s="199"/>
      <c r="K4912" s="199"/>
      <c r="M4912" s="199"/>
      <c r="N4912" s="200"/>
      <c r="P4912" s="199"/>
    </row>
    <row r="4913" spans="7:16" x14ac:dyDescent="0.2">
      <c r="G4913" s="199"/>
      <c r="I4913" s="199"/>
      <c r="K4913" s="199"/>
      <c r="M4913" s="199"/>
      <c r="N4913" s="200"/>
      <c r="P4913" s="199"/>
    </row>
    <row r="4914" spans="7:16" x14ac:dyDescent="0.2">
      <c r="G4914" s="199"/>
      <c r="I4914" s="199"/>
      <c r="K4914" s="199"/>
      <c r="M4914" s="199"/>
      <c r="N4914" s="200"/>
      <c r="P4914" s="199"/>
    </row>
    <row r="4915" spans="7:16" x14ac:dyDescent="0.2">
      <c r="G4915" s="199"/>
      <c r="I4915" s="199"/>
      <c r="K4915" s="199"/>
      <c r="M4915" s="199"/>
      <c r="N4915" s="200"/>
      <c r="P4915" s="199"/>
    </row>
    <row r="4916" spans="7:16" x14ac:dyDescent="0.2">
      <c r="G4916" s="199"/>
      <c r="I4916" s="199"/>
      <c r="K4916" s="199"/>
      <c r="M4916" s="199"/>
      <c r="N4916" s="200"/>
      <c r="P4916" s="199"/>
    </row>
    <row r="4917" spans="7:16" x14ac:dyDescent="0.2">
      <c r="G4917" s="199"/>
      <c r="I4917" s="199"/>
      <c r="K4917" s="199"/>
      <c r="M4917" s="199"/>
      <c r="N4917" s="200"/>
      <c r="P4917" s="199"/>
    </row>
    <row r="4918" spans="7:16" x14ac:dyDescent="0.2">
      <c r="G4918" s="199"/>
      <c r="I4918" s="199"/>
      <c r="K4918" s="199"/>
      <c r="M4918" s="199"/>
      <c r="N4918" s="200"/>
      <c r="P4918" s="199"/>
    </row>
    <row r="4919" spans="7:16" x14ac:dyDescent="0.2">
      <c r="G4919" s="199"/>
      <c r="I4919" s="199"/>
      <c r="K4919" s="199"/>
      <c r="M4919" s="199"/>
      <c r="N4919" s="200"/>
      <c r="P4919" s="199"/>
    </row>
    <row r="4920" spans="7:16" x14ac:dyDescent="0.2">
      <c r="G4920" s="199"/>
      <c r="I4920" s="199"/>
      <c r="K4920" s="199"/>
      <c r="M4920" s="199"/>
      <c r="N4920" s="200"/>
      <c r="P4920" s="199"/>
    </row>
    <row r="4921" spans="7:16" x14ac:dyDescent="0.2">
      <c r="G4921" s="199"/>
      <c r="I4921" s="199"/>
      <c r="K4921" s="199"/>
      <c r="M4921" s="199"/>
      <c r="N4921" s="200"/>
      <c r="P4921" s="199"/>
    </row>
    <row r="4922" spans="7:16" x14ac:dyDescent="0.2">
      <c r="G4922" s="199"/>
      <c r="I4922" s="199"/>
      <c r="K4922" s="199"/>
      <c r="M4922" s="199"/>
      <c r="N4922" s="200"/>
      <c r="P4922" s="199"/>
    </row>
    <row r="4923" spans="7:16" x14ac:dyDescent="0.2">
      <c r="G4923" s="199"/>
      <c r="I4923" s="199"/>
      <c r="K4923" s="199"/>
      <c r="M4923" s="199"/>
      <c r="N4923" s="200"/>
      <c r="P4923" s="199"/>
    </row>
    <row r="4924" spans="7:16" x14ac:dyDescent="0.2">
      <c r="G4924" s="199"/>
      <c r="I4924" s="199"/>
      <c r="K4924" s="199"/>
      <c r="M4924" s="199"/>
      <c r="N4924" s="200"/>
      <c r="P4924" s="199"/>
    </row>
    <row r="4925" spans="7:16" x14ac:dyDescent="0.2">
      <c r="G4925" s="199"/>
      <c r="I4925" s="199"/>
      <c r="K4925" s="199"/>
      <c r="M4925" s="199"/>
      <c r="N4925" s="200"/>
      <c r="P4925" s="199"/>
    </row>
    <row r="4926" spans="7:16" x14ac:dyDescent="0.2">
      <c r="G4926" s="199"/>
      <c r="I4926" s="199"/>
      <c r="K4926" s="199"/>
      <c r="M4926" s="199"/>
      <c r="N4926" s="200"/>
      <c r="P4926" s="199"/>
    </row>
    <row r="4927" spans="7:16" x14ac:dyDescent="0.2">
      <c r="G4927" s="199"/>
      <c r="I4927" s="199"/>
      <c r="K4927" s="199"/>
      <c r="M4927" s="199"/>
      <c r="N4927" s="200"/>
      <c r="P4927" s="199"/>
    </row>
    <row r="4928" spans="7:16" x14ac:dyDescent="0.2">
      <c r="G4928" s="199"/>
      <c r="I4928" s="199"/>
      <c r="K4928" s="199"/>
      <c r="M4928" s="199"/>
      <c r="N4928" s="200"/>
      <c r="P4928" s="199"/>
    </row>
    <row r="4929" spans="7:16" x14ac:dyDescent="0.2">
      <c r="G4929" s="199"/>
      <c r="I4929" s="199"/>
      <c r="K4929" s="199"/>
      <c r="M4929" s="199"/>
      <c r="N4929" s="200"/>
      <c r="P4929" s="199"/>
    </row>
    <row r="4930" spans="7:16" x14ac:dyDescent="0.2">
      <c r="G4930" s="199"/>
      <c r="I4930" s="199"/>
      <c r="K4930" s="199"/>
      <c r="M4930" s="199"/>
      <c r="N4930" s="200"/>
      <c r="P4930" s="199"/>
    </row>
    <row r="4931" spans="7:16" x14ac:dyDescent="0.2">
      <c r="G4931" s="199"/>
      <c r="I4931" s="199"/>
      <c r="K4931" s="199"/>
      <c r="M4931" s="199"/>
      <c r="N4931" s="200"/>
      <c r="P4931" s="199"/>
    </row>
    <row r="4932" spans="7:16" x14ac:dyDescent="0.2">
      <c r="G4932" s="199"/>
      <c r="I4932" s="199"/>
      <c r="K4932" s="199"/>
      <c r="M4932" s="199"/>
      <c r="N4932" s="200"/>
      <c r="P4932" s="199"/>
    </row>
    <row r="4933" spans="7:16" x14ac:dyDescent="0.2">
      <c r="G4933" s="199"/>
      <c r="I4933" s="199"/>
      <c r="K4933" s="199"/>
      <c r="M4933" s="199"/>
      <c r="N4933" s="200"/>
      <c r="P4933" s="199"/>
    </row>
    <row r="4934" spans="7:16" x14ac:dyDescent="0.2">
      <c r="G4934" s="199"/>
      <c r="I4934" s="199"/>
      <c r="K4934" s="199"/>
      <c r="M4934" s="199"/>
      <c r="N4934" s="200"/>
      <c r="P4934" s="199"/>
    </row>
    <row r="4935" spans="7:16" x14ac:dyDescent="0.2">
      <c r="G4935" s="199"/>
      <c r="I4935" s="199"/>
      <c r="K4935" s="199"/>
      <c r="M4935" s="199"/>
      <c r="N4935" s="200"/>
      <c r="P4935" s="199"/>
    </row>
    <row r="4936" spans="7:16" x14ac:dyDescent="0.2">
      <c r="G4936" s="199"/>
      <c r="I4936" s="199"/>
      <c r="K4936" s="199"/>
      <c r="M4936" s="199"/>
      <c r="N4936" s="200"/>
      <c r="P4936" s="199"/>
    </row>
    <row r="4937" spans="7:16" x14ac:dyDescent="0.2">
      <c r="G4937" s="199"/>
      <c r="I4937" s="199"/>
      <c r="K4937" s="199"/>
      <c r="M4937" s="199"/>
      <c r="N4937" s="200"/>
      <c r="P4937" s="199"/>
    </row>
    <row r="4938" spans="7:16" x14ac:dyDescent="0.2">
      <c r="G4938" s="199"/>
      <c r="I4938" s="199"/>
      <c r="K4938" s="199"/>
      <c r="M4938" s="199"/>
      <c r="N4938" s="200"/>
      <c r="P4938" s="199"/>
    </row>
    <row r="4939" spans="7:16" x14ac:dyDescent="0.2">
      <c r="G4939" s="199"/>
      <c r="I4939" s="199"/>
      <c r="K4939" s="199"/>
      <c r="M4939" s="199"/>
      <c r="N4939" s="200"/>
      <c r="P4939" s="199"/>
    </row>
    <row r="4940" spans="7:16" x14ac:dyDescent="0.2">
      <c r="G4940" s="199"/>
      <c r="I4940" s="199"/>
      <c r="K4940" s="199"/>
      <c r="M4940" s="199"/>
      <c r="N4940" s="200"/>
      <c r="P4940" s="199"/>
    </row>
    <row r="4941" spans="7:16" x14ac:dyDescent="0.2">
      <c r="G4941" s="199"/>
      <c r="I4941" s="199"/>
      <c r="K4941" s="199"/>
      <c r="M4941" s="199"/>
      <c r="N4941" s="200"/>
      <c r="P4941" s="199"/>
    </row>
    <row r="4942" spans="7:16" x14ac:dyDescent="0.2">
      <c r="G4942" s="199"/>
      <c r="I4942" s="199"/>
      <c r="K4942" s="199"/>
      <c r="M4942" s="199"/>
      <c r="N4942" s="200"/>
      <c r="P4942" s="199"/>
    </row>
    <row r="4943" spans="7:16" x14ac:dyDescent="0.2">
      <c r="G4943" s="199"/>
      <c r="I4943" s="199"/>
      <c r="K4943" s="199"/>
      <c r="M4943" s="199"/>
      <c r="N4943" s="200"/>
      <c r="P4943" s="199"/>
    </row>
    <row r="4944" spans="7:16" x14ac:dyDescent="0.2">
      <c r="G4944" s="199"/>
      <c r="I4944" s="199"/>
      <c r="K4944" s="199"/>
      <c r="M4944" s="199"/>
      <c r="N4944" s="200"/>
      <c r="P4944" s="199"/>
    </row>
    <row r="4945" spans="7:16" x14ac:dyDescent="0.2">
      <c r="G4945" s="199"/>
      <c r="I4945" s="199"/>
      <c r="K4945" s="199"/>
      <c r="M4945" s="199"/>
      <c r="N4945" s="200"/>
      <c r="P4945" s="199"/>
    </row>
    <row r="4946" spans="7:16" x14ac:dyDescent="0.2">
      <c r="G4946" s="199"/>
      <c r="I4946" s="199"/>
      <c r="K4946" s="199"/>
      <c r="M4946" s="199"/>
      <c r="N4946" s="200"/>
      <c r="P4946" s="199"/>
    </row>
    <row r="4947" spans="7:16" x14ac:dyDescent="0.2">
      <c r="G4947" s="199"/>
      <c r="I4947" s="199"/>
      <c r="K4947" s="199"/>
      <c r="M4947" s="199"/>
      <c r="N4947" s="200"/>
      <c r="P4947" s="199"/>
    </row>
    <row r="4948" spans="7:16" x14ac:dyDescent="0.2">
      <c r="G4948" s="199"/>
      <c r="I4948" s="199"/>
      <c r="K4948" s="199"/>
      <c r="M4948" s="199"/>
      <c r="N4948" s="200"/>
      <c r="P4948" s="199"/>
    </row>
    <row r="4949" spans="7:16" x14ac:dyDescent="0.2">
      <c r="G4949" s="199"/>
      <c r="I4949" s="199"/>
      <c r="K4949" s="199"/>
      <c r="M4949" s="199"/>
      <c r="N4949" s="200"/>
      <c r="P4949" s="199"/>
    </row>
    <row r="4950" spans="7:16" x14ac:dyDescent="0.2">
      <c r="G4950" s="199"/>
      <c r="I4950" s="199"/>
      <c r="K4950" s="199"/>
      <c r="M4950" s="199"/>
      <c r="N4950" s="200"/>
      <c r="P4950" s="199"/>
    </row>
    <row r="4951" spans="7:16" x14ac:dyDescent="0.2">
      <c r="G4951" s="199"/>
      <c r="I4951" s="199"/>
      <c r="K4951" s="199"/>
      <c r="M4951" s="199"/>
      <c r="N4951" s="200"/>
      <c r="P4951" s="199"/>
    </row>
    <row r="4952" spans="7:16" x14ac:dyDescent="0.2">
      <c r="G4952" s="199"/>
      <c r="I4952" s="199"/>
      <c r="K4952" s="199"/>
      <c r="M4952" s="199"/>
      <c r="N4952" s="200"/>
      <c r="P4952" s="199"/>
    </row>
    <row r="4953" spans="7:16" x14ac:dyDescent="0.2">
      <c r="G4953" s="199"/>
      <c r="I4953" s="199"/>
      <c r="K4953" s="199"/>
      <c r="M4953" s="199"/>
      <c r="N4953" s="200"/>
      <c r="P4953" s="199"/>
    </row>
    <row r="4954" spans="7:16" x14ac:dyDescent="0.2">
      <c r="G4954" s="199"/>
      <c r="I4954" s="199"/>
      <c r="K4954" s="199"/>
      <c r="M4954" s="199"/>
      <c r="N4954" s="200"/>
      <c r="P4954" s="199"/>
    </row>
    <row r="4955" spans="7:16" x14ac:dyDescent="0.2">
      <c r="G4955" s="199"/>
      <c r="I4955" s="199"/>
      <c r="K4955" s="199"/>
      <c r="M4955" s="199"/>
      <c r="N4955" s="200"/>
      <c r="P4955" s="199"/>
    </row>
    <row r="4956" spans="7:16" x14ac:dyDescent="0.2">
      <c r="G4956" s="199"/>
      <c r="I4956" s="199"/>
      <c r="K4956" s="199"/>
      <c r="M4956" s="199"/>
      <c r="N4956" s="200"/>
      <c r="P4956" s="199"/>
    </row>
    <row r="4957" spans="7:16" x14ac:dyDescent="0.2">
      <c r="G4957" s="199"/>
      <c r="I4957" s="199"/>
      <c r="K4957" s="199"/>
      <c r="M4957" s="199"/>
      <c r="N4957" s="200"/>
      <c r="P4957" s="199"/>
    </row>
    <row r="4958" spans="7:16" x14ac:dyDescent="0.2">
      <c r="G4958" s="199"/>
      <c r="I4958" s="199"/>
      <c r="K4958" s="199"/>
      <c r="M4958" s="199"/>
      <c r="N4958" s="200"/>
      <c r="P4958" s="199"/>
    </row>
    <row r="4959" spans="7:16" x14ac:dyDescent="0.2">
      <c r="G4959" s="199"/>
      <c r="I4959" s="199"/>
      <c r="K4959" s="199"/>
      <c r="M4959" s="199"/>
      <c r="N4959" s="200"/>
      <c r="P4959" s="199"/>
    </row>
    <row r="4960" spans="7:16" x14ac:dyDescent="0.2">
      <c r="G4960" s="199"/>
      <c r="I4960" s="199"/>
      <c r="K4960" s="199"/>
      <c r="M4960" s="199"/>
      <c r="N4960" s="200"/>
      <c r="P4960" s="199"/>
    </row>
    <row r="4961" spans="7:16" x14ac:dyDescent="0.2">
      <c r="G4961" s="199"/>
      <c r="I4961" s="199"/>
      <c r="K4961" s="199"/>
      <c r="M4961" s="199"/>
      <c r="N4961" s="200"/>
      <c r="P4961" s="199"/>
    </row>
    <row r="4962" spans="7:16" x14ac:dyDescent="0.2">
      <c r="G4962" s="199"/>
      <c r="I4962" s="199"/>
      <c r="K4962" s="199"/>
      <c r="M4962" s="199"/>
      <c r="N4962" s="200"/>
      <c r="P4962" s="199"/>
    </row>
    <row r="4963" spans="7:16" x14ac:dyDescent="0.2">
      <c r="G4963" s="199"/>
      <c r="I4963" s="199"/>
      <c r="K4963" s="199"/>
      <c r="M4963" s="199"/>
      <c r="N4963" s="200"/>
      <c r="P4963" s="199"/>
    </row>
    <row r="4964" spans="7:16" x14ac:dyDescent="0.2">
      <c r="G4964" s="199"/>
      <c r="I4964" s="199"/>
      <c r="K4964" s="199"/>
      <c r="M4964" s="199"/>
      <c r="N4964" s="200"/>
      <c r="P4964" s="199"/>
    </row>
    <row r="4965" spans="7:16" x14ac:dyDescent="0.2">
      <c r="G4965" s="199"/>
      <c r="I4965" s="199"/>
      <c r="K4965" s="199"/>
      <c r="M4965" s="199"/>
      <c r="N4965" s="200"/>
      <c r="P4965" s="199"/>
    </row>
    <row r="4966" spans="7:16" x14ac:dyDescent="0.2">
      <c r="G4966" s="199"/>
      <c r="I4966" s="199"/>
      <c r="K4966" s="199"/>
      <c r="M4966" s="199"/>
      <c r="N4966" s="200"/>
      <c r="P4966" s="199"/>
    </row>
    <row r="4967" spans="7:16" x14ac:dyDescent="0.2">
      <c r="G4967" s="199"/>
      <c r="I4967" s="199"/>
      <c r="K4967" s="199"/>
      <c r="M4967" s="199"/>
      <c r="N4967" s="200"/>
      <c r="P4967" s="199"/>
    </row>
    <row r="4968" spans="7:16" x14ac:dyDescent="0.2">
      <c r="G4968" s="199"/>
      <c r="I4968" s="199"/>
      <c r="K4968" s="199"/>
      <c r="M4968" s="199"/>
      <c r="N4968" s="200"/>
      <c r="P4968" s="199"/>
    </row>
    <row r="4969" spans="7:16" x14ac:dyDescent="0.2">
      <c r="G4969" s="199"/>
      <c r="I4969" s="199"/>
      <c r="K4969" s="199"/>
      <c r="M4969" s="199"/>
      <c r="N4969" s="200"/>
      <c r="P4969" s="199"/>
    </row>
    <row r="4970" spans="7:16" x14ac:dyDescent="0.2">
      <c r="G4970" s="199"/>
      <c r="I4970" s="199"/>
      <c r="K4970" s="199"/>
      <c r="M4970" s="199"/>
      <c r="N4970" s="200"/>
      <c r="P4970" s="199"/>
    </row>
    <row r="4971" spans="7:16" x14ac:dyDescent="0.2">
      <c r="G4971" s="199"/>
      <c r="I4971" s="199"/>
      <c r="K4971" s="199"/>
      <c r="M4971" s="199"/>
      <c r="N4971" s="200"/>
      <c r="P4971" s="199"/>
    </row>
    <row r="4972" spans="7:16" x14ac:dyDescent="0.2">
      <c r="G4972" s="199"/>
      <c r="I4972" s="199"/>
      <c r="K4972" s="199"/>
      <c r="M4972" s="199"/>
      <c r="N4972" s="200"/>
      <c r="P4972" s="199"/>
    </row>
    <row r="4973" spans="7:16" x14ac:dyDescent="0.2">
      <c r="G4973" s="199"/>
      <c r="I4973" s="199"/>
      <c r="K4973" s="199"/>
      <c r="M4973" s="199"/>
      <c r="N4973" s="200"/>
      <c r="P4973" s="199"/>
    </row>
    <row r="4974" spans="7:16" x14ac:dyDescent="0.2">
      <c r="G4974" s="199"/>
      <c r="I4974" s="199"/>
      <c r="K4974" s="199"/>
      <c r="M4974" s="199"/>
      <c r="N4974" s="200"/>
      <c r="P4974" s="199"/>
    </row>
    <row r="4975" spans="7:16" x14ac:dyDescent="0.2">
      <c r="G4975" s="199"/>
      <c r="I4975" s="199"/>
      <c r="K4975" s="199"/>
      <c r="M4975" s="199"/>
      <c r="N4975" s="200"/>
      <c r="P4975" s="199"/>
    </row>
    <row r="4976" spans="7:16" x14ac:dyDescent="0.2">
      <c r="G4976" s="199"/>
      <c r="I4976" s="199"/>
      <c r="K4976" s="199"/>
      <c r="M4976" s="199"/>
      <c r="N4976" s="200"/>
      <c r="P4976" s="199"/>
    </row>
    <row r="4977" spans="7:16" x14ac:dyDescent="0.2">
      <c r="G4977" s="199"/>
      <c r="I4977" s="199"/>
      <c r="K4977" s="199"/>
      <c r="M4977" s="199"/>
      <c r="N4977" s="200"/>
      <c r="P4977" s="199"/>
    </row>
    <row r="4978" spans="7:16" x14ac:dyDescent="0.2">
      <c r="G4978" s="199"/>
      <c r="I4978" s="199"/>
      <c r="K4978" s="199"/>
      <c r="M4978" s="199"/>
      <c r="N4978" s="200"/>
      <c r="P4978" s="199"/>
    </row>
    <row r="4979" spans="7:16" x14ac:dyDescent="0.2">
      <c r="G4979" s="199"/>
      <c r="I4979" s="199"/>
      <c r="K4979" s="199"/>
      <c r="M4979" s="199"/>
      <c r="N4979" s="200"/>
      <c r="P4979" s="199"/>
    </row>
    <row r="4980" spans="7:16" x14ac:dyDescent="0.2">
      <c r="G4980" s="199"/>
      <c r="I4980" s="199"/>
      <c r="K4980" s="199"/>
      <c r="M4980" s="199"/>
      <c r="N4980" s="200"/>
      <c r="P4980" s="199"/>
    </row>
    <row r="4981" spans="7:16" x14ac:dyDescent="0.2">
      <c r="G4981" s="199"/>
      <c r="I4981" s="199"/>
      <c r="K4981" s="199"/>
      <c r="M4981" s="199"/>
      <c r="N4981" s="200"/>
      <c r="P4981" s="199"/>
    </row>
    <row r="4982" spans="7:16" x14ac:dyDescent="0.2">
      <c r="G4982" s="199"/>
      <c r="I4982" s="199"/>
      <c r="K4982" s="199"/>
      <c r="M4982" s="199"/>
      <c r="N4982" s="200"/>
      <c r="P4982" s="199"/>
    </row>
    <row r="4983" spans="7:16" x14ac:dyDescent="0.2">
      <c r="G4983" s="199"/>
      <c r="I4983" s="199"/>
      <c r="K4983" s="199"/>
      <c r="M4983" s="199"/>
      <c r="N4983" s="200"/>
      <c r="P4983" s="199"/>
    </row>
    <row r="4984" spans="7:16" x14ac:dyDescent="0.2">
      <c r="G4984" s="199"/>
      <c r="I4984" s="199"/>
      <c r="K4984" s="199"/>
      <c r="M4984" s="199"/>
      <c r="N4984" s="200"/>
      <c r="P4984" s="199"/>
    </row>
    <row r="4985" spans="7:16" x14ac:dyDescent="0.2">
      <c r="G4985" s="199"/>
      <c r="I4985" s="199"/>
      <c r="K4985" s="199"/>
      <c r="M4985" s="199"/>
      <c r="N4985" s="200"/>
      <c r="P4985" s="199"/>
    </row>
    <row r="4986" spans="7:16" x14ac:dyDescent="0.2">
      <c r="G4986" s="199"/>
      <c r="I4986" s="199"/>
      <c r="K4986" s="199"/>
      <c r="M4986" s="199"/>
      <c r="N4986" s="200"/>
      <c r="P4986" s="199"/>
    </row>
    <row r="4987" spans="7:16" x14ac:dyDescent="0.2">
      <c r="G4987" s="199"/>
      <c r="I4987" s="199"/>
      <c r="K4987" s="199"/>
      <c r="M4987" s="199"/>
      <c r="N4987" s="200"/>
      <c r="P4987" s="199"/>
    </row>
    <row r="4988" spans="7:16" x14ac:dyDescent="0.2">
      <c r="G4988" s="199"/>
      <c r="I4988" s="199"/>
      <c r="K4988" s="199"/>
      <c r="M4988" s="199"/>
      <c r="N4988" s="200"/>
      <c r="P4988" s="199"/>
    </row>
    <row r="4989" spans="7:16" x14ac:dyDescent="0.2">
      <c r="G4989" s="199"/>
      <c r="I4989" s="199"/>
      <c r="K4989" s="199"/>
      <c r="M4989" s="199"/>
      <c r="N4989" s="200"/>
      <c r="P4989" s="199"/>
    </row>
    <row r="4990" spans="7:16" x14ac:dyDescent="0.2">
      <c r="G4990" s="199"/>
      <c r="I4990" s="199"/>
      <c r="K4990" s="199"/>
      <c r="M4990" s="199"/>
      <c r="N4990" s="200"/>
      <c r="P4990" s="199"/>
    </row>
    <row r="4991" spans="7:16" x14ac:dyDescent="0.2">
      <c r="G4991" s="199"/>
      <c r="I4991" s="199"/>
      <c r="K4991" s="199"/>
      <c r="M4991" s="199"/>
      <c r="N4991" s="200"/>
      <c r="P4991" s="199"/>
    </row>
    <row r="4992" spans="7:16" x14ac:dyDescent="0.2">
      <c r="G4992" s="199"/>
      <c r="I4992" s="199"/>
      <c r="K4992" s="199"/>
      <c r="M4992" s="199"/>
      <c r="N4992" s="200"/>
      <c r="P4992" s="199"/>
    </row>
    <row r="4993" spans="7:16" x14ac:dyDescent="0.2">
      <c r="G4993" s="199"/>
      <c r="I4993" s="199"/>
      <c r="K4993" s="199"/>
      <c r="M4993" s="199"/>
      <c r="N4993" s="200"/>
      <c r="P4993" s="199"/>
    </row>
    <row r="4994" spans="7:16" x14ac:dyDescent="0.2">
      <c r="G4994" s="199"/>
      <c r="I4994" s="199"/>
      <c r="K4994" s="199"/>
      <c r="M4994" s="199"/>
      <c r="N4994" s="200"/>
      <c r="P4994" s="199"/>
    </row>
    <row r="4995" spans="7:16" x14ac:dyDescent="0.2">
      <c r="G4995" s="199"/>
      <c r="I4995" s="199"/>
      <c r="K4995" s="199"/>
      <c r="M4995" s="199"/>
      <c r="N4995" s="200"/>
      <c r="P4995" s="199"/>
    </row>
    <row r="4996" spans="7:16" x14ac:dyDescent="0.2">
      <c r="G4996" s="199"/>
      <c r="I4996" s="199"/>
      <c r="K4996" s="199"/>
      <c r="M4996" s="199"/>
      <c r="N4996" s="200"/>
      <c r="P4996" s="199"/>
    </row>
    <row r="4997" spans="7:16" x14ac:dyDescent="0.2">
      <c r="G4997" s="199"/>
      <c r="I4997" s="199"/>
      <c r="K4997" s="199"/>
      <c r="M4997" s="199"/>
      <c r="N4997" s="200"/>
      <c r="P4997" s="199"/>
    </row>
    <row r="4998" spans="7:16" x14ac:dyDescent="0.2">
      <c r="G4998" s="199"/>
      <c r="I4998" s="199"/>
      <c r="K4998" s="199"/>
      <c r="M4998" s="199"/>
      <c r="N4998" s="200"/>
      <c r="P4998" s="199"/>
    </row>
    <row r="4999" spans="7:16" x14ac:dyDescent="0.2">
      <c r="G4999" s="199"/>
      <c r="I4999" s="199"/>
      <c r="K4999" s="199"/>
      <c r="M4999" s="199"/>
      <c r="N4999" s="200"/>
      <c r="P4999" s="199"/>
    </row>
    <row r="5000" spans="7:16" x14ac:dyDescent="0.2">
      <c r="G5000" s="199"/>
      <c r="I5000" s="199"/>
      <c r="K5000" s="199"/>
      <c r="M5000" s="199"/>
      <c r="N5000" s="200"/>
      <c r="P5000" s="199"/>
    </row>
    <row r="5001" spans="7:16" x14ac:dyDescent="0.2">
      <c r="G5001" s="199"/>
      <c r="I5001" s="199"/>
      <c r="K5001" s="199"/>
      <c r="M5001" s="199"/>
      <c r="N5001" s="200"/>
      <c r="P5001" s="199"/>
    </row>
    <row r="5002" spans="7:16" x14ac:dyDescent="0.2">
      <c r="G5002" s="199"/>
      <c r="I5002" s="199"/>
      <c r="K5002" s="199"/>
      <c r="M5002" s="199"/>
      <c r="N5002" s="200"/>
      <c r="P5002" s="199"/>
    </row>
    <row r="5003" spans="7:16" x14ac:dyDescent="0.2">
      <c r="G5003" s="199"/>
      <c r="I5003" s="199"/>
      <c r="K5003" s="199"/>
      <c r="M5003" s="199"/>
      <c r="N5003" s="200"/>
      <c r="P5003" s="199"/>
    </row>
    <row r="5004" spans="7:16" x14ac:dyDescent="0.2">
      <c r="G5004" s="199"/>
      <c r="I5004" s="199"/>
      <c r="K5004" s="199"/>
      <c r="M5004" s="199"/>
      <c r="N5004" s="200"/>
      <c r="P5004" s="199"/>
    </row>
    <row r="5005" spans="7:16" x14ac:dyDescent="0.2">
      <c r="G5005" s="199"/>
      <c r="I5005" s="199"/>
      <c r="K5005" s="199"/>
      <c r="M5005" s="199"/>
      <c r="N5005" s="200"/>
      <c r="P5005" s="199"/>
    </row>
    <row r="5006" spans="7:16" x14ac:dyDescent="0.2">
      <c r="G5006" s="199"/>
      <c r="I5006" s="199"/>
      <c r="K5006" s="199"/>
      <c r="M5006" s="199"/>
      <c r="N5006" s="200"/>
      <c r="P5006" s="199"/>
    </row>
    <row r="5007" spans="7:16" x14ac:dyDescent="0.2">
      <c r="G5007" s="199"/>
      <c r="I5007" s="199"/>
      <c r="K5007" s="199"/>
      <c r="M5007" s="199"/>
      <c r="N5007" s="200"/>
      <c r="P5007" s="199"/>
    </row>
    <row r="5008" spans="7:16" x14ac:dyDescent="0.2">
      <c r="G5008" s="199"/>
      <c r="I5008" s="199"/>
      <c r="K5008" s="199"/>
      <c r="M5008" s="199"/>
      <c r="N5008" s="200"/>
      <c r="P5008" s="199"/>
    </row>
    <row r="5009" spans="7:16" x14ac:dyDescent="0.2">
      <c r="G5009" s="199"/>
      <c r="I5009" s="199"/>
      <c r="K5009" s="199"/>
      <c r="M5009" s="199"/>
      <c r="N5009" s="200"/>
      <c r="P5009" s="199"/>
    </row>
    <row r="5010" spans="7:16" x14ac:dyDescent="0.2">
      <c r="G5010" s="199"/>
      <c r="I5010" s="199"/>
      <c r="K5010" s="199"/>
      <c r="M5010" s="199"/>
      <c r="N5010" s="200"/>
      <c r="P5010" s="199"/>
    </row>
    <row r="5011" spans="7:16" x14ac:dyDescent="0.2">
      <c r="G5011" s="199"/>
      <c r="I5011" s="199"/>
      <c r="K5011" s="199"/>
      <c r="M5011" s="199"/>
      <c r="N5011" s="200"/>
      <c r="P5011" s="199"/>
    </row>
    <row r="5012" spans="7:16" x14ac:dyDescent="0.2">
      <c r="G5012" s="199"/>
      <c r="I5012" s="199"/>
      <c r="K5012" s="199"/>
      <c r="M5012" s="199"/>
      <c r="N5012" s="200"/>
      <c r="P5012" s="199"/>
    </row>
    <row r="5013" spans="7:16" x14ac:dyDescent="0.2">
      <c r="G5013" s="199"/>
      <c r="I5013" s="199"/>
      <c r="K5013" s="199"/>
      <c r="M5013" s="199"/>
      <c r="N5013" s="200"/>
      <c r="P5013" s="199"/>
    </row>
    <row r="5014" spans="7:16" x14ac:dyDescent="0.2">
      <c r="G5014" s="199"/>
      <c r="I5014" s="199"/>
      <c r="K5014" s="199"/>
      <c r="M5014" s="199"/>
      <c r="N5014" s="200"/>
      <c r="P5014" s="199"/>
    </row>
    <row r="5015" spans="7:16" x14ac:dyDescent="0.2">
      <c r="G5015" s="199"/>
      <c r="I5015" s="199"/>
      <c r="K5015" s="199"/>
      <c r="M5015" s="199"/>
      <c r="N5015" s="200"/>
      <c r="P5015" s="199"/>
    </row>
    <row r="5016" spans="7:16" x14ac:dyDescent="0.2">
      <c r="G5016" s="199"/>
      <c r="I5016" s="199"/>
      <c r="K5016" s="199"/>
      <c r="M5016" s="199"/>
      <c r="N5016" s="200"/>
      <c r="P5016" s="199"/>
    </row>
    <row r="5017" spans="7:16" x14ac:dyDescent="0.2">
      <c r="G5017" s="199"/>
      <c r="I5017" s="199"/>
      <c r="K5017" s="199"/>
      <c r="M5017" s="199"/>
      <c r="N5017" s="200"/>
      <c r="P5017" s="199"/>
    </row>
    <row r="5018" spans="7:16" x14ac:dyDescent="0.2">
      <c r="G5018" s="199"/>
      <c r="I5018" s="199"/>
      <c r="K5018" s="199"/>
      <c r="M5018" s="199"/>
      <c r="N5018" s="200"/>
      <c r="P5018" s="199"/>
    </row>
    <row r="5019" spans="7:16" x14ac:dyDescent="0.2">
      <c r="G5019" s="199"/>
      <c r="I5019" s="199"/>
      <c r="K5019" s="199"/>
      <c r="M5019" s="199"/>
      <c r="N5019" s="200"/>
      <c r="P5019" s="199"/>
    </row>
    <row r="5020" spans="7:16" x14ac:dyDescent="0.2">
      <c r="G5020" s="199"/>
      <c r="I5020" s="199"/>
      <c r="K5020" s="199"/>
      <c r="M5020" s="199"/>
      <c r="N5020" s="200"/>
      <c r="P5020" s="199"/>
    </row>
    <row r="5021" spans="7:16" x14ac:dyDescent="0.2">
      <c r="G5021" s="199"/>
      <c r="I5021" s="199"/>
      <c r="K5021" s="199"/>
      <c r="M5021" s="199"/>
      <c r="N5021" s="200"/>
      <c r="P5021" s="199"/>
    </row>
    <row r="5022" spans="7:16" x14ac:dyDescent="0.2">
      <c r="G5022" s="199"/>
      <c r="I5022" s="199"/>
      <c r="K5022" s="199"/>
      <c r="M5022" s="199"/>
      <c r="N5022" s="200"/>
      <c r="P5022" s="199"/>
    </row>
    <row r="5023" spans="7:16" x14ac:dyDescent="0.2">
      <c r="G5023" s="199"/>
      <c r="I5023" s="199"/>
      <c r="K5023" s="199"/>
      <c r="M5023" s="199"/>
      <c r="N5023" s="200"/>
      <c r="P5023" s="199"/>
    </row>
    <row r="5024" spans="7:16" x14ac:dyDescent="0.2">
      <c r="G5024" s="199"/>
      <c r="I5024" s="199"/>
      <c r="K5024" s="199"/>
      <c r="M5024" s="199"/>
      <c r="N5024" s="200"/>
      <c r="P5024" s="199"/>
    </row>
    <row r="5025" spans="7:16" x14ac:dyDescent="0.2">
      <c r="G5025" s="199"/>
      <c r="I5025" s="199"/>
      <c r="K5025" s="199"/>
      <c r="M5025" s="199"/>
      <c r="N5025" s="200"/>
      <c r="P5025" s="199"/>
    </row>
    <row r="5026" spans="7:16" x14ac:dyDescent="0.2">
      <c r="G5026" s="199"/>
      <c r="I5026" s="199"/>
      <c r="K5026" s="199"/>
      <c r="M5026" s="199"/>
      <c r="N5026" s="200"/>
      <c r="P5026" s="199"/>
    </row>
    <row r="5027" spans="7:16" x14ac:dyDescent="0.2">
      <c r="G5027" s="199"/>
      <c r="I5027" s="199"/>
      <c r="K5027" s="199"/>
      <c r="M5027" s="199"/>
      <c r="N5027" s="200"/>
      <c r="P5027" s="199"/>
    </row>
    <row r="5028" spans="7:16" x14ac:dyDescent="0.2">
      <c r="G5028" s="199"/>
      <c r="I5028" s="199"/>
      <c r="K5028" s="199"/>
      <c r="M5028" s="199"/>
      <c r="N5028" s="200"/>
      <c r="P5028" s="199"/>
    </row>
    <row r="5029" spans="7:16" x14ac:dyDescent="0.2">
      <c r="G5029" s="199"/>
      <c r="I5029" s="199"/>
      <c r="K5029" s="199"/>
      <c r="M5029" s="199"/>
      <c r="N5029" s="200"/>
      <c r="P5029" s="199"/>
    </row>
    <row r="5030" spans="7:16" x14ac:dyDescent="0.2">
      <c r="G5030" s="199"/>
      <c r="I5030" s="199"/>
      <c r="K5030" s="199"/>
      <c r="M5030" s="199"/>
      <c r="N5030" s="200"/>
      <c r="P5030" s="199"/>
    </row>
    <row r="5031" spans="7:16" x14ac:dyDescent="0.2">
      <c r="G5031" s="199"/>
      <c r="I5031" s="199"/>
      <c r="K5031" s="199"/>
      <c r="M5031" s="199"/>
      <c r="N5031" s="200"/>
      <c r="P5031" s="199"/>
    </row>
    <row r="5032" spans="7:16" x14ac:dyDescent="0.2">
      <c r="G5032" s="199"/>
      <c r="I5032" s="199"/>
      <c r="K5032" s="199"/>
      <c r="M5032" s="199"/>
      <c r="N5032" s="200"/>
      <c r="P5032" s="199"/>
    </row>
    <row r="5033" spans="7:16" x14ac:dyDescent="0.2">
      <c r="G5033" s="199"/>
      <c r="I5033" s="199"/>
      <c r="K5033" s="199"/>
      <c r="M5033" s="199"/>
      <c r="N5033" s="200"/>
      <c r="P5033" s="199"/>
    </row>
    <row r="5034" spans="7:16" x14ac:dyDescent="0.2">
      <c r="G5034" s="199"/>
      <c r="I5034" s="199"/>
      <c r="K5034" s="199"/>
      <c r="M5034" s="199"/>
      <c r="N5034" s="200"/>
      <c r="P5034" s="199"/>
    </row>
    <row r="5035" spans="7:16" x14ac:dyDescent="0.2">
      <c r="G5035" s="199"/>
      <c r="I5035" s="199"/>
      <c r="K5035" s="199"/>
      <c r="M5035" s="199"/>
      <c r="N5035" s="200"/>
      <c r="P5035" s="199"/>
    </row>
    <row r="5036" spans="7:16" x14ac:dyDescent="0.2">
      <c r="G5036" s="199"/>
      <c r="I5036" s="199"/>
      <c r="K5036" s="199"/>
      <c r="M5036" s="199"/>
      <c r="N5036" s="200"/>
      <c r="P5036" s="199"/>
    </row>
    <row r="5037" spans="7:16" x14ac:dyDescent="0.2">
      <c r="G5037" s="199"/>
      <c r="I5037" s="199"/>
      <c r="K5037" s="199"/>
      <c r="M5037" s="199"/>
      <c r="N5037" s="200"/>
      <c r="P5037" s="199"/>
    </row>
    <row r="5038" spans="7:16" x14ac:dyDescent="0.2">
      <c r="G5038" s="199"/>
      <c r="I5038" s="199"/>
      <c r="K5038" s="199"/>
      <c r="M5038" s="199"/>
      <c r="N5038" s="200"/>
      <c r="P5038" s="199"/>
    </row>
    <row r="5039" spans="7:16" x14ac:dyDescent="0.2">
      <c r="G5039" s="199"/>
      <c r="I5039" s="199"/>
      <c r="K5039" s="199"/>
      <c r="M5039" s="199"/>
      <c r="N5039" s="200"/>
      <c r="P5039" s="199"/>
    </row>
    <row r="5040" spans="7:16" x14ac:dyDescent="0.2">
      <c r="G5040" s="199"/>
      <c r="I5040" s="199"/>
      <c r="K5040" s="199"/>
      <c r="M5040" s="199"/>
      <c r="N5040" s="200"/>
      <c r="P5040" s="199"/>
    </row>
    <row r="5041" spans="7:16" x14ac:dyDescent="0.2">
      <c r="G5041" s="199"/>
      <c r="I5041" s="199"/>
      <c r="K5041" s="199"/>
      <c r="M5041" s="199"/>
      <c r="N5041" s="200"/>
      <c r="P5041" s="199"/>
    </row>
    <row r="5042" spans="7:16" x14ac:dyDescent="0.2">
      <c r="G5042" s="199"/>
      <c r="I5042" s="199"/>
      <c r="K5042" s="199"/>
      <c r="M5042" s="199"/>
      <c r="N5042" s="200"/>
      <c r="P5042" s="199"/>
    </row>
    <row r="5043" spans="7:16" x14ac:dyDescent="0.2">
      <c r="G5043" s="199"/>
      <c r="I5043" s="199"/>
      <c r="K5043" s="199"/>
      <c r="M5043" s="199"/>
      <c r="N5043" s="200"/>
      <c r="P5043" s="199"/>
    </row>
    <row r="5044" spans="7:16" x14ac:dyDescent="0.2">
      <c r="G5044" s="199"/>
      <c r="I5044" s="199"/>
      <c r="K5044" s="199"/>
      <c r="M5044" s="199"/>
      <c r="N5044" s="200"/>
      <c r="P5044" s="199"/>
    </row>
    <row r="5045" spans="7:16" x14ac:dyDescent="0.2">
      <c r="G5045" s="199"/>
      <c r="I5045" s="199"/>
      <c r="K5045" s="199"/>
      <c r="M5045" s="199"/>
      <c r="N5045" s="200"/>
      <c r="P5045" s="199"/>
    </row>
    <row r="5046" spans="7:16" x14ac:dyDescent="0.2">
      <c r="G5046" s="199"/>
      <c r="I5046" s="199"/>
      <c r="K5046" s="199"/>
      <c r="M5046" s="199"/>
      <c r="N5046" s="200"/>
      <c r="P5046" s="199"/>
    </row>
    <row r="5047" spans="7:16" x14ac:dyDescent="0.2">
      <c r="G5047" s="199"/>
      <c r="I5047" s="199"/>
      <c r="K5047" s="199"/>
      <c r="M5047" s="199"/>
      <c r="N5047" s="200"/>
      <c r="P5047" s="199"/>
    </row>
    <row r="5048" spans="7:16" x14ac:dyDescent="0.2">
      <c r="G5048" s="199"/>
      <c r="I5048" s="199"/>
      <c r="K5048" s="199"/>
      <c r="M5048" s="199"/>
      <c r="N5048" s="200"/>
      <c r="P5048" s="199"/>
    </row>
    <row r="5049" spans="7:16" x14ac:dyDescent="0.2">
      <c r="G5049" s="199"/>
      <c r="I5049" s="199"/>
      <c r="K5049" s="199"/>
      <c r="M5049" s="199"/>
      <c r="N5049" s="200"/>
      <c r="P5049" s="199"/>
    </row>
    <row r="5050" spans="7:16" x14ac:dyDescent="0.2">
      <c r="G5050" s="199"/>
      <c r="I5050" s="199"/>
      <c r="K5050" s="199"/>
      <c r="M5050" s="199"/>
      <c r="N5050" s="200"/>
      <c r="P5050" s="199"/>
    </row>
    <row r="5051" spans="7:16" x14ac:dyDescent="0.2">
      <c r="G5051" s="199"/>
      <c r="I5051" s="199"/>
      <c r="K5051" s="199"/>
      <c r="M5051" s="199"/>
      <c r="N5051" s="200"/>
      <c r="P5051" s="199"/>
    </row>
    <row r="5052" spans="7:16" x14ac:dyDescent="0.2">
      <c r="G5052" s="199"/>
      <c r="I5052" s="199"/>
      <c r="K5052" s="199"/>
      <c r="M5052" s="199"/>
      <c r="N5052" s="200"/>
      <c r="P5052" s="199"/>
    </row>
    <row r="5053" spans="7:16" x14ac:dyDescent="0.2">
      <c r="G5053" s="199"/>
      <c r="I5053" s="199"/>
      <c r="K5053" s="199"/>
      <c r="M5053" s="199"/>
      <c r="N5053" s="200"/>
      <c r="P5053" s="199"/>
    </row>
    <row r="5054" spans="7:16" x14ac:dyDescent="0.2">
      <c r="G5054" s="199"/>
      <c r="I5054" s="199"/>
      <c r="K5054" s="199"/>
      <c r="M5054" s="199"/>
      <c r="N5054" s="200"/>
      <c r="P5054" s="199"/>
    </row>
    <row r="5055" spans="7:16" x14ac:dyDescent="0.2">
      <c r="G5055" s="199"/>
      <c r="I5055" s="199"/>
      <c r="K5055" s="199"/>
      <c r="M5055" s="199"/>
      <c r="N5055" s="200"/>
      <c r="P5055" s="199"/>
    </row>
    <row r="5056" spans="7:16" x14ac:dyDescent="0.2">
      <c r="G5056" s="199"/>
      <c r="I5056" s="199"/>
      <c r="K5056" s="199"/>
      <c r="M5056" s="199"/>
      <c r="N5056" s="200"/>
      <c r="P5056" s="199"/>
    </row>
    <row r="5057" spans="7:16" x14ac:dyDescent="0.2">
      <c r="G5057" s="199"/>
      <c r="I5057" s="199"/>
      <c r="K5057" s="199"/>
      <c r="M5057" s="199"/>
      <c r="N5057" s="200"/>
      <c r="P5057" s="199"/>
    </row>
    <row r="5058" spans="7:16" x14ac:dyDescent="0.2">
      <c r="G5058" s="199"/>
      <c r="I5058" s="199"/>
      <c r="K5058" s="199"/>
      <c r="M5058" s="199"/>
      <c r="N5058" s="200"/>
      <c r="P5058" s="199"/>
    </row>
    <row r="5059" spans="7:16" x14ac:dyDescent="0.2">
      <c r="G5059" s="199"/>
      <c r="I5059" s="199"/>
      <c r="K5059" s="199"/>
      <c r="M5059" s="199"/>
      <c r="N5059" s="200"/>
      <c r="P5059" s="199"/>
    </row>
    <row r="5060" spans="7:16" x14ac:dyDescent="0.2">
      <c r="G5060" s="199"/>
      <c r="I5060" s="199"/>
      <c r="K5060" s="199"/>
      <c r="M5060" s="199"/>
      <c r="N5060" s="200"/>
      <c r="P5060" s="199"/>
    </row>
    <row r="5061" spans="7:16" x14ac:dyDescent="0.2">
      <c r="G5061" s="199"/>
      <c r="I5061" s="199"/>
      <c r="K5061" s="199"/>
      <c r="M5061" s="199"/>
      <c r="N5061" s="200"/>
      <c r="P5061" s="199"/>
    </row>
    <row r="5062" spans="7:16" x14ac:dyDescent="0.2">
      <c r="G5062" s="199"/>
      <c r="I5062" s="199"/>
      <c r="K5062" s="199"/>
      <c r="M5062" s="199"/>
      <c r="N5062" s="200"/>
      <c r="P5062" s="199"/>
    </row>
    <row r="5063" spans="7:16" x14ac:dyDescent="0.2">
      <c r="G5063" s="199"/>
      <c r="I5063" s="199"/>
      <c r="K5063" s="199"/>
      <c r="M5063" s="199"/>
      <c r="N5063" s="200"/>
      <c r="P5063" s="199"/>
    </row>
    <row r="5064" spans="7:16" x14ac:dyDescent="0.2">
      <c r="G5064" s="199"/>
      <c r="I5064" s="199"/>
      <c r="K5064" s="199"/>
      <c r="M5064" s="199"/>
      <c r="N5064" s="200"/>
      <c r="P5064" s="199"/>
    </row>
    <row r="5065" spans="7:16" x14ac:dyDescent="0.2">
      <c r="G5065" s="199"/>
      <c r="I5065" s="199"/>
      <c r="K5065" s="199"/>
      <c r="M5065" s="199"/>
      <c r="N5065" s="200"/>
      <c r="P5065" s="199"/>
    </row>
    <row r="5066" spans="7:16" x14ac:dyDescent="0.2">
      <c r="G5066" s="199"/>
      <c r="I5066" s="199"/>
      <c r="K5066" s="199"/>
      <c r="M5066" s="199"/>
      <c r="N5066" s="200"/>
      <c r="P5066" s="199"/>
    </row>
    <row r="5067" spans="7:16" x14ac:dyDescent="0.2">
      <c r="G5067" s="199"/>
      <c r="I5067" s="199"/>
      <c r="K5067" s="199"/>
      <c r="M5067" s="199"/>
      <c r="N5067" s="200"/>
      <c r="P5067" s="199"/>
    </row>
    <row r="5068" spans="7:16" x14ac:dyDescent="0.2">
      <c r="G5068" s="199"/>
      <c r="I5068" s="199"/>
      <c r="K5068" s="199"/>
      <c r="M5068" s="199"/>
      <c r="N5068" s="200"/>
      <c r="P5068" s="199"/>
    </row>
    <row r="5069" spans="7:16" x14ac:dyDescent="0.2">
      <c r="G5069" s="199"/>
      <c r="I5069" s="199"/>
      <c r="K5069" s="199"/>
      <c r="M5069" s="199"/>
      <c r="N5069" s="200"/>
      <c r="P5069" s="199"/>
    </row>
    <row r="5070" spans="7:16" x14ac:dyDescent="0.2">
      <c r="G5070" s="199"/>
      <c r="I5070" s="199"/>
      <c r="K5070" s="199"/>
      <c r="M5070" s="199"/>
      <c r="N5070" s="200"/>
      <c r="P5070" s="199"/>
    </row>
    <row r="5071" spans="7:16" x14ac:dyDescent="0.2">
      <c r="G5071" s="199"/>
      <c r="I5071" s="199"/>
      <c r="K5071" s="199"/>
      <c r="M5071" s="199"/>
      <c r="N5071" s="200"/>
      <c r="P5071" s="199"/>
    </row>
    <row r="5072" spans="7:16" x14ac:dyDescent="0.2">
      <c r="G5072" s="199"/>
      <c r="I5072" s="199"/>
      <c r="K5072" s="199"/>
      <c r="M5072" s="199"/>
      <c r="N5072" s="200"/>
      <c r="P5072" s="199"/>
    </row>
    <row r="5073" spans="7:16" x14ac:dyDescent="0.2">
      <c r="G5073" s="199"/>
      <c r="I5073" s="199"/>
      <c r="K5073" s="199"/>
      <c r="M5073" s="199"/>
      <c r="N5073" s="200"/>
      <c r="P5073" s="199"/>
    </row>
    <row r="5074" spans="7:16" x14ac:dyDescent="0.2">
      <c r="G5074" s="199"/>
      <c r="I5074" s="199"/>
      <c r="K5074" s="199"/>
      <c r="M5074" s="199"/>
      <c r="N5074" s="200"/>
      <c r="P5074" s="199"/>
    </row>
    <row r="5075" spans="7:16" x14ac:dyDescent="0.2">
      <c r="G5075" s="199"/>
      <c r="I5075" s="199"/>
      <c r="K5075" s="199"/>
      <c r="M5075" s="199"/>
      <c r="N5075" s="200"/>
      <c r="P5075" s="199"/>
    </row>
    <row r="5076" spans="7:16" x14ac:dyDescent="0.2">
      <c r="G5076" s="199"/>
      <c r="I5076" s="199"/>
      <c r="K5076" s="199"/>
      <c r="M5076" s="199"/>
      <c r="N5076" s="200"/>
      <c r="P5076" s="199"/>
    </row>
    <row r="5077" spans="7:16" x14ac:dyDescent="0.2">
      <c r="G5077" s="199"/>
      <c r="I5077" s="199"/>
      <c r="K5077" s="199"/>
      <c r="M5077" s="199"/>
      <c r="N5077" s="200"/>
      <c r="P5077" s="199"/>
    </row>
    <row r="5078" spans="7:16" x14ac:dyDescent="0.2">
      <c r="G5078" s="199"/>
      <c r="I5078" s="199"/>
      <c r="K5078" s="199"/>
      <c r="M5078" s="199"/>
      <c r="N5078" s="200"/>
      <c r="P5078" s="199"/>
    </row>
    <row r="5079" spans="7:16" x14ac:dyDescent="0.2">
      <c r="G5079" s="199"/>
      <c r="I5079" s="199"/>
      <c r="K5079" s="199"/>
      <c r="M5079" s="199"/>
      <c r="N5079" s="200"/>
      <c r="P5079" s="199"/>
    </row>
    <row r="5080" spans="7:16" x14ac:dyDescent="0.2">
      <c r="G5080" s="199"/>
      <c r="I5080" s="199"/>
      <c r="K5080" s="199"/>
      <c r="M5080" s="199"/>
      <c r="N5080" s="200"/>
      <c r="P5080" s="199"/>
    </row>
    <row r="5081" spans="7:16" x14ac:dyDescent="0.2">
      <c r="G5081" s="199"/>
      <c r="I5081" s="199"/>
      <c r="K5081" s="199"/>
      <c r="M5081" s="199"/>
      <c r="N5081" s="200"/>
      <c r="P5081" s="199"/>
    </row>
    <row r="5082" spans="7:16" x14ac:dyDescent="0.2">
      <c r="G5082" s="199"/>
      <c r="I5082" s="199"/>
      <c r="K5082" s="199"/>
      <c r="M5082" s="199"/>
      <c r="N5082" s="200"/>
      <c r="P5082" s="199"/>
    </row>
    <row r="5083" spans="7:16" x14ac:dyDescent="0.2">
      <c r="G5083" s="199"/>
      <c r="I5083" s="199"/>
      <c r="K5083" s="199"/>
      <c r="M5083" s="199"/>
      <c r="N5083" s="200"/>
      <c r="P5083" s="199"/>
    </row>
    <row r="5084" spans="7:16" x14ac:dyDescent="0.2">
      <c r="G5084" s="199"/>
      <c r="I5084" s="199"/>
      <c r="K5084" s="199"/>
      <c r="M5084" s="199"/>
      <c r="N5084" s="200"/>
      <c r="P5084" s="199"/>
    </row>
    <row r="5085" spans="7:16" x14ac:dyDescent="0.2">
      <c r="G5085" s="199"/>
      <c r="I5085" s="199"/>
      <c r="K5085" s="199"/>
      <c r="M5085" s="199"/>
      <c r="N5085" s="200"/>
      <c r="P5085" s="199"/>
    </row>
    <row r="5086" spans="7:16" x14ac:dyDescent="0.2">
      <c r="G5086" s="199"/>
      <c r="I5086" s="199"/>
      <c r="K5086" s="199"/>
      <c r="M5086" s="199"/>
      <c r="N5086" s="200"/>
      <c r="P5086" s="199"/>
    </row>
    <row r="5087" spans="7:16" x14ac:dyDescent="0.2">
      <c r="G5087" s="199"/>
      <c r="I5087" s="199"/>
      <c r="K5087" s="199"/>
      <c r="M5087" s="199"/>
      <c r="N5087" s="200"/>
      <c r="P5087" s="199"/>
    </row>
    <row r="5088" spans="7:16" x14ac:dyDescent="0.2">
      <c r="G5088" s="199"/>
      <c r="I5088" s="199"/>
      <c r="K5088" s="199"/>
      <c r="M5088" s="199"/>
      <c r="N5088" s="200"/>
      <c r="P5088" s="199"/>
    </row>
    <row r="5089" spans="7:16" x14ac:dyDescent="0.2">
      <c r="G5089" s="199"/>
      <c r="I5089" s="199"/>
      <c r="K5089" s="199"/>
      <c r="M5089" s="199"/>
      <c r="N5089" s="200"/>
      <c r="P5089" s="199"/>
    </row>
    <row r="5090" spans="7:16" x14ac:dyDescent="0.2">
      <c r="G5090" s="199"/>
      <c r="I5090" s="199"/>
      <c r="K5090" s="199"/>
      <c r="M5090" s="199"/>
      <c r="N5090" s="200"/>
      <c r="P5090" s="199"/>
    </row>
    <row r="5091" spans="7:16" x14ac:dyDescent="0.2">
      <c r="G5091" s="199"/>
      <c r="I5091" s="199"/>
      <c r="K5091" s="199"/>
      <c r="M5091" s="199"/>
      <c r="N5091" s="200"/>
      <c r="P5091" s="199"/>
    </row>
    <row r="5092" spans="7:16" x14ac:dyDescent="0.2">
      <c r="G5092" s="199"/>
      <c r="I5092" s="199"/>
      <c r="K5092" s="199"/>
      <c r="M5092" s="199"/>
      <c r="N5092" s="200"/>
      <c r="P5092" s="199"/>
    </row>
    <row r="5093" spans="7:16" x14ac:dyDescent="0.2">
      <c r="G5093" s="199"/>
      <c r="I5093" s="199"/>
      <c r="K5093" s="199"/>
      <c r="M5093" s="199"/>
      <c r="N5093" s="200"/>
      <c r="P5093" s="199"/>
    </row>
    <row r="5094" spans="7:16" x14ac:dyDescent="0.2">
      <c r="G5094" s="199"/>
      <c r="I5094" s="199"/>
      <c r="K5094" s="199"/>
      <c r="M5094" s="199"/>
      <c r="N5094" s="200"/>
      <c r="P5094" s="199"/>
    </row>
    <row r="5095" spans="7:16" x14ac:dyDescent="0.2">
      <c r="G5095" s="199"/>
      <c r="I5095" s="199"/>
      <c r="K5095" s="199"/>
      <c r="M5095" s="199"/>
      <c r="N5095" s="200"/>
      <c r="P5095" s="199"/>
    </row>
    <row r="5096" spans="7:16" x14ac:dyDescent="0.2">
      <c r="G5096" s="199"/>
      <c r="I5096" s="199"/>
      <c r="K5096" s="199"/>
      <c r="M5096" s="199"/>
      <c r="N5096" s="200"/>
      <c r="P5096" s="199"/>
    </row>
    <row r="5097" spans="7:16" x14ac:dyDescent="0.2">
      <c r="G5097" s="199"/>
      <c r="I5097" s="199"/>
      <c r="K5097" s="199"/>
      <c r="M5097" s="199"/>
      <c r="N5097" s="200"/>
      <c r="P5097" s="199"/>
    </row>
    <row r="5098" spans="7:16" x14ac:dyDescent="0.2">
      <c r="G5098" s="199"/>
      <c r="I5098" s="199"/>
      <c r="K5098" s="199"/>
      <c r="M5098" s="199"/>
      <c r="N5098" s="200"/>
      <c r="P5098" s="199"/>
    </row>
    <row r="5099" spans="7:16" x14ac:dyDescent="0.2">
      <c r="G5099" s="199"/>
      <c r="I5099" s="199"/>
      <c r="K5099" s="199"/>
      <c r="M5099" s="199"/>
      <c r="N5099" s="200"/>
      <c r="P5099" s="199"/>
    </row>
    <row r="5100" spans="7:16" x14ac:dyDescent="0.2">
      <c r="G5100" s="199"/>
      <c r="I5100" s="199"/>
      <c r="K5100" s="199"/>
      <c r="M5100" s="199"/>
      <c r="N5100" s="200"/>
      <c r="P5100" s="199"/>
    </row>
    <row r="5101" spans="7:16" x14ac:dyDescent="0.2">
      <c r="G5101" s="199"/>
      <c r="I5101" s="199"/>
      <c r="K5101" s="199"/>
      <c r="M5101" s="199"/>
      <c r="N5101" s="200"/>
      <c r="P5101" s="199"/>
    </row>
    <row r="5102" spans="7:16" x14ac:dyDescent="0.2">
      <c r="G5102" s="199"/>
      <c r="I5102" s="199"/>
      <c r="K5102" s="199"/>
      <c r="M5102" s="199"/>
      <c r="N5102" s="200"/>
      <c r="P5102" s="199"/>
    </row>
    <row r="5103" spans="7:16" x14ac:dyDescent="0.2">
      <c r="G5103" s="199"/>
      <c r="I5103" s="199"/>
      <c r="K5103" s="199"/>
      <c r="M5103" s="199"/>
      <c r="N5103" s="200"/>
      <c r="P5103" s="199"/>
    </row>
    <row r="5104" spans="7:16" x14ac:dyDescent="0.2">
      <c r="G5104" s="199"/>
      <c r="I5104" s="199"/>
      <c r="K5104" s="199"/>
      <c r="M5104" s="199"/>
      <c r="N5104" s="200"/>
      <c r="P5104" s="199"/>
    </row>
    <row r="5105" spans="7:16" x14ac:dyDescent="0.2">
      <c r="G5105" s="199"/>
      <c r="I5105" s="199"/>
      <c r="K5105" s="199"/>
      <c r="M5105" s="199"/>
      <c r="N5105" s="200"/>
      <c r="P5105" s="199"/>
    </row>
    <row r="5106" spans="7:16" x14ac:dyDescent="0.2">
      <c r="G5106" s="199"/>
      <c r="I5106" s="199"/>
      <c r="K5106" s="199"/>
      <c r="M5106" s="199"/>
      <c r="N5106" s="200"/>
      <c r="P5106" s="199"/>
    </row>
    <row r="5107" spans="7:16" x14ac:dyDescent="0.2">
      <c r="G5107" s="199"/>
      <c r="I5107" s="199"/>
      <c r="K5107" s="199"/>
      <c r="M5107" s="199"/>
      <c r="N5107" s="200"/>
      <c r="P5107" s="199"/>
    </row>
    <row r="5108" spans="7:16" x14ac:dyDescent="0.2">
      <c r="G5108" s="199"/>
      <c r="I5108" s="199"/>
      <c r="K5108" s="199"/>
      <c r="M5108" s="199"/>
      <c r="N5108" s="200"/>
      <c r="P5108" s="199"/>
    </row>
    <row r="5109" spans="7:16" x14ac:dyDescent="0.2">
      <c r="G5109" s="199"/>
      <c r="I5109" s="199"/>
      <c r="K5109" s="199"/>
      <c r="M5109" s="199"/>
      <c r="N5109" s="200"/>
      <c r="P5109" s="199"/>
    </row>
    <row r="5110" spans="7:16" x14ac:dyDescent="0.2">
      <c r="G5110" s="199"/>
      <c r="I5110" s="199"/>
      <c r="K5110" s="199"/>
      <c r="M5110" s="199"/>
      <c r="N5110" s="200"/>
      <c r="P5110" s="199"/>
    </row>
    <row r="5111" spans="7:16" x14ac:dyDescent="0.2">
      <c r="G5111" s="199"/>
      <c r="I5111" s="199"/>
      <c r="K5111" s="199"/>
      <c r="M5111" s="199"/>
      <c r="N5111" s="200"/>
      <c r="P5111" s="199"/>
    </row>
    <row r="5112" spans="7:16" x14ac:dyDescent="0.2">
      <c r="G5112" s="199"/>
      <c r="I5112" s="199"/>
      <c r="K5112" s="199"/>
      <c r="M5112" s="199"/>
      <c r="N5112" s="200"/>
      <c r="P5112" s="199"/>
    </row>
    <row r="5113" spans="7:16" x14ac:dyDescent="0.2">
      <c r="G5113" s="199"/>
      <c r="I5113" s="199"/>
      <c r="K5113" s="199"/>
      <c r="M5113" s="199"/>
      <c r="N5113" s="200"/>
      <c r="P5113" s="199"/>
    </row>
    <row r="5114" spans="7:16" x14ac:dyDescent="0.2">
      <c r="G5114" s="199"/>
      <c r="I5114" s="199"/>
      <c r="K5114" s="199"/>
      <c r="M5114" s="199"/>
      <c r="N5114" s="200"/>
      <c r="P5114" s="199"/>
    </row>
    <row r="5115" spans="7:16" x14ac:dyDescent="0.2">
      <c r="G5115" s="199"/>
      <c r="I5115" s="199"/>
      <c r="K5115" s="199"/>
      <c r="M5115" s="199"/>
      <c r="N5115" s="200"/>
      <c r="P5115" s="199"/>
    </row>
    <row r="5116" spans="7:16" x14ac:dyDescent="0.2">
      <c r="G5116" s="199"/>
      <c r="I5116" s="199"/>
      <c r="K5116" s="199"/>
      <c r="M5116" s="199"/>
      <c r="N5116" s="200"/>
      <c r="P5116" s="199"/>
    </row>
    <row r="5117" spans="7:16" x14ac:dyDescent="0.2">
      <c r="G5117" s="199"/>
      <c r="I5117" s="199"/>
      <c r="K5117" s="199"/>
      <c r="M5117" s="199"/>
      <c r="N5117" s="200"/>
      <c r="P5117" s="199"/>
    </row>
    <row r="5118" spans="7:16" x14ac:dyDescent="0.2">
      <c r="G5118" s="199"/>
      <c r="I5118" s="199"/>
      <c r="K5118" s="199"/>
      <c r="M5118" s="199"/>
      <c r="N5118" s="200"/>
      <c r="P5118" s="199"/>
    </row>
    <row r="5119" spans="7:16" x14ac:dyDescent="0.2">
      <c r="G5119" s="199"/>
      <c r="I5119" s="199"/>
      <c r="K5119" s="199"/>
      <c r="M5119" s="199"/>
      <c r="N5119" s="200"/>
      <c r="P5119" s="199"/>
    </row>
    <row r="5120" spans="7:16" x14ac:dyDescent="0.2">
      <c r="G5120" s="199"/>
      <c r="I5120" s="199"/>
      <c r="K5120" s="199"/>
      <c r="M5120" s="199"/>
      <c r="N5120" s="200"/>
      <c r="P5120" s="199"/>
    </row>
    <row r="5121" spans="7:16" x14ac:dyDescent="0.2">
      <c r="G5121" s="199"/>
      <c r="I5121" s="199"/>
      <c r="K5121" s="199"/>
      <c r="M5121" s="199"/>
      <c r="N5121" s="200"/>
      <c r="P5121" s="199"/>
    </row>
    <row r="5122" spans="7:16" x14ac:dyDescent="0.2">
      <c r="G5122" s="199"/>
      <c r="I5122" s="199"/>
      <c r="K5122" s="199"/>
      <c r="M5122" s="199"/>
      <c r="N5122" s="200"/>
      <c r="P5122" s="199"/>
    </row>
    <row r="5123" spans="7:16" x14ac:dyDescent="0.2">
      <c r="G5123" s="199"/>
      <c r="I5123" s="199"/>
      <c r="K5123" s="199"/>
      <c r="M5123" s="199"/>
      <c r="N5123" s="200"/>
      <c r="P5123" s="199"/>
    </row>
    <row r="5124" spans="7:16" x14ac:dyDescent="0.2">
      <c r="G5124" s="199"/>
      <c r="I5124" s="199"/>
      <c r="K5124" s="199"/>
      <c r="M5124" s="199"/>
      <c r="N5124" s="200"/>
      <c r="P5124" s="199"/>
    </row>
    <row r="5125" spans="7:16" x14ac:dyDescent="0.2">
      <c r="G5125" s="199"/>
      <c r="I5125" s="199"/>
      <c r="K5125" s="199"/>
      <c r="M5125" s="199"/>
      <c r="N5125" s="200"/>
      <c r="P5125" s="199"/>
    </row>
    <row r="5126" spans="7:16" x14ac:dyDescent="0.2">
      <c r="G5126" s="199"/>
      <c r="I5126" s="199"/>
      <c r="K5126" s="199"/>
      <c r="M5126" s="199"/>
      <c r="N5126" s="200"/>
      <c r="P5126" s="199"/>
    </row>
    <row r="5127" spans="7:16" x14ac:dyDescent="0.2">
      <c r="G5127" s="199"/>
      <c r="I5127" s="199"/>
      <c r="K5127" s="199"/>
      <c r="M5127" s="199"/>
      <c r="N5127" s="200"/>
      <c r="P5127" s="199"/>
    </row>
    <row r="5128" spans="7:16" x14ac:dyDescent="0.2">
      <c r="G5128" s="199"/>
      <c r="I5128" s="199"/>
      <c r="K5128" s="199"/>
      <c r="M5128" s="199"/>
      <c r="N5128" s="200"/>
      <c r="P5128" s="199"/>
    </row>
    <row r="5129" spans="7:16" x14ac:dyDescent="0.2">
      <c r="G5129" s="199"/>
      <c r="I5129" s="199"/>
      <c r="K5129" s="199"/>
      <c r="M5129" s="199"/>
      <c r="N5129" s="200"/>
      <c r="P5129" s="199"/>
    </row>
    <row r="5130" spans="7:16" x14ac:dyDescent="0.2">
      <c r="G5130" s="199"/>
      <c r="I5130" s="199"/>
      <c r="K5130" s="199"/>
      <c r="M5130" s="199"/>
      <c r="N5130" s="200"/>
      <c r="P5130" s="199"/>
    </row>
    <row r="5131" spans="7:16" x14ac:dyDescent="0.2">
      <c r="G5131" s="199"/>
      <c r="I5131" s="199"/>
      <c r="K5131" s="199"/>
      <c r="M5131" s="199"/>
      <c r="N5131" s="200"/>
      <c r="P5131" s="199"/>
    </row>
    <row r="5132" spans="7:16" x14ac:dyDescent="0.2">
      <c r="G5132" s="199"/>
      <c r="I5132" s="199"/>
      <c r="K5132" s="199"/>
      <c r="M5132" s="199"/>
      <c r="N5132" s="200"/>
      <c r="P5132" s="199"/>
    </row>
    <row r="5133" spans="7:16" x14ac:dyDescent="0.2">
      <c r="G5133" s="199"/>
      <c r="I5133" s="199"/>
      <c r="K5133" s="199"/>
      <c r="M5133" s="199"/>
      <c r="N5133" s="200"/>
      <c r="P5133" s="199"/>
    </row>
    <row r="5134" spans="7:16" x14ac:dyDescent="0.2">
      <c r="G5134" s="199"/>
      <c r="I5134" s="199"/>
      <c r="K5134" s="199"/>
      <c r="M5134" s="199"/>
      <c r="N5134" s="200"/>
      <c r="P5134" s="199"/>
    </row>
    <row r="5135" spans="7:16" x14ac:dyDescent="0.2">
      <c r="G5135" s="199"/>
      <c r="I5135" s="199"/>
      <c r="K5135" s="199"/>
      <c r="M5135" s="199"/>
      <c r="N5135" s="200"/>
      <c r="P5135" s="199"/>
    </row>
    <row r="5136" spans="7:16" x14ac:dyDescent="0.2">
      <c r="G5136" s="199"/>
      <c r="I5136" s="199"/>
      <c r="K5136" s="199"/>
      <c r="M5136" s="199"/>
      <c r="N5136" s="200"/>
      <c r="P5136" s="199"/>
    </row>
    <row r="5137" spans="7:16" x14ac:dyDescent="0.2">
      <c r="G5137" s="199"/>
      <c r="I5137" s="199"/>
      <c r="K5137" s="199"/>
      <c r="M5137" s="199"/>
      <c r="N5137" s="200"/>
      <c r="P5137" s="199"/>
    </row>
    <row r="5138" spans="7:16" x14ac:dyDescent="0.2">
      <c r="G5138" s="199"/>
      <c r="I5138" s="199"/>
      <c r="K5138" s="199"/>
      <c r="M5138" s="199"/>
      <c r="N5138" s="200"/>
      <c r="P5138" s="199"/>
    </row>
    <row r="5139" spans="7:16" x14ac:dyDescent="0.2">
      <c r="G5139" s="199"/>
      <c r="I5139" s="199"/>
      <c r="K5139" s="199"/>
      <c r="M5139" s="199"/>
      <c r="N5139" s="200"/>
      <c r="P5139" s="199"/>
    </row>
    <row r="5140" spans="7:16" x14ac:dyDescent="0.2">
      <c r="G5140" s="199"/>
      <c r="I5140" s="199"/>
      <c r="K5140" s="199"/>
      <c r="M5140" s="199"/>
      <c r="N5140" s="200"/>
      <c r="P5140" s="199"/>
    </row>
    <row r="5141" spans="7:16" x14ac:dyDescent="0.2">
      <c r="G5141" s="199"/>
      <c r="I5141" s="199"/>
      <c r="K5141" s="199"/>
      <c r="M5141" s="199"/>
      <c r="N5141" s="200"/>
      <c r="P5141" s="199"/>
    </row>
    <row r="5142" spans="7:16" x14ac:dyDescent="0.2">
      <c r="G5142" s="199"/>
      <c r="I5142" s="199"/>
      <c r="K5142" s="199"/>
      <c r="M5142" s="199"/>
      <c r="N5142" s="200"/>
      <c r="P5142" s="199"/>
    </row>
    <row r="5143" spans="7:16" x14ac:dyDescent="0.2">
      <c r="G5143" s="199"/>
      <c r="I5143" s="199"/>
      <c r="K5143" s="199"/>
      <c r="M5143" s="199"/>
      <c r="N5143" s="200"/>
      <c r="P5143" s="199"/>
    </row>
    <row r="5144" spans="7:16" x14ac:dyDescent="0.2">
      <c r="G5144" s="199"/>
      <c r="I5144" s="199"/>
      <c r="K5144" s="199"/>
      <c r="M5144" s="199"/>
      <c r="N5144" s="200"/>
      <c r="P5144" s="199"/>
    </row>
    <row r="5145" spans="7:16" x14ac:dyDescent="0.2">
      <c r="G5145" s="199"/>
      <c r="I5145" s="199"/>
      <c r="K5145" s="199"/>
      <c r="M5145" s="199"/>
      <c r="N5145" s="200"/>
      <c r="P5145" s="199"/>
    </row>
    <row r="5146" spans="7:16" x14ac:dyDescent="0.2">
      <c r="G5146" s="199"/>
      <c r="I5146" s="199"/>
      <c r="K5146" s="199"/>
      <c r="M5146" s="199"/>
      <c r="N5146" s="200"/>
      <c r="P5146" s="199"/>
    </row>
    <row r="5147" spans="7:16" x14ac:dyDescent="0.2">
      <c r="G5147" s="199"/>
      <c r="I5147" s="199"/>
      <c r="K5147" s="199"/>
      <c r="M5147" s="199"/>
      <c r="N5147" s="200"/>
      <c r="P5147" s="199"/>
    </row>
    <row r="5148" spans="7:16" x14ac:dyDescent="0.2">
      <c r="G5148" s="199"/>
      <c r="I5148" s="199"/>
      <c r="K5148" s="199"/>
      <c r="M5148" s="199"/>
      <c r="N5148" s="200"/>
      <c r="P5148" s="199"/>
    </row>
    <row r="5149" spans="7:16" x14ac:dyDescent="0.2">
      <c r="G5149" s="199"/>
      <c r="I5149" s="199"/>
      <c r="K5149" s="199"/>
      <c r="M5149" s="199"/>
      <c r="N5149" s="200"/>
      <c r="P5149" s="199"/>
    </row>
    <row r="5150" spans="7:16" x14ac:dyDescent="0.2">
      <c r="G5150" s="199"/>
      <c r="I5150" s="199"/>
      <c r="K5150" s="199"/>
      <c r="M5150" s="199"/>
      <c r="N5150" s="200"/>
      <c r="P5150" s="199"/>
    </row>
    <row r="5151" spans="7:16" x14ac:dyDescent="0.2">
      <c r="G5151" s="199"/>
      <c r="I5151" s="199"/>
      <c r="K5151" s="199"/>
      <c r="M5151" s="199"/>
      <c r="N5151" s="200"/>
      <c r="P5151" s="199"/>
    </row>
    <row r="5152" spans="7:16" x14ac:dyDescent="0.2">
      <c r="G5152" s="199"/>
      <c r="I5152" s="199"/>
      <c r="K5152" s="199"/>
      <c r="M5152" s="199"/>
      <c r="N5152" s="200"/>
      <c r="P5152" s="199"/>
    </row>
    <row r="5153" spans="7:16" x14ac:dyDescent="0.2">
      <c r="G5153" s="199"/>
      <c r="I5153" s="199"/>
      <c r="K5153" s="199"/>
      <c r="M5153" s="199"/>
      <c r="N5153" s="200"/>
      <c r="P5153" s="199"/>
    </row>
    <row r="5154" spans="7:16" x14ac:dyDescent="0.2">
      <c r="G5154" s="199"/>
      <c r="I5154" s="199"/>
      <c r="K5154" s="199"/>
      <c r="M5154" s="199"/>
      <c r="N5154" s="200"/>
      <c r="P5154" s="199"/>
    </row>
    <row r="5155" spans="7:16" x14ac:dyDescent="0.2">
      <c r="G5155" s="199"/>
      <c r="I5155" s="199"/>
      <c r="K5155" s="199"/>
      <c r="M5155" s="199"/>
      <c r="N5155" s="200"/>
      <c r="P5155" s="199"/>
    </row>
    <row r="5156" spans="7:16" x14ac:dyDescent="0.2">
      <c r="G5156" s="199"/>
      <c r="I5156" s="199"/>
      <c r="K5156" s="199"/>
      <c r="M5156" s="199"/>
      <c r="N5156" s="200"/>
      <c r="P5156" s="199"/>
    </row>
    <row r="5157" spans="7:16" x14ac:dyDescent="0.2">
      <c r="G5157" s="199"/>
      <c r="I5157" s="199"/>
      <c r="K5157" s="199"/>
      <c r="M5157" s="199"/>
      <c r="N5157" s="200"/>
      <c r="P5157" s="199"/>
    </row>
    <row r="5158" spans="7:16" x14ac:dyDescent="0.2">
      <c r="G5158" s="199"/>
      <c r="I5158" s="199"/>
      <c r="K5158" s="199"/>
      <c r="M5158" s="199"/>
      <c r="N5158" s="200"/>
      <c r="P5158" s="199"/>
    </row>
    <row r="5159" spans="7:16" x14ac:dyDescent="0.2">
      <c r="G5159" s="199"/>
      <c r="I5159" s="199"/>
      <c r="K5159" s="199"/>
      <c r="M5159" s="199"/>
      <c r="N5159" s="200"/>
      <c r="P5159" s="199"/>
    </row>
    <row r="5160" spans="7:16" x14ac:dyDescent="0.2">
      <c r="G5160" s="199"/>
      <c r="I5160" s="199"/>
      <c r="K5160" s="199"/>
      <c r="M5160" s="199"/>
      <c r="N5160" s="200"/>
      <c r="P5160" s="199"/>
    </row>
    <row r="5161" spans="7:16" x14ac:dyDescent="0.2">
      <c r="G5161" s="199"/>
      <c r="I5161" s="199"/>
      <c r="K5161" s="199"/>
      <c r="M5161" s="199"/>
      <c r="N5161" s="200"/>
      <c r="P5161" s="199"/>
    </row>
    <row r="5162" spans="7:16" x14ac:dyDescent="0.2">
      <c r="G5162" s="199"/>
      <c r="I5162" s="199"/>
      <c r="K5162" s="199"/>
      <c r="M5162" s="199"/>
      <c r="N5162" s="200"/>
      <c r="P5162" s="199"/>
    </row>
    <row r="5163" spans="7:16" x14ac:dyDescent="0.2">
      <c r="G5163" s="199"/>
      <c r="I5163" s="199"/>
      <c r="K5163" s="199"/>
      <c r="M5163" s="199"/>
      <c r="N5163" s="200"/>
      <c r="P5163" s="199"/>
    </row>
    <row r="5164" spans="7:16" x14ac:dyDescent="0.2">
      <c r="G5164" s="199"/>
      <c r="I5164" s="199"/>
      <c r="K5164" s="199"/>
      <c r="M5164" s="199"/>
      <c r="N5164" s="200"/>
      <c r="P5164" s="199"/>
    </row>
    <row r="5165" spans="7:16" x14ac:dyDescent="0.2">
      <c r="G5165" s="199"/>
      <c r="I5165" s="199"/>
      <c r="K5165" s="199"/>
      <c r="M5165" s="199"/>
      <c r="N5165" s="200"/>
      <c r="P5165" s="199"/>
    </row>
    <row r="5166" spans="7:16" x14ac:dyDescent="0.2">
      <c r="G5166" s="199"/>
      <c r="I5166" s="199"/>
      <c r="K5166" s="199"/>
      <c r="M5166" s="199"/>
      <c r="N5166" s="200"/>
      <c r="P5166" s="199"/>
    </row>
    <row r="5167" spans="7:16" x14ac:dyDescent="0.2">
      <c r="G5167" s="199"/>
      <c r="I5167" s="199"/>
      <c r="K5167" s="199"/>
      <c r="M5167" s="199"/>
      <c r="N5167" s="200"/>
      <c r="P5167" s="199"/>
    </row>
    <row r="5168" spans="7:16" x14ac:dyDescent="0.2">
      <c r="G5168" s="199"/>
      <c r="I5168" s="199"/>
      <c r="K5168" s="199"/>
      <c r="M5168" s="199"/>
      <c r="N5168" s="200"/>
      <c r="P5168" s="199"/>
    </row>
    <row r="5169" spans="7:16" x14ac:dyDescent="0.2">
      <c r="G5169" s="199"/>
      <c r="I5169" s="199"/>
      <c r="K5169" s="199"/>
      <c r="M5169" s="199"/>
      <c r="N5169" s="200"/>
      <c r="P5169" s="199"/>
    </row>
    <row r="5170" spans="7:16" x14ac:dyDescent="0.2">
      <c r="G5170" s="199"/>
      <c r="I5170" s="199"/>
      <c r="K5170" s="199"/>
      <c r="M5170" s="199"/>
      <c r="N5170" s="200"/>
      <c r="P5170" s="199"/>
    </row>
    <row r="5171" spans="7:16" x14ac:dyDescent="0.2">
      <c r="G5171" s="199"/>
      <c r="I5171" s="199"/>
      <c r="K5171" s="199"/>
      <c r="M5171" s="199"/>
      <c r="N5171" s="200"/>
      <c r="P5171" s="199"/>
    </row>
    <row r="5172" spans="7:16" x14ac:dyDescent="0.2">
      <c r="G5172" s="199"/>
      <c r="I5172" s="199"/>
      <c r="K5172" s="199"/>
      <c r="M5172" s="199"/>
      <c r="N5172" s="200"/>
      <c r="P5172" s="199"/>
    </row>
    <row r="5173" spans="7:16" x14ac:dyDescent="0.2">
      <c r="G5173" s="199"/>
      <c r="I5173" s="199"/>
      <c r="K5173" s="199"/>
      <c r="M5173" s="199"/>
      <c r="N5173" s="200"/>
      <c r="P5173" s="199"/>
    </row>
    <row r="5174" spans="7:16" x14ac:dyDescent="0.2">
      <c r="G5174" s="199"/>
      <c r="I5174" s="199"/>
      <c r="K5174" s="199"/>
      <c r="M5174" s="199"/>
      <c r="N5174" s="200"/>
      <c r="P5174" s="199"/>
    </row>
    <row r="5175" spans="7:16" x14ac:dyDescent="0.2">
      <c r="G5175" s="199"/>
      <c r="I5175" s="199"/>
      <c r="K5175" s="199"/>
      <c r="M5175" s="199"/>
      <c r="N5175" s="200"/>
      <c r="P5175" s="199"/>
    </row>
    <row r="5176" spans="7:16" x14ac:dyDescent="0.2">
      <c r="G5176" s="199"/>
      <c r="I5176" s="199"/>
      <c r="K5176" s="199"/>
      <c r="M5176" s="199"/>
      <c r="N5176" s="200"/>
      <c r="P5176" s="199"/>
    </row>
    <row r="5177" spans="7:16" x14ac:dyDescent="0.2">
      <c r="G5177" s="199"/>
      <c r="I5177" s="199"/>
      <c r="K5177" s="199"/>
      <c r="M5177" s="199"/>
      <c r="N5177" s="200"/>
      <c r="P5177" s="199"/>
    </row>
    <row r="5178" spans="7:16" x14ac:dyDescent="0.2">
      <c r="G5178" s="199"/>
      <c r="I5178" s="199"/>
      <c r="K5178" s="199"/>
      <c r="M5178" s="199"/>
      <c r="N5178" s="200"/>
      <c r="P5178" s="199"/>
    </row>
    <row r="5179" spans="7:16" x14ac:dyDescent="0.2">
      <c r="G5179" s="199"/>
      <c r="I5179" s="199"/>
      <c r="K5179" s="199"/>
      <c r="M5179" s="199"/>
      <c r="N5179" s="200"/>
      <c r="P5179" s="199"/>
    </row>
    <row r="5180" spans="7:16" x14ac:dyDescent="0.2">
      <c r="G5180" s="199"/>
      <c r="I5180" s="199"/>
      <c r="K5180" s="199"/>
      <c r="M5180" s="199"/>
      <c r="N5180" s="200"/>
      <c r="P5180" s="199"/>
    </row>
    <row r="5181" spans="7:16" x14ac:dyDescent="0.2">
      <c r="G5181" s="199"/>
      <c r="I5181" s="199"/>
      <c r="K5181" s="199"/>
      <c r="M5181" s="199"/>
      <c r="N5181" s="200"/>
      <c r="P5181" s="199"/>
    </row>
    <row r="5182" spans="7:16" x14ac:dyDescent="0.2">
      <c r="G5182" s="199"/>
      <c r="I5182" s="199"/>
      <c r="K5182" s="199"/>
      <c r="M5182" s="199"/>
      <c r="N5182" s="200"/>
      <c r="P5182" s="199"/>
    </row>
    <row r="5183" spans="7:16" x14ac:dyDescent="0.2">
      <c r="G5183" s="199"/>
      <c r="I5183" s="199"/>
      <c r="K5183" s="199"/>
      <c r="M5183" s="199"/>
      <c r="N5183" s="200"/>
      <c r="P5183" s="199"/>
    </row>
    <row r="5184" spans="7:16" x14ac:dyDescent="0.2">
      <c r="G5184" s="199"/>
      <c r="I5184" s="199"/>
      <c r="K5184" s="199"/>
      <c r="M5184" s="199"/>
      <c r="N5184" s="200"/>
      <c r="P5184" s="199"/>
    </row>
    <row r="5185" spans="7:16" x14ac:dyDescent="0.2">
      <c r="G5185" s="199"/>
      <c r="I5185" s="199"/>
      <c r="K5185" s="199"/>
      <c r="M5185" s="199"/>
      <c r="N5185" s="200"/>
      <c r="P5185" s="199"/>
    </row>
    <row r="5186" spans="7:16" x14ac:dyDescent="0.2">
      <c r="G5186" s="199"/>
      <c r="I5186" s="199"/>
      <c r="K5186" s="199"/>
      <c r="M5186" s="199"/>
      <c r="N5186" s="200"/>
      <c r="P5186" s="199"/>
    </row>
    <row r="5187" spans="7:16" x14ac:dyDescent="0.2">
      <c r="G5187" s="199"/>
      <c r="I5187" s="199"/>
      <c r="K5187" s="199"/>
      <c r="M5187" s="199"/>
      <c r="N5187" s="200"/>
      <c r="P5187" s="199"/>
    </row>
    <row r="5188" spans="7:16" x14ac:dyDescent="0.2">
      <c r="G5188" s="199"/>
      <c r="I5188" s="199"/>
      <c r="K5188" s="199"/>
      <c r="M5188" s="199"/>
      <c r="N5188" s="200"/>
      <c r="P5188" s="199"/>
    </row>
    <row r="5189" spans="7:16" x14ac:dyDescent="0.2">
      <c r="G5189" s="199"/>
      <c r="I5189" s="199"/>
      <c r="K5189" s="199"/>
      <c r="M5189" s="199"/>
      <c r="N5189" s="200"/>
      <c r="P5189" s="199"/>
    </row>
    <row r="5190" spans="7:16" x14ac:dyDescent="0.2">
      <c r="G5190" s="199"/>
      <c r="I5190" s="199"/>
      <c r="K5190" s="199"/>
      <c r="M5190" s="199"/>
      <c r="N5190" s="200"/>
      <c r="P5190" s="199"/>
    </row>
    <row r="5191" spans="7:16" x14ac:dyDescent="0.2">
      <c r="G5191" s="199"/>
      <c r="I5191" s="199"/>
      <c r="K5191" s="199"/>
      <c r="M5191" s="199"/>
      <c r="N5191" s="200"/>
      <c r="P5191" s="199"/>
    </row>
    <row r="5192" spans="7:16" x14ac:dyDescent="0.2">
      <c r="G5192" s="199"/>
      <c r="I5192" s="199"/>
      <c r="K5192" s="199"/>
      <c r="M5192" s="199"/>
      <c r="N5192" s="200"/>
      <c r="P5192" s="199"/>
    </row>
    <row r="5193" spans="7:16" x14ac:dyDescent="0.2">
      <c r="G5193" s="199"/>
      <c r="I5193" s="199"/>
      <c r="K5193" s="199"/>
      <c r="M5193" s="199"/>
      <c r="N5193" s="200"/>
      <c r="P5193" s="199"/>
    </row>
    <row r="5194" spans="7:16" x14ac:dyDescent="0.2">
      <c r="G5194" s="199"/>
      <c r="I5194" s="199"/>
      <c r="K5194" s="199"/>
      <c r="M5194" s="199"/>
      <c r="N5194" s="200"/>
      <c r="P5194" s="199"/>
    </row>
    <row r="5195" spans="7:16" x14ac:dyDescent="0.2">
      <c r="G5195" s="199"/>
      <c r="I5195" s="199"/>
      <c r="K5195" s="199"/>
      <c r="M5195" s="199"/>
      <c r="N5195" s="200"/>
      <c r="P5195" s="199"/>
    </row>
    <row r="5196" spans="7:16" x14ac:dyDescent="0.2">
      <c r="G5196" s="199"/>
      <c r="I5196" s="199"/>
      <c r="K5196" s="199"/>
      <c r="M5196" s="199"/>
      <c r="N5196" s="200"/>
      <c r="P5196" s="199"/>
    </row>
    <row r="5197" spans="7:16" x14ac:dyDescent="0.2">
      <c r="G5197" s="199"/>
      <c r="I5197" s="199"/>
      <c r="K5197" s="199"/>
      <c r="M5197" s="199"/>
      <c r="N5197" s="200"/>
      <c r="P5197" s="199"/>
    </row>
    <row r="5198" spans="7:16" x14ac:dyDescent="0.2">
      <c r="G5198" s="199"/>
      <c r="I5198" s="199"/>
      <c r="K5198" s="199"/>
      <c r="M5198" s="199"/>
      <c r="N5198" s="200"/>
      <c r="P5198" s="199"/>
    </row>
    <row r="5199" spans="7:16" x14ac:dyDescent="0.2">
      <c r="G5199" s="199"/>
      <c r="I5199" s="199"/>
      <c r="K5199" s="199"/>
      <c r="M5199" s="199"/>
      <c r="N5199" s="200"/>
      <c r="P5199" s="199"/>
    </row>
    <row r="5200" spans="7:16" x14ac:dyDescent="0.2">
      <c r="G5200" s="199"/>
      <c r="I5200" s="199"/>
      <c r="K5200" s="199"/>
      <c r="M5200" s="199"/>
      <c r="N5200" s="200"/>
      <c r="P5200" s="199"/>
    </row>
    <row r="5201" spans="7:16" x14ac:dyDescent="0.2">
      <c r="G5201" s="199"/>
      <c r="I5201" s="199"/>
      <c r="K5201" s="199"/>
      <c r="M5201" s="199"/>
      <c r="N5201" s="200"/>
      <c r="P5201" s="199"/>
    </row>
    <row r="5202" spans="7:16" x14ac:dyDescent="0.2">
      <c r="G5202" s="199"/>
      <c r="I5202" s="199"/>
      <c r="K5202" s="199"/>
      <c r="M5202" s="199"/>
      <c r="N5202" s="200"/>
      <c r="P5202" s="199"/>
    </row>
    <row r="5203" spans="7:16" x14ac:dyDescent="0.2">
      <c r="G5203" s="199"/>
      <c r="I5203" s="199"/>
      <c r="K5203" s="199"/>
      <c r="M5203" s="199"/>
      <c r="N5203" s="200"/>
      <c r="P5203" s="199"/>
    </row>
    <row r="5204" spans="7:16" x14ac:dyDescent="0.2">
      <c r="G5204" s="199"/>
      <c r="I5204" s="199"/>
      <c r="K5204" s="199"/>
      <c r="M5204" s="199"/>
      <c r="N5204" s="200"/>
      <c r="P5204" s="199"/>
    </row>
    <row r="5205" spans="7:16" x14ac:dyDescent="0.2">
      <c r="G5205" s="199"/>
      <c r="I5205" s="199"/>
      <c r="K5205" s="199"/>
      <c r="M5205" s="199"/>
      <c r="N5205" s="200"/>
      <c r="P5205" s="199"/>
    </row>
    <row r="5206" spans="7:16" x14ac:dyDescent="0.2">
      <c r="G5206" s="199"/>
      <c r="I5206" s="199"/>
      <c r="K5206" s="199"/>
      <c r="M5206" s="199"/>
      <c r="N5206" s="200"/>
      <c r="P5206" s="199"/>
    </row>
    <row r="5207" spans="7:16" x14ac:dyDescent="0.2">
      <c r="G5207" s="199"/>
      <c r="I5207" s="199"/>
      <c r="K5207" s="199"/>
      <c r="M5207" s="199"/>
      <c r="N5207" s="200"/>
      <c r="P5207" s="199"/>
    </row>
    <row r="5208" spans="7:16" x14ac:dyDescent="0.2">
      <c r="G5208" s="199"/>
      <c r="I5208" s="199"/>
      <c r="K5208" s="199"/>
      <c r="M5208" s="199"/>
      <c r="N5208" s="200"/>
      <c r="P5208" s="199"/>
    </row>
    <row r="5209" spans="7:16" x14ac:dyDescent="0.2">
      <c r="G5209" s="199"/>
      <c r="I5209" s="199"/>
      <c r="K5209" s="199"/>
      <c r="M5209" s="199"/>
      <c r="N5209" s="200"/>
      <c r="P5209" s="199"/>
    </row>
    <row r="5210" spans="7:16" x14ac:dyDescent="0.2">
      <c r="G5210" s="199"/>
      <c r="I5210" s="199"/>
      <c r="K5210" s="199"/>
      <c r="M5210" s="199"/>
      <c r="N5210" s="200"/>
      <c r="P5210" s="199"/>
    </row>
    <row r="5211" spans="7:16" x14ac:dyDescent="0.2">
      <c r="G5211" s="199"/>
      <c r="I5211" s="199"/>
      <c r="K5211" s="199"/>
      <c r="M5211" s="199"/>
      <c r="N5211" s="200"/>
      <c r="P5211" s="199"/>
    </row>
    <row r="5212" spans="7:16" x14ac:dyDescent="0.2">
      <c r="G5212" s="199"/>
      <c r="I5212" s="199"/>
      <c r="K5212" s="199"/>
      <c r="M5212" s="199"/>
      <c r="N5212" s="200"/>
      <c r="P5212" s="199"/>
    </row>
    <row r="5213" spans="7:16" x14ac:dyDescent="0.2">
      <c r="G5213" s="199"/>
      <c r="I5213" s="199"/>
      <c r="K5213" s="199"/>
      <c r="M5213" s="199"/>
      <c r="N5213" s="200"/>
      <c r="P5213" s="199"/>
    </row>
    <row r="5214" spans="7:16" x14ac:dyDescent="0.2">
      <c r="G5214" s="199"/>
      <c r="I5214" s="199"/>
      <c r="K5214" s="199"/>
      <c r="M5214" s="199"/>
      <c r="N5214" s="200"/>
      <c r="P5214" s="199"/>
    </row>
    <row r="5215" spans="7:16" x14ac:dyDescent="0.2">
      <c r="G5215" s="199"/>
      <c r="I5215" s="199"/>
      <c r="K5215" s="199"/>
      <c r="M5215" s="199"/>
      <c r="N5215" s="200"/>
      <c r="P5215" s="199"/>
    </row>
    <row r="5216" spans="7:16" x14ac:dyDescent="0.2">
      <c r="G5216" s="199"/>
      <c r="I5216" s="199"/>
      <c r="K5216" s="199"/>
      <c r="M5216" s="199"/>
      <c r="N5216" s="200"/>
      <c r="P5216" s="199"/>
    </row>
    <row r="5217" spans="7:16" x14ac:dyDescent="0.2">
      <c r="G5217" s="199"/>
      <c r="I5217" s="199"/>
      <c r="K5217" s="199"/>
      <c r="M5217" s="199"/>
      <c r="N5217" s="200"/>
      <c r="P5217" s="199"/>
    </row>
    <row r="5218" spans="7:16" x14ac:dyDescent="0.2">
      <c r="G5218" s="199"/>
      <c r="I5218" s="199"/>
      <c r="K5218" s="199"/>
      <c r="M5218" s="199"/>
      <c r="N5218" s="200"/>
      <c r="P5218" s="199"/>
    </row>
    <row r="5219" spans="7:16" x14ac:dyDescent="0.2">
      <c r="G5219" s="199"/>
      <c r="I5219" s="199"/>
      <c r="K5219" s="199"/>
      <c r="M5219" s="199"/>
      <c r="N5219" s="200"/>
      <c r="P5219" s="199"/>
    </row>
    <row r="5220" spans="7:16" x14ac:dyDescent="0.2">
      <c r="G5220" s="199"/>
      <c r="I5220" s="199"/>
      <c r="K5220" s="199"/>
      <c r="M5220" s="199"/>
      <c r="N5220" s="200"/>
      <c r="P5220" s="199"/>
    </row>
    <row r="5221" spans="7:16" x14ac:dyDescent="0.2">
      <c r="G5221" s="199"/>
      <c r="I5221" s="199"/>
      <c r="K5221" s="199"/>
      <c r="M5221" s="199"/>
      <c r="N5221" s="200"/>
      <c r="P5221" s="199"/>
    </row>
    <row r="5222" spans="7:16" x14ac:dyDescent="0.2">
      <c r="G5222" s="199"/>
      <c r="I5222" s="199"/>
      <c r="K5222" s="199"/>
      <c r="M5222" s="199"/>
      <c r="N5222" s="200"/>
      <c r="P5222" s="199"/>
    </row>
    <row r="5223" spans="7:16" x14ac:dyDescent="0.2">
      <c r="G5223" s="199"/>
      <c r="I5223" s="199"/>
      <c r="K5223" s="199"/>
      <c r="M5223" s="199"/>
      <c r="N5223" s="200"/>
      <c r="P5223" s="199"/>
    </row>
    <row r="5224" spans="7:16" x14ac:dyDescent="0.2">
      <c r="G5224" s="199"/>
      <c r="I5224" s="199"/>
      <c r="K5224" s="199"/>
      <c r="M5224" s="199"/>
      <c r="N5224" s="200"/>
      <c r="P5224" s="199"/>
    </row>
    <row r="5225" spans="7:16" x14ac:dyDescent="0.2">
      <c r="G5225" s="199"/>
      <c r="I5225" s="199"/>
      <c r="K5225" s="199"/>
      <c r="M5225" s="199"/>
      <c r="N5225" s="200"/>
      <c r="P5225" s="199"/>
    </row>
    <row r="5226" spans="7:16" x14ac:dyDescent="0.2">
      <c r="G5226" s="199"/>
      <c r="I5226" s="199"/>
      <c r="K5226" s="199"/>
      <c r="M5226" s="199"/>
      <c r="N5226" s="200"/>
      <c r="P5226" s="199"/>
    </row>
    <row r="5227" spans="7:16" x14ac:dyDescent="0.2">
      <c r="G5227" s="199"/>
      <c r="I5227" s="199"/>
      <c r="K5227" s="199"/>
      <c r="M5227" s="199"/>
      <c r="N5227" s="200"/>
      <c r="P5227" s="199"/>
    </row>
    <row r="5228" spans="7:16" x14ac:dyDescent="0.2">
      <c r="G5228" s="199"/>
      <c r="I5228" s="199"/>
      <c r="K5228" s="199"/>
      <c r="M5228" s="199"/>
      <c r="N5228" s="200"/>
      <c r="P5228" s="199"/>
    </row>
    <row r="5229" spans="7:16" x14ac:dyDescent="0.2">
      <c r="G5229" s="199"/>
      <c r="I5229" s="199"/>
      <c r="K5229" s="199"/>
      <c r="M5229" s="199"/>
      <c r="N5229" s="200"/>
      <c r="P5229" s="199"/>
    </row>
    <row r="5230" spans="7:16" x14ac:dyDescent="0.2">
      <c r="G5230" s="199"/>
      <c r="I5230" s="199"/>
      <c r="K5230" s="199"/>
      <c r="M5230" s="199"/>
      <c r="N5230" s="200"/>
      <c r="P5230" s="199"/>
    </row>
    <row r="5231" spans="7:16" x14ac:dyDescent="0.2">
      <c r="G5231" s="199"/>
      <c r="I5231" s="199"/>
      <c r="K5231" s="199"/>
      <c r="M5231" s="199"/>
      <c r="N5231" s="200"/>
      <c r="P5231" s="199"/>
    </row>
    <row r="5232" spans="7:16" x14ac:dyDescent="0.2">
      <c r="G5232" s="199"/>
      <c r="I5232" s="199"/>
      <c r="K5232" s="199"/>
      <c r="M5232" s="199"/>
      <c r="N5232" s="200"/>
      <c r="P5232" s="199"/>
    </row>
    <row r="5233" spans="7:16" x14ac:dyDescent="0.2">
      <c r="G5233" s="199"/>
      <c r="I5233" s="199"/>
      <c r="K5233" s="199"/>
      <c r="M5233" s="199"/>
      <c r="N5233" s="200"/>
      <c r="P5233" s="199"/>
    </row>
    <row r="5234" spans="7:16" x14ac:dyDescent="0.2">
      <c r="G5234" s="199"/>
      <c r="I5234" s="199"/>
      <c r="K5234" s="199"/>
      <c r="M5234" s="199"/>
      <c r="N5234" s="200"/>
      <c r="P5234" s="199"/>
    </row>
    <row r="5235" spans="7:16" x14ac:dyDescent="0.2">
      <c r="G5235" s="199"/>
      <c r="I5235" s="199"/>
      <c r="K5235" s="199"/>
      <c r="M5235" s="199"/>
      <c r="N5235" s="200"/>
      <c r="P5235" s="199"/>
    </row>
    <row r="5236" spans="7:16" x14ac:dyDescent="0.2">
      <c r="G5236" s="199"/>
      <c r="I5236" s="199"/>
      <c r="K5236" s="199"/>
      <c r="M5236" s="199"/>
      <c r="N5236" s="200"/>
      <c r="P5236" s="199"/>
    </row>
    <row r="5237" spans="7:16" x14ac:dyDescent="0.2">
      <c r="G5237" s="199"/>
      <c r="I5237" s="199"/>
      <c r="K5237" s="199"/>
      <c r="M5237" s="199"/>
      <c r="N5237" s="200"/>
      <c r="P5237" s="199"/>
    </row>
    <row r="5238" spans="7:16" x14ac:dyDescent="0.2">
      <c r="G5238" s="199"/>
      <c r="I5238" s="199"/>
      <c r="K5238" s="199"/>
      <c r="M5238" s="199"/>
      <c r="N5238" s="200"/>
      <c r="P5238" s="199"/>
    </row>
    <row r="5239" spans="7:16" x14ac:dyDescent="0.2">
      <c r="G5239" s="199"/>
      <c r="I5239" s="199"/>
      <c r="K5239" s="199"/>
      <c r="M5239" s="199"/>
      <c r="N5239" s="200"/>
      <c r="P5239" s="199"/>
    </row>
    <row r="5240" spans="7:16" x14ac:dyDescent="0.2">
      <c r="G5240" s="199"/>
      <c r="I5240" s="199"/>
      <c r="K5240" s="199"/>
      <c r="M5240" s="199"/>
      <c r="N5240" s="200"/>
      <c r="P5240" s="199"/>
    </row>
    <row r="5241" spans="7:16" x14ac:dyDescent="0.2">
      <c r="G5241" s="199"/>
      <c r="I5241" s="199"/>
      <c r="K5241" s="199"/>
      <c r="M5241" s="199"/>
      <c r="N5241" s="200"/>
      <c r="P5241" s="199"/>
    </row>
    <row r="5242" spans="7:16" x14ac:dyDescent="0.2">
      <c r="G5242" s="199"/>
      <c r="I5242" s="199"/>
      <c r="K5242" s="199"/>
      <c r="M5242" s="199"/>
      <c r="N5242" s="200"/>
      <c r="P5242" s="199"/>
    </row>
    <row r="5243" spans="7:16" x14ac:dyDescent="0.2">
      <c r="G5243" s="199"/>
      <c r="I5243" s="199"/>
      <c r="K5243" s="199"/>
      <c r="M5243" s="199"/>
      <c r="N5243" s="200"/>
      <c r="P5243" s="199"/>
    </row>
    <row r="5244" spans="7:16" x14ac:dyDescent="0.2">
      <c r="G5244" s="199"/>
      <c r="I5244" s="199"/>
      <c r="K5244" s="199"/>
      <c r="M5244" s="199"/>
      <c r="N5244" s="200"/>
      <c r="P5244" s="199"/>
    </row>
    <row r="5245" spans="7:16" x14ac:dyDescent="0.2">
      <c r="G5245" s="199"/>
      <c r="I5245" s="199"/>
      <c r="K5245" s="199"/>
      <c r="M5245" s="199"/>
      <c r="N5245" s="200"/>
      <c r="P5245" s="199"/>
    </row>
    <row r="5246" spans="7:16" x14ac:dyDescent="0.2">
      <c r="G5246" s="199"/>
      <c r="I5246" s="199"/>
      <c r="K5246" s="199"/>
      <c r="M5246" s="199"/>
      <c r="N5246" s="200"/>
      <c r="P5246" s="199"/>
    </row>
    <row r="5247" spans="7:16" x14ac:dyDescent="0.2">
      <c r="G5247" s="199"/>
      <c r="I5247" s="199"/>
      <c r="K5247" s="199"/>
      <c r="M5247" s="199"/>
      <c r="N5247" s="200"/>
      <c r="P5247" s="199"/>
    </row>
    <row r="5248" spans="7:16" x14ac:dyDescent="0.2">
      <c r="G5248" s="199"/>
      <c r="I5248" s="199"/>
      <c r="K5248" s="199"/>
      <c r="M5248" s="199"/>
      <c r="N5248" s="200"/>
      <c r="P5248" s="199"/>
    </row>
    <row r="5249" spans="7:16" x14ac:dyDescent="0.2">
      <c r="G5249" s="199"/>
      <c r="I5249" s="199"/>
      <c r="K5249" s="199"/>
      <c r="M5249" s="199"/>
      <c r="N5249" s="200"/>
      <c r="P5249" s="199"/>
    </row>
    <row r="5250" spans="7:16" x14ac:dyDescent="0.2">
      <c r="G5250" s="199"/>
      <c r="I5250" s="199"/>
      <c r="K5250" s="199"/>
      <c r="M5250" s="199"/>
      <c r="N5250" s="200"/>
      <c r="P5250" s="199"/>
    </row>
    <row r="5251" spans="7:16" x14ac:dyDescent="0.2">
      <c r="G5251" s="199"/>
      <c r="I5251" s="199"/>
      <c r="K5251" s="199"/>
      <c r="M5251" s="199"/>
      <c r="N5251" s="200"/>
      <c r="P5251" s="199"/>
    </row>
    <row r="5252" spans="7:16" x14ac:dyDescent="0.2">
      <c r="G5252" s="199"/>
      <c r="I5252" s="199"/>
      <c r="K5252" s="199"/>
      <c r="M5252" s="199"/>
      <c r="N5252" s="200"/>
      <c r="P5252" s="199"/>
    </row>
    <row r="5253" spans="7:16" x14ac:dyDescent="0.2">
      <c r="G5253" s="199"/>
      <c r="I5253" s="199"/>
      <c r="K5253" s="199"/>
      <c r="M5253" s="199"/>
      <c r="N5253" s="200"/>
      <c r="P5253" s="199"/>
    </row>
    <row r="5254" spans="7:16" x14ac:dyDescent="0.2">
      <c r="G5254" s="199"/>
      <c r="I5254" s="199"/>
      <c r="K5254" s="199"/>
      <c r="M5254" s="199"/>
      <c r="N5254" s="200"/>
      <c r="P5254" s="199"/>
    </row>
    <row r="5255" spans="7:16" x14ac:dyDescent="0.2">
      <c r="G5255" s="199"/>
      <c r="I5255" s="199"/>
      <c r="K5255" s="199"/>
      <c r="M5255" s="199"/>
      <c r="N5255" s="200"/>
      <c r="P5255" s="199"/>
    </row>
    <row r="5256" spans="7:16" x14ac:dyDescent="0.2">
      <c r="G5256" s="199"/>
      <c r="I5256" s="199"/>
      <c r="K5256" s="199"/>
      <c r="M5256" s="199"/>
      <c r="N5256" s="200"/>
      <c r="P5256" s="199"/>
    </row>
    <row r="5257" spans="7:16" x14ac:dyDescent="0.2">
      <c r="G5257" s="199"/>
      <c r="I5257" s="199"/>
      <c r="K5257" s="199"/>
      <c r="M5257" s="199"/>
      <c r="N5257" s="200"/>
      <c r="P5257" s="199"/>
    </row>
    <row r="5258" spans="7:16" x14ac:dyDescent="0.2">
      <c r="G5258" s="199"/>
      <c r="I5258" s="199"/>
      <c r="K5258" s="199"/>
      <c r="M5258" s="199"/>
      <c r="N5258" s="200"/>
      <c r="P5258" s="199"/>
    </row>
    <row r="5259" spans="7:16" x14ac:dyDescent="0.2">
      <c r="G5259" s="199"/>
      <c r="I5259" s="199"/>
      <c r="K5259" s="199"/>
      <c r="M5259" s="199"/>
      <c r="N5259" s="200"/>
      <c r="P5259" s="199"/>
    </row>
    <row r="5260" spans="7:16" x14ac:dyDescent="0.2">
      <c r="G5260" s="199"/>
      <c r="I5260" s="199"/>
      <c r="K5260" s="199"/>
      <c r="M5260" s="199"/>
      <c r="N5260" s="200"/>
      <c r="P5260" s="199"/>
    </row>
    <row r="5261" spans="7:16" x14ac:dyDescent="0.2">
      <c r="G5261" s="199"/>
      <c r="I5261" s="199"/>
      <c r="K5261" s="199"/>
      <c r="M5261" s="199"/>
      <c r="N5261" s="200"/>
      <c r="P5261" s="199"/>
    </row>
    <row r="5262" spans="7:16" x14ac:dyDescent="0.2">
      <c r="G5262" s="199"/>
      <c r="I5262" s="199"/>
      <c r="K5262" s="199"/>
      <c r="M5262" s="199"/>
      <c r="N5262" s="200"/>
      <c r="P5262" s="199"/>
    </row>
    <row r="5263" spans="7:16" x14ac:dyDescent="0.2">
      <c r="G5263" s="199"/>
      <c r="I5263" s="199"/>
      <c r="K5263" s="199"/>
      <c r="M5263" s="199"/>
      <c r="N5263" s="200"/>
      <c r="P5263" s="199"/>
    </row>
    <row r="5264" spans="7:16" x14ac:dyDescent="0.2">
      <c r="G5264" s="199"/>
      <c r="I5264" s="199"/>
      <c r="K5264" s="199"/>
      <c r="M5264" s="199"/>
      <c r="N5264" s="200"/>
      <c r="P5264" s="199"/>
    </row>
    <row r="5265" spans="7:16" x14ac:dyDescent="0.2">
      <c r="G5265" s="199"/>
      <c r="I5265" s="199"/>
      <c r="K5265" s="199"/>
      <c r="M5265" s="199"/>
      <c r="N5265" s="200"/>
      <c r="P5265" s="199"/>
    </row>
    <row r="5266" spans="7:16" x14ac:dyDescent="0.2">
      <c r="G5266" s="199"/>
      <c r="I5266" s="199"/>
      <c r="K5266" s="199"/>
      <c r="M5266" s="199"/>
      <c r="N5266" s="200"/>
      <c r="P5266" s="199"/>
    </row>
    <row r="5267" spans="7:16" x14ac:dyDescent="0.2">
      <c r="G5267" s="199"/>
      <c r="I5267" s="199"/>
      <c r="K5267" s="199"/>
      <c r="M5267" s="199"/>
      <c r="N5267" s="200"/>
      <c r="P5267" s="199"/>
    </row>
    <row r="5268" spans="7:16" x14ac:dyDescent="0.2">
      <c r="G5268" s="199"/>
      <c r="I5268" s="199"/>
      <c r="K5268" s="199"/>
      <c r="M5268" s="199"/>
      <c r="N5268" s="200"/>
      <c r="P5268" s="199"/>
    </row>
    <row r="5269" spans="7:16" x14ac:dyDescent="0.2">
      <c r="G5269" s="199"/>
      <c r="I5269" s="199"/>
      <c r="K5269" s="199"/>
      <c r="M5269" s="199"/>
      <c r="N5269" s="200"/>
      <c r="P5269" s="199"/>
    </row>
    <row r="5270" spans="7:16" x14ac:dyDescent="0.2">
      <c r="G5270" s="199"/>
      <c r="I5270" s="199"/>
      <c r="K5270" s="199"/>
      <c r="M5270" s="199"/>
      <c r="N5270" s="200"/>
      <c r="P5270" s="199"/>
    </row>
    <row r="5271" spans="7:16" x14ac:dyDescent="0.2">
      <c r="G5271" s="199"/>
      <c r="I5271" s="199"/>
      <c r="K5271" s="199"/>
      <c r="M5271" s="199"/>
      <c r="N5271" s="200"/>
      <c r="P5271" s="199"/>
    </row>
    <row r="5272" spans="7:16" x14ac:dyDescent="0.2">
      <c r="G5272" s="199"/>
      <c r="I5272" s="199"/>
      <c r="K5272" s="199"/>
      <c r="M5272" s="199"/>
      <c r="N5272" s="200"/>
      <c r="P5272" s="199"/>
    </row>
    <row r="5273" spans="7:16" x14ac:dyDescent="0.2">
      <c r="G5273" s="199"/>
      <c r="I5273" s="199"/>
      <c r="K5273" s="199"/>
      <c r="M5273" s="199"/>
      <c r="N5273" s="200"/>
      <c r="P5273" s="199"/>
    </row>
    <row r="5274" spans="7:16" x14ac:dyDescent="0.2">
      <c r="G5274" s="199"/>
      <c r="I5274" s="199"/>
      <c r="K5274" s="199"/>
      <c r="M5274" s="199"/>
      <c r="N5274" s="200"/>
      <c r="P5274" s="199"/>
    </row>
    <row r="5275" spans="7:16" x14ac:dyDescent="0.2">
      <c r="G5275" s="199"/>
      <c r="I5275" s="199"/>
      <c r="K5275" s="199"/>
      <c r="M5275" s="199"/>
      <c r="N5275" s="200"/>
      <c r="P5275" s="199"/>
    </row>
    <row r="5276" spans="7:16" x14ac:dyDescent="0.2">
      <c r="G5276" s="199"/>
      <c r="I5276" s="199"/>
      <c r="K5276" s="199"/>
      <c r="M5276" s="199"/>
      <c r="N5276" s="200"/>
      <c r="P5276" s="199"/>
    </row>
    <row r="5277" spans="7:16" x14ac:dyDescent="0.2">
      <c r="G5277" s="199"/>
      <c r="I5277" s="199"/>
      <c r="K5277" s="199"/>
      <c r="M5277" s="199"/>
      <c r="N5277" s="200"/>
      <c r="P5277" s="199"/>
    </row>
    <row r="5278" spans="7:16" x14ac:dyDescent="0.2">
      <c r="G5278" s="199"/>
      <c r="I5278" s="199"/>
      <c r="K5278" s="199"/>
      <c r="M5278" s="199"/>
      <c r="N5278" s="200"/>
      <c r="P5278" s="199"/>
    </row>
    <row r="5279" spans="7:16" x14ac:dyDescent="0.2">
      <c r="G5279" s="199"/>
      <c r="I5279" s="199"/>
      <c r="K5279" s="199"/>
      <c r="M5279" s="199"/>
      <c r="N5279" s="200"/>
      <c r="P5279" s="199"/>
    </row>
    <row r="5280" spans="7:16" x14ac:dyDescent="0.2">
      <c r="G5280" s="199"/>
      <c r="I5280" s="199"/>
      <c r="K5280" s="199"/>
      <c r="M5280" s="199"/>
      <c r="N5280" s="200"/>
      <c r="P5280" s="199"/>
    </row>
    <row r="5281" spans="7:16" x14ac:dyDescent="0.2">
      <c r="G5281" s="199"/>
      <c r="I5281" s="199"/>
      <c r="K5281" s="199"/>
      <c r="M5281" s="199"/>
      <c r="N5281" s="200"/>
      <c r="P5281" s="199"/>
    </row>
    <row r="5282" spans="7:16" x14ac:dyDescent="0.2">
      <c r="G5282" s="199"/>
      <c r="I5282" s="199"/>
      <c r="K5282" s="199"/>
      <c r="M5282" s="199"/>
      <c r="N5282" s="200"/>
      <c r="P5282" s="199"/>
    </row>
    <row r="5283" spans="7:16" x14ac:dyDescent="0.2">
      <c r="G5283" s="199"/>
      <c r="I5283" s="199"/>
      <c r="K5283" s="199"/>
      <c r="M5283" s="199"/>
      <c r="N5283" s="200"/>
      <c r="P5283" s="199"/>
    </row>
    <row r="5284" spans="7:16" x14ac:dyDescent="0.2">
      <c r="G5284" s="199"/>
      <c r="I5284" s="199"/>
      <c r="K5284" s="199"/>
      <c r="M5284" s="199"/>
      <c r="N5284" s="200"/>
      <c r="P5284" s="199"/>
    </row>
    <row r="5285" spans="7:16" x14ac:dyDescent="0.2">
      <c r="G5285" s="199"/>
      <c r="I5285" s="199"/>
      <c r="K5285" s="199"/>
      <c r="M5285" s="199"/>
      <c r="N5285" s="200"/>
      <c r="P5285" s="199"/>
    </row>
    <row r="5286" spans="7:16" x14ac:dyDescent="0.2">
      <c r="G5286" s="199"/>
      <c r="I5286" s="199"/>
      <c r="K5286" s="199"/>
      <c r="M5286" s="199"/>
      <c r="N5286" s="200"/>
      <c r="P5286" s="199"/>
    </row>
    <row r="5287" spans="7:16" x14ac:dyDescent="0.2">
      <c r="G5287" s="199"/>
      <c r="I5287" s="199"/>
      <c r="K5287" s="199"/>
      <c r="M5287" s="199"/>
      <c r="N5287" s="200"/>
      <c r="P5287" s="199"/>
    </row>
    <row r="5288" spans="7:16" x14ac:dyDescent="0.2">
      <c r="G5288" s="199"/>
      <c r="I5288" s="199"/>
      <c r="K5288" s="199"/>
      <c r="M5288" s="199"/>
      <c r="N5288" s="200"/>
      <c r="P5288" s="199"/>
    </row>
    <row r="5289" spans="7:16" x14ac:dyDescent="0.2">
      <c r="G5289" s="199"/>
      <c r="I5289" s="199"/>
      <c r="K5289" s="199"/>
      <c r="M5289" s="199"/>
      <c r="N5289" s="200"/>
      <c r="P5289" s="199"/>
    </row>
    <row r="5290" spans="7:16" x14ac:dyDescent="0.2">
      <c r="G5290" s="199"/>
      <c r="I5290" s="199"/>
      <c r="K5290" s="199"/>
      <c r="M5290" s="199"/>
      <c r="N5290" s="200"/>
      <c r="P5290" s="199"/>
    </row>
    <row r="5291" spans="7:16" x14ac:dyDescent="0.2">
      <c r="G5291" s="199"/>
      <c r="I5291" s="199"/>
      <c r="K5291" s="199"/>
      <c r="M5291" s="199"/>
      <c r="N5291" s="200"/>
      <c r="P5291" s="199"/>
    </row>
    <row r="5292" spans="7:16" x14ac:dyDescent="0.2">
      <c r="G5292" s="199"/>
      <c r="I5292" s="199"/>
      <c r="K5292" s="199"/>
      <c r="M5292" s="199"/>
      <c r="N5292" s="200"/>
      <c r="P5292" s="199"/>
    </row>
    <row r="5293" spans="7:16" x14ac:dyDescent="0.2">
      <c r="G5293" s="199"/>
      <c r="I5293" s="199"/>
      <c r="K5293" s="199"/>
      <c r="M5293" s="199"/>
      <c r="N5293" s="200"/>
      <c r="P5293" s="199"/>
    </row>
    <row r="5294" spans="7:16" x14ac:dyDescent="0.2">
      <c r="G5294" s="199"/>
      <c r="I5294" s="199"/>
      <c r="K5294" s="199"/>
      <c r="M5294" s="199"/>
      <c r="N5294" s="200"/>
      <c r="P5294" s="199"/>
    </row>
    <row r="5295" spans="7:16" x14ac:dyDescent="0.2">
      <c r="G5295" s="199"/>
      <c r="I5295" s="199"/>
      <c r="K5295" s="199"/>
      <c r="M5295" s="199"/>
      <c r="N5295" s="200"/>
      <c r="P5295" s="199"/>
    </row>
    <row r="5296" spans="7:16" x14ac:dyDescent="0.2">
      <c r="G5296" s="199"/>
      <c r="I5296" s="199"/>
      <c r="K5296" s="199"/>
      <c r="M5296" s="199"/>
      <c r="N5296" s="200"/>
      <c r="P5296" s="199"/>
    </row>
    <row r="5297" spans="7:16" x14ac:dyDescent="0.2">
      <c r="G5297" s="199"/>
      <c r="I5297" s="199"/>
      <c r="K5297" s="199"/>
      <c r="M5297" s="199"/>
      <c r="N5297" s="200"/>
      <c r="P5297" s="199"/>
    </row>
    <row r="5298" spans="7:16" x14ac:dyDescent="0.2">
      <c r="G5298" s="199"/>
      <c r="I5298" s="199"/>
      <c r="K5298" s="199"/>
      <c r="M5298" s="199"/>
      <c r="N5298" s="200"/>
      <c r="P5298" s="199"/>
    </row>
    <row r="5299" spans="7:16" x14ac:dyDescent="0.2">
      <c r="G5299" s="199"/>
      <c r="I5299" s="199"/>
      <c r="K5299" s="199"/>
      <c r="M5299" s="199"/>
      <c r="N5299" s="200"/>
      <c r="P5299" s="199"/>
    </row>
    <row r="5300" spans="7:16" x14ac:dyDescent="0.2">
      <c r="G5300" s="199"/>
      <c r="I5300" s="199"/>
      <c r="K5300" s="199"/>
      <c r="M5300" s="199"/>
      <c r="N5300" s="200"/>
      <c r="P5300" s="199"/>
    </row>
    <row r="5301" spans="7:16" x14ac:dyDescent="0.2">
      <c r="G5301" s="199"/>
      <c r="I5301" s="199"/>
      <c r="K5301" s="199"/>
      <c r="M5301" s="199"/>
      <c r="N5301" s="200"/>
      <c r="P5301" s="199"/>
    </row>
    <row r="5302" spans="7:16" x14ac:dyDescent="0.2">
      <c r="G5302" s="199"/>
      <c r="I5302" s="199"/>
      <c r="K5302" s="199"/>
      <c r="M5302" s="199"/>
      <c r="N5302" s="200"/>
      <c r="P5302" s="199"/>
    </row>
    <row r="5303" spans="7:16" x14ac:dyDescent="0.2">
      <c r="G5303" s="199"/>
      <c r="I5303" s="199"/>
      <c r="K5303" s="199"/>
      <c r="M5303" s="199"/>
      <c r="N5303" s="200"/>
      <c r="P5303" s="199"/>
    </row>
    <row r="5304" spans="7:16" x14ac:dyDescent="0.2">
      <c r="G5304" s="199"/>
      <c r="I5304" s="199"/>
      <c r="K5304" s="199"/>
      <c r="M5304" s="199"/>
      <c r="N5304" s="200"/>
      <c r="P5304" s="199"/>
    </row>
    <row r="5305" spans="7:16" x14ac:dyDescent="0.2">
      <c r="G5305" s="199"/>
      <c r="I5305" s="199"/>
      <c r="K5305" s="199"/>
      <c r="M5305" s="199"/>
      <c r="N5305" s="200"/>
      <c r="P5305" s="199"/>
    </row>
    <row r="5306" spans="7:16" x14ac:dyDescent="0.2">
      <c r="G5306" s="199"/>
      <c r="I5306" s="199"/>
      <c r="K5306" s="199"/>
      <c r="M5306" s="199"/>
      <c r="N5306" s="200"/>
      <c r="P5306" s="199"/>
    </row>
    <row r="5307" spans="7:16" x14ac:dyDescent="0.2">
      <c r="G5307" s="199"/>
      <c r="I5307" s="199"/>
      <c r="K5307" s="199"/>
      <c r="M5307" s="199"/>
      <c r="N5307" s="200"/>
      <c r="P5307" s="199"/>
    </row>
    <row r="5308" spans="7:16" x14ac:dyDescent="0.2">
      <c r="G5308" s="199"/>
      <c r="I5308" s="199"/>
      <c r="K5308" s="199"/>
      <c r="M5308" s="199"/>
      <c r="N5308" s="200"/>
      <c r="P5308" s="199"/>
    </row>
    <row r="5309" spans="7:16" x14ac:dyDescent="0.2">
      <c r="G5309" s="199"/>
      <c r="I5309" s="199"/>
      <c r="K5309" s="199"/>
      <c r="M5309" s="199"/>
      <c r="N5309" s="200"/>
      <c r="P5309" s="199"/>
    </row>
    <row r="5310" spans="7:16" x14ac:dyDescent="0.2">
      <c r="G5310" s="199"/>
      <c r="I5310" s="199"/>
      <c r="K5310" s="199"/>
      <c r="M5310" s="199"/>
      <c r="N5310" s="200"/>
      <c r="P5310" s="199"/>
    </row>
    <row r="5311" spans="7:16" x14ac:dyDescent="0.2">
      <c r="G5311" s="199"/>
      <c r="I5311" s="199"/>
      <c r="K5311" s="199"/>
      <c r="M5311" s="199"/>
      <c r="N5311" s="200"/>
      <c r="P5311" s="199"/>
    </row>
    <row r="5312" spans="7:16" x14ac:dyDescent="0.2">
      <c r="G5312" s="199"/>
      <c r="I5312" s="199"/>
      <c r="K5312" s="199"/>
      <c r="M5312" s="199"/>
      <c r="N5312" s="200"/>
      <c r="P5312" s="199"/>
    </row>
    <row r="5313" spans="7:16" x14ac:dyDescent="0.2">
      <c r="G5313" s="199"/>
      <c r="I5313" s="199"/>
      <c r="K5313" s="199"/>
      <c r="M5313" s="199"/>
      <c r="N5313" s="200"/>
      <c r="P5313" s="199"/>
    </row>
    <row r="5314" spans="7:16" x14ac:dyDescent="0.2">
      <c r="G5314" s="199"/>
      <c r="I5314" s="199"/>
      <c r="K5314" s="199"/>
      <c r="M5314" s="199"/>
      <c r="N5314" s="200"/>
      <c r="P5314" s="199"/>
    </row>
    <row r="5315" spans="7:16" x14ac:dyDescent="0.2">
      <c r="G5315" s="199"/>
      <c r="I5315" s="199"/>
      <c r="K5315" s="199"/>
      <c r="M5315" s="199"/>
      <c r="N5315" s="200"/>
      <c r="P5315" s="199"/>
    </row>
    <row r="5316" spans="7:16" x14ac:dyDescent="0.2">
      <c r="G5316" s="199"/>
      <c r="I5316" s="199"/>
      <c r="K5316" s="199"/>
      <c r="M5316" s="199"/>
      <c r="N5316" s="200"/>
      <c r="P5316" s="199"/>
    </row>
    <row r="5317" spans="7:16" x14ac:dyDescent="0.2">
      <c r="G5317" s="199"/>
      <c r="I5317" s="199"/>
      <c r="K5317" s="199"/>
      <c r="M5317" s="199"/>
      <c r="N5317" s="200"/>
      <c r="P5317" s="199"/>
    </row>
    <row r="5318" spans="7:16" x14ac:dyDescent="0.2">
      <c r="G5318" s="199"/>
      <c r="I5318" s="199"/>
      <c r="K5318" s="199"/>
      <c r="M5318" s="199"/>
      <c r="N5318" s="200"/>
      <c r="P5318" s="199"/>
    </row>
    <row r="5319" spans="7:16" x14ac:dyDescent="0.2">
      <c r="G5319" s="199"/>
      <c r="I5319" s="199"/>
      <c r="K5319" s="199"/>
      <c r="M5319" s="199"/>
      <c r="N5319" s="200"/>
      <c r="P5319" s="199"/>
    </row>
    <row r="5320" spans="7:16" x14ac:dyDescent="0.2">
      <c r="G5320" s="199"/>
      <c r="I5320" s="199"/>
      <c r="K5320" s="199"/>
      <c r="M5320" s="199"/>
      <c r="N5320" s="200"/>
      <c r="P5320" s="199"/>
    </row>
    <row r="5321" spans="7:16" x14ac:dyDescent="0.2">
      <c r="G5321" s="199"/>
      <c r="I5321" s="199"/>
      <c r="K5321" s="199"/>
      <c r="M5321" s="199"/>
      <c r="N5321" s="200"/>
      <c r="P5321" s="199"/>
    </row>
    <row r="5322" spans="7:16" x14ac:dyDescent="0.2">
      <c r="G5322" s="199"/>
      <c r="I5322" s="199"/>
      <c r="K5322" s="199"/>
      <c r="M5322" s="199"/>
      <c r="N5322" s="200"/>
      <c r="P5322" s="199"/>
    </row>
    <row r="5323" spans="7:16" x14ac:dyDescent="0.2">
      <c r="G5323" s="199"/>
      <c r="I5323" s="199"/>
      <c r="K5323" s="199"/>
      <c r="M5323" s="199"/>
      <c r="N5323" s="200"/>
      <c r="P5323" s="199"/>
    </row>
    <row r="5324" spans="7:16" x14ac:dyDescent="0.2">
      <c r="G5324" s="199"/>
      <c r="I5324" s="199"/>
      <c r="K5324" s="199"/>
      <c r="M5324" s="199"/>
      <c r="N5324" s="200"/>
      <c r="P5324" s="199"/>
    </row>
    <row r="5325" spans="7:16" x14ac:dyDescent="0.2">
      <c r="G5325" s="199"/>
      <c r="I5325" s="199"/>
      <c r="K5325" s="199"/>
      <c r="M5325" s="199"/>
      <c r="N5325" s="200"/>
      <c r="P5325" s="199"/>
    </row>
    <row r="5326" spans="7:16" x14ac:dyDescent="0.2">
      <c r="G5326" s="199"/>
      <c r="I5326" s="199"/>
      <c r="K5326" s="199"/>
      <c r="M5326" s="199"/>
      <c r="N5326" s="200"/>
      <c r="P5326" s="199"/>
    </row>
    <row r="5327" spans="7:16" x14ac:dyDescent="0.2">
      <c r="G5327" s="199"/>
      <c r="I5327" s="199"/>
      <c r="K5327" s="199"/>
      <c r="M5327" s="199"/>
      <c r="N5327" s="200"/>
      <c r="P5327" s="199"/>
    </row>
    <row r="5328" spans="7:16" x14ac:dyDescent="0.2">
      <c r="G5328" s="199"/>
      <c r="I5328" s="199"/>
      <c r="K5328" s="199"/>
      <c r="M5328" s="199"/>
      <c r="N5328" s="200"/>
      <c r="P5328" s="199"/>
    </row>
    <row r="5329" spans="7:16" x14ac:dyDescent="0.2">
      <c r="G5329" s="199"/>
      <c r="I5329" s="199"/>
      <c r="K5329" s="199"/>
      <c r="M5329" s="199"/>
      <c r="N5329" s="200"/>
      <c r="P5329" s="199"/>
    </row>
    <row r="5330" spans="7:16" x14ac:dyDescent="0.2">
      <c r="G5330" s="199"/>
      <c r="I5330" s="199"/>
      <c r="K5330" s="199"/>
      <c r="M5330" s="199"/>
      <c r="N5330" s="200"/>
      <c r="P5330" s="199"/>
    </row>
    <row r="5331" spans="7:16" x14ac:dyDescent="0.2">
      <c r="G5331" s="199"/>
      <c r="I5331" s="199"/>
      <c r="K5331" s="199"/>
      <c r="M5331" s="199"/>
      <c r="N5331" s="200"/>
      <c r="P5331" s="199"/>
    </row>
    <row r="5332" spans="7:16" x14ac:dyDescent="0.2">
      <c r="G5332" s="199"/>
      <c r="I5332" s="199"/>
      <c r="K5332" s="199"/>
      <c r="M5332" s="199"/>
      <c r="N5332" s="200"/>
      <c r="P5332" s="199"/>
    </row>
    <row r="5333" spans="7:16" x14ac:dyDescent="0.2">
      <c r="G5333" s="199"/>
      <c r="I5333" s="199"/>
      <c r="K5333" s="199"/>
      <c r="M5333" s="199"/>
      <c r="N5333" s="200"/>
      <c r="P5333" s="199"/>
    </row>
    <row r="5334" spans="7:16" x14ac:dyDescent="0.2">
      <c r="G5334" s="199"/>
      <c r="I5334" s="199"/>
      <c r="K5334" s="199"/>
      <c r="M5334" s="199"/>
      <c r="N5334" s="200"/>
      <c r="P5334" s="199"/>
    </row>
    <row r="5335" spans="7:16" x14ac:dyDescent="0.2">
      <c r="G5335" s="199"/>
      <c r="I5335" s="199"/>
      <c r="K5335" s="199"/>
      <c r="M5335" s="199"/>
      <c r="N5335" s="200"/>
      <c r="P5335" s="199"/>
    </row>
    <row r="5336" spans="7:16" x14ac:dyDescent="0.2">
      <c r="G5336" s="199"/>
      <c r="I5336" s="199"/>
      <c r="K5336" s="199"/>
      <c r="M5336" s="199"/>
      <c r="N5336" s="200"/>
      <c r="P5336" s="199"/>
    </row>
    <row r="5337" spans="7:16" x14ac:dyDescent="0.2">
      <c r="G5337" s="199"/>
      <c r="I5337" s="199"/>
      <c r="K5337" s="199"/>
      <c r="M5337" s="199"/>
      <c r="N5337" s="200"/>
      <c r="P5337" s="199"/>
    </row>
    <row r="5338" spans="7:16" x14ac:dyDescent="0.2">
      <c r="G5338" s="199"/>
      <c r="I5338" s="199"/>
      <c r="K5338" s="199"/>
      <c r="M5338" s="199"/>
      <c r="N5338" s="200"/>
      <c r="P5338" s="199"/>
    </row>
    <row r="5339" spans="7:16" x14ac:dyDescent="0.2">
      <c r="G5339" s="199"/>
      <c r="I5339" s="199"/>
      <c r="K5339" s="199"/>
      <c r="M5339" s="199"/>
      <c r="N5339" s="200"/>
      <c r="P5339" s="199"/>
    </row>
    <row r="5340" spans="7:16" x14ac:dyDescent="0.2">
      <c r="G5340" s="199"/>
      <c r="I5340" s="199"/>
      <c r="K5340" s="199"/>
      <c r="M5340" s="199"/>
      <c r="N5340" s="200"/>
      <c r="P5340" s="199"/>
    </row>
    <row r="5341" spans="7:16" x14ac:dyDescent="0.2">
      <c r="G5341" s="199"/>
      <c r="I5341" s="199"/>
      <c r="K5341" s="199"/>
      <c r="M5341" s="199"/>
      <c r="N5341" s="200"/>
      <c r="P5341" s="199"/>
    </row>
    <row r="5342" spans="7:16" x14ac:dyDescent="0.2">
      <c r="G5342" s="199"/>
      <c r="I5342" s="199"/>
      <c r="K5342" s="199"/>
      <c r="M5342" s="199"/>
      <c r="N5342" s="200"/>
      <c r="P5342" s="199"/>
    </row>
    <row r="5343" spans="7:16" x14ac:dyDescent="0.2">
      <c r="G5343" s="199"/>
      <c r="I5343" s="199"/>
      <c r="K5343" s="199"/>
      <c r="M5343" s="199"/>
      <c r="N5343" s="200"/>
      <c r="P5343" s="199"/>
    </row>
    <row r="5344" spans="7:16" x14ac:dyDescent="0.2">
      <c r="G5344" s="199"/>
      <c r="I5344" s="199"/>
      <c r="K5344" s="199"/>
      <c r="M5344" s="199"/>
      <c r="N5344" s="200"/>
      <c r="P5344" s="199"/>
    </row>
    <row r="5345" spans="7:16" x14ac:dyDescent="0.2">
      <c r="G5345" s="199"/>
      <c r="I5345" s="199"/>
      <c r="K5345" s="199"/>
      <c r="M5345" s="199"/>
      <c r="N5345" s="200"/>
      <c r="P5345" s="199"/>
    </row>
    <row r="5346" spans="7:16" x14ac:dyDescent="0.2">
      <c r="G5346" s="199"/>
      <c r="I5346" s="199"/>
      <c r="K5346" s="199"/>
      <c r="M5346" s="199"/>
      <c r="N5346" s="200"/>
      <c r="P5346" s="199"/>
    </row>
    <row r="5347" spans="7:16" x14ac:dyDescent="0.2">
      <c r="G5347" s="199"/>
      <c r="I5347" s="199"/>
      <c r="K5347" s="199"/>
      <c r="M5347" s="199"/>
      <c r="N5347" s="200"/>
      <c r="P5347" s="199"/>
    </row>
    <row r="5348" spans="7:16" x14ac:dyDescent="0.2">
      <c r="G5348" s="199"/>
      <c r="I5348" s="199"/>
      <c r="K5348" s="199"/>
      <c r="M5348" s="199"/>
      <c r="N5348" s="200"/>
      <c r="P5348" s="199"/>
    </row>
    <row r="5349" spans="7:16" x14ac:dyDescent="0.2">
      <c r="G5349" s="199"/>
      <c r="I5349" s="199"/>
      <c r="K5349" s="199"/>
      <c r="M5349" s="199"/>
      <c r="N5349" s="200"/>
      <c r="P5349" s="199"/>
    </row>
    <row r="5350" spans="7:16" x14ac:dyDescent="0.2">
      <c r="G5350" s="199"/>
      <c r="I5350" s="199"/>
      <c r="K5350" s="199"/>
      <c r="M5350" s="199"/>
      <c r="N5350" s="200"/>
      <c r="P5350" s="199"/>
    </row>
    <row r="5351" spans="7:16" x14ac:dyDescent="0.2">
      <c r="G5351" s="199"/>
      <c r="I5351" s="199"/>
      <c r="K5351" s="199"/>
      <c r="M5351" s="199"/>
      <c r="N5351" s="200"/>
      <c r="P5351" s="199"/>
    </row>
    <row r="5352" spans="7:16" x14ac:dyDescent="0.2">
      <c r="G5352" s="199"/>
      <c r="I5352" s="199"/>
      <c r="K5352" s="199"/>
      <c r="M5352" s="199"/>
      <c r="N5352" s="200"/>
      <c r="P5352" s="199"/>
    </row>
    <row r="5353" spans="7:16" x14ac:dyDescent="0.2">
      <c r="G5353" s="199"/>
      <c r="I5353" s="199"/>
      <c r="K5353" s="199"/>
      <c r="M5353" s="199"/>
      <c r="N5353" s="200"/>
      <c r="P5353" s="199"/>
    </row>
    <row r="5354" spans="7:16" x14ac:dyDescent="0.2">
      <c r="G5354" s="199"/>
      <c r="I5354" s="199"/>
      <c r="K5354" s="199"/>
      <c r="M5354" s="199"/>
      <c r="N5354" s="200"/>
      <c r="P5354" s="199"/>
    </row>
    <row r="5355" spans="7:16" x14ac:dyDescent="0.2">
      <c r="G5355" s="199"/>
      <c r="I5355" s="199"/>
      <c r="K5355" s="199"/>
      <c r="M5355" s="199"/>
      <c r="N5355" s="200"/>
      <c r="P5355" s="199"/>
    </row>
    <row r="5356" spans="7:16" x14ac:dyDescent="0.2">
      <c r="G5356" s="199"/>
      <c r="I5356" s="199"/>
      <c r="K5356" s="199"/>
      <c r="M5356" s="199"/>
      <c r="N5356" s="200"/>
      <c r="P5356" s="199"/>
    </row>
    <row r="5357" spans="7:16" x14ac:dyDescent="0.2">
      <c r="G5357" s="199"/>
      <c r="I5357" s="199"/>
      <c r="K5357" s="199"/>
      <c r="M5357" s="199"/>
      <c r="N5357" s="200"/>
      <c r="P5357" s="199"/>
    </row>
    <row r="5358" spans="7:16" x14ac:dyDescent="0.2">
      <c r="G5358" s="199"/>
      <c r="I5358" s="199"/>
      <c r="K5358" s="199"/>
      <c r="M5358" s="199"/>
      <c r="N5358" s="200"/>
      <c r="P5358" s="199"/>
    </row>
    <row r="5359" spans="7:16" x14ac:dyDescent="0.2">
      <c r="G5359" s="199"/>
      <c r="I5359" s="199"/>
      <c r="K5359" s="199"/>
      <c r="M5359" s="199"/>
      <c r="N5359" s="200"/>
      <c r="P5359" s="199"/>
    </row>
    <row r="5360" spans="7:16" x14ac:dyDescent="0.2">
      <c r="G5360" s="199"/>
      <c r="I5360" s="199"/>
      <c r="K5360" s="199"/>
      <c r="M5360" s="199"/>
      <c r="N5360" s="200"/>
      <c r="P5360" s="199"/>
    </row>
    <row r="5361" spans="7:16" x14ac:dyDescent="0.2">
      <c r="G5361" s="199"/>
      <c r="I5361" s="199"/>
      <c r="K5361" s="199"/>
      <c r="M5361" s="199"/>
      <c r="N5361" s="200"/>
      <c r="P5361" s="199"/>
    </row>
    <row r="5362" spans="7:16" x14ac:dyDescent="0.2">
      <c r="G5362" s="199"/>
      <c r="I5362" s="199"/>
      <c r="K5362" s="199"/>
      <c r="M5362" s="199"/>
      <c r="N5362" s="200"/>
      <c r="P5362" s="199"/>
    </row>
    <row r="5363" spans="7:16" x14ac:dyDescent="0.2">
      <c r="G5363" s="199"/>
      <c r="I5363" s="199"/>
      <c r="K5363" s="199"/>
      <c r="M5363" s="199"/>
      <c r="N5363" s="200"/>
      <c r="P5363" s="199"/>
    </row>
    <row r="5364" spans="7:16" x14ac:dyDescent="0.2">
      <c r="G5364" s="199"/>
      <c r="I5364" s="199"/>
      <c r="K5364" s="199"/>
      <c r="M5364" s="199"/>
      <c r="N5364" s="200"/>
      <c r="P5364" s="199"/>
    </row>
    <row r="5365" spans="7:16" x14ac:dyDescent="0.2">
      <c r="G5365" s="199"/>
      <c r="I5365" s="199"/>
      <c r="K5365" s="199"/>
      <c r="M5365" s="199"/>
      <c r="N5365" s="200"/>
      <c r="P5365" s="199"/>
    </row>
    <row r="5366" spans="7:16" x14ac:dyDescent="0.2">
      <c r="G5366" s="199"/>
      <c r="I5366" s="199"/>
      <c r="K5366" s="199"/>
      <c r="M5366" s="199"/>
      <c r="N5366" s="200"/>
      <c r="P5366" s="199"/>
    </row>
    <row r="5367" spans="7:16" x14ac:dyDescent="0.2">
      <c r="G5367" s="199"/>
      <c r="I5367" s="199"/>
      <c r="K5367" s="199"/>
      <c r="M5367" s="199"/>
      <c r="N5367" s="200"/>
      <c r="P5367" s="199"/>
    </row>
    <row r="5368" spans="7:16" x14ac:dyDescent="0.2">
      <c r="G5368" s="199"/>
      <c r="I5368" s="199"/>
      <c r="K5368" s="199"/>
      <c r="M5368" s="199"/>
      <c r="N5368" s="200"/>
      <c r="P5368" s="199"/>
    </row>
    <row r="5369" spans="7:16" x14ac:dyDescent="0.2">
      <c r="G5369" s="199"/>
      <c r="I5369" s="199"/>
      <c r="K5369" s="199"/>
      <c r="M5369" s="199"/>
      <c r="N5369" s="200"/>
      <c r="P5369" s="199"/>
    </row>
    <row r="5370" spans="7:16" x14ac:dyDescent="0.2">
      <c r="G5370" s="199"/>
      <c r="I5370" s="199"/>
      <c r="K5370" s="199"/>
      <c r="M5370" s="199"/>
      <c r="N5370" s="200"/>
      <c r="P5370" s="199"/>
    </row>
    <row r="5371" spans="7:16" x14ac:dyDescent="0.2">
      <c r="G5371" s="199"/>
      <c r="I5371" s="199"/>
      <c r="K5371" s="199"/>
      <c r="M5371" s="199"/>
      <c r="N5371" s="200"/>
      <c r="P5371" s="199"/>
    </row>
    <row r="5372" spans="7:16" x14ac:dyDescent="0.2">
      <c r="G5372" s="199"/>
      <c r="I5372" s="199"/>
      <c r="K5372" s="199"/>
      <c r="M5372" s="199"/>
      <c r="N5372" s="200"/>
      <c r="P5372" s="199"/>
    </row>
    <row r="5373" spans="7:16" x14ac:dyDescent="0.2">
      <c r="G5373" s="199"/>
      <c r="I5373" s="199"/>
      <c r="K5373" s="199"/>
      <c r="M5373" s="199"/>
      <c r="N5373" s="200"/>
      <c r="P5373" s="199"/>
    </row>
    <row r="5374" spans="7:16" x14ac:dyDescent="0.2">
      <c r="G5374" s="199"/>
      <c r="I5374" s="199"/>
      <c r="K5374" s="199"/>
      <c r="M5374" s="199"/>
      <c r="N5374" s="200"/>
      <c r="P5374" s="199"/>
    </row>
    <row r="5375" spans="7:16" x14ac:dyDescent="0.2">
      <c r="G5375" s="199"/>
      <c r="I5375" s="199"/>
      <c r="K5375" s="199"/>
      <c r="M5375" s="199"/>
      <c r="N5375" s="200"/>
      <c r="P5375" s="199"/>
    </row>
    <row r="5376" spans="7:16" x14ac:dyDescent="0.2">
      <c r="G5376" s="199"/>
      <c r="I5376" s="199"/>
      <c r="K5376" s="199"/>
      <c r="M5376" s="199"/>
      <c r="N5376" s="200"/>
      <c r="P5376" s="199"/>
    </row>
    <row r="5377" spans="7:16" x14ac:dyDescent="0.2">
      <c r="G5377" s="199"/>
      <c r="I5377" s="199"/>
      <c r="K5377" s="199"/>
      <c r="M5377" s="199"/>
      <c r="N5377" s="200"/>
      <c r="P5377" s="199"/>
    </row>
    <row r="5378" spans="7:16" x14ac:dyDescent="0.2">
      <c r="G5378" s="199"/>
      <c r="I5378" s="199"/>
      <c r="K5378" s="199"/>
      <c r="M5378" s="199"/>
      <c r="N5378" s="200"/>
      <c r="P5378" s="199"/>
    </row>
    <row r="5379" spans="7:16" x14ac:dyDescent="0.2">
      <c r="G5379" s="199"/>
      <c r="I5379" s="199"/>
      <c r="K5379" s="199"/>
      <c r="M5379" s="199"/>
      <c r="N5379" s="200"/>
      <c r="P5379" s="199"/>
    </row>
    <row r="5380" spans="7:16" x14ac:dyDescent="0.2">
      <c r="G5380" s="199"/>
      <c r="I5380" s="199"/>
      <c r="K5380" s="199"/>
      <c r="M5380" s="199"/>
      <c r="N5380" s="200"/>
      <c r="P5380" s="199"/>
    </row>
    <row r="5381" spans="7:16" x14ac:dyDescent="0.2">
      <c r="G5381" s="199"/>
      <c r="I5381" s="199"/>
      <c r="K5381" s="199"/>
      <c r="M5381" s="199"/>
      <c r="N5381" s="200"/>
      <c r="P5381" s="199"/>
    </row>
    <row r="5382" spans="7:16" x14ac:dyDescent="0.2">
      <c r="G5382" s="199"/>
      <c r="I5382" s="199"/>
      <c r="K5382" s="199"/>
      <c r="M5382" s="199"/>
      <c r="N5382" s="200"/>
      <c r="P5382" s="199"/>
    </row>
    <row r="5383" spans="7:16" x14ac:dyDescent="0.2">
      <c r="G5383" s="199"/>
      <c r="I5383" s="199"/>
      <c r="K5383" s="199"/>
      <c r="M5383" s="199"/>
      <c r="N5383" s="200"/>
      <c r="P5383" s="199"/>
    </row>
    <row r="5384" spans="7:16" x14ac:dyDescent="0.2">
      <c r="G5384" s="199"/>
      <c r="I5384" s="199"/>
      <c r="K5384" s="199"/>
      <c r="M5384" s="199"/>
      <c r="N5384" s="200"/>
      <c r="P5384" s="199"/>
    </row>
    <row r="5385" spans="7:16" x14ac:dyDescent="0.2">
      <c r="G5385" s="199"/>
      <c r="I5385" s="199"/>
      <c r="K5385" s="199"/>
      <c r="M5385" s="199"/>
      <c r="N5385" s="200"/>
      <c r="P5385" s="199"/>
    </row>
    <row r="5386" spans="7:16" x14ac:dyDescent="0.2">
      <c r="G5386" s="199"/>
      <c r="I5386" s="199"/>
      <c r="K5386" s="199"/>
      <c r="M5386" s="199"/>
      <c r="N5386" s="200"/>
      <c r="P5386" s="199"/>
    </row>
    <row r="5387" spans="7:16" x14ac:dyDescent="0.2">
      <c r="G5387" s="199"/>
      <c r="I5387" s="199"/>
      <c r="K5387" s="199"/>
      <c r="M5387" s="199"/>
      <c r="N5387" s="200"/>
      <c r="P5387" s="199"/>
    </row>
    <row r="5388" spans="7:16" x14ac:dyDescent="0.2">
      <c r="G5388" s="199"/>
      <c r="I5388" s="199"/>
      <c r="K5388" s="199"/>
      <c r="M5388" s="199"/>
      <c r="N5388" s="200"/>
      <c r="P5388" s="199"/>
    </row>
    <row r="5389" spans="7:16" x14ac:dyDescent="0.2">
      <c r="G5389" s="199"/>
      <c r="I5389" s="199"/>
      <c r="K5389" s="199"/>
      <c r="M5389" s="199"/>
      <c r="N5389" s="200"/>
      <c r="P5389" s="199"/>
    </row>
    <row r="5390" spans="7:16" x14ac:dyDescent="0.2">
      <c r="G5390" s="199"/>
      <c r="I5390" s="199"/>
      <c r="K5390" s="199"/>
      <c r="M5390" s="199"/>
      <c r="N5390" s="200"/>
      <c r="P5390" s="199"/>
    </row>
    <row r="5391" spans="7:16" x14ac:dyDescent="0.2">
      <c r="G5391" s="199"/>
      <c r="I5391" s="199"/>
      <c r="K5391" s="199"/>
      <c r="M5391" s="199"/>
      <c r="N5391" s="200"/>
      <c r="P5391" s="199"/>
    </row>
    <row r="5392" spans="7:16" x14ac:dyDescent="0.2">
      <c r="G5392" s="199"/>
      <c r="I5392" s="199"/>
      <c r="K5392" s="199"/>
      <c r="M5392" s="199"/>
      <c r="N5392" s="200"/>
      <c r="P5392" s="199"/>
    </row>
    <row r="5393" spans="7:16" x14ac:dyDescent="0.2">
      <c r="G5393" s="199"/>
      <c r="I5393" s="199"/>
      <c r="K5393" s="199"/>
      <c r="M5393" s="199"/>
      <c r="N5393" s="200"/>
      <c r="P5393" s="199"/>
    </row>
    <row r="5394" spans="7:16" x14ac:dyDescent="0.2">
      <c r="G5394" s="199"/>
      <c r="I5394" s="199"/>
      <c r="K5394" s="199"/>
      <c r="M5394" s="199"/>
      <c r="N5394" s="200"/>
      <c r="P5394" s="199"/>
    </row>
    <row r="5395" spans="7:16" x14ac:dyDescent="0.2">
      <c r="G5395" s="199"/>
      <c r="I5395" s="199"/>
      <c r="K5395" s="199"/>
      <c r="M5395" s="199"/>
      <c r="N5395" s="200"/>
      <c r="P5395" s="199"/>
    </row>
    <row r="5396" spans="7:16" x14ac:dyDescent="0.2">
      <c r="G5396" s="199"/>
      <c r="I5396" s="199"/>
      <c r="K5396" s="199"/>
      <c r="M5396" s="199"/>
      <c r="N5396" s="200"/>
      <c r="P5396" s="199"/>
    </row>
    <row r="5397" spans="7:16" x14ac:dyDescent="0.2">
      <c r="G5397" s="199"/>
      <c r="I5397" s="199"/>
      <c r="K5397" s="199"/>
      <c r="M5397" s="199"/>
      <c r="N5397" s="200"/>
      <c r="P5397" s="199"/>
    </row>
    <row r="5398" spans="7:16" x14ac:dyDescent="0.2">
      <c r="G5398" s="199"/>
      <c r="I5398" s="199"/>
      <c r="K5398" s="199"/>
      <c r="M5398" s="199"/>
      <c r="N5398" s="200"/>
      <c r="P5398" s="199"/>
    </row>
    <row r="5399" spans="7:16" x14ac:dyDescent="0.2">
      <c r="G5399" s="199"/>
      <c r="I5399" s="199"/>
      <c r="K5399" s="199"/>
      <c r="M5399" s="199"/>
      <c r="N5399" s="200"/>
      <c r="P5399" s="199"/>
    </row>
    <row r="5400" spans="7:16" x14ac:dyDescent="0.2">
      <c r="G5400" s="199"/>
      <c r="I5400" s="199"/>
      <c r="K5400" s="199"/>
      <c r="M5400" s="199"/>
      <c r="N5400" s="200"/>
      <c r="P5400" s="199"/>
    </row>
    <row r="5401" spans="7:16" x14ac:dyDescent="0.2">
      <c r="G5401" s="199"/>
      <c r="I5401" s="199"/>
      <c r="K5401" s="199"/>
      <c r="M5401" s="199"/>
      <c r="N5401" s="200"/>
      <c r="P5401" s="199"/>
    </row>
    <row r="5402" spans="7:16" x14ac:dyDescent="0.2">
      <c r="G5402" s="199"/>
      <c r="I5402" s="199"/>
      <c r="K5402" s="199"/>
      <c r="M5402" s="199"/>
      <c r="N5402" s="200"/>
      <c r="P5402" s="199"/>
    </row>
    <row r="5403" spans="7:16" x14ac:dyDescent="0.2">
      <c r="G5403" s="199"/>
      <c r="I5403" s="199"/>
      <c r="K5403" s="199"/>
      <c r="M5403" s="199"/>
      <c r="N5403" s="200"/>
      <c r="P5403" s="199"/>
    </row>
    <row r="5404" spans="7:16" x14ac:dyDescent="0.2">
      <c r="G5404" s="199"/>
      <c r="I5404" s="199"/>
      <c r="K5404" s="199"/>
      <c r="M5404" s="199"/>
      <c r="N5404" s="200"/>
      <c r="P5404" s="199"/>
    </row>
    <row r="5405" spans="7:16" x14ac:dyDescent="0.2">
      <c r="G5405" s="199"/>
      <c r="I5405" s="199"/>
      <c r="K5405" s="199"/>
      <c r="M5405" s="199"/>
      <c r="N5405" s="200"/>
      <c r="P5405" s="199"/>
    </row>
    <row r="5406" spans="7:16" x14ac:dyDescent="0.2">
      <c r="G5406" s="199"/>
      <c r="I5406" s="199"/>
      <c r="K5406" s="199"/>
      <c r="M5406" s="199"/>
      <c r="N5406" s="200"/>
      <c r="P5406" s="199"/>
    </row>
    <row r="5407" spans="7:16" x14ac:dyDescent="0.2">
      <c r="G5407" s="199"/>
      <c r="I5407" s="199"/>
      <c r="K5407" s="199"/>
      <c r="M5407" s="199"/>
      <c r="N5407" s="200"/>
      <c r="P5407" s="199"/>
    </row>
    <row r="5408" spans="7:16" x14ac:dyDescent="0.2">
      <c r="G5408" s="199"/>
      <c r="I5408" s="199"/>
      <c r="K5408" s="199"/>
      <c r="M5408" s="199"/>
      <c r="N5408" s="200"/>
      <c r="P5408" s="199"/>
    </row>
    <row r="5409" spans="7:16" x14ac:dyDescent="0.2">
      <c r="G5409" s="199"/>
      <c r="I5409" s="199"/>
      <c r="K5409" s="199"/>
      <c r="M5409" s="199"/>
      <c r="N5409" s="200"/>
      <c r="P5409" s="199"/>
    </row>
    <row r="5410" spans="7:16" x14ac:dyDescent="0.2">
      <c r="G5410" s="199"/>
      <c r="I5410" s="199"/>
      <c r="K5410" s="199"/>
      <c r="M5410" s="199"/>
      <c r="N5410" s="200"/>
      <c r="P5410" s="199"/>
    </row>
    <row r="5411" spans="7:16" x14ac:dyDescent="0.2">
      <c r="G5411" s="199"/>
      <c r="I5411" s="199"/>
      <c r="K5411" s="199"/>
      <c r="M5411" s="199"/>
      <c r="N5411" s="200"/>
      <c r="P5411" s="199"/>
    </row>
    <row r="5412" spans="7:16" x14ac:dyDescent="0.2">
      <c r="G5412" s="199"/>
      <c r="I5412" s="199"/>
      <c r="K5412" s="199"/>
      <c r="M5412" s="199"/>
      <c r="N5412" s="200"/>
      <c r="P5412" s="199"/>
    </row>
    <row r="5413" spans="7:16" x14ac:dyDescent="0.2">
      <c r="G5413" s="199"/>
      <c r="I5413" s="199"/>
      <c r="K5413" s="199"/>
      <c r="M5413" s="199"/>
      <c r="N5413" s="200"/>
      <c r="P5413" s="199"/>
    </row>
    <row r="5414" spans="7:16" x14ac:dyDescent="0.2">
      <c r="G5414" s="199"/>
      <c r="I5414" s="199"/>
      <c r="K5414" s="199"/>
      <c r="M5414" s="199"/>
      <c r="N5414" s="200"/>
      <c r="P5414" s="199"/>
    </row>
    <row r="5415" spans="7:16" x14ac:dyDescent="0.2">
      <c r="G5415" s="199"/>
      <c r="I5415" s="199"/>
      <c r="K5415" s="199"/>
      <c r="M5415" s="199"/>
      <c r="N5415" s="200"/>
      <c r="P5415" s="199"/>
    </row>
    <row r="5416" spans="7:16" x14ac:dyDescent="0.2">
      <c r="G5416" s="199"/>
      <c r="I5416" s="199"/>
      <c r="K5416" s="199"/>
      <c r="M5416" s="199"/>
      <c r="N5416" s="200"/>
      <c r="P5416" s="199"/>
    </row>
    <row r="5417" spans="7:16" x14ac:dyDescent="0.2">
      <c r="G5417" s="199"/>
      <c r="I5417" s="199"/>
      <c r="K5417" s="199"/>
      <c r="M5417" s="199"/>
      <c r="N5417" s="200"/>
      <c r="P5417" s="199"/>
    </row>
    <row r="5418" spans="7:16" x14ac:dyDescent="0.2">
      <c r="G5418" s="199"/>
      <c r="I5418" s="199"/>
      <c r="K5418" s="199"/>
      <c r="M5418" s="199"/>
      <c r="N5418" s="200"/>
      <c r="P5418" s="199"/>
    </row>
    <row r="5419" spans="7:16" x14ac:dyDescent="0.2">
      <c r="G5419" s="199"/>
      <c r="I5419" s="199"/>
      <c r="K5419" s="199"/>
      <c r="M5419" s="199"/>
      <c r="N5419" s="200"/>
      <c r="P5419" s="199"/>
    </row>
    <row r="5420" spans="7:16" x14ac:dyDescent="0.2">
      <c r="G5420" s="199"/>
      <c r="I5420" s="199"/>
      <c r="K5420" s="199"/>
      <c r="M5420" s="199"/>
      <c r="N5420" s="200"/>
      <c r="P5420" s="199"/>
    </row>
    <row r="5421" spans="7:16" x14ac:dyDescent="0.2">
      <c r="G5421" s="199"/>
      <c r="I5421" s="199"/>
      <c r="K5421" s="199"/>
      <c r="M5421" s="199"/>
      <c r="N5421" s="200"/>
      <c r="P5421" s="199"/>
    </row>
    <row r="5422" spans="7:16" x14ac:dyDescent="0.2">
      <c r="G5422" s="199"/>
      <c r="I5422" s="199"/>
      <c r="K5422" s="199"/>
      <c r="M5422" s="199"/>
      <c r="N5422" s="200"/>
      <c r="P5422" s="199"/>
    </row>
    <row r="5423" spans="7:16" x14ac:dyDescent="0.2">
      <c r="G5423" s="199"/>
      <c r="I5423" s="199"/>
      <c r="K5423" s="199"/>
      <c r="M5423" s="199"/>
      <c r="N5423" s="200"/>
      <c r="P5423" s="199"/>
    </row>
    <row r="5424" spans="7:16" x14ac:dyDescent="0.2">
      <c r="G5424" s="199"/>
      <c r="I5424" s="199"/>
      <c r="K5424" s="199"/>
      <c r="M5424" s="199"/>
      <c r="N5424" s="200"/>
      <c r="P5424" s="199"/>
    </row>
    <row r="5425" spans="7:16" x14ac:dyDescent="0.2">
      <c r="G5425" s="199"/>
      <c r="I5425" s="199"/>
      <c r="K5425" s="199"/>
      <c r="M5425" s="199"/>
      <c r="N5425" s="200"/>
      <c r="P5425" s="199"/>
    </row>
    <row r="5426" spans="7:16" x14ac:dyDescent="0.2">
      <c r="G5426" s="199"/>
      <c r="I5426" s="199"/>
      <c r="K5426" s="199"/>
      <c r="M5426" s="199"/>
      <c r="N5426" s="200"/>
      <c r="P5426" s="199"/>
    </row>
    <row r="5427" spans="7:16" x14ac:dyDescent="0.2">
      <c r="G5427" s="199"/>
      <c r="I5427" s="199"/>
      <c r="K5427" s="199"/>
      <c r="M5427" s="199"/>
      <c r="N5427" s="200"/>
      <c r="P5427" s="199"/>
    </row>
    <row r="5428" spans="7:16" x14ac:dyDescent="0.2">
      <c r="G5428" s="199"/>
      <c r="I5428" s="199"/>
      <c r="K5428" s="199"/>
      <c r="M5428" s="199"/>
      <c r="N5428" s="200"/>
      <c r="P5428" s="199"/>
    </row>
    <row r="5429" spans="7:16" x14ac:dyDescent="0.2">
      <c r="G5429" s="199"/>
      <c r="I5429" s="199"/>
      <c r="K5429" s="199"/>
      <c r="M5429" s="199"/>
      <c r="N5429" s="200"/>
      <c r="P5429" s="199"/>
    </row>
    <row r="5430" spans="7:16" x14ac:dyDescent="0.2">
      <c r="G5430" s="199"/>
      <c r="I5430" s="199"/>
      <c r="K5430" s="199"/>
      <c r="M5430" s="199"/>
      <c r="N5430" s="200"/>
      <c r="P5430" s="199"/>
    </row>
    <row r="5431" spans="7:16" x14ac:dyDescent="0.2">
      <c r="G5431" s="199"/>
      <c r="I5431" s="199"/>
      <c r="K5431" s="199"/>
      <c r="M5431" s="199"/>
      <c r="N5431" s="200"/>
      <c r="P5431" s="199"/>
    </row>
    <row r="5432" spans="7:16" x14ac:dyDescent="0.2">
      <c r="G5432" s="199"/>
      <c r="I5432" s="199"/>
      <c r="K5432" s="199"/>
      <c r="M5432" s="199"/>
      <c r="N5432" s="200"/>
      <c r="P5432" s="199"/>
    </row>
    <row r="5433" spans="7:16" x14ac:dyDescent="0.2">
      <c r="G5433" s="199"/>
      <c r="I5433" s="199"/>
      <c r="K5433" s="199"/>
      <c r="M5433" s="199"/>
      <c r="N5433" s="200"/>
      <c r="P5433" s="199"/>
    </row>
    <row r="5434" spans="7:16" x14ac:dyDescent="0.2">
      <c r="G5434" s="199"/>
      <c r="I5434" s="199"/>
      <c r="K5434" s="199"/>
      <c r="M5434" s="199"/>
      <c r="N5434" s="200"/>
      <c r="P5434" s="199"/>
    </row>
    <row r="5435" spans="7:16" x14ac:dyDescent="0.2">
      <c r="G5435" s="199"/>
      <c r="I5435" s="199"/>
      <c r="K5435" s="199"/>
      <c r="M5435" s="199"/>
      <c r="N5435" s="200"/>
      <c r="P5435" s="199"/>
    </row>
    <row r="5436" spans="7:16" x14ac:dyDescent="0.2">
      <c r="G5436" s="199"/>
      <c r="I5436" s="199"/>
      <c r="K5436" s="199"/>
      <c r="M5436" s="199"/>
      <c r="N5436" s="200"/>
      <c r="P5436" s="199"/>
    </row>
    <row r="5437" spans="7:16" x14ac:dyDescent="0.2">
      <c r="G5437" s="199"/>
      <c r="I5437" s="199"/>
      <c r="K5437" s="199"/>
      <c r="M5437" s="199"/>
      <c r="N5437" s="200"/>
      <c r="P5437" s="199"/>
    </row>
    <row r="5438" spans="7:16" x14ac:dyDescent="0.2">
      <c r="G5438" s="199"/>
      <c r="I5438" s="199"/>
      <c r="K5438" s="199"/>
      <c r="M5438" s="199"/>
      <c r="N5438" s="200"/>
      <c r="P5438" s="199"/>
    </row>
    <row r="5439" spans="7:16" x14ac:dyDescent="0.2">
      <c r="G5439" s="199"/>
      <c r="I5439" s="199"/>
      <c r="K5439" s="199"/>
      <c r="M5439" s="199"/>
      <c r="N5439" s="200"/>
      <c r="P5439" s="199"/>
    </row>
    <row r="5440" spans="7:16" x14ac:dyDescent="0.2">
      <c r="G5440" s="199"/>
      <c r="I5440" s="199"/>
      <c r="K5440" s="199"/>
      <c r="M5440" s="199"/>
      <c r="N5440" s="200"/>
      <c r="P5440" s="199"/>
    </row>
    <row r="5441" spans="7:16" x14ac:dyDescent="0.2">
      <c r="G5441" s="199"/>
      <c r="I5441" s="199"/>
      <c r="K5441" s="199"/>
      <c r="M5441" s="199"/>
      <c r="N5441" s="200"/>
      <c r="P5441" s="199"/>
    </row>
    <row r="5442" spans="7:16" x14ac:dyDescent="0.2">
      <c r="G5442" s="199"/>
      <c r="I5442" s="199"/>
      <c r="K5442" s="199"/>
      <c r="M5442" s="199"/>
      <c r="N5442" s="200"/>
      <c r="P5442" s="199"/>
    </row>
    <row r="5443" spans="7:16" x14ac:dyDescent="0.2">
      <c r="G5443" s="199"/>
      <c r="I5443" s="199"/>
      <c r="K5443" s="199"/>
      <c r="M5443" s="199"/>
      <c r="N5443" s="200"/>
      <c r="P5443" s="199"/>
    </row>
    <row r="5444" spans="7:16" x14ac:dyDescent="0.2">
      <c r="G5444" s="199"/>
      <c r="I5444" s="199"/>
      <c r="K5444" s="199"/>
      <c r="M5444" s="199"/>
      <c r="N5444" s="200"/>
      <c r="P5444" s="199"/>
    </row>
    <row r="5445" spans="7:16" x14ac:dyDescent="0.2">
      <c r="G5445" s="199"/>
      <c r="I5445" s="199"/>
      <c r="K5445" s="199"/>
      <c r="M5445" s="199"/>
      <c r="N5445" s="200"/>
      <c r="P5445" s="199"/>
    </row>
    <row r="5446" spans="7:16" x14ac:dyDescent="0.2">
      <c r="G5446" s="199"/>
      <c r="I5446" s="199"/>
      <c r="K5446" s="199"/>
      <c r="M5446" s="199"/>
      <c r="N5446" s="200"/>
      <c r="P5446" s="199"/>
    </row>
    <row r="5447" spans="7:16" x14ac:dyDescent="0.2">
      <c r="G5447" s="199"/>
      <c r="I5447" s="199"/>
      <c r="K5447" s="199"/>
      <c r="M5447" s="199"/>
      <c r="N5447" s="200"/>
      <c r="P5447" s="199"/>
    </row>
    <row r="5448" spans="7:16" x14ac:dyDescent="0.2">
      <c r="G5448" s="199"/>
      <c r="I5448" s="199"/>
      <c r="K5448" s="199"/>
      <c r="M5448" s="199"/>
      <c r="N5448" s="200"/>
      <c r="P5448" s="199"/>
    </row>
    <row r="5449" spans="7:16" x14ac:dyDescent="0.2">
      <c r="G5449" s="199"/>
      <c r="I5449" s="199"/>
      <c r="K5449" s="199"/>
      <c r="M5449" s="199"/>
      <c r="N5449" s="200"/>
      <c r="P5449" s="199"/>
    </row>
    <row r="5450" spans="7:16" x14ac:dyDescent="0.2">
      <c r="G5450" s="199"/>
      <c r="I5450" s="199"/>
      <c r="K5450" s="199"/>
      <c r="M5450" s="199"/>
      <c r="N5450" s="200"/>
      <c r="P5450" s="199"/>
    </row>
    <row r="5451" spans="7:16" x14ac:dyDescent="0.2">
      <c r="G5451" s="199"/>
      <c r="I5451" s="199"/>
      <c r="K5451" s="199"/>
      <c r="M5451" s="199"/>
      <c r="N5451" s="200"/>
      <c r="P5451" s="199"/>
    </row>
    <row r="5452" spans="7:16" x14ac:dyDescent="0.2">
      <c r="G5452" s="199"/>
      <c r="I5452" s="199"/>
      <c r="K5452" s="199"/>
      <c r="M5452" s="199"/>
      <c r="N5452" s="200"/>
      <c r="P5452" s="199"/>
    </row>
    <row r="5453" spans="7:16" x14ac:dyDescent="0.2">
      <c r="G5453" s="199"/>
      <c r="I5453" s="199"/>
      <c r="K5453" s="199"/>
      <c r="M5453" s="199"/>
      <c r="N5453" s="200"/>
      <c r="P5453" s="199"/>
    </row>
    <row r="5454" spans="7:16" x14ac:dyDescent="0.2">
      <c r="G5454" s="199"/>
      <c r="I5454" s="199"/>
      <c r="K5454" s="199"/>
      <c r="M5454" s="199"/>
      <c r="N5454" s="200"/>
      <c r="P5454" s="199"/>
    </row>
    <row r="5455" spans="7:16" x14ac:dyDescent="0.2">
      <c r="G5455" s="199"/>
      <c r="I5455" s="199"/>
      <c r="K5455" s="199"/>
      <c r="M5455" s="199"/>
      <c r="N5455" s="200"/>
      <c r="P5455" s="199"/>
    </row>
    <row r="5456" spans="7:16" x14ac:dyDescent="0.2">
      <c r="G5456" s="199"/>
      <c r="I5456" s="199"/>
      <c r="K5456" s="199"/>
      <c r="M5456" s="199"/>
      <c r="N5456" s="200"/>
      <c r="P5456" s="199"/>
    </row>
    <row r="5457" spans="7:16" x14ac:dyDescent="0.2">
      <c r="G5457" s="199"/>
      <c r="I5457" s="199"/>
      <c r="K5457" s="199"/>
      <c r="M5457" s="199"/>
      <c r="N5457" s="200"/>
      <c r="P5457" s="199"/>
    </row>
    <row r="5458" spans="7:16" x14ac:dyDescent="0.2">
      <c r="G5458" s="199"/>
      <c r="I5458" s="199"/>
      <c r="K5458" s="199"/>
      <c r="M5458" s="199"/>
      <c r="N5458" s="200"/>
      <c r="P5458" s="199"/>
    </row>
    <row r="5459" spans="7:16" x14ac:dyDescent="0.2">
      <c r="G5459" s="199"/>
      <c r="I5459" s="199"/>
      <c r="K5459" s="199"/>
      <c r="M5459" s="199"/>
      <c r="N5459" s="200"/>
      <c r="P5459" s="199"/>
    </row>
    <row r="5460" spans="7:16" x14ac:dyDescent="0.2">
      <c r="G5460" s="199"/>
      <c r="I5460" s="199"/>
      <c r="K5460" s="199"/>
      <c r="M5460" s="199"/>
      <c r="N5460" s="200"/>
      <c r="P5460" s="199"/>
    </row>
    <row r="5461" spans="7:16" x14ac:dyDescent="0.2">
      <c r="G5461" s="199"/>
      <c r="I5461" s="199"/>
      <c r="K5461" s="199"/>
      <c r="M5461" s="199"/>
      <c r="N5461" s="200"/>
      <c r="P5461" s="199"/>
    </row>
    <row r="5462" spans="7:16" x14ac:dyDescent="0.2">
      <c r="G5462" s="199"/>
      <c r="I5462" s="199"/>
      <c r="K5462" s="199"/>
      <c r="M5462" s="199"/>
      <c r="N5462" s="200"/>
      <c r="P5462" s="199"/>
    </row>
    <row r="5463" spans="7:16" x14ac:dyDescent="0.2">
      <c r="G5463" s="199"/>
      <c r="I5463" s="199"/>
      <c r="K5463" s="199"/>
      <c r="M5463" s="199"/>
      <c r="N5463" s="200"/>
      <c r="P5463" s="199"/>
    </row>
    <row r="5464" spans="7:16" x14ac:dyDescent="0.2">
      <c r="G5464" s="199"/>
      <c r="I5464" s="199"/>
      <c r="K5464" s="199"/>
      <c r="M5464" s="199"/>
      <c r="N5464" s="200"/>
      <c r="P5464" s="199"/>
    </row>
    <row r="5465" spans="7:16" x14ac:dyDescent="0.2">
      <c r="G5465" s="199"/>
      <c r="I5465" s="199"/>
      <c r="K5465" s="199"/>
      <c r="M5465" s="199"/>
      <c r="N5465" s="200"/>
      <c r="P5465" s="199"/>
    </row>
    <row r="5466" spans="7:16" x14ac:dyDescent="0.2">
      <c r="G5466" s="199"/>
      <c r="I5466" s="199"/>
      <c r="K5466" s="199"/>
      <c r="M5466" s="199"/>
      <c r="N5466" s="200"/>
      <c r="P5466" s="199"/>
    </row>
    <row r="5467" spans="7:16" x14ac:dyDescent="0.2">
      <c r="G5467" s="199"/>
      <c r="I5467" s="199"/>
      <c r="K5467" s="199"/>
      <c r="M5467" s="199"/>
      <c r="N5467" s="200"/>
      <c r="P5467" s="199"/>
    </row>
    <row r="5468" spans="7:16" x14ac:dyDescent="0.2">
      <c r="G5468" s="199"/>
      <c r="I5468" s="199"/>
      <c r="K5468" s="199"/>
      <c r="M5468" s="199"/>
      <c r="N5468" s="200"/>
      <c r="P5468" s="199"/>
    </row>
    <row r="5469" spans="7:16" x14ac:dyDescent="0.2">
      <c r="G5469" s="199"/>
      <c r="I5469" s="199"/>
      <c r="K5469" s="199"/>
      <c r="M5469" s="199"/>
      <c r="N5469" s="200"/>
      <c r="P5469" s="199"/>
    </row>
    <row r="5470" spans="7:16" x14ac:dyDescent="0.2">
      <c r="G5470" s="199"/>
      <c r="I5470" s="199"/>
      <c r="K5470" s="199"/>
      <c r="M5470" s="199"/>
      <c r="N5470" s="200"/>
      <c r="P5470" s="199"/>
    </row>
    <row r="5471" spans="7:16" x14ac:dyDescent="0.2">
      <c r="G5471" s="199"/>
      <c r="I5471" s="199"/>
      <c r="K5471" s="199"/>
      <c r="M5471" s="199"/>
      <c r="N5471" s="200"/>
      <c r="P5471" s="199"/>
    </row>
    <row r="5472" spans="7:16" x14ac:dyDescent="0.2">
      <c r="G5472" s="199"/>
      <c r="I5472" s="199"/>
      <c r="K5472" s="199"/>
      <c r="M5472" s="199"/>
      <c r="N5472" s="200"/>
      <c r="P5472" s="199"/>
    </row>
    <row r="5473" spans="7:16" x14ac:dyDescent="0.2">
      <c r="G5473" s="199"/>
      <c r="I5473" s="199"/>
      <c r="K5473" s="199"/>
      <c r="M5473" s="199"/>
      <c r="N5473" s="200"/>
      <c r="P5473" s="199"/>
    </row>
    <row r="5474" spans="7:16" x14ac:dyDescent="0.2">
      <c r="G5474" s="199"/>
      <c r="I5474" s="199"/>
      <c r="K5474" s="199"/>
      <c r="M5474" s="199"/>
      <c r="N5474" s="200"/>
      <c r="P5474" s="199"/>
    </row>
    <row r="5475" spans="7:16" x14ac:dyDescent="0.2">
      <c r="G5475" s="199"/>
      <c r="I5475" s="199"/>
      <c r="K5475" s="199"/>
      <c r="M5475" s="199"/>
      <c r="N5475" s="200"/>
      <c r="P5475" s="199"/>
    </row>
    <row r="5476" spans="7:16" x14ac:dyDescent="0.2">
      <c r="G5476" s="199"/>
      <c r="I5476" s="199"/>
      <c r="K5476" s="199"/>
      <c r="M5476" s="199"/>
      <c r="N5476" s="200"/>
      <c r="P5476" s="199"/>
    </row>
    <row r="5477" spans="7:16" x14ac:dyDescent="0.2">
      <c r="G5477" s="199"/>
      <c r="I5477" s="199"/>
      <c r="K5477" s="199"/>
      <c r="M5477" s="199"/>
      <c r="N5477" s="200"/>
      <c r="P5477" s="199"/>
    </row>
    <row r="5478" spans="7:16" x14ac:dyDescent="0.2">
      <c r="G5478" s="199"/>
      <c r="I5478" s="199"/>
      <c r="K5478" s="199"/>
      <c r="M5478" s="199"/>
      <c r="N5478" s="200"/>
      <c r="P5478" s="199"/>
    </row>
    <row r="5479" spans="7:16" x14ac:dyDescent="0.2">
      <c r="G5479" s="199"/>
      <c r="I5479" s="199"/>
      <c r="K5479" s="199"/>
      <c r="M5479" s="199"/>
      <c r="N5479" s="200"/>
      <c r="P5479" s="199"/>
    </row>
    <row r="5480" spans="7:16" x14ac:dyDescent="0.2">
      <c r="G5480" s="199"/>
      <c r="I5480" s="199"/>
      <c r="K5480" s="199"/>
      <c r="M5480" s="199"/>
      <c r="N5480" s="200"/>
      <c r="P5480" s="199"/>
    </row>
    <row r="5481" spans="7:16" x14ac:dyDescent="0.2">
      <c r="G5481" s="199"/>
      <c r="I5481" s="199"/>
      <c r="K5481" s="199"/>
      <c r="M5481" s="199"/>
      <c r="N5481" s="200"/>
      <c r="P5481" s="199"/>
    </row>
    <row r="5482" spans="7:16" x14ac:dyDescent="0.2">
      <c r="G5482" s="199"/>
      <c r="I5482" s="199"/>
      <c r="K5482" s="199"/>
      <c r="M5482" s="199"/>
      <c r="N5482" s="200"/>
      <c r="P5482" s="199"/>
    </row>
    <row r="5483" spans="7:16" x14ac:dyDescent="0.2">
      <c r="G5483" s="199"/>
      <c r="I5483" s="199"/>
      <c r="K5483" s="199"/>
      <c r="M5483" s="199"/>
      <c r="N5483" s="200"/>
      <c r="P5483" s="199"/>
    </row>
    <row r="5484" spans="7:16" x14ac:dyDescent="0.2">
      <c r="G5484" s="199"/>
      <c r="I5484" s="199"/>
      <c r="K5484" s="199"/>
      <c r="M5484" s="199"/>
      <c r="N5484" s="200"/>
      <c r="P5484" s="199"/>
    </row>
    <row r="5485" spans="7:16" x14ac:dyDescent="0.2">
      <c r="G5485" s="199"/>
      <c r="I5485" s="199"/>
      <c r="K5485" s="199"/>
      <c r="M5485" s="199"/>
      <c r="N5485" s="200"/>
      <c r="P5485" s="199"/>
    </row>
    <row r="5486" spans="7:16" x14ac:dyDescent="0.2">
      <c r="G5486" s="199"/>
      <c r="I5486" s="199"/>
      <c r="K5486" s="199"/>
      <c r="M5486" s="199"/>
      <c r="N5486" s="200"/>
      <c r="P5486" s="199"/>
    </row>
    <row r="5487" spans="7:16" x14ac:dyDescent="0.2">
      <c r="G5487" s="199"/>
      <c r="I5487" s="199"/>
      <c r="K5487" s="199"/>
      <c r="M5487" s="199"/>
      <c r="N5487" s="200"/>
      <c r="P5487" s="199"/>
    </row>
    <row r="5488" spans="7:16" x14ac:dyDescent="0.2">
      <c r="G5488" s="199"/>
      <c r="I5488" s="199"/>
      <c r="K5488" s="199"/>
      <c r="M5488" s="199"/>
      <c r="N5488" s="200"/>
      <c r="P5488" s="199"/>
    </row>
    <row r="5489" spans="7:16" x14ac:dyDescent="0.2">
      <c r="G5489" s="199"/>
      <c r="I5489" s="199"/>
      <c r="K5489" s="199"/>
      <c r="M5489" s="199"/>
      <c r="N5489" s="200"/>
      <c r="P5489" s="199"/>
    </row>
    <row r="5490" spans="7:16" x14ac:dyDescent="0.2">
      <c r="G5490" s="199"/>
      <c r="I5490" s="199"/>
      <c r="K5490" s="199"/>
      <c r="M5490" s="199"/>
      <c r="N5490" s="200"/>
      <c r="P5490" s="199"/>
    </row>
    <row r="5491" spans="7:16" x14ac:dyDescent="0.2">
      <c r="G5491" s="199"/>
      <c r="I5491" s="199"/>
      <c r="K5491" s="199"/>
      <c r="M5491" s="199"/>
      <c r="N5491" s="200"/>
      <c r="P5491" s="199"/>
    </row>
    <row r="5492" spans="7:16" x14ac:dyDescent="0.2">
      <c r="G5492" s="199"/>
      <c r="I5492" s="199"/>
      <c r="K5492" s="199"/>
      <c r="M5492" s="199"/>
      <c r="N5492" s="200"/>
      <c r="P5492" s="199"/>
    </row>
    <row r="5493" spans="7:16" x14ac:dyDescent="0.2">
      <c r="G5493" s="199"/>
      <c r="I5493" s="199"/>
      <c r="K5493" s="199"/>
      <c r="M5493" s="199"/>
      <c r="N5493" s="200"/>
      <c r="P5493" s="199"/>
    </row>
    <row r="5494" spans="7:16" x14ac:dyDescent="0.2">
      <c r="G5494" s="199"/>
      <c r="I5494" s="199"/>
      <c r="K5494" s="199"/>
      <c r="M5494" s="199"/>
      <c r="N5494" s="200"/>
      <c r="P5494" s="199"/>
    </row>
    <row r="5495" spans="7:16" x14ac:dyDescent="0.2">
      <c r="G5495" s="199"/>
      <c r="I5495" s="199"/>
      <c r="K5495" s="199"/>
      <c r="M5495" s="199"/>
      <c r="N5495" s="200"/>
      <c r="P5495" s="199"/>
    </row>
    <row r="5496" spans="7:16" x14ac:dyDescent="0.2">
      <c r="G5496" s="199"/>
      <c r="I5496" s="199"/>
      <c r="K5496" s="199"/>
      <c r="M5496" s="199"/>
      <c r="N5496" s="200"/>
      <c r="P5496" s="199"/>
    </row>
    <row r="5497" spans="7:16" x14ac:dyDescent="0.2">
      <c r="G5497" s="199"/>
      <c r="I5497" s="199"/>
      <c r="K5497" s="199"/>
      <c r="M5497" s="199"/>
      <c r="N5497" s="200"/>
      <c r="P5497" s="199"/>
    </row>
    <row r="5498" spans="7:16" x14ac:dyDescent="0.2">
      <c r="G5498" s="199"/>
      <c r="I5498" s="199"/>
      <c r="K5498" s="199"/>
      <c r="M5498" s="199"/>
      <c r="N5498" s="200"/>
      <c r="P5498" s="199"/>
    </row>
    <row r="5499" spans="7:16" x14ac:dyDescent="0.2">
      <c r="G5499" s="199"/>
      <c r="I5499" s="199"/>
      <c r="K5499" s="199"/>
      <c r="M5499" s="199"/>
      <c r="N5499" s="200"/>
      <c r="P5499" s="199"/>
    </row>
    <row r="5500" spans="7:16" x14ac:dyDescent="0.2">
      <c r="G5500" s="199"/>
      <c r="I5500" s="199"/>
      <c r="K5500" s="199"/>
      <c r="M5500" s="199"/>
      <c r="N5500" s="200"/>
      <c r="P5500" s="199"/>
    </row>
    <row r="5501" spans="7:16" x14ac:dyDescent="0.2">
      <c r="G5501" s="199"/>
      <c r="I5501" s="199"/>
      <c r="K5501" s="199"/>
      <c r="M5501" s="199"/>
      <c r="N5501" s="200"/>
      <c r="P5501" s="199"/>
    </row>
    <row r="5502" spans="7:16" x14ac:dyDescent="0.2">
      <c r="G5502" s="199"/>
      <c r="I5502" s="199"/>
      <c r="K5502" s="199"/>
      <c r="M5502" s="199"/>
      <c r="N5502" s="200"/>
      <c r="P5502" s="199"/>
    </row>
    <row r="5503" spans="7:16" x14ac:dyDescent="0.2">
      <c r="G5503" s="199"/>
      <c r="I5503" s="199"/>
      <c r="K5503" s="199"/>
      <c r="M5503" s="199"/>
      <c r="N5503" s="200"/>
      <c r="P5503" s="199"/>
    </row>
    <row r="5504" spans="7:16" x14ac:dyDescent="0.2">
      <c r="G5504" s="199"/>
      <c r="I5504" s="199"/>
      <c r="K5504" s="199"/>
      <c r="M5504" s="199"/>
      <c r="N5504" s="200"/>
      <c r="P5504" s="199"/>
    </row>
    <row r="5505" spans="7:16" x14ac:dyDescent="0.2">
      <c r="G5505" s="199"/>
      <c r="I5505" s="199"/>
      <c r="K5505" s="199"/>
      <c r="M5505" s="199"/>
      <c r="N5505" s="200"/>
      <c r="P5505" s="199"/>
    </row>
    <row r="5506" spans="7:16" x14ac:dyDescent="0.2">
      <c r="G5506" s="199"/>
      <c r="I5506" s="199"/>
      <c r="K5506" s="199"/>
      <c r="M5506" s="199"/>
      <c r="N5506" s="200"/>
      <c r="P5506" s="199"/>
    </row>
    <row r="5507" spans="7:16" x14ac:dyDescent="0.2">
      <c r="G5507" s="199"/>
      <c r="I5507" s="199"/>
      <c r="K5507" s="199"/>
      <c r="M5507" s="199"/>
      <c r="N5507" s="200"/>
      <c r="P5507" s="199"/>
    </row>
    <row r="5508" spans="7:16" x14ac:dyDescent="0.2">
      <c r="G5508" s="199"/>
      <c r="I5508" s="199"/>
      <c r="K5508" s="199"/>
      <c r="M5508" s="199"/>
      <c r="N5508" s="200"/>
      <c r="P5508" s="199"/>
    </row>
    <row r="5509" spans="7:16" x14ac:dyDescent="0.2">
      <c r="G5509" s="199"/>
      <c r="I5509" s="199"/>
      <c r="K5509" s="199"/>
      <c r="M5509" s="199"/>
      <c r="N5509" s="200"/>
      <c r="P5509" s="199"/>
    </row>
    <row r="5510" spans="7:16" x14ac:dyDescent="0.2">
      <c r="G5510" s="199"/>
      <c r="I5510" s="199"/>
      <c r="K5510" s="199"/>
      <c r="M5510" s="199"/>
      <c r="N5510" s="200"/>
      <c r="P5510" s="199"/>
    </row>
    <row r="5511" spans="7:16" x14ac:dyDescent="0.2">
      <c r="G5511" s="199"/>
      <c r="I5511" s="199"/>
      <c r="K5511" s="199"/>
      <c r="M5511" s="199"/>
      <c r="N5511" s="200"/>
      <c r="P5511" s="199"/>
    </row>
    <row r="5512" spans="7:16" x14ac:dyDescent="0.2">
      <c r="G5512" s="199"/>
      <c r="I5512" s="199"/>
      <c r="K5512" s="199"/>
      <c r="M5512" s="199"/>
      <c r="N5512" s="200"/>
      <c r="P5512" s="199"/>
    </row>
    <row r="5513" spans="7:16" x14ac:dyDescent="0.2">
      <c r="G5513" s="199"/>
      <c r="I5513" s="199"/>
      <c r="K5513" s="199"/>
      <c r="M5513" s="199"/>
      <c r="N5513" s="200"/>
      <c r="P5513" s="199"/>
    </row>
    <row r="5514" spans="7:16" x14ac:dyDescent="0.2">
      <c r="G5514" s="199"/>
      <c r="I5514" s="199"/>
      <c r="K5514" s="199"/>
      <c r="M5514" s="199"/>
      <c r="N5514" s="200"/>
      <c r="P5514" s="199"/>
    </row>
    <row r="5515" spans="7:16" x14ac:dyDescent="0.2">
      <c r="G5515" s="199"/>
      <c r="I5515" s="199"/>
      <c r="K5515" s="199"/>
      <c r="M5515" s="199"/>
      <c r="N5515" s="200"/>
      <c r="P5515" s="199"/>
    </row>
    <row r="5516" spans="7:16" x14ac:dyDescent="0.2">
      <c r="G5516" s="199"/>
      <c r="I5516" s="199"/>
      <c r="K5516" s="199"/>
      <c r="M5516" s="199"/>
      <c r="N5516" s="200"/>
      <c r="P5516" s="199"/>
    </row>
    <row r="5517" spans="7:16" x14ac:dyDescent="0.2">
      <c r="G5517" s="199"/>
      <c r="I5517" s="199"/>
      <c r="K5517" s="199"/>
      <c r="M5517" s="199"/>
      <c r="N5517" s="200"/>
      <c r="P5517" s="199"/>
    </row>
    <row r="5518" spans="7:16" x14ac:dyDescent="0.2">
      <c r="G5518" s="199"/>
      <c r="I5518" s="199"/>
      <c r="K5518" s="199"/>
      <c r="M5518" s="199"/>
      <c r="N5518" s="200"/>
      <c r="P5518" s="199"/>
    </row>
    <row r="5519" spans="7:16" x14ac:dyDescent="0.2">
      <c r="G5519" s="199"/>
      <c r="I5519" s="199"/>
      <c r="K5519" s="199"/>
      <c r="M5519" s="199"/>
      <c r="N5519" s="200"/>
      <c r="P5519" s="199"/>
    </row>
    <row r="5520" spans="7:16" x14ac:dyDescent="0.2">
      <c r="G5520" s="199"/>
      <c r="I5520" s="199"/>
      <c r="K5520" s="199"/>
      <c r="M5520" s="199"/>
      <c r="N5520" s="200"/>
      <c r="P5520" s="199"/>
    </row>
    <row r="5521" spans="7:16" x14ac:dyDescent="0.2">
      <c r="G5521" s="199"/>
      <c r="I5521" s="199"/>
      <c r="K5521" s="199"/>
      <c r="M5521" s="199"/>
      <c r="N5521" s="200"/>
      <c r="P5521" s="199"/>
    </row>
    <row r="5522" spans="7:16" x14ac:dyDescent="0.2">
      <c r="G5522" s="199"/>
      <c r="I5522" s="199"/>
      <c r="K5522" s="199"/>
      <c r="M5522" s="199"/>
      <c r="N5522" s="200"/>
      <c r="P5522" s="199"/>
    </row>
    <row r="5523" spans="7:16" x14ac:dyDescent="0.2">
      <c r="G5523" s="199"/>
      <c r="I5523" s="199"/>
      <c r="K5523" s="199"/>
      <c r="M5523" s="199"/>
      <c r="N5523" s="200"/>
      <c r="P5523" s="199"/>
    </row>
    <row r="5524" spans="7:16" x14ac:dyDescent="0.2">
      <c r="G5524" s="199"/>
      <c r="I5524" s="199"/>
      <c r="K5524" s="199"/>
      <c r="M5524" s="199"/>
      <c r="N5524" s="200"/>
      <c r="P5524" s="199"/>
    </row>
    <row r="5525" spans="7:16" x14ac:dyDescent="0.2">
      <c r="G5525" s="199"/>
      <c r="I5525" s="199"/>
      <c r="K5525" s="199"/>
      <c r="M5525" s="199"/>
      <c r="N5525" s="200"/>
      <c r="P5525" s="199"/>
    </row>
    <row r="5526" spans="7:16" x14ac:dyDescent="0.2">
      <c r="G5526" s="199"/>
      <c r="I5526" s="199"/>
      <c r="K5526" s="199"/>
      <c r="M5526" s="199"/>
      <c r="N5526" s="200"/>
      <c r="P5526" s="199"/>
    </row>
    <row r="5527" spans="7:16" x14ac:dyDescent="0.2">
      <c r="G5527" s="199"/>
      <c r="I5527" s="199"/>
      <c r="K5527" s="199"/>
      <c r="M5527" s="199"/>
      <c r="N5527" s="200"/>
      <c r="P5527" s="199"/>
    </row>
    <row r="5528" spans="7:16" x14ac:dyDescent="0.2">
      <c r="G5528" s="199"/>
      <c r="I5528" s="199"/>
      <c r="K5528" s="199"/>
      <c r="M5528" s="199"/>
      <c r="N5528" s="200"/>
      <c r="P5528" s="199"/>
    </row>
    <row r="5529" spans="7:16" x14ac:dyDescent="0.2">
      <c r="G5529" s="199"/>
      <c r="I5529" s="199"/>
      <c r="K5529" s="199"/>
      <c r="M5529" s="199"/>
      <c r="N5529" s="200"/>
      <c r="P5529" s="199"/>
    </row>
    <row r="5530" spans="7:16" x14ac:dyDescent="0.2">
      <c r="G5530" s="199"/>
      <c r="I5530" s="199"/>
      <c r="K5530" s="199"/>
      <c r="M5530" s="199"/>
      <c r="N5530" s="200"/>
      <c r="P5530" s="199"/>
    </row>
    <row r="5531" spans="7:16" x14ac:dyDescent="0.2">
      <c r="G5531" s="199"/>
      <c r="I5531" s="199"/>
      <c r="K5531" s="199"/>
      <c r="M5531" s="199"/>
      <c r="N5531" s="200"/>
      <c r="P5531" s="199"/>
    </row>
    <row r="5532" spans="7:16" x14ac:dyDescent="0.2">
      <c r="G5532" s="199"/>
      <c r="I5532" s="199"/>
      <c r="K5532" s="199"/>
      <c r="M5532" s="199"/>
      <c r="N5532" s="200"/>
      <c r="P5532" s="199"/>
    </row>
    <row r="5533" spans="7:16" x14ac:dyDescent="0.2">
      <c r="G5533" s="199"/>
      <c r="I5533" s="199"/>
      <c r="K5533" s="199"/>
      <c r="M5533" s="199"/>
      <c r="N5533" s="200"/>
      <c r="P5533" s="199"/>
    </row>
    <row r="5534" spans="7:16" x14ac:dyDescent="0.2">
      <c r="G5534" s="199"/>
      <c r="I5534" s="199"/>
      <c r="K5534" s="199"/>
      <c r="M5534" s="199"/>
      <c r="N5534" s="200"/>
      <c r="P5534" s="199"/>
    </row>
    <row r="5535" spans="7:16" x14ac:dyDescent="0.2">
      <c r="G5535" s="199"/>
      <c r="I5535" s="199"/>
      <c r="K5535" s="199"/>
      <c r="M5535" s="199"/>
      <c r="N5535" s="200"/>
      <c r="P5535" s="199"/>
    </row>
    <row r="5536" spans="7:16" x14ac:dyDescent="0.2">
      <c r="G5536" s="199"/>
      <c r="I5536" s="199"/>
      <c r="K5536" s="199"/>
      <c r="M5536" s="199"/>
      <c r="N5536" s="200"/>
      <c r="P5536" s="199"/>
    </row>
    <row r="5537" spans="7:16" x14ac:dyDescent="0.2">
      <c r="G5537" s="199"/>
      <c r="I5537" s="199"/>
      <c r="K5537" s="199"/>
      <c r="M5537" s="199"/>
      <c r="N5537" s="200"/>
      <c r="P5537" s="199"/>
    </row>
    <row r="5538" spans="7:16" x14ac:dyDescent="0.2">
      <c r="G5538" s="199"/>
      <c r="I5538" s="199"/>
      <c r="K5538" s="199"/>
      <c r="M5538" s="199"/>
      <c r="N5538" s="200"/>
      <c r="P5538" s="199"/>
    </row>
    <row r="5539" spans="7:16" x14ac:dyDescent="0.2">
      <c r="G5539" s="199"/>
      <c r="I5539" s="199"/>
      <c r="K5539" s="199"/>
      <c r="M5539" s="199"/>
      <c r="N5539" s="200"/>
      <c r="P5539" s="199"/>
    </row>
    <row r="5540" spans="7:16" x14ac:dyDescent="0.2">
      <c r="G5540" s="199"/>
      <c r="I5540" s="199"/>
      <c r="K5540" s="199"/>
      <c r="M5540" s="199"/>
      <c r="N5540" s="200"/>
      <c r="P5540" s="199"/>
    </row>
    <row r="5541" spans="7:16" x14ac:dyDescent="0.2">
      <c r="G5541" s="199"/>
      <c r="I5541" s="199"/>
      <c r="K5541" s="199"/>
      <c r="M5541" s="199"/>
      <c r="N5541" s="200"/>
      <c r="P5541" s="199"/>
    </row>
    <row r="5542" spans="7:16" x14ac:dyDescent="0.2">
      <c r="G5542" s="199"/>
      <c r="I5542" s="199"/>
      <c r="K5542" s="199"/>
      <c r="M5542" s="199"/>
      <c r="N5542" s="200"/>
      <c r="P5542" s="199"/>
    </row>
    <row r="5543" spans="7:16" x14ac:dyDescent="0.2">
      <c r="G5543" s="199"/>
      <c r="I5543" s="199"/>
      <c r="K5543" s="199"/>
      <c r="M5543" s="199"/>
      <c r="N5543" s="200"/>
      <c r="P5543" s="199"/>
    </row>
    <row r="5544" spans="7:16" x14ac:dyDescent="0.2">
      <c r="G5544" s="199"/>
      <c r="I5544" s="199"/>
      <c r="K5544" s="199"/>
      <c r="M5544" s="199"/>
      <c r="N5544" s="200"/>
      <c r="P5544" s="199"/>
    </row>
    <row r="5545" spans="7:16" x14ac:dyDescent="0.2">
      <c r="G5545" s="199"/>
      <c r="I5545" s="199"/>
      <c r="K5545" s="199"/>
      <c r="M5545" s="199"/>
      <c r="N5545" s="200"/>
      <c r="P5545" s="199"/>
    </row>
    <row r="5546" spans="7:16" x14ac:dyDescent="0.2">
      <c r="G5546" s="199"/>
      <c r="I5546" s="199"/>
      <c r="K5546" s="199"/>
      <c r="M5546" s="199"/>
      <c r="N5546" s="200"/>
      <c r="P5546" s="199"/>
    </row>
    <row r="5547" spans="7:16" x14ac:dyDescent="0.2">
      <c r="G5547" s="199"/>
      <c r="I5547" s="199"/>
      <c r="K5547" s="199"/>
      <c r="M5547" s="199"/>
      <c r="N5547" s="200"/>
      <c r="P5547" s="199"/>
    </row>
    <row r="5548" spans="7:16" x14ac:dyDescent="0.2">
      <c r="G5548" s="199"/>
      <c r="I5548" s="199"/>
      <c r="K5548" s="199"/>
      <c r="M5548" s="199"/>
      <c r="N5548" s="200"/>
      <c r="P5548" s="199"/>
    </row>
    <row r="5549" spans="7:16" x14ac:dyDescent="0.2">
      <c r="G5549" s="199"/>
      <c r="I5549" s="199"/>
      <c r="K5549" s="199"/>
      <c r="M5549" s="199"/>
      <c r="N5549" s="200"/>
      <c r="P5549" s="199"/>
    </row>
    <row r="5550" spans="7:16" x14ac:dyDescent="0.2">
      <c r="G5550" s="199"/>
      <c r="I5550" s="199"/>
      <c r="K5550" s="199"/>
      <c r="M5550" s="199"/>
      <c r="N5550" s="200"/>
      <c r="P5550" s="199"/>
    </row>
    <row r="5551" spans="7:16" x14ac:dyDescent="0.2">
      <c r="G5551" s="199"/>
      <c r="I5551" s="199"/>
      <c r="K5551" s="199"/>
      <c r="M5551" s="199"/>
      <c r="N5551" s="200"/>
      <c r="P5551" s="199"/>
    </row>
    <row r="5552" spans="7:16" x14ac:dyDescent="0.2">
      <c r="G5552" s="199"/>
      <c r="I5552" s="199"/>
      <c r="K5552" s="199"/>
      <c r="M5552" s="199"/>
      <c r="N5552" s="200"/>
      <c r="P5552" s="199"/>
    </row>
    <row r="5553" spans="7:16" x14ac:dyDescent="0.2">
      <c r="G5553" s="199"/>
      <c r="I5553" s="199"/>
      <c r="K5553" s="199"/>
      <c r="M5553" s="199"/>
      <c r="N5553" s="200"/>
      <c r="P5553" s="199"/>
    </row>
    <row r="5554" spans="7:16" x14ac:dyDescent="0.2">
      <c r="G5554" s="199"/>
      <c r="I5554" s="199"/>
      <c r="K5554" s="199"/>
      <c r="M5554" s="199"/>
      <c r="N5554" s="200"/>
      <c r="P5554" s="199"/>
    </row>
    <row r="5555" spans="7:16" x14ac:dyDescent="0.2">
      <c r="G5555" s="199"/>
      <c r="I5555" s="199"/>
      <c r="K5555" s="199"/>
      <c r="M5555" s="199"/>
      <c r="N5555" s="200"/>
      <c r="P5555" s="199"/>
    </row>
    <row r="5556" spans="7:16" x14ac:dyDescent="0.2">
      <c r="G5556" s="199"/>
      <c r="I5556" s="199"/>
      <c r="K5556" s="199"/>
      <c r="M5556" s="199"/>
      <c r="N5556" s="200"/>
      <c r="P5556" s="199"/>
    </row>
    <row r="5557" spans="7:16" x14ac:dyDescent="0.2">
      <c r="G5557" s="199"/>
      <c r="I5557" s="199"/>
      <c r="K5557" s="199"/>
      <c r="M5557" s="199"/>
      <c r="N5557" s="200"/>
      <c r="P5557" s="199"/>
    </row>
    <row r="5558" spans="7:16" x14ac:dyDescent="0.2">
      <c r="G5558" s="199"/>
      <c r="I5558" s="199"/>
      <c r="K5558" s="199"/>
      <c r="M5558" s="199"/>
      <c r="N5558" s="200"/>
      <c r="P5558" s="199"/>
    </row>
    <row r="5559" spans="7:16" x14ac:dyDescent="0.2">
      <c r="G5559" s="199"/>
      <c r="I5559" s="199"/>
      <c r="K5559" s="199"/>
      <c r="M5559" s="199"/>
      <c r="N5559" s="200"/>
      <c r="P5559" s="199"/>
    </row>
    <row r="5560" spans="7:16" x14ac:dyDescent="0.2">
      <c r="G5560" s="199"/>
      <c r="I5560" s="199"/>
      <c r="K5560" s="199"/>
      <c r="M5560" s="199"/>
      <c r="N5560" s="200"/>
      <c r="P5560" s="199"/>
    </row>
    <row r="5561" spans="7:16" x14ac:dyDescent="0.2">
      <c r="G5561" s="199"/>
      <c r="I5561" s="199"/>
      <c r="K5561" s="199"/>
      <c r="M5561" s="199"/>
      <c r="N5561" s="200"/>
      <c r="P5561" s="199"/>
    </row>
    <row r="5562" spans="7:16" x14ac:dyDescent="0.2">
      <c r="G5562" s="199"/>
      <c r="I5562" s="199"/>
      <c r="K5562" s="199"/>
      <c r="M5562" s="199"/>
      <c r="N5562" s="200"/>
      <c r="P5562" s="199"/>
    </row>
    <row r="5563" spans="7:16" x14ac:dyDescent="0.2">
      <c r="G5563" s="199"/>
      <c r="I5563" s="199"/>
      <c r="K5563" s="199"/>
      <c r="M5563" s="199"/>
      <c r="N5563" s="200"/>
      <c r="P5563" s="199"/>
    </row>
    <row r="5564" spans="7:16" x14ac:dyDescent="0.2">
      <c r="G5564" s="199"/>
      <c r="I5564" s="199"/>
      <c r="K5564" s="199"/>
      <c r="M5564" s="199"/>
      <c r="N5564" s="200"/>
      <c r="P5564" s="199"/>
    </row>
    <row r="5565" spans="7:16" x14ac:dyDescent="0.2">
      <c r="G5565" s="199"/>
      <c r="I5565" s="199"/>
      <c r="K5565" s="199"/>
      <c r="M5565" s="199"/>
      <c r="N5565" s="200"/>
      <c r="P5565" s="199"/>
    </row>
    <row r="5566" spans="7:16" x14ac:dyDescent="0.2">
      <c r="G5566" s="199"/>
      <c r="I5566" s="199"/>
      <c r="K5566" s="199"/>
      <c r="M5566" s="199"/>
      <c r="N5566" s="200"/>
      <c r="P5566" s="199"/>
    </row>
    <row r="5567" spans="7:16" x14ac:dyDescent="0.2">
      <c r="G5567" s="199"/>
      <c r="I5567" s="199"/>
      <c r="K5567" s="199"/>
      <c r="M5567" s="199"/>
      <c r="N5567" s="200"/>
      <c r="P5567" s="199"/>
    </row>
    <row r="5568" spans="7:16" x14ac:dyDescent="0.2">
      <c r="G5568" s="199"/>
      <c r="I5568" s="199"/>
      <c r="K5568" s="199"/>
      <c r="M5568" s="199"/>
      <c r="N5568" s="200"/>
      <c r="P5568" s="199"/>
    </row>
    <row r="5569" spans="7:16" x14ac:dyDescent="0.2">
      <c r="G5569" s="199"/>
      <c r="I5569" s="199"/>
      <c r="K5569" s="199"/>
      <c r="M5569" s="199"/>
      <c r="N5569" s="200"/>
      <c r="P5569" s="199"/>
    </row>
    <row r="5570" spans="7:16" x14ac:dyDescent="0.2">
      <c r="G5570" s="199"/>
      <c r="I5570" s="199"/>
      <c r="K5570" s="199"/>
      <c r="M5570" s="199"/>
      <c r="N5570" s="200"/>
      <c r="P5570" s="199"/>
    </row>
    <row r="5571" spans="7:16" x14ac:dyDescent="0.2">
      <c r="G5571" s="199"/>
      <c r="I5571" s="199"/>
      <c r="K5571" s="199"/>
      <c r="M5571" s="199"/>
      <c r="N5571" s="200"/>
      <c r="P5571" s="199"/>
    </row>
    <row r="5572" spans="7:16" x14ac:dyDescent="0.2">
      <c r="G5572" s="199"/>
      <c r="I5572" s="199"/>
      <c r="K5572" s="199"/>
      <c r="M5572" s="199"/>
      <c r="N5572" s="200"/>
      <c r="P5572" s="199"/>
    </row>
    <row r="5573" spans="7:16" x14ac:dyDescent="0.2">
      <c r="G5573" s="199"/>
      <c r="I5573" s="199"/>
      <c r="K5573" s="199"/>
      <c r="M5573" s="199"/>
      <c r="N5573" s="200"/>
      <c r="P5573" s="199"/>
    </row>
    <row r="5574" spans="7:16" x14ac:dyDescent="0.2">
      <c r="G5574" s="199"/>
      <c r="I5574" s="199"/>
      <c r="K5574" s="199"/>
      <c r="M5574" s="199"/>
      <c r="N5574" s="200"/>
      <c r="P5574" s="199"/>
    </row>
    <row r="5575" spans="7:16" x14ac:dyDescent="0.2">
      <c r="G5575" s="199"/>
      <c r="I5575" s="199"/>
      <c r="K5575" s="199"/>
      <c r="M5575" s="199"/>
      <c r="N5575" s="200"/>
      <c r="P5575" s="199"/>
    </row>
    <row r="5576" spans="7:16" x14ac:dyDescent="0.2">
      <c r="G5576" s="199"/>
      <c r="I5576" s="199"/>
      <c r="K5576" s="199"/>
      <c r="M5576" s="199"/>
      <c r="N5576" s="200"/>
      <c r="P5576" s="199"/>
    </row>
    <row r="5577" spans="7:16" x14ac:dyDescent="0.2">
      <c r="G5577" s="199"/>
      <c r="I5577" s="199"/>
      <c r="K5577" s="199"/>
      <c r="M5577" s="199"/>
      <c r="N5577" s="200"/>
      <c r="P5577" s="199"/>
    </row>
    <row r="5578" spans="7:16" x14ac:dyDescent="0.2">
      <c r="G5578" s="199"/>
      <c r="I5578" s="199"/>
      <c r="K5578" s="199"/>
      <c r="M5578" s="199"/>
      <c r="N5578" s="200"/>
      <c r="P5578" s="199"/>
    </row>
    <row r="5579" spans="7:16" x14ac:dyDescent="0.2">
      <c r="G5579" s="199"/>
      <c r="I5579" s="199"/>
      <c r="K5579" s="199"/>
      <c r="M5579" s="199"/>
      <c r="N5579" s="200"/>
      <c r="P5579" s="199"/>
    </row>
    <row r="5580" spans="7:16" x14ac:dyDescent="0.2">
      <c r="G5580" s="199"/>
      <c r="I5580" s="199"/>
      <c r="K5580" s="199"/>
      <c r="M5580" s="199"/>
      <c r="N5580" s="200"/>
      <c r="P5580" s="199"/>
    </row>
    <row r="5581" spans="7:16" x14ac:dyDescent="0.2">
      <c r="G5581" s="199"/>
      <c r="I5581" s="199"/>
      <c r="K5581" s="199"/>
      <c r="M5581" s="199"/>
      <c r="N5581" s="200"/>
      <c r="P5581" s="199"/>
    </row>
    <row r="5582" spans="7:16" x14ac:dyDescent="0.2">
      <c r="G5582" s="199"/>
      <c r="I5582" s="199"/>
      <c r="K5582" s="199"/>
      <c r="M5582" s="199"/>
      <c r="N5582" s="200"/>
      <c r="P5582" s="199"/>
    </row>
    <row r="5583" spans="7:16" x14ac:dyDescent="0.2">
      <c r="G5583" s="199"/>
      <c r="I5583" s="199"/>
      <c r="K5583" s="199"/>
      <c r="M5583" s="199"/>
      <c r="N5583" s="200"/>
      <c r="P5583" s="199"/>
    </row>
    <row r="5584" spans="7:16" x14ac:dyDescent="0.2">
      <c r="G5584" s="199"/>
      <c r="I5584" s="199"/>
      <c r="K5584" s="199"/>
      <c r="M5584" s="199"/>
      <c r="N5584" s="200"/>
      <c r="P5584" s="199"/>
    </row>
    <row r="5585" spans="7:16" x14ac:dyDescent="0.2">
      <c r="G5585" s="199"/>
      <c r="I5585" s="199"/>
      <c r="K5585" s="199"/>
      <c r="M5585" s="199"/>
      <c r="N5585" s="200"/>
      <c r="P5585" s="199"/>
    </row>
    <row r="5586" spans="7:16" x14ac:dyDescent="0.2">
      <c r="G5586" s="199"/>
      <c r="I5586" s="199"/>
      <c r="K5586" s="199"/>
      <c r="M5586" s="199"/>
      <c r="N5586" s="200"/>
      <c r="P5586" s="199"/>
    </row>
    <row r="5587" spans="7:16" x14ac:dyDescent="0.2">
      <c r="G5587" s="199"/>
      <c r="I5587" s="199"/>
      <c r="K5587" s="199"/>
      <c r="M5587" s="199"/>
      <c r="N5587" s="200"/>
      <c r="P5587" s="199"/>
    </row>
    <row r="5588" spans="7:16" x14ac:dyDescent="0.2">
      <c r="G5588" s="199"/>
      <c r="I5588" s="199"/>
      <c r="K5588" s="199"/>
      <c r="M5588" s="199"/>
      <c r="N5588" s="200"/>
      <c r="P5588" s="199"/>
    </row>
    <row r="5589" spans="7:16" x14ac:dyDescent="0.2">
      <c r="G5589" s="199"/>
      <c r="I5589" s="199"/>
      <c r="K5589" s="199"/>
      <c r="M5589" s="199"/>
      <c r="N5589" s="200"/>
      <c r="P5589" s="199"/>
    </row>
    <row r="5590" spans="7:16" x14ac:dyDescent="0.2">
      <c r="G5590" s="199"/>
      <c r="I5590" s="199"/>
      <c r="K5590" s="199"/>
      <c r="M5590" s="199"/>
      <c r="N5590" s="200"/>
      <c r="P5590" s="199"/>
    </row>
    <row r="5591" spans="7:16" x14ac:dyDescent="0.2">
      <c r="G5591" s="199"/>
      <c r="I5591" s="199"/>
      <c r="K5591" s="199"/>
      <c r="M5591" s="199"/>
      <c r="N5591" s="200"/>
      <c r="P5591" s="199"/>
    </row>
    <row r="5592" spans="7:16" x14ac:dyDescent="0.2">
      <c r="G5592" s="199"/>
      <c r="I5592" s="199"/>
      <c r="K5592" s="199"/>
      <c r="M5592" s="199"/>
      <c r="N5592" s="200"/>
      <c r="P5592" s="199"/>
    </row>
    <row r="5593" spans="7:16" x14ac:dyDescent="0.2">
      <c r="G5593" s="199"/>
      <c r="I5593" s="199"/>
      <c r="K5593" s="199"/>
      <c r="M5593" s="199"/>
      <c r="N5593" s="200"/>
      <c r="P5593" s="199"/>
    </row>
    <row r="5594" spans="7:16" x14ac:dyDescent="0.2">
      <c r="G5594" s="199"/>
      <c r="I5594" s="199"/>
      <c r="K5594" s="199"/>
      <c r="M5594" s="199"/>
      <c r="N5594" s="200"/>
      <c r="P5594" s="199"/>
    </row>
    <row r="5595" spans="7:16" x14ac:dyDescent="0.2">
      <c r="G5595" s="199"/>
      <c r="I5595" s="199"/>
      <c r="K5595" s="199"/>
      <c r="M5595" s="199"/>
      <c r="N5595" s="200"/>
      <c r="P5595" s="199"/>
    </row>
    <row r="5596" spans="7:16" x14ac:dyDescent="0.2">
      <c r="G5596" s="199"/>
      <c r="I5596" s="199"/>
      <c r="K5596" s="199"/>
      <c r="M5596" s="199"/>
      <c r="N5596" s="200"/>
      <c r="P5596" s="199"/>
    </row>
    <row r="5597" spans="7:16" x14ac:dyDescent="0.2">
      <c r="G5597" s="199"/>
      <c r="I5597" s="199"/>
      <c r="K5597" s="199"/>
      <c r="M5597" s="199"/>
      <c r="N5597" s="200"/>
      <c r="P5597" s="199"/>
    </row>
    <row r="5598" spans="7:16" x14ac:dyDescent="0.2">
      <c r="G5598" s="199"/>
      <c r="I5598" s="199"/>
      <c r="K5598" s="199"/>
      <c r="M5598" s="199"/>
      <c r="N5598" s="200"/>
      <c r="P5598" s="199"/>
    </row>
    <row r="5599" spans="7:16" x14ac:dyDescent="0.2">
      <c r="G5599" s="199"/>
      <c r="I5599" s="199"/>
      <c r="K5599" s="199"/>
      <c r="M5599" s="199"/>
      <c r="N5599" s="200"/>
      <c r="P5599" s="199"/>
    </row>
    <row r="5600" spans="7:16" x14ac:dyDescent="0.2">
      <c r="G5600" s="199"/>
      <c r="I5600" s="199"/>
      <c r="K5600" s="199"/>
      <c r="M5600" s="199"/>
      <c r="N5600" s="200"/>
      <c r="P5600" s="199"/>
    </row>
    <row r="5601" spans="7:16" x14ac:dyDescent="0.2">
      <c r="G5601" s="199"/>
      <c r="I5601" s="199"/>
      <c r="K5601" s="199"/>
      <c r="M5601" s="199"/>
      <c r="N5601" s="200"/>
      <c r="P5601" s="199"/>
    </row>
    <row r="5602" spans="7:16" x14ac:dyDescent="0.2">
      <c r="G5602" s="199"/>
      <c r="I5602" s="199"/>
      <c r="K5602" s="199"/>
      <c r="M5602" s="199"/>
      <c r="N5602" s="200"/>
      <c r="P5602" s="199"/>
    </row>
    <row r="5603" spans="7:16" x14ac:dyDescent="0.2">
      <c r="G5603" s="199"/>
      <c r="I5603" s="199"/>
      <c r="K5603" s="199"/>
      <c r="M5603" s="199"/>
      <c r="N5603" s="200"/>
      <c r="P5603" s="199"/>
    </row>
    <row r="5604" spans="7:16" x14ac:dyDescent="0.2">
      <c r="G5604" s="199"/>
      <c r="I5604" s="199"/>
      <c r="K5604" s="199"/>
      <c r="M5604" s="199"/>
      <c r="N5604" s="200"/>
      <c r="P5604" s="199"/>
    </row>
    <row r="5605" spans="7:16" x14ac:dyDescent="0.2">
      <c r="G5605" s="199"/>
      <c r="I5605" s="199"/>
      <c r="K5605" s="199"/>
      <c r="M5605" s="199"/>
      <c r="N5605" s="200"/>
      <c r="P5605" s="199"/>
    </row>
    <row r="5606" spans="7:16" x14ac:dyDescent="0.2">
      <c r="G5606" s="199"/>
      <c r="I5606" s="199"/>
      <c r="K5606" s="199"/>
      <c r="M5606" s="199"/>
      <c r="N5606" s="200"/>
      <c r="P5606" s="199"/>
    </row>
    <row r="5607" spans="7:16" x14ac:dyDescent="0.2">
      <c r="G5607" s="199"/>
      <c r="I5607" s="199"/>
      <c r="K5607" s="199"/>
      <c r="M5607" s="199"/>
      <c r="N5607" s="200"/>
      <c r="P5607" s="199"/>
    </row>
    <row r="5608" spans="7:16" x14ac:dyDescent="0.2">
      <c r="G5608" s="199"/>
      <c r="I5608" s="199"/>
      <c r="K5608" s="199"/>
      <c r="M5608" s="199"/>
      <c r="N5608" s="200"/>
      <c r="P5608" s="199"/>
    </row>
    <row r="5609" spans="7:16" x14ac:dyDescent="0.2">
      <c r="G5609" s="199"/>
      <c r="I5609" s="199"/>
      <c r="K5609" s="199"/>
      <c r="M5609" s="199"/>
      <c r="N5609" s="200"/>
      <c r="P5609" s="199"/>
    </row>
    <row r="5610" spans="7:16" x14ac:dyDescent="0.2">
      <c r="G5610" s="199"/>
      <c r="I5610" s="199"/>
      <c r="K5610" s="199"/>
      <c r="M5610" s="199"/>
      <c r="N5610" s="200"/>
      <c r="P5610" s="199"/>
    </row>
    <row r="5611" spans="7:16" x14ac:dyDescent="0.2">
      <c r="G5611" s="199"/>
      <c r="I5611" s="199"/>
      <c r="K5611" s="199"/>
      <c r="M5611" s="199"/>
      <c r="N5611" s="200"/>
      <c r="P5611" s="199"/>
    </row>
    <row r="5612" spans="7:16" x14ac:dyDescent="0.2">
      <c r="G5612" s="199"/>
      <c r="I5612" s="199"/>
      <c r="K5612" s="199"/>
      <c r="M5612" s="199"/>
      <c r="N5612" s="200"/>
      <c r="P5612" s="199"/>
    </row>
    <row r="5613" spans="7:16" x14ac:dyDescent="0.2">
      <c r="G5613" s="199"/>
      <c r="I5613" s="199"/>
      <c r="K5613" s="199"/>
      <c r="M5613" s="199"/>
      <c r="N5613" s="200"/>
      <c r="P5613" s="199"/>
    </row>
    <row r="5614" spans="7:16" x14ac:dyDescent="0.2">
      <c r="G5614" s="199"/>
      <c r="I5614" s="199"/>
      <c r="K5614" s="199"/>
      <c r="M5614" s="199"/>
      <c r="N5614" s="200"/>
      <c r="P5614" s="199"/>
    </row>
    <row r="5615" spans="7:16" x14ac:dyDescent="0.2">
      <c r="G5615" s="199"/>
      <c r="I5615" s="199"/>
      <c r="K5615" s="199"/>
      <c r="M5615" s="199"/>
      <c r="N5615" s="200"/>
      <c r="P5615" s="199"/>
    </row>
    <row r="5616" spans="7:16" x14ac:dyDescent="0.2">
      <c r="G5616" s="199"/>
      <c r="I5616" s="199"/>
      <c r="K5616" s="199"/>
      <c r="M5616" s="199"/>
      <c r="N5616" s="200"/>
      <c r="P5616" s="199"/>
    </row>
    <row r="5617" spans="7:16" x14ac:dyDescent="0.2">
      <c r="G5617" s="199"/>
      <c r="I5617" s="199"/>
      <c r="K5617" s="199"/>
      <c r="M5617" s="199"/>
      <c r="N5617" s="200"/>
      <c r="P5617" s="199"/>
    </row>
    <row r="5618" spans="7:16" x14ac:dyDescent="0.2">
      <c r="G5618" s="199"/>
      <c r="I5618" s="199"/>
      <c r="K5618" s="199"/>
      <c r="M5618" s="199"/>
      <c r="N5618" s="200"/>
      <c r="P5618" s="199"/>
    </row>
    <row r="5619" spans="7:16" x14ac:dyDescent="0.2">
      <c r="G5619" s="199"/>
      <c r="I5619" s="199"/>
      <c r="K5619" s="199"/>
      <c r="M5619" s="199"/>
      <c r="N5619" s="200"/>
      <c r="P5619" s="199"/>
    </row>
    <row r="5620" spans="7:16" x14ac:dyDescent="0.2">
      <c r="G5620" s="199"/>
      <c r="I5620" s="199"/>
      <c r="K5620" s="199"/>
      <c r="M5620" s="199"/>
      <c r="N5620" s="200"/>
      <c r="P5620" s="199"/>
    </row>
    <row r="5621" spans="7:16" x14ac:dyDescent="0.2">
      <c r="G5621" s="199"/>
      <c r="I5621" s="199"/>
      <c r="K5621" s="199"/>
      <c r="M5621" s="199"/>
      <c r="N5621" s="200"/>
      <c r="P5621" s="199"/>
    </row>
    <row r="5622" spans="7:16" x14ac:dyDescent="0.2">
      <c r="G5622" s="199"/>
      <c r="I5622" s="199"/>
      <c r="K5622" s="199"/>
      <c r="M5622" s="199"/>
      <c r="N5622" s="200"/>
      <c r="P5622" s="199"/>
    </row>
    <row r="5623" spans="7:16" x14ac:dyDescent="0.2">
      <c r="G5623" s="199"/>
      <c r="I5623" s="199"/>
      <c r="K5623" s="199"/>
      <c r="M5623" s="199"/>
      <c r="N5623" s="200"/>
      <c r="P5623" s="199"/>
    </row>
    <row r="5624" spans="7:16" x14ac:dyDescent="0.2">
      <c r="G5624" s="199"/>
      <c r="I5624" s="199"/>
      <c r="K5624" s="199"/>
      <c r="M5624" s="199"/>
      <c r="N5624" s="200"/>
      <c r="P5624" s="199"/>
    </row>
    <row r="5625" spans="7:16" x14ac:dyDescent="0.2">
      <c r="G5625" s="199"/>
      <c r="I5625" s="199"/>
      <c r="K5625" s="199"/>
      <c r="M5625" s="199"/>
      <c r="N5625" s="200"/>
      <c r="P5625" s="199"/>
    </row>
    <row r="5626" spans="7:16" x14ac:dyDescent="0.2">
      <c r="G5626" s="199"/>
      <c r="I5626" s="199"/>
      <c r="K5626" s="199"/>
      <c r="M5626" s="199"/>
      <c r="N5626" s="200"/>
      <c r="P5626" s="199"/>
    </row>
    <row r="5627" spans="7:16" x14ac:dyDescent="0.2">
      <c r="G5627" s="199"/>
      <c r="I5627" s="199"/>
      <c r="K5627" s="199"/>
      <c r="M5627" s="199"/>
      <c r="N5627" s="200"/>
      <c r="P5627" s="199"/>
    </row>
    <row r="5628" spans="7:16" x14ac:dyDescent="0.2">
      <c r="G5628" s="199"/>
      <c r="I5628" s="199"/>
      <c r="K5628" s="199"/>
      <c r="M5628" s="199"/>
      <c r="N5628" s="200"/>
      <c r="P5628" s="199"/>
    </row>
    <row r="5629" spans="7:16" x14ac:dyDescent="0.2">
      <c r="G5629" s="199"/>
      <c r="I5629" s="199"/>
      <c r="K5629" s="199"/>
      <c r="M5629" s="199"/>
      <c r="N5629" s="200"/>
      <c r="P5629" s="199"/>
    </row>
    <row r="5630" spans="7:16" x14ac:dyDescent="0.2">
      <c r="G5630" s="199"/>
      <c r="I5630" s="199"/>
      <c r="K5630" s="199"/>
      <c r="M5630" s="199"/>
      <c r="N5630" s="200"/>
      <c r="P5630" s="199"/>
    </row>
    <row r="5631" spans="7:16" x14ac:dyDescent="0.2">
      <c r="G5631" s="199"/>
      <c r="I5631" s="199"/>
      <c r="K5631" s="199"/>
      <c r="M5631" s="199"/>
      <c r="N5631" s="200"/>
      <c r="P5631" s="199"/>
    </row>
    <row r="5632" spans="7:16" x14ac:dyDescent="0.2">
      <c r="G5632" s="199"/>
      <c r="I5632" s="199"/>
      <c r="K5632" s="199"/>
      <c r="M5632" s="199"/>
      <c r="N5632" s="200"/>
      <c r="P5632" s="199"/>
    </row>
    <row r="5633" spans="7:16" x14ac:dyDescent="0.2">
      <c r="G5633" s="199"/>
      <c r="I5633" s="199"/>
      <c r="K5633" s="199"/>
      <c r="M5633" s="199"/>
      <c r="N5633" s="200"/>
      <c r="P5633" s="199"/>
    </row>
    <row r="5634" spans="7:16" x14ac:dyDescent="0.2">
      <c r="G5634" s="199"/>
      <c r="I5634" s="199"/>
      <c r="K5634" s="199"/>
      <c r="M5634" s="199"/>
      <c r="N5634" s="200"/>
      <c r="P5634" s="199"/>
    </row>
    <row r="5635" spans="7:16" x14ac:dyDescent="0.2">
      <c r="G5635" s="199"/>
      <c r="I5635" s="199"/>
      <c r="K5635" s="199"/>
      <c r="M5635" s="199"/>
      <c r="N5635" s="200"/>
      <c r="P5635" s="199"/>
    </row>
    <row r="5636" spans="7:16" x14ac:dyDescent="0.2">
      <c r="G5636" s="199"/>
      <c r="I5636" s="199"/>
      <c r="K5636" s="199"/>
      <c r="M5636" s="199"/>
      <c r="N5636" s="200"/>
      <c r="P5636" s="199"/>
    </row>
    <row r="5637" spans="7:16" x14ac:dyDescent="0.2">
      <c r="G5637" s="199"/>
      <c r="I5637" s="199"/>
      <c r="K5637" s="199"/>
      <c r="M5637" s="199"/>
      <c r="N5637" s="200"/>
      <c r="P5637" s="199"/>
    </row>
    <row r="5638" spans="7:16" x14ac:dyDescent="0.2">
      <c r="G5638" s="199"/>
      <c r="I5638" s="199"/>
      <c r="K5638" s="199"/>
      <c r="M5638" s="199"/>
      <c r="N5638" s="200"/>
      <c r="P5638" s="199"/>
    </row>
    <row r="5639" spans="7:16" x14ac:dyDescent="0.2">
      <c r="G5639" s="199"/>
      <c r="I5639" s="199"/>
      <c r="K5639" s="199"/>
      <c r="M5639" s="199"/>
      <c r="N5639" s="200"/>
      <c r="P5639" s="199"/>
    </row>
    <row r="5640" spans="7:16" x14ac:dyDescent="0.2">
      <c r="G5640" s="199"/>
      <c r="I5640" s="199"/>
      <c r="K5640" s="199"/>
      <c r="M5640" s="199"/>
      <c r="N5640" s="200"/>
      <c r="P5640" s="199"/>
    </row>
    <row r="5641" spans="7:16" x14ac:dyDescent="0.2">
      <c r="G5641" s="199"/>
      <c r="I5641" s="199"/>
      <c r="K5641" s="199"/>
      <c r="M5641" s="199"/>
      <c r="N5641" s="200"/>
      <c r="P5641" s="199"/>
    </row>
    <row r="5642" spans="7:16" x14ac:dyDescent="0.2">
      <c r="G5642" s="199"/>
      <c r="I5642" s="199"/>
      <c r="K5642" s="199"/>
      <c r="M5642" s="199"/>
      <c r="N5642" s="200"/>
      <c r="P5642" s="199"/>
    </row>
    <row r="5643" spans="7:16" x14ac:dyDescent="0.2">
      <c r="G5643" s="199"/>
      <c r="I5643" s="199"/>
      <c r="K5643" s="199"/>
      <c r="M5643" s="199"/>
      <c r="N5643" s="200"/>
      <c r="P5643" s="199"/>
    </row>
    <row r="5644" spans="7:16" x14ac:dyDescent="0.2">
      <c r="G5644" s="199"/>
      <c r="I5644" s="199"/>
      <c r="K5644" s="199"/>
      <c r="M5644" s="199"/>
      <c r="N5644" s="200"/>
      <c r="P5644" s="199"/>
    </row>
    <row r="5645" spans="7:16" x14ac:dyDescent="0.2">
      <c r="G5645" s="199"/>
      <c r="I5645" s="199"/>
      <c r="K5645" s="199"/>
      <c r="M5645" s="199"/>
      <c r="N5645" s="200"/>
      <c r="P5645" s="199"/>
    </row>
    <row r="5646" spans="7:16" x14ac:dyDescent="0.2">
      <c r="G5646" s="199"/>
      <c r="I5646" s="199"/>
      <c r="K5646" s="199"/>
      <c r="M5646" s="199"/>
      <c r="N5646" s="200"/>
      <c r="P5646" s="199"/>
    </row>
    <row r="5647" spans="7:16" x14ac:dyDescent="0.2">
      <c r="G5647" s="199"/>
      <c r="I5647" s="199"/>
      <c r="K5647" s="199"/>
      <c r="M5647" s="199"/>
      <c r="N5647" s="200"/>
      <c r="P5647" s="199"/>
    </row>
    <row r="5648" spans="7:16" x14ac:dyDescent="0.2">
      <c r="G5648" s="199"/>
      <c r="I5648" s="199"/>
      <c r="K5648" s="199"/>
      <c r="M5648" s="199"/>
      <c r="N5648" s="200"/>
      <c r="P5648" s="199"/>
    </row>
    <row r="5649" spans="7:16" x14ac:dyDescent="0.2">
      <c r="G5649" s="199"/>
      <c r="I5649" s="199"/>
      <c r="K5649" s="199"/>
      <c r="M5649" s="199"/>
      <c r="N5649" s="200"/>
      <c r="P5649" s="199"/>
    </row>
    <row r="5650" spans="7:16" x14ac:dyDescent="0.2">
      <c r="G5650" s="199"/>
      <c r="I5650" s="199"/>
      <c r="K5650" s="199"/>
      <c r="M5650" s="199"/>
      <c r="N5650" s="200"/>
      <c r="P5650" s="199"/>
    </row>
    <row r="5651" spans="7:16" x14ac:dyDescent="0.2">
      <c r="G5651" s="199"/>
      <c r="I5651" s="199"/>
      <c r="K5651" s="199"/>
      <c r="M5651" s="199"/>
      <c r="N5651" s="200"/>
      <c r="P5651" s="199"/>
    </row>
    <row r="5652" spans="7:16" x14ac:dyDescent="0.2">
      <c r="G5652" s="199"/>
      <c r="I5652" s="199"/>
      <c r="K5652" s="199"/>
      <c r="M5652" s="199"/>
      <c r="N5652" s="200"/>
      <c r="P5652" s="199"/>
    </row>
    <row r="5653" spans="7:16" x14ac:dyDescent="0.2">
      <c r="G5653" s="199"/>
      <c r="I5653" s="199"/>
      <c r="K5653" s="199"/>
      <c r="M5653" s="199"/>
      <c r="N5653" s="200"/>
      <c r="P5653" s="199"/>
    </row>
    <row r="5654" spans="7:16" x14ac:dyDescent="0.2">
      <c r="G5654" s="199"/>
      <c r="I5654" s="199"/>
      <c r="K5654" s="199"/>
      <c r="M5654" s="199"/>
      <c r="N5654" s="200"/>
      <c r="P5654" s="199"/>
    </row>
    <row r="5655" spans="7:16" x14ac:dyDescent="0.2">
      <c r="G5655" s="199"/>
      <c r="I5655" s="199"/>
      <c r="K5655" s="199"/>
      <c r="M5655" s="199"/>
      <c r="N5655" s="200"/>
      <c r="P5655" s="199"/>
    </row>
    <row r="5656" spans="7:16" x14ac:dyDescent="0.2">
      <c r="G5656" s="199"/>
      <c r="I5656" s="199"/>
      <c r="K5656" s="199"/>
      <c r="M5656" s="199"/>
      <c r="N5656" s="200"/>
      <c r="P5656" s="199"/>
    </row>
    <row r="5657" spans="7:16" x14ac:dyDescent="0.2">
      <c r="G5657" s="199"/>
      <c r="I5657" s="199"/>
      <c r="K5657" s="199"/>
      <c r="M5657" s="199"/>
      <c r="N5657" s="200"/>
      <c r="P5657" s="199"/>
    </row>
    <row r="5658" spans="7:16" x14ac:dyDescent="0.2">
      <c r="G5658" s="199"/>
      <c r="I5658" s="199"/>
      <c r="K5658" s="199"/>
      <c r="M5658" s="199"/>
      <c r="N5658" s="200"/>
      <c r="P5658" s="199"/>
    </row>
    <row r="5659" spans="7:16" x14ac:dyDescent="0.2">
      <c r="G5659" s="199"/>
      <c r="I5659" s="199"/>
      <c r="K5659" s="199"/>
      <c r="M5659" s="199"/>
      <c r="N5659" s="200"/>
      <c r="P5659" s="199"/>
    </row>
    <row r="5660" spans="7:16" x14ac:dyDescent="0.2">
      <c r="G5660" s="199"/>
      <c r="I5660" s="199"/>
      <c r="K5660" s="199"/>
      <c r="M5660" s="199"/>
      <c r="N5660" s="200"/>
      <c r="P5660" s="199"/>
    </row>
    <row r="5661" spans="7:16" x14ac:dyDescent="0.2">
      <c r="G5661" s="199"/>
      <c r="I5661" s="199"/>
      <c r="K5661" s="199"/>
      <c r="M5661" s="199"/>
      <c r="N5661" s="200"/>
      <c r="P5661" s="199"/>
    </row>
    <row r="5662" spans="7:16" x14ac:dyDescent="0.2">
      <c r="G5662" s="199"/>
      <c r="I5662" s="199"/>
      <c r="K5662" s="199"/>
      <c r="M5662" s="199"/>
      <c r="N5662" s="200"/>
      <c r="P5662" s="199"/>
    </row>
    <row r="5663" spans="7:16" x14ac:dyDescent="0.2">
      <c r="G5663" s="199"/>
      <c r="I5663" s="199"/>
      <c r="K5663" s="199"/>
      <c r="M5663" s="199"/>
      <c r="N5663" s="200"/>
      <c r="P5663" s="199"/>
    </row>
    <row r="5664" spans="7:16" x14ac:dyDescent="0.2">
      <c r="G5664" s="199"/>
      <c r="I5664" s="199"/>
      <c r="K5664" s="199"/>
      <c r="M5664" s="199"/>
      <c r="N5664" s="200"/>
      <c r="P5664" s="199"/>
    </row>
    <row r="5665" spans="7:16" x14ac:dyDescent="0.2">
      <c r="G5665" s="199"/>
      <c r="I5665" s="199"/>
      <c r="K5665" s="199"/>
      <c r="M5665" s="199"/>
      <c r="N5665" s="200"/>
      <c r="P5665" s="199"/>
    </row>
    <row r="5666" spans="7:16" x14ac:dyDescent="0.2">
      <c r="G5666" s="199"/>
      <c r="I5666" s="199"/>
      <c r="K5666" s="199"/>
      <c r="M5666" s="199"/>
      <c r="N5666" s="200"/>
      <c r="P5666" s="199"/>
    </row>
    <row r="5667" spans="7:16" x14ac:dyDescent="0.2">
      <c r="G5667" s="199"/>
      <c r="I5667" s="199"/>
      <c r="K5667" s="199"/>
      <c r="M5667" s="199"/>
      <c r="N5667" s="200"/>
      <c r="P5667" s="199"/>
    </row>
    <row r="5668" spans="7:16" x14ac:dyDescent="0.2">
      <c r="G5668" s="199"/>
      <c r="I5668" s="199"/>
      <c r="K5668" s="199"/>
      <c r="M5668" s="199"/>
      <c r="N5668" s="200"/>
      <c r="P5668" s="199"/>
    </row>
    <row r="5669" spans="7:16" x14ac:dyDescent="0.2">
      <c r="G5669" s="199"/>
      <c r="I5669" s="199"/>
      <c r="K5669" s="199"/>
      <c r="M5669" s="199"/>
      <c r="N5669" s="200"/>
      <c r="P5669" s="199"/>
    </row>
    <row r="5670" spans="7:16" x14ac:dyDescent="0.2">
      <c r="G5670" s="199"/>
      <c r="I5670" s="199"/>
      <c r="K5670" s="199"/>
      <c r="M5670" s="199"/>
      <c r="N5670" s="200"/>
      <c r="P5670" s="199"/>
    </row>
    <row r="5671" spans="7:16" x14ac:dyDescent="0.2">
      <c r="G5671" s="199"/>
      <c r="I5671" s="199"/>
      <c r="K5671" s="199"/>
      <c r="M5671" s="199"/>
      <c r="N5671" s="200"/>
      <c r="P5671" s="199"/>
    </row>
    <row r="5672" spans="7:16" x14ac:dyDescent="0.2">
      <c r="G5672" s="199"/>
      <c r="I5672" s="199"/>
      <c r="K5672" s="199"/>
      <c r="M5672" s="199"/>
      <c r="N5672" s="200"/>
      <c r="P5672" s="199"/>
    </row>
    <row r="5673" spans="7:16" x14ac:dyDescent="0.2">
      <c r="G5673" s="199"/>
      <c r="I5673" s="199"/>
      <c r="K5673" s="199"/>
      <c r="M5673" s="199"/>
      <c r="N5673" s="200"/>
      <c r="P5673" s="199"/>
    </row>
    <row r="5674" spans="7:16" x14ac:dyDescent="0.2">
      <c r="G5674" s="199"/>
      <c r="I5674" s="199"/>
      <c r="K5674" s="199"/>
      <c r="M5674" s="199"/>
      <c r="N5674" s="200"/>
      <c r="P5674" s="199"/>
    </row>
    <row r="5675" spans="7:16" x14ac:dyDescent="0.2">
      <c r="G5675" s="199"/>
      <c r="I5675" s="199"/>
      <c r="K5675" s="199"/>
      <c r="M5675" s="199"/>
      <c r="N5675" s="200"/>
      <c r="P5675" s="199"/>
    </row>
    <row r="5676" spans="7:16" x14ac:dyDescent="0.2">
      <c r="G5676" s="199"/>
      <c r="I5676" s="199"/>
      <c r="K5676" s="199"/>
      <c r="M5676" s="199"/>
      <c r="N5676" s="200"/>
      <c r="P5676" s="199"/>
    </row>
    <row r="5677" spans="7:16" x14ac:dyDescent="0.2">
      <c r="G5677" s="199"/>
      <c r="I5677" s="199"/>
      <c r="K5677" s="199"/>
      <c r="M5677" s="199"/>
      <c r="N5677" s="200"/>
      <c r="P5677" s="199"/>
    </row>
    <row r="5678" spans="7:16" x14ac:dyDescent="0.2">
      <c r="G5678" s="199"/>
      <c r="I5678" s="199"/>
      <c r="K5678" s="199"/>
      <c r="M5678" s="199"/>
      <c r="N5678" s="200"/>
      <c r="P5678" s="199"/>
    </row>
    <row r="5679" spans="7:16" x14ac:dyDescent="0.2">
      <c r="G5679" s="199"/>
      <c r="I5679" s="199"/>
      <c r="K5679" s="199"/>
      <c r="M5679" s="199"/>
      <c r="N5679" s="200"/>
      <c r="P5679" s="199"/>
    </row>
    <row r="5680" spans="7:16" x14ac:dyDescent="0.2">
      <c r="G5680" s="199"/>
      <c r="I5680" s="199"/>
      <c r="K5680" s="199"/>
      <c r="M5680" s="199"/>
      <c r="N5680" s="200"/>
      <c r="P5680" s="199"/>
    </row>
    <row r="5681" spans="7:16" x14ac:dyDescent="0.2">
      <c r="G5681" s="199"/>
      <c r="I5681" s="199"/>
      <c r="K5681" s="199"/>
      <c r="M5681" s="199"/>
      <c r="N5681" s="200"/>
      <c r="P5681" s="199"/>
    </row>
    <row r="5682" spans="7:16" x14ac:dyDescent="0.2">
      <c r="G5682" s="199"/>
      <c r="I5682" s="199"/>
      <c r="K5682" s="199"/>
      <c r="M5682" s="199"/>
      <c r="N5682" s="200"/>
      <c r="P5682" s="199"/>
    </row>
    <row r="5683" spans="7:16" x14ac:dyDescent="0.2">
      <c r="G5683" s="199"/>
      <c r="I5683" s="199"/>
      <c r="K5683" s="199"/>
      <c r="M5683" s="199"/>
      <c r="N5683" s="200"/>
      <c r="P5683" s="199"/>
    </row>
    <row r="5684" spans="7:16" x14ac:dyDescent="0.2">
      <c r="G5684" s="199"/>
      <c r="I5684" s="199"/>
      <c r="K5684" s="199"/>
      <c r="M5684" s="199"/>
      <c r="N5684" s="200"/>
      <c r="P5684" s="199"/>
    </row>
    <row r="5685" spans="7:16" x14ac:dyDescent="0.2">
      <c r="G5685" s="199"/>
      <c r="I5685" s="199"/>
      <c r="K5685" s="199"/>
      <c r="M5685" s="199"/>
      <c r="N5685" s="200"/>
      <c r="P5685" s="199"/>
    </row>
    <row r="5686" spans="7:16" x14ac:dyDescent="0.2">
      <c r="G5686" s="199"/>
      <c r="I5686" s="199"/>
      <c r="K5686" s="199"/>
      <c r="M5686" s="199"/>
      <c r="N5686" s="200"/>
      <c r="P5686" s="199"/>
    </row>
    <row r="5687" spans="7:16" x14ac:dyDescent="0.2">
      <c r="G5687" s="199"/>
      <c r="I5687" s="199"/>
      <c r="K5687" s="199"/>
      <c r="M5687" s="199"/>
      <c r="N5687" s="200"/>
      <c r="P5687" s="199"/>
    </row>
    <row r="5688" spans="7:16" x14ac:dyDescent="0.2">
      <c r="G5688" s="199"/>
      <c r="I5688" s="199"/>
      <c r="K5688" s="199"/>
      <c r="M5688" s="199"/>
      <c r="N5688" s="200"/>
      <c r="P5688" s="199"/>
    </row>
    <row r="5689" spans="7:16" x14ac:dyDescent="0.2">
      <c r="G5689" s="199"/>
      <c r="I5689" s="199"/>
      <c r="K5689" s="199"/>
      <c r="M5689" s="199"/>
      <c r="N5689" s="200"/>
      <c r="P5689" s="199"/>
    </row>
    <row r="5690" spans="7:16" x14ac:dyDescent="0.2">
      <c r="G5690" s="199"/>
      <c r="I5690" s="199"/>
      <c r="K5690" s="199"/>
      <c r="M5690" s="199"/>
      <c r="N5690" s="200"/>
      <c r="P5690" s="199"/>
    </row>
    <row r="5691" spans="7:16" x14ac:dyDescent="0.2">
      <c r="G5691" s="199"/>
      <c r="I5691" s="199"/>
      <c r="K5691" s="199"/>
      <c r="M5691" s="199"/>
      <c r="N5691" s="200"/>
      <c r="P5691" s="199"/>
    </row>
    <row r="5692" spans="7:16" x14ac:dyDescent="0.2">
      <c r="G5692" s="199"/>
      <c r="I5692" s="199"/>
      <c r="K5692" s="199"/>
      <c r="M5692" s="199"/>
      <c r="N5692" s="200"/>
      <c r="P5692" s="199"/>
    </row>
    <row r="5693" spans="7:16" x14ac:dyDescent="0.2">
      <c r="G5693" s="199"/>
      <c r="I5693" s="199"/>
      <c r="K5693" s="199"/>
      <c r="M5693" s="199"/>
      <c r="N5693" s="200"/>
      <c r="P5693" s="199"/>
    </row>
    <row r="5694" spans="7:16" x14ac:dyDescent="0.2">
      <c r="G5694" s="199"/>
      <c r="I5694" s="199"/>
      <c r="K5694" s="199"/>
      <c r="M5694" s="199"/>
      <c r="N5694" s="200"/>
      <c r="P5694" s="199"/>
    </row>
    <row r="5695" spans="7:16" x14ac:dyDescent="0.2">
      <c r="G5695" s="199"/>
      <c r="I5695" s="199"/>
      <c r="K5695" s="199"/>
      <c r="M5695" s="199"/>
      <c r="N5695" s="200"/>
      <c r="P5695" s="199"/>
    </row>
    <row r="5696" spans="7:16" x14ac:dyDescent="0.2">
      <c r="G5696" s="199"/>
      <c r="I5696" s="199"/>
      <c r="K5696" s="199"/>
      <c r="M5696" s="199"/>
      <c r="N5696" s="200"/>
      <c r="P5696" s="199"/>
    </row>
    <row r="5697" spans="7:16" x14ac:dyDescent="0.2">
      <c r="G5697" s="199"/>
      <c r="I5697" s="199"/>
      <c r="K5697" s="199"/>
      <c r="M5697" s="199"/>
      <c r="N5697" s="200"/>
      <c r="P5697" s="199"/>
    </row>
    <row r="5698" spans="7:16" x14ac:dyDescent="0.2">
      <c r="G5698" s="199"/>
      <c r="I5698" s="199"/>
      <c r="K5698" s="199"/>
      <c r="M5698" s="199"/>
      <c r="N5698" s="200"/>
      <c r="P5698" s="199"/>
    </row>
    <row r="5699" spans="7:16" x14ac:dyDescent="0.2">
      <c r="G5699" s="199"/>
      <c r="I5699" s="199"/>
      <c r="K5699" s="199"/>
      <c r="M5699" s="199"/>
      <c r="N5699" s="200"/>
      <c r="P5699" s="199"/>
    </row>
    <row r="5700" spans="7:16" x14ac:dyDescent="0.2">
      <c r="G5700" s="199"/>
      <c r="I5700" s="199"/>
      <c r="K5700" s="199"/>
      <c r="M5700" s="199"/>
      <c r="N5700" s="200"/>
      <c r="P5700" s="199"/>
    </row>
    <row r="5701" spans="7:16" x14ac:dyDescent="0.2">
      <c r="G5701" s="199"/>
      <c r="I5701" s="199"/>
      <c r="K5701" s="199"/>
      <c r="M5701" s="199"/>
      <c r="N5701" s="200"/>
      <c r="P5701" s="199"/>
    </row>
    <row r="5702" spans="7:16" x14ac:dyDescent="0.2">
      <c r="G5702" s="199"/>
      <c r="I5702" s="199"/>
      <c r="K5702" s="199"/>
      <c r="M5702" s="199"/>
      <c r="N5702" s="200"/>
      <c r="P5702" s="199"/>
    </row>
    <row r="5703" spans="7:16" x14ac:dyDescent="0.2">
      <c r="G5703" s="199"/>
      <c r="I5703" s="199"/>
      <c r="K5703" s="199"/>
      <c r="M5703" s="199"/>
      <c r="N5703" s="200"/>
      <c r="P5703" s="199"/>
    </row>
    <row r="5704" spans="7:16" x14ac:dyDescent="0.2">
      <c r="G5704" s="199"/>
      <c r="I5704" s="199"/>
      <c r="K5704" s="199"/>
      <c r="M5704" s="199"/>
      <c r="N5704" s="200"/>
      <c r="P5704" s="199"/>
    </row>
    <row r="5705" spans="7:16" x14ac:dyDescent="0.2">
      <c r="G5705" s="199"/>
      <c r="I5705" s="199"/>
      <c r="K5705" s="199"/>
      <c r="M5705" s="199"/>
      <c r="N5705" s="200"/>
      <c r="P5705" s="199"/>
    </row>
    <row r="5706" spans="7:16" x14ac:dyDescent="0.2">
      <c r="G5706" s="199"/>
      <c r="I5706" s="199"/>
      <c r="K5706" s="199"/>
      <c r="M5706" s="199"/>
      <c r="N5706" s="200"/>
      <c r="P5706" s="199"/>
    </row>
    <row r="5707" spans="7:16" x14ac:dyDescent="0.2">
      <c r="G5707" s="199"/>
      <c r="I5707" s="199"/>
      <c r="K5707" s="199"/>
      <c r="M5707" s="199"/>
      <c r="N5707" s="200"/>
      <c r="P5707" s="199"/>
    </row>
    <row r="5708" spans="7:16" x14ac:dyDescent="0.2">
      <c r="G5708" s="199"/>
      <c r="I5708" s="199"/>
      <c r="K5708" s="199"/>
      <c r="M5708" s="199"/>
      <c r="N5708" s="200"/>
      <c r="P5708" s="199"/>
    </row>
    <row r="5709" spans="7:16" x14ac:dyDescent="0.2">
      <c r="G5709" s="199"/>
      <c r="I5709" s="199"/>
      <c r="K5709" s="199"/>
      <c r="M5709" s="199"/>
      <c r="N5709" s="200"/>
      <c r="P5709" s="199"/>
    </row>
    <row r="5710" spans="7:16" x14ac:dyDescent="0.2">
      <c r="G5710" s="199"/>
      <c r="I5710" s="199"/>
      <c r="K5710" s="199"/>
      <c r="M5710" s="199"/>
      <c r="N5710" s="200"/>
      <c r="P5710" s="199"/>
    </row>
    <row r="5711" spans="7:16" x14ac:dyDescent="0.2">
      <c r="G5711" s="199"/>
      <c r="I5711" s="199"/>
      <c r="K5711" s="199"/>
      <c r="M5711" s="199"/>
      <c r="N5711" s="200"/>
      <c r="P5711" s="199"/>
    </row>
    <row r="5712" spans="7:16" x14ac:dyDescent="0.2">
      <c r="G5712" s="199"/>
      <c r="I5712" s="199"/>
      <c r="K5712" s="199"/>
      <c r="M5712" s="199"/>
      <c r="N5712" s="200"/>
      <c r="P5712" s="199"/>
    </row>
    <row r="5713" spans="7:16" x14ac:dyDescent="0.2">
      <c r="G5713" s="199"/>
      <c r="I5713" s="199"/>
      <c r="K5713" s="199"/>
      <c r="M5713" s="199"/>
      <c r="N5713" s="200"/>
      <c r="P5713" s="199"/>
    </row>
    <row r="5714" spans="7:16" x14ac:dyDescent="0.2">
      <c r="G5714" s="199"/>
      <c r="I5714" s="199"/>
      <c r="K5714" s="199"/>
      <c r="M5714" s="199"/>
      <c r="N5714" s="200"/>
      <c r="P5714" s="199"/>
    </row>
    <row r="5715" spans="7:16" x14ac:dyDescent="0.2">
      <c r="G5715" s="199"/>
      <c r="I5715" s="199"/>
      <c r="K5715" s="199"/>
      <c r="M5715" s="199"/>
      <c r="N5715" s="200"/>
      <c r="P5715" s="199"/>
    </row>
    <row r="5716" spans="7:16" x14ac:dyDescent="0.2">
      <c r="G5716" s="199"/>
      <c r="I5716" s="199"/>
      <c r="K5716" s="199"/>
      <c r="M5716" s="199"/>
      <c r="N5716" s="200"/>
      <c r="P5716" s="199"/>
    </row>
    <row r="5717" spans="7:16" x14ac:dyDescent="0.2">
      <c r="G5717" s="199"/>
      <c r="I5717" s="199"/>
      <c r="K5717" s="199"/>
      <c r="M5717" s="199"/>
      <c r="N5717" s="200"/>
      <c r="P5717" s="199"/>
    </row>
    <row r="5718" spans="7:16" x14ac:dyDescent="0.2">
      <c r="G5718" s="199"/>
      <c r="I5718" s="199"/>
      <c r="K5718" s="199"/>
      <c r="M5718" s="199"/>
      <c r="N5718" s="200"/>
      <c r="P5718" s="199"/>
    </row>
    <row r="5719" spans="7:16" x14ac:dyDescent="0.2">
      <c r="G5719" s="199"/>
      <c r="I5719" s="199"/>
      <c r="K5719" s="199"/>
      <c r="M5719" s="199"/>
      <c r="N5719" s="200"/>
      <c r="P5719" s="199"/>
    </row>
    <row r="5720" spans="7:16" x14ac:dyDescent="0.2">
      <c r="G5720" s="199"/>
      <c r="I5720" s="199"/>
      <c r="K5720" s="199"/>
      <c r="M5720" s="199"/>
      <c r="N5720" s="200"/>
      <c r="P5720" s="199"/>
    </row>
    <row r="5721" spans="7:16" x14ac:dyDescent="0.2">
      <c r="G5721" s="199"/>
      <c r="I5721" s="199"/>
      <c r="K5721" s="199"/>
      <c r="M5721" s="199"/>
      <c r="N5721" s="200"/>
      <c r="P5721" s="199"/>
    </row>
    <row r="5722" spans="7:16" x14ac:dyDescent="0.2">
      <c r="G5722" s="199"/>
      <c r="I5722" s="199"/>
      <c r="K5722" s="199"/>
      <c r="M5722" s="199"/>
      <c r="N5722" s="200"/>
      <c r="P5722" s="199"/>
    </row>
    <row r="5723" spans="7:16" x14ac:dyDescent="0.2">
      <c r="G5723" s="199"/>
      <c r="I5723" s="199"/>
      <c r="K5723" s="199"/>
      <c r="M5723" s="199"/>
      <c r="N5723" s="200"/>
      <c r="P5723" s="199"/>
    </row>
    <row r="5724" spans="7:16" x14ac:dyDescent="0.2">
      <c r="G5724" s="199"/>
      <c r="I5724" s="199"/>
      <c r="K5724" s="199"/>
      <c r="M5724" s="199"/>
      <c r="N5724" s="200"/>
      <c r="P5724" s="199"/>
    </row>
    <row r="5725" spans="7:16" x14ac:dyDescent="0.2">
      <c r="G5725" s="199"/>
      <c r="I5725" s="199"/>
      <c r="K5725" s="199"/>
      <c r="M5725" s="199"/>
      <c r="N5725" s="200"/>
      <c r="P5725" s="199"/>
    </row>
    <row r="5726" spans="7:16" x14ac:dyDescent="0.2">
      <c r="G5726" s="199"/>
      <c r="I5726" s="199"/>
      <c r="K5726" s="199"/>
      <c r="M5726" s="199"/>
      <c r="N5726" s="200"/>
      <c r="P5726" s="199"/>
    </row>
    <row r="5727" spans="7:16" x14ac:dyDescent="0.2">
      <c r="G5727" s="199"/>
      <c r="I5727" s="199"/>
      <c r="K5727" s="199"/>
      <c r="M5727" s="199"/>
      <c r="N5727" s="200"/>
      <c r="P5727" s="199"/>
    </row>
    <row r="5728" spans="7:16" x14ac:dyDescent="0.2">
      <c r="G5728" s="199"/>
      <c r="I5728" s="199"/>
      <c r="K5728" s="199"/>
      <c r="M5728" s="199"/>
      <c r="N5728" s="200"/>
      <c r="P5728" s="199"/>
    </row>
    <row r="5729" spans="7:16" x14ac:dyDescent="0.2">
      <c r="G5729" s="199"/>
      <c r="I5729" s="199"/>
      <c r="K5729" s="199"/>
      <c r="M5729" s="199"/>
      <c r="N5729" s="200"/>
      <c r="P5729" s="199"/>
    </row>
    <row r="5730" spans="7:16" x14ac:dyDescent="0.2">
      <c r="G5730" s="199"/>
      <c r="I5730" s="199"/>
      <c r="K5730" s="199"/>
      <c r="M5730" s="199"/>
      <c r="N5730" s="200"/>
      <c r="P5730" s="199"/>
    </row>
    <row r="5731" spans="7:16" x14ac:dyDescent="0.2">
      <c r="G5731" s="199"/>
      <c r="I5731" s="199"/>
      <c r="K5731" s="199"/>
      <c r="M5731" s="199"/>
      <c r="N5731" s="200"/>
      <c r="P5731" s="199"/>
    </row>
    <row r="5732" spans="7:16" x14ac:dyDescent="0.2">
      <c r="G5732" s="199"/>
      <c r="I5732" s="199"/>
      <c r="K5732" s="199"/>
      <c r="M5732" s="199"/>
      <c r="N5732" s="200"/>
      <c r="P5732" s="199"/>
    </row>
    <row r="5733" spans="7:16" x14ac:dyDescent="0.2">
      <c r="G5733" s="199"/>
      <c r="I5733" s="199"/>
      <c r="K5733" s="199"/>
      <c r="M5733" s="199"/>
      <c r="N5733" s="200"/>
      <c r="P5733" s="199"/>
    </row>
    <row r="5734" spans="7:16" x14ac:dyDescent="0.2">
      <c r="G5734" s="199"/>
      <c r="I5734" s="199"/>
      <c r="K5734" s="199"/>
      <c r="M5734" s="199"/>
      <c r="N5734" s="200"/>
      <c r="P5734" s="199"/>
    </row>
    <row r="5735" spans="7:16" x14ac:dyDescent="0.2">
      <c r="G5735" s="199"/>
      <c r="I5735" s="199"/>
      <c r="K5735" s="199"/>
      <c r="M5735" s="199"/>
      <c r="N5735" s="200"/>
      <c r="P5735" s="199"/>
    </row>
    <row r="5736" spans="7:16" x14ac:dyDescent="0.2">
      <c r="G5736" s="199"/>
      <c r="I5736" s="199"/>
      <c r="K5736" s="199"/>
      <c r="M5736" s="199"/>
      <c r="N5736" s="200"/>
      <c r="P5736" s="199"/>
    </row>
    <row r="5737" spans="7:16" x14ac:dyDescent="0.2">
      <c r="G5737" s="199"/>
      <c r="I5737" s="199"/>
      <c r="K5737" s="199"/>
      <c r="M5737" s="199"/>
      <c r="N5737" s="200"/>
      <c r="P5737" s="199"/>
    </row>
    <row r="5738" spans="7:16" x14ac:dyDescent="0.2">
      <c r="G5738" s="199"/>
      <c r="I5738" s="199"/>
      <c r="K5738" s="199"/>
      <c r="M5738" s="199"/>
      <c r="N5738" s="200"/>
      <c r="P5738" s="199"/>
    </row>
    <row r="5739" spans="7:16" x14ac:dyDescent="0.2">
      <c r="G5739" s="199"/>
      <c r="I5739" s="199"/>
      <c r="K5739" s="199"/>
      <c r="M5739" s="199"/>
      <c r="N5739" s="200"/>
      <c r="P5739" s="199"/>
    </row>
    <row r="5740" spans="7:16" x14ac:dyDescent="0.2">
      <c r="G5740" s="199"/>
      <c r="I5740" s="199"/>
      <c r="K5740" s="199"/>
      <c r="M5740" s="199"/>
      <c r="N5740" s="200"/>
      <c r="P5740" s="199"/>
    </row>
    <row r="5741" spans="7:16" x14ac:dyDescent="0.2">
      <c r="G5741" s="199"/>
      <c r="I5741" s="199"/>
      <c r="K5741" s="199"/>
      <c r="M5741" s="199"/>
      <c r="N5741" s="200"/>
      <c r="P5741" s="199"/>
    </row>
    <row r="5742" spans="7:16" x14ac:dyDescent="0.2">
      <c r="G5742" s="199"/>
      <c r="I5742" s="199"/>
      <c r="K5742" s="199"/>
      <c r="M5742" s="199"/>
      <c r="N5742" s="200"/>
      <c r="P5742" s="199"/>
    </row>
    <row r="5743" spans="7:16" x14ac:dyDescent="0.2">
      <c r="G5743" s="199"/>
      <c r="I5743" s="199"/>
      <c r="K5743" s="199"/>
      <c r="M5743" s="199"/>
      <c r="N5743" s="200"/>
      <c r="P5743" s="199"/>
    </row>
    <row r="5744" spans="7:16" x14ac:dyDescent="0.2">
      <c r="G5744" s="199"/>
      <c r="I5744" s="199"/>
      <c r="K5744" s="199"/>
      <c r="M5744" s="199"/>
      <c r="N5744" s="200"/>
      <c r="P5744" s="199"/>
    </row>
    <row r="5745" spans="7:16" x14ac:dyDescent="0.2">
      <c r="G5745" s="199"/>
      <c r="I5745" s="199"/>
      <c r="K5745" s="199"/>
      <c r="M5745" s="199"/>
      <c r="N5745" s="200"/>
      <c r="P5745" s="199"/>
    </row>
    <row r="5746" spans="7:16" x14ac:dyDescent="0.2">
      <c r="G5746" s="199"/>
      <c r="I5746" s="199"/>
      <c r="K5746" s="199"/>
      <c r="M5746" s="199"/>
      <c r="N5746" s="200"/>
      <c r="P5746" s="199"/>
    </row>
    <row r="5747" spans="7:16" x14ac:dyDescent="0.2">
      <c r="G5747" s="199"/>
      <c r="I5747" s="199"/>
      <c r="K5747" s="199"/>
      <c r="M5747" s="199"/>
      <c r="N5747" s="200"/>
      <c r="P5747" s="199"/>
    </row>
    <row r="5748" spans="7:16" x14ac:dyDescent="0.2">
      <c r="G5748" s="199"/>
      <c r="I5748" s="199"/>
      <c r="K5748" s="199"/>
      <c r="M5748" s="199"/>
      <c r="N5748" s="200"/>
      <c r="P5748" s="199"/>
    </row>
    <row r="5749" spans="7:16" x14ac:dyDescent="0.2">
      <c r="G5749" s="199"/>
      <c r="I5749" s="199"/>
      <c r="K5749" s="199"/>
      <c r="M5749" s="199"/>
      <c r="N5749" s="200"/>
      <c r="P5749" s="199"/>
    </row>
    <row r="5750" spans="7:16" x14ac:dyDescent="0.2">
      <c r="G5750" s="199"/>
      <c r="I5750" s="199"/>
      <c r="K5750" s="199"/>
      <c r="M5750" s="199"/>
      <c r="N5750" s="200"/>
      <c r="P5750" s="199"/>
    </row>
    <row r="5751" spans="7:16" x14ac:dyDescent="0.2">
      <c r="G5751" s="199"/>
      <c r="I5751" s="199"/>
      <c r="K5751" s="199"/>
      <c r="M5751" s="199"/>
      <c r="N5751" s="200"/>
      <c r="P5751" s="199"/>
    </row>
    <row r="5752" spans="7:16" x14ac:dyDescent="0.2">
      <c r="G5752" s="199"/>
      <c r="I5752" s="199"/>
      <c r="K5752" s="199"/>
      <c r="M5752" s="199"/>
      <c r="N5752" s="200"/>
      <c r="P5752" s="199"/>
    </row>
    <row r="5753" spans="7:16" x14ac:dyDescent="0.2">
      <c r="G5753" s="199"/>
      <c r="I5753" s="199"/>
      <c r="K5753" s="199"/>
      <c r="M5753" s="199"/>
      <c r="N5753" s="200"/>
      <c r="P5753" s="199"/>
    </row>
    <row r="5754" spans="7:16" x14ac:dyDescent="0.2">
      <c r="G5754" s="199"/>
      <c r="I5754" s="199"/>
      <c r="K5754" s="199"/>
      <c r="M5754" s="199"/>
      <c r="N5754" s="200"/>
      <c r="P5754" s="199"/>
    </row>
    <row r="5755" spans="7:16" x14ac:dyDescent="0.2">
      <c r="G5755" s="199"/>
      <c r="I5755" s="199"/>
      <c r="K5755" s="199"/>
      <c r="M5755" s="199"/>
      <c r="N5755" s="200"/>
      <c r="P5755" s="199"/>
    </row>
    <row r="5756" spans="7:16" x14ac:dyDescent="0.2">
      <c r="G5756" s="199"/>
      <c r="I5756" s="199"/>
      <c r="K5756" s="199"/>
      <c r="M5756" s="199"/>
      <c r="N5756" s="200"/>
      <c r="P5756" s="199"/>
    </row>
    <row r="5757" spans="7:16" x14ac:dyDescent="0.2">
      <c r="G5757" s="199"/>
      <c r="I5757" s="199"/>
      <c r="K5757" s="199"/>
      <c r="M5757" s="199"/>
      <c r="N5757" s="200"/>
      <c r="P5757" s="199"/>
    </row>
    <row r="5758" spans="7:16" x14ac:dyDescent="0.2">
      <c r="G5758" s="199"/>
      <c r="I5758" s="199"/>
      <c r="K5758" s="199"/>
      <c r="M5758" s="199"/>
      <c r="N5758" s="200"/>
      <c r="P5758" s="199"/>
    </row>
    <row r="5759" spans="7:16" x14ac:dyDescent="0.2">
      <c r="G5759" s="199"/>
      <c r="I5759" s="199"/>
      <c r="K5759" s="199"/>
      <c r="M5759" s="199"/>
      <c r="N5759" s="200"/>
      <c r="P5759" s="199"/>
    </row>
    <row r="5760" spans="7:16" x14ac:dyDescent="0.2">
      <c r="G5760" s="199"/>
      <c r="I5760" s="199"/>
      <c r="K5760" s="199"/>
      <c r="M5760" s="199"/>
      <c r="N5760" s="200"/>
      <c r="P5760" s="199"/>
    </row>
    <row r="5761" spans="7:16" x14ac:dyDescent="0.2">
      <c r="G5761" s="199"/>
      <c r="I5761" s="199"/>
      <c r="K5761" s="199"/>
      <c r="M5761" s="199"/>
      <c r="N5761" s="200"/>
      <c r="P5761" s="199"/>
    </row>
    <row r="5762" spans="7:16" x14ac:dyDescent="0.2">
      <c r="G5762" s="199"/>
      <c r="I5762" s="199"/>
      <c r="K5762" s="199"/>
      <c r="M5762" s="199"/>
      <c r="N5762" s="200"/>
      <c r="P5762" s="199"/>
    </row>
    <row r="5763" spans="7:16" x14ac:dyDescent="0.2">
      <c r="G5763" s="199"/>
      <c r="I5763" s="199"/>
      <c r="K5763" s="199"/>
      <c r="M5763" s="199"/>
      <c r="N5763" s="200"/>
      <c r="P5763" s="199"/>
    </row>
    <row r="5764" spans="7:16" x14ac:dyDescent="0.2">
      <c r="G5764" s="199"/>
      <c r="I5764" s="199"/>
      <c r="K5764" s="199"/>
      <c r="M5764" s="199"/>
      <c r="N5764" s="200"/>
      <c r="P5764" s="199"/>
    </row>
    <row r="5765" spans="7:16" x14ac:dyDescent="0.2">
      <c r="G5765" s="199"/>
      <c r="I5765" s="199"/>
      <c r="K5765" s="199"/>
      <c r="M5765" s="199"/>
      <c r="N5765" s="200"/>
      <c r="P5765" s="199"/>
    </row>
    <row r="5766" spans="7:16" x14ac:dyDescent="0.2">
      <c r="G5766" s="199"/>
      <c r="I5766" s="199"/>
      <c r="K5766" s="199"/>
      <c r="M5766" s="199"/>
      <c r="N5766" s="200"/>
      <c r="P5766" s="199"/>
    </row>
    <row r="5767" spans="7:16" x14ac:dyDescent="0.2">
      <c r="G5767" s="199"/>
      <c r="I5767" s="199"/>
      <c r="K5767" s="199"/>
      <c r="M5767" s="199"/>
      <c r="N5767" s="200"/>
      <c r="P5767" s="199"/>
    </row>
    <row r="5768" spans="7:16" x14ac:dyDescent="0.2">
      <c r="G5768" s="199"/>
      <c r="I5768" s="199"/>
      <c r="K5768" s="199"/>
      <c r="M5768" s="199"/>
      <c r="N5768" s="200"/>
      <c r="P5768" s="199"/>
    </row>
    <row r="5769" spans="7:16" x14ac:dyDescent="0.2">
      <c r="G5769" s="199"/>
      <c r="I5769" s="199"/>
      <c r="K5769" s="199"/>
      <c r="M5769" s="199"/>
      <c r="N5769" s="200"/>
      <c r="P5769" s="199"/>
    </row>
    <row r="5770" spans="7:16" x14ac:dyDescent="0.2">
      <c r="G5770" s="199"/>
      <c r="I5770" s="199"/>
      <c r="K5770" s="199"/>
      <c r="M5770" s="199"/>
      <c r="N5770" s="200"/>
      <c r="P5770" s="199"/>
    </row>
    <row r="5771" spans="7:16" x14ac:dyDescent="0.2">
      <c r="G5771" s="199"/>
      <c r="I5771" s="199"/>
      <c r="K5771" s="199"/>
      <c r="M5771" s="199"/>
      <c r="N5771" s="200"/>
      <c r="P5771" s="199"/>
    </row>
    <row r="5772" spans="7:16" x14ac:dyDescent="0.2">
      <c r="G5772" s="199"/>
      <c r="I5772" s="199"/>
      <c r="K5772" s="199"/>
      <c r="M5772" s="199"/>
      <c r="N5772" s="200"/>
      <c r="P5772" s="199"/>
    </row>
    <row r="5773" spans="7:16" x14ac:dyDescent="0.2">
      <c r="G5773" s="199"/>
      <c r="I5773" s="199"/>
      <c r="K5773" s="199"/>
      <c r="M5773" s="199"/>
      <c r="N5773" s="200"/>
      <c r="P5773" s="199"/>
    </row>
    <row r="5774" spans="7:16" x14ac:dyDescent="0.2">
      <c r="G5774" s="199"/>
      <c r="I5774" s="199"/>
      <c r="K5774" s="199"/>
      <c r="M5774" s="199"/>
      <c r="N5774" s="200"/>
      <c r="P5774" s="199"/>
    </row>
    <row r="5775" spans="7:16" x14ac:dyDescent="0.2">
      <c r="G5775" s="199"/>
      <c r="I5775" s="199"/>
      <c r="K5775" s="199"/>
      <c r="M5775" s="199"/>
      <c r="N5775" s="200"/>
      <c r="P5775" s="199"/>
    </row>
    <row r="5776" spans="7:16" x14ac:dyDescent="0.2">
      <c r="G5776" s="199"/>
      <c r="I5776" s="199"/>
      <c r="K5776" s="199"/>
      <c r="M5776" s="199"/>
      <c r="N5776" s="200"/>
      <c r="P5776" s="199"/>
    </row>
    <row r="5777" spans="7:16" x14ac:dyDescent="0.2">
      <c r="G5777" s="199"/>
      <c r="I5777" s="199"/>
      <c r="K5777" s="199"/>
      <c r="M5777" s="199"/>
      <c r="N5777" s="200"/>
      <c r="P5777" s="199"/>
    </row>
    <row r="5778" spans="7:16" x14ac:dyDescent="0.2">
      <c r="G5778" s="199"/>
      <c r="I5778" s="199"/>
      <c r="K5778" s="199"/>
      <c r="M5778" s="199"/>
      <c r="N5778" s="200"/>
      <c r="P5778" s="199"/>
    </row>
    <row r="5779" spans="7:16" x14ac:dyDescent="0.2">
      <c r="G5779" s="199"/>
      <c r="I5779" s="199"/>
      <c r="K5779" s="199"/>
      <c r="M5779" s="199"/>
      <c r="N5779" s="200"/>
      <c r="P5779" s="199"/>
    </row>
    <row r="5780" spans="7:16" x14ac:dyDescent="0.2">
      <c r="G5780" s="199"/>
      <c r="I5780" s="199"/>
      <c r="K5780" s="199"/>
      <c r="M5780" s="199"/>
      <c r="N5780" s="200"/>
      <c r="P5780" s="199"/>
    </row>
    <row r="5781" spans="7:16" x14ac:dyDescent="0.2">
      <c r="G5781" s="199"/>
      <c r="I5781" s="199"/>
      <c r="K5781" s="199"/>
      <c r="M5781" s="199"/>
      <c r="N5781" s="200"/>
      <c r="P5781" s="199"/>
    </row>
    <row r="5782" spans="7:16" x14ac:dyDescent="0.2">
      <c r="G5782" s="199"/>
      <c r="I5782" s="199"/>
      <c r="K5782" s="199"/>
      <c r="M5782" s="199"/>
      <c r="N5782" s="200"/>
      <c r="P5782" s="199"/>
    </row>
    <row r="5783" spans="7:16" x14ac:dyDescent="0.2">
      <c r="G5783" s="199"/>
      <c r="I5783" s="199"/>
      <c r="K5783" s="199"/>
      <c r="M5783" s="199"/>
      <c r="N5783" s="200"/>
      <c r="P5783" s="199"/>
    </row>
    <row r="5784" spans="7:16" x14ac:dyDescent="0.2">
      <c r="G5784" s="199"/>
      <c r="I5784" s="199"/>
      <c r="K5784" s="199"/>
      <c r="M5784" s="199"/>
      <c r="N5784" s="200"/>
      <c r="P5784" s="199"/>
    </row>
    <row r="5785" spans="7:16" x14ac:dyDescent="0.2">
      <c r="G5785" s="199"/>
      <c r="I5785" s="199"/>
      <c r="K5785" s="199"/>
      <c r="M5785" s="199"/>
      <c r="N5785" s="200"/>
      <c r="P5785" s="199"/>
    </row>
    <row r="5786" spans="7:16" x14ac:dyDescent="0.2">
      <c r="G5786" s="199"/>
      <c r="I5786" s="199"/>
      <c r="K5786" s="199"/>
      <c r="M5786" s="199"/>
      <c r="N5786" s="200"/>
      <c r="P5786" s="199"/>
    </row>
    <row r="5787" spans="7:16" x14ac:dyDescent="0.2">
      <c r="G5787" s="199"/>
      <c r="I5787" s="199"/>
      <c r="K5787" s="199"/>
      <c r="M5787" s="199"/>
      <c r="N5787" s="200"/>
      <c r="P5787" s="199"/>
    </row>
    <row r="5788" spans="7:16" x14ac:dyDescent="0.2">
      <c r="G5788" s="199"/>
      <c r="I5788" s="199"/>
      <c r="K5788" s="199"/>
      <c r="M5788" s="199"/>
      <c r="N5788" s="200"/>
      <c r="P5788" s="199"/>
    </row>
    <row r="5789" spans="7:16" x14ac:dyDescent="0.2">
      <c r="G5789" s="199"/>
      <c r="I5789" s="199"/>
      <c r="K5789" s="199"/>
      <c r="M5789" s="199"/>
      <c r="N5789" s="200"/>
      <c r="P5789" s="199"/>
    </row>
    <row r="5790" spans="7:16" x14ac:dyDescent="0.2">
      <c r="G5790" s="199"/>
      <c r="I5790" s="199"/>
      <c r="K5790" s="199"/>
      <c r="M5790" s="199"/>
      <c r="N5790" s="200"/>
      <c r="P5790" s="199"/>
    </row>
    <row r="5791" spans="7:16" x14ac:dyDescent="0.2">
      <c r="G5791" s="199"/>
      <c r="I5791" s="199"/>
      <c r="K5791" s="199"/>
      <c r="M5791" s="199"/>
      <c r="N5791" s="200"/>
      <c r="P5791" s="199"/>
    </row>
    <row r="5792" spans="7:16" x14ac:dyDescent="0.2">
      <c r="G5792" s="199"/>
      <c r="I5792" s="199"/>
      <c r="K5792" s="199"/>
      <c r="M5792" s="199"/>
      <c r="N5792" s="200"/>
      <c r="P5792" s="199"/>
    </row>
    <row r="5793" spans="7:16" x14ac:dyDescent="0.2">
      <c r="G5793" s="199"/>
      <c r="I5793" s="199"/>
      <c r="K5793" s="199"/>
      <c r="M5793" s="199"/>
      <c r="N5793" s="200"/>
      <c r="P5793" s="199"/>
    </row>
    <row r="5794" spans="7:16" x14ac:dyDescent="0.2">
      <c r="G5794" s="199"/>
      <c r="I5794" s="199"/>
      <c r="K5794" s="199"/>
      <c r="M5794" s="199"/>
      <c r="N5794" s="200"/>
      <c r="P5794" s="199"/>
    </row>
    <row r="5795" spans="7:16" x14ac:dyDescent="0.2">
      <c r="G5795" s="199"/>
      <c r="I5795" s="199"/>
      <c r="K5795" s="199"/>
      <c r="M5795" s="199"/>
      <c r="N5795" s="200"/>
      <c r="P5795" s="199"/>
    </row>
    <row r="5796" spans="7:16" x14ac:dyDescent="0.2">
      <c r="G5796" s="199"/>
      <c r="I5796" s="199"/>
      <c r="K5796" s="199"/>
      <c r="M5796" s="199"/>
      <c r="N5796" s="200"/>
      <c r="P5796" s="199"/>
    </row>
    <row r="5797" spans="7:16" x14ac:dyDescent="0.2">
      <c r="G5797" s="199"/>
      <c r="I5797" s="199"/>
      <c r="K5797" s="199"/>
      <c r="M5797" s="199"/>
      <c r="N5797" s="200"/>
      <c r="P5797" s="199"/>
    </row>
    <row r="5798" spans="7:16" x14ac:dyDescent="0.2">
      <c r="G5798" s="199"/>
      <c r="I5798" s="199"/>
      <c r="K5798" s="199"/>
      <c r="M5798" s="199"/>
      <c r="N5798" s="200"/>
      <c r="P5798" s="199"/>
    </row>
    <row r="5799" spans="7:16" x14ac:dyDescent="0.2">
      <c r="G5799" s="199"/>
      <c r="I5799" s="199"/>
      <c r="K5799" s="199"/>
      <c r="M5799" s="199"/>
      <c r="N5799" s="200"/>
      <c r="P5799" s="199"/>
    </row>
    <row r="5800" spans="7:16" x14ac:dyDescent="0.2">
      <c r="G5800" s="199"/>
      <c r="I5800" s="199"/>
      <c r="K5800" s="199"/>
      <c r="M5800" s="199"/>
      <c r="N5800" s="200"/>
      <c r="P5800" s="199"/>
    </row>
    <row r="5801" spans="7:16" x14ac:dyDescent="0.2">
      <c r="G5801" s="199"/>
      <c r="I5801" s="199"/>
      <c r="K5801" s="199"/>
      <c r="M5801" s="199"/>
      <c r="N5801" s="200"/>
      <c r="P5801" s="199"/>
    </row>
    <row r="5802" spans="7:16" x14ac:dyDescent="0.2">
      <c r="G5802" s="199"/>
      <c r="I5802" s="199"/>
      <c r="K5802" s="199"/>
      <c r="M5802" s="199"/>
      <c r="N5802" s="200"/>
      <c r="P5802" s="199"/>
    </row>
    <row r="5803" spans="7:16" x14ac:dyDescent="0.2">
      <c r="G5803" s="199"/>
      <c r="I5803" s="199"/>
      <c r="K5803" s="199"/>
      <c r="M5803" s="199"/>
      <c r="N5803" s="200"/>
      <c r="P5803" s="199"/>
    </row>
    <row r="5804" spans="7:16" x14ac:dyDescent="0.2">
      <c r="G5804" s="199"/>
      <c r="I5804" s="199"/>
      <c r="K5804" s="199"/>
      <c r="M5804" s="199"/>
      <c r="N5804" s="200"/>
      <c r="P5804" s="199"/>
    </row>
    <row r="5805" spans="7:16" x14ac:dyDescent="0.2">
      <c r="G5805" s="199"/>
      <c r="I5805" s="199"/>
      <c r="K5805" s="199"/>
      <c r="M5805" s="199"/>
      <c r="N5805" s="200"/>
      <c r="P5805" s="199"/>
    </row>
    <row r="5806" spans="7:16" x14ac:dyDescent="0.2">
      <c r="G5806" s="199"/>
      <c r="I5806" s="199"/>
      <c r="K5806" s="199"/>
      <c r="M5806" s="199"/>
      <c r="N5806" s="200"/>
      <c r="P5806" s="199"/>
    </row>
    <row r="5807" spans="7:16" x14ac:dyDescent="0.2">
      <c r="G5807" s="199"/>
      <c r="I5807" s="199"/>
      <c r="K5807" s="199"/>
      <c r="M5807" s="199"/>
      <c r="N5807" s="200"/>
      <c r="P5807" s="199"/>
    </row>
    <row r="5808" spans="7:16" x14ac:dyDescent="0.2">
      <c r="G5808" s="199"/>
      <c r="I5808" s="199"/>
      <c r="K5808" s="199"/>
      <c r="M5808" s="199"/>
      <c r="N5808" s="200"/>
      <c r="P5808" s="199"/>
    </row>
    <row r="5809" spans="7:16" x14ac:dyDescent="0.2">
      <c r="G5809" s="199"/>
      <c r="I5809" s="199"/>
      <c r="K5809" s="199"/>
      <c r="M5809" s="199"/>
      <c r="N5809" s="200"/>
      <c r="P5809" s="199"/>
    </row>
    <row r="5810" spans="7:16" x14ac:dyDescent="0.2">
      <c r="G5810" s="199"/>
      <c r="I5810" s="199"/>
      <c r="K5810" s="199"/>
      <c r="M5810" s="199"/>
      <c r="N5810" s="200"/>
      <c r="P5810" s="199"/>
    </row>
    <row r="5811" spans="7:16" x14ac:dyDescent="0.2">
      <c r="G5811" s="199"/>
      <c r="I5811" s="199"/>
      <c r="K5811" s="199"/>
      <c r="M5811" s="199"/>
      <c r="N5811" s="200"/>
      <c r="P5811" s="199"/>
    </row>
    <row r="5812" spans="7:16" x14ac:dyDescent="0.2">
      <c r="G5812" s="199"/>
      <c r="I5812" s="199"/>
      <c r="K5812" s="199"/>
      <c r="M5812" s="199"/>
      <c r="N5812" s="200"/>
      <c r="P5812" s="199"/>
    </row>
    <row r="5813" spans="7:16" x14ac:dyDescent="0.2">
      <c r="G5813" s="199"/>
      <c r="I5813" s="199"/>
      <c r="K5813" s="199"/>
      <c r="M5813" s="199"/>
      <c r="N5813" s="200"/>
      <c r="P5813" s="199"/>
    </row>
    <row r="5814" spans="7:16" x14ac:dyDescent="0.2">
      <c r="G5814" s="199"/>
      <c r="I5814" s="199"/>
      <c r="K5814" s="199"/>
      <c r="M5814" s="199"/>
      <c r="N5814" s="200"/>
      <c r="P5814" s="199"/>
    </row>
    <row r="5815" spans="7:16" x14ac:dyDescent="0.2">
      <c r="G5815" s="199"/>
      <c r="I5815" s="199"/>
      <c r="K5815" s="199"/>
      <c r="M5815" s="199"/>
      <c r="N5815" s="200"/>
      <c r="P5815" s="199"/>
    </row>
    <row r="5816" spans="7:16" x14ac:dyDescent="0.2">
      <c r="G5816" s="199"/>
      <c r="I5816" s="199"/>
      <c r="K5816" s="199"/>
      <c r="M5816" s="199"/>
      <c r="N5816" s="200"/>
      <c r="P5816" s="199"/>
    </row>
    <row r="5817" spans="7:16" x14ac:dyDescent="0.2">
      <c r="G5817" s="199"/>
      <c r="I5817" s="199"/>
      <c r="K5817" s="199"/>
      <c r="M5817" s="199"/>
      <c r="N5817" s="200"/>
      <c r="P5817" s="199"/>
    </row>
    <row r="5818" spans="7:16" x14ac:dyDescent="0.2">
      <c r="G5818" s="199"/>
      <c r="I5818" s="199"/>
      <c r="K5818" s="199"/>
      <c r="M5818" s="199"/>
      <c r="N5818" s="200"/>
      <c r="P5818" s="199"/>
    </row>
    <row r="5819" spans="7:16" x14ac:dyDescent="0.2">
      <c r="G5819" s="199"/>
      <c r="I5819" s="199"/>
      <c r="K5819" s="199"/>
      <c r="M5819" s="199"/>
      <c r="N5819" s="200"/>
      <c r="P5819" s="199"/>
    </row>
    <row r="5820" spans="7:16" x14ac:dyDescent="0.2">
      <c r="G5820" s="199"/>
      <c r="I5820" s="199"/>
      <c r="K5820" s="199"/>
      <c r="M5820" s="199"/>
      <c r="N5820" s="200"/>
      <c r="P5820" s="199"/>
    </row>
    <row r="5821" spans="7:16" x14ac:dyDescent="0.2">
      <c r="G5821" s="199"/>
      <c r="I5821" s="199"/>
      <c r="K5821" s="199"/>
      <c r="M5821" s="199"/>
      <c r="N5821" s="200"/>
      <c r="P5821" s="199"/>
    </row>
    <row r="5822" spans="7:16" x14ac:dyDescent="0.2">
      <c r="G5822" s="199"/>
      <c r="I5822" s="199"/>
      <c r="K5822" s="199"/>
      <c r="M5822" s="199"/>
      <c r="N5822" s="200"/>
      <c r="P5822" s="199"/>
    </row>
    <row r="5823" spans="7:16" x14ac:dyDescent="0.2">
      <c r="G5823" s="199"/>
      <c r="I5823" s="199"/>
      <c r="K5823" s="199"/>
      <c r="M5823" s="199"/>
      <c r="N5823" s="200"/>
      <c r="P5823" s="199"/>
    </row>
    <row r="5824" spans="7:16" x14ac:dyDescent="0.2">
      <c r="G5824" s="199"/>
      <c r="I5824" s="199"/>
      <c r="K5824" s="199"/>
      <c r="M5824" s="199"/>
      <c r="N5824" s="200"/>
      <c r="P5824" s="199"/>
    </row>
    <row r="5825" spans="7:16" x14ac:dyDescent="0.2">
      <c r="G5825" s="199"/>
      <c r="I5825" s="199"/>
      <c r="K5825" s="199"/>
      <c r="M5825" s="199"/>
      <c r="N5825" s="200"/>
      <c r="P5825" s="199"/>
    </row>
    <row r="5826" spans="7:16" x14ac:dyDescent="0.2">
      <c r="G5826" s="199"/>
      <c r="I5826" s="199"/>
      <c r="K5826" s="199"/>
      <c r="M5826" s="199"/>
      <c r="N5826" s="200"/>
      <c r="P5826" s="199"/>
    </row>
    <row r="5827" spans="7:16" x14ac:dyDescent="0.2">
      <c r="G5827" s="199"/>
      <c r="I5827" s="199"/>
      <c r="K5827" s="199"/>
      <c r="M5827" s="199"/>
      <c r="N5827" s="200"/>
      <c r="P5827" s="199"/>
    </row>
    <row r="5828" spans="7:16" x14ac:dyDescent="0.2">
      <c r="G5828" s="199"/>
      <c r="I5828" s="199"/>
      <c r="K5828" s="199"/>
      <c r="M5828" s="199"/>
      <c r="N5828" s="200"/>
      <c r="P5828" s="199"/>
    </row>
    <row r="5829" spans="7:16" x14ac:dyDescent="0.2">
      <c r="G5829" s="199"/>
      <c r="I5829" s="199"/>
      <c r="K5829" s="199"/>
      <c r="M5829" s="199"/>
      <c r="N5829" s="200"/>
      <c r="P5829" s="199"/>
    </row>
    <row r="5830" spans="7:16" x14ac:dyDescent="0.2">
      <c r="G5830" s="199"/>
      <c r="I5830" s="199"/>
      <c r="K5830" s="199"/>
      <c r="M5830" s="199"/>
      <c r="N5830" s="200"/>
      <c r="P5830" s="199"/>
    </row>
    <row r="5831" spans="7:16" x14ac:dyDescent="0.2">
      <c r="G5831" s="199"/>
      <c r="I5831" s="199"/>
      <c r="K5831" s="199"/>
      <c r="M5831" s="199"/>
      <c r="N5831" s="200"/>
      <c r="P5831" s="199"/>
    </row>
    <row r="5832" spans="7:16" x14ac:dyDescent="0.2">
      <c r="G5832" s="199"/>
      <c r="I5832" s="199"/>
      <c r="K5832" s="199"/>
      <c r="M5832" s="199"/>
      <c r="N5832" s="200"/>
      <c r="P5832" s="199"/>
    </row>
    <row r="5833" spans="7:16" x14ac:dyDescent="0.2">
      <c r="G5833" s="199"/>
      <c r="I5833" s="199"/>
      <c r="K5833" s="199"/>
      <c r="M5833" s="199"/>
      <c r="N5833" s="200"/>
      <c r="P5833" s="199"/>
    </row>
    <row r="5834" spans="7:16" x14ac:dyDescent="0.2">
      <c r="G5834" s="199"/>
      <c r="I5834" s="199"/>
      <c r="K5834" s="199"/>
      <c r="M5834" s="199"/>
      <c r="N5834" s="200"/>
      <c r="P5834" s="199"/>
    </row>
    <row r="5835" spans="7:16" x14ac:dyDescent="0.2">
      <c r="G5835" s="199"/>
      <c r="I5835" s="199"/>
      <c r="K5835" s="199"/>
      <c r="M5835" s="199"/>
      <c r="N5835" s="200"/>
      <c r="P5835" s="199"/>
    </row>
    <row r="5836" spans="7:16" x14ac:dyDescent="0.2">
      <c r="G5836" s="199"/>
      <c r="I5836" s="199"/>
      <c r="K5836" s="199"/>
      <c r="M5836" s="199"/>
      <c r="N5836" s="200"/>
      <c r="P5836" s="199"/>
    </row>
    <row r="5837" spans="7:16" x14ac:dyDescent="0.2">
      <c r="G5837" s="199"/>
      <c r="I5837" s="199"/>
      <c r="K5837" s="199"/>
      <c r="M5837" s="199"/>
      <c r="N5837" s="200"/>
      <c r="P5837" s="199"/>
    </row>
    <row r="5838" spans="7:16" x14ac:dyDescent="0.2">
      <c r="G5838" s="199"/>
      <c r="I5838" s="199"/>
      <c r="K5838" s="199"/>
      <c r="M5838" s="199"/>
      <c r="N5838" s="200"/>
      <c r="P5838" s="199"/>
    </row>
    <row r="5839" spans="7:16" x14ac:dyDescent="0.2">
      <c r="G5839" s="199"/>
      <c r="I5839" s="199"/>
      <c r="K5839" s="199"/>
      <c r="M5839" s="199"/>
      <c r="N5839" s="200"/>
      <c r="P5839" s="199"/>
    </row>
    <row r="5840" spans="7:16" x14ac:dyDescent="0.2">
      <c r="G5840" s="199"/>
      <c r="I5840" s="199"/>
      <c r="K5840" s="199"/>
      <c r="M5840" s="199"/>
      <c r="N5840" s="200"/>
      <c r="P5840" s="199"/>
    </row>
    <row r="5841" spans="7:16" x14ac:dyDescent="0.2">
      <c r="G5841" s="199"/>
      <c r="I5841" s="199"/>
      <c r="K5841" s="199"/>
      <c r="M5841" s="199"/>
      <c r="N5841" s="200"/>
      <c r="P5841" s="199"/>
    </row>
    <row r="5842" spans="7:16" x14ac:dyDescent="0.2">
      <c r="G5842" s="199"/>
      <c r="I5842" s="199"/>
      <c r="K5842" s="199"/>
      <c r="M5842" s="199"/>
      <c r="N5842" s="200"/>
      <c r="P5842" s="199"/>
    </row>
    <row r="5843" spans="7:16" x14ac:dyDescent="0.2">
      <c r="G5843" s="199"/>
      <c r="I5843" s="199"/>
      <c r="K5843" s="199"/>
      <c r="M5843" s="199"/>
      <c r="N5843" s="200"/>
      <c r="P5843" s="199"/>
    </row>
    <row r="5844" spans="7:16" x14ac:dyDescent="0.2">
      <c r="G5844" s="199"/>
      <c r="I5844" s="199"/>
      <c r="K5844" s="199"/>
      <c r="M5844" s="199"/>
      <c r="N5844" s="200"/>
      <c r="P5844" s="199"/>
    </row>
    <row r="5845" spans="7:16" x14ac:dyDescent="0.2">
      <c r="G5845" s="199"/>
      <c r="I5845" s="199"/>
      <c r="K5845" s="199"/>
      <c r="M5845" s="199"/>
      <c r="N5845" s="200"/>
      <c r="P5845" s="199"/>
    </row>
    <row r="5846" spans="7:16" x14ac:dyDescent="0.2">
      <c r="G5846" s="199"/>
      <c r="I5846" s="199"/>
      <c r="K5846" s="199"/>
      <c r="M5846" s="199"/>
      <c r="N5846" s="200"/>
      <c r="P5846" s="199"/>
    </row>
    <row r="5847" spans="7:16" x14ac:dyDescent="0.2">
      <c r="G5847" s="199"/>
      <c r="I5847" s="199"/>
      <c r="K5847" s="199"/>
      <c r="M5847" s="199"/>
      <c r="N5847" s="200"/>
      <c r="P5847" s="199"/>
    </row>
    <row r="5848" spans="7:16" x14ac:dyDescent="0.2">
      <c r="G5848" s="199"/>
      <c r="I5848" s="199"/>
      <c r="K5848" s="199"/>
      <c r="M5848" s="199"/>
      <c r="N5848" s="200"/>
      <c r="P5848" s="199"/>
    </row>
    <row r="5849" spans="7:16" x14ac:dyDescent="0.2">
      <c r="G5849" s="199"/>
      <c r="I5849" s="199"/>
      <c r="K5849" s="199"/>
      <c r="M5849" s="199"/>
      <c r="N5849" s="200"/>
      <c r="P5849" s="199"/>
    </row>
    <row r="5850" spans="7:16" x14ac:dyDescent="0.2">
      <c r="G5850" s="199"/>
      <c r="I5850" s="199"/>
      <c r="K5850" s="199"/>
      <c r="M5850" s="199"/>
      <c r="N5850" s="200"/>
      <c r="P5850" s="199"/>
    </row>
    <row r="5851" spans="7:16" x14ac:dyDescent="0.2">
      <c r="G5851" s="199"/>
      <c r="I5851" s="199"/>
      <c r="K5851" s="199"/>
      <c r="M5851" s="199"/>
      <c r="N5851" s="200"/>
      <c r="P5851" s="199"/>
    </row>
    <row r="5852" spans="7:16" x14ac:dyDescent="0.2">
      <c r="G5852" s="199"/>
      <c r="I5852" s="199"/>
      <c r="K5852" s="199"/>
      <c r="M5852" s="199"/>
      <c r="N5852" s="200"/>
      <c r="P5852" s="199"/>
    </row>
    <row r="5853" spans="7:16" x14ac:dyDescent="0.2">
      <c r="G5853" s="199"/>
      <c r="I5853" s="199"/>
      <c r="K5853" s="199"/>
      <c r="M5853" s="199"/>
      <c r="N5853" s="200"/>
      <c r="P5853" s="199"/>
    </row>
    <row r="5854" spans="7:16" x14ac:dyDescent="0.2">
      <c r="G5854" s="199"/>
      <c r="I5854" s="199"/>
      <c r="K5854" s="199"/>
      <c r="M5854" s="199"/>
      <c r="N5854" s="200"/>
      <c r="P5854" s="199"/>
    </row>
    <row r="5855" spans="7:16" x14ac:dyDescent="0.2">
      <c r="G5855" s="199"/>
      <c r="I5855" s="199"/>
      <c r="K5855" s="199"/>
      <c r="M5855" s="199"/>
      <c r="N5855" s="200"/>
      <c r="P5855" s="199"/>
    </row>
    <row r="5856" spans="7:16" x14ac:dyDescent="0.2">
      <c r="G5856" s="199"/>
      <c r="I5856" s="199"/>
      <c r="K5856" s="199"/>
      <c r="M5856" s="199"/>
      <c r="N5856" s="200"/>
      <c r="P5856" s="199"/>
    </row>
    <row r="5857" spans="7:16" x14ac:dyDescent="0.2">
      <c r="G5857" s="199"/>
      <c r="I5857" s="199"/>
      <c r="K5857" s="199"/>
      <c r="M5857" s="199"/>
      <c r="N5857" s="200"/>
      <c r="P5857" s="199"/>
    </row>
    <row r="5858" spans="7:16" x14ac:dyDescent="0.2">
      <c r="G5858" s="199"/>
      <c r="I5858" s="199"/>
      <c r="K5858" s="199"/>
      <c r="M5858" s="199"/>
      <c r="N5858" s="200"/>
      <c r="P5858" s="199"/>
    </row>
    <row r="5859" spans="7:16" x14ac:dyDescent="0.2">
      <c r="G5859" s="199"/>
      <c r="I5859" s="199"/>
      <c r="K5859" s="199"/>
      <c r="M5859" s="199"/>
      <c r="N5859" s="200"/>
      <c r="P5859" s="199"/>
    </row>
    <row r="5860" spans="7:16" x14ac:dyDescent="0.2">
      <c r="G5860" s="199"/>
      <c r="I5860" s="199"/>
      <c r="K5860" s="199"/>
      <c r="M5860" s="199"/>
      <c r="N5860" s="200"/>
      <c r="P5860" s="199"/>
    </row>
    <row r="5861" spans="7:16" x14ac:dyDescent="0.2">
      <c r="G5861" s="199"/>
      <c r="I5861" s="199"/>
      <c r="K5861" s="199"/>
      <c r="M5861" s="199"/>
      <c r="N5861" s="200"/>
      <c r="P5861" s="199"/>
    </row>
    <row r="5862" spans="7:16" x14ac:dyDescent="0.2">
      <c r="G5862" s="199"/>
      <c r="I5862" s="199"/>
      <c r="K5862" s="199"/>
      <c r="M5862" s="199"/>
      <c r="N5862" s="200"/>
      <c r="P5862" s="199"/>
    </row>
    <row r="5863" spans="7:16" x14ac:dyDescent="0.2">
      <c r="G5863" s="199"/>
      <c r="I5863" s="199"/>
      <c r="K5863" s="199"/>
      <c r="M5863" s="199"/>
      <c r="N5863" s="200"/>
      <c r="P5863" s="199"/>
    </row>
    <row r="5864" spans="7:16" x14ac:dyDescent="0.2">
      <c r="G5864" s="199"/>
      <c r="I5864" s="199"/>
      <c r="K5864" s="199"/>
      <c r="M5864" s="199"/>
      <c r="N5864" s="200"/>
      <c r="P5864" s="199"/>
    </row>
    <row r="5865" spans="7:16" x14ac:dyDescent="0.2">
      <c r="G5865" s="199"/>
      <c r="I5865" s="199"/>
      <c r="K5865" s="199"/>
      <c r="M5865" s="199"/>
      <c r="N5865" s="200"/>
      <c r="P5865" s="199"/>
    </row>
    <row r="5866" spans="7:16" x14ac:dyDescent="0.2">
      <c r="G5866" s="199"/>
      <c r="I5866" s="199"/>
      <c r="K5866" s="199"/>
      <c r="M5866" s="199"/>
      <c r="N5866" s="200"/>
      <c r="P5866" s="199"/>
    </row>
    <row r="5867" spans="7:16" x14ac:dyDescent="0.2">
      <c r="G5867" s="199"/>
      <c r="I5867" s="199"/>
      <c r="K5867" s="199"/>
      <c r="M5867" s="199"/>
      <c r="N5867" s="200"/>
      <c r="P5867" s="199"/>
    </row>
    <row r="5868" spans="7:16" x14ac:dyDescent="0.2">
      <c r="G5868" s="199"/>
      <c r="I5868" s="199"/>
      <c r="K5868" s="199"/>
      <c r="M5868" s="199"/>
      <c r="N5868" s="200"/>
      <c r="P5868" s="199"/>
    </row>
    <row r="5869" spans="7:16" x14ac:dyDescent="0.2">
      <c r="G5869" s="199"/>
      <c r="I5869" s="199"/>
      <c r="K5869" s="199"/>
      <c r="M5869" s="199"/>
      <c r="N5869" s="200"/>
      <c r="P5869" s="199"/>
    </row>
    <row r="5870" spans="7:16" x14ac:dyDescent="0.2">
      <c r="G5870" s="199"/>
      <c r="I5870" s="199"/>
      <c r="K5870" s="199"/>
      <c r="M5870" s="199"/>
      <c r="N5870" s="200"/>
      <c r="P5870" s="199"/>
    </row>
    <row r="5871" spans="7:16" x14ac:dyDescent="0.2">
      <c r="G5871" s="199"/>
      <c r="I5871" s="199"/>
      <c r="K5871" s="199"/>
      <c r="M5871" s="199"/>
      <c r="N5871" s="200"/>
      <c r="P5871" s="199"/>
    </row>
    <row r="5872" spans="7:16" x14ac:dyDescent="0.2">
      <c r="G5872" s="199"/>
      <c r="I5872" s="199"/>
      <c r="K5872" s="199"/>
      <c r="M5872" s="199"/>
      <c r="N5872" s="200"/>
      <c r="P5872" s="199"/>
    </row>
    <row r="5873" spans="7:16" x14ac:dyDescent="0.2">
      <c r="G5873" s="199"/>
      <c r="I5873" s="199"/>
      <c r="K5873" s="199"/>
      <c r="M5873" s="199"/>
      <c r="N5873" s="200"/>
      <c r="P5873" s="199"/>
    </row>
    <row r="5874" spans="7:16" x14ac:dyDescent="0.2">
      <c r="G5874" s="199"/>
      <c r="I5874" s="199"/>
      <c r="K5874" s="199"/>
      <c r="M5874" s="199"/>
      <c r="N5874" s="200"/>
      <c r="P5874" s="199"/>
    </row>
    <row r="5875" spans="7:16" x14ac:dyDescent="0.2">
      <c r="G5875" s="199"/>
      <c r="I5875" s="199"/>
      <c r="K5875" s="199"/>
      <c r="M5875" s="199"/>
      <c r="N5875" s="200"/>
      <c r="P5875" s="199"/>
    </row>
    <row r="5876" spans="7:16" x14ac:dyDescent="0.2">
      <c r="G5876" s="199"/>
      <c r="I5876" s="199"/>
      <c r="K5876" s="199"/>
      <c r="M5876" s="199"/>
      <c r="N5876" s="200"/>
      <c r="P5876" s="199"/>
    </row>
    <row r="5877" spans="7:16" x14ac:dyDescent="0.2">
      <c r="G5877" s="199"/>
      <c r="I5877" s="199"/>
      <c r="K5877" s="199"/>
      <c r="M5877" s="199"/>
      <c r="N5877" s="200"/>
      <c r="P5877" s="199"/>
    </row>
    <row r="5878" spans="7:16" x14ac:dyDescent="0.2">
      <c r="G5878" s="199"/>
      <c r="I5878" s="199"/>
      <c r="K5878" s="199"/>
      <c r="M5878" s="199"/>
      <c r="N5878" s="200"/>
      <c r="P5878" s="199"/>
    </row>
    <row r="5879" spans="7:16" x14ac:dyDescent="0.2">
      <c r="G5879" s="199"/>
      <c r="I5879" s="199"/>
      <c r="K5879" s="199"/>
      <c r="M5879" s="199"/>
      <c r="N5879" s="200"/>
      <c r="P5879" s="199"/>
    </row>
    <row r="5880" spans="7:16" x14ac:dyDescent="0.2">
      <c r="G5880" s="199"/>
      <c r="I5880" s="199"/>
      <c r="K5880" s="199"/>
      <c r="M5880" s="199"/>
      <c r="N5880" s="200"/>
      <c r="P5880" s="199"/>
    </row>
    <row r="5881" spans="7:16" x14ac:dyDescent="0.2">
      <c r="G5881" s="199"/>
      <c r="I5881" s="199"/>
      <c r="K5881" s="199"/>
      <c r="M5881" s="199"/>
      <c r="N5881" s="200"/>
      <c r="P5881" s="199"/>
    </row>
    <row r="5882" spans="7:16" x14ac:dyDescent="0.2">
      <c r="G5882" s="199"/>
      <c r="I5882" s="199"/>
      <c r="K5882" s="199"/>
      <c r="M5882" s="199"/>
      <c r="N5882" s="200"/>
      <c r="P5882" s="199"/>
    </row>
    <row r="5883" spans="7:16" x14ac:dyDescent="0.2">
      <c r="G5883" s="199"/>
      <c r="I5883" s="199"/>
      <c r="K5883" s="199"/>
      <c r="M5883" s="199"/>
      <c r="N5883" s="200"/>
      <c r="P5883" s="199"/>
    </row>
    <row r="5884" spans="7:16" x14ac:dyDescent="0.2">
      <c r="G5884" s="199"/>
      <c r="I5884" s="199"/>
      <c r="K5884" s="199"/>
      <c r="M5884" s="199"/>
      <c r="N5884" s="200"/>
      <c r="P5884" s="199"/>
    </row>
    <row r="5885" spans="7:16" x14ac:dyDescent="0.2">
      <c r="G5885" s="199"/>
      <c r="I5885" s="199"/>
      <c r="K5885" s="199"/>
      <c r="M5885" s="199"/>
      <c r="N5885" s="200"/>
      <c r="P5885" s="199"/>
    </row>
    <row r="5886" spans="7:16" x14ac:dyDescent="0.2">
      <c r="G5886" s="199"/>
      <c r="I5886" s="199"/>
      <c r="K5886" s="199"/>
      <c r="M5886" s="199"/>
      <c r="N5886" s="200"/>
      <c r="P5886" s="199"/>
    </row>
    <row r="5887" spans="7:16" x14ac:dyDescent="0.2">
      <c r="G5887" s="199"/>
      <c r="I5887" s="199"/>
      <c r="K5887" s="199"/>
      <c r="M5887" s="199"/>
      <c r="N5887" s="200"/>
      <c r="P5887" s="199"/>
    </row>
    <row r="5888" spans="7:16" x14ac:dyDescent="0.2">
      <c r="G5888" s="199"/>
      <c r="I5888" s="199"/>
      <c r="K5888" s="199"/>
      <c r="M5888" s="199"/>
      <c r="N5888" s="200"/>
      <c r="P5888" s="199"/>
    </row>
    <row r="5889" spans="7:16" x14ac:dyDescent="0.2">
      <c r="G5889" s="199"/>
      <c r="I5889" s="199"/>
      <c r="K5889" s="199"/>
      <c r="M5889" s="199"/>
      <c r="N5889" s="200"/>
      <c r="P5889" s="199"/>
    </row>
    <row r="5890" spans="7:16" x14ac:dyDescent="0.2">
      <c r="G5890" s="199"/>
      <c r="I5890" s="199"/>
      <c r="K5890" s="199"/>
      <c r="M5890" s="199"/>
      <c r="N5890" s="200"/>
      <c r="P5890" s="199"/>
    </row>
    <row r="5891" spans="7:16" x14ac:dyDescent="0.2">
      <c r="G5891" s="199"/>
      <c r="I5891" s="199"/>
      <c r="K5891" s="199"/>
      <c r="M5891" s="199"/>
      <c r="N5891" s="200"/>
      <c r="P5891" s="199"/>
    </row>
    <row r="5892" spans="7:16" x14ac:dyDescent="0.2">
      <c r="G5892" s="199"/>
      <c r="I5892" s="199"/>
      <c r="K5892" s="199"/>
      <c r="M5892" s="199"/>
      <c r="N5892" s="200"/>
      <c r="P5892" s="199"/>
    </row>
    <row r="5893" spans="7:16" x14ac:dyDescent="0.2">
      <c r="G5893" s="199"/>
      <c r="I5893" s="199"/>
      <c r="K5893" s="199"/>
      <c r="M5893" s="199"/>
      <c r="N5893" s="200"/>
      <c r="P5893" s="199"/>
    </row>
    <row r="5894" spans="7:16" x14ac:dyDescent="0.2">
      <c r="G5894" s="199"/>
      <c r="I5894" s="199"/>
      <c r="K5894" s="199"/>
      <c r="M5894" s="199"/>
      <c r="N5894" s="200"/>
      <c r="P5894" s="199"/>
    </row>
    <row r="5895" spans="7:16" x14ac:dyDescent="0.2">
      <c r="G5895" s="199"/>
      <c r="I5895" s="199"/>
      <c r="K5895" s="199"/>
      <c r="M5895" s="199"/>
      <c r="N5895" s="200"/>
      <c r="P5895" s="199"/>
    </row>
    <row r="5896" spans="7:16" x14ac:dyDescent="0.2">
      <c r="G5896" s="199"/>
      <c r="I5896" s="199"/>
      <c r="K5896" s="199"/>
      <c r="M5896" s="199"/>
      <c r="N5896" s="200"/>
      <c r="P5896" s="199"/>
    </row>
    <row r="5897" spans="7:16" x14ac:dyDescent="0.2">
      <c r="G5897" s="199"/>
      <c r="I5897" s="199"/>
      <c r="K5897" s="199"/>
      <c r="M5897" s="199"/>
      <c r="N5897" s="200"/>
      <c r="P5897" s="199"/>
    </row>
    <row r="5898" spans="7:16" x14ac:dyDescent="0.2">
      <c r="G5898" s="199"/>
      <c r="I5898" s="199"/>
      <c r="K5898" s="199"/>
      <c r="M5898" s="199"/>
      <c r="N5898" s="200"/>
      <c r="P5898" s="199"/>
    </row>
    <row r="5899" spans="7:16" x14ac:dyDescent="0.2">
      <c r="G5899" s="199"/>
      <c r="I5899" s="199"/>
      <c r="K5899" s="199"/>
      <c r="M5899" s="199"/>
      <c r="N5899" s="200"/>
      <c r="P5899" s="199"/>
    </row>
    <row r="5900" spans="7:16" x14ac:dyDescent="0.2">
      <c r="G5900" s="199"/>
      <c r="I5900" s="199"/>
      <c r="K5900" s="199"/>
      <c r="M5900" s="199"/>
      <c r="N5900" s="200"/>
      <c r="P5900" s="199"/>
    </row>
    <row r="5901" spans="7:16" x14ac:dyDescent="0.2">
      <c r="G5901" s="199"/>
      <c r="I5901" s="199"/>
      <c r="K5901" s="199"/>
      <c r="M5901" s="199"/>
      <c r="N5901" s="200"/>
      <c r="P5901" s="199"/>
    </row>
    <row r="5902" spans="7:16" x14ac:dyDescent="0.2">
      <c r="G5902" s="199"/>
      <c r="I5902" s="199"/>
      <c r="K5902" s="199"/>
      <c r="M5902" s="199"/>
      <c r="N5902" s="200"/>
      <c r="P5902" s="199"/>
    </row>
    <row r="5903" spans="7:16" x14ac:dyDescent="0.2">
      <c r="G5903" s="199"/>
      <c r="I5903" s="199"/>
      <c r="K5903" s="199"/>
      <c r="M5903" s="199"/>
      <c r="N5903" s="200"/>
      <c r="P5903" s="199"/>
    </row>
    <row r="5904" spans="7:16" x14ac:dyDescent="0.2">
      <c r="G5904" s="199"/>
      <c r="I5904" s="199"/>
      <c r="K5904" s="199"/>
      <c r="M5904" s="199"/>
      <c r="N5904" s="200"/>
      <c r="P5904" s="199"/>
    </row>
    <row r="5905" spans="7:16" x14ac:dyDescent="0.2">
      <c r="G5905" s="199"/>
      <c r="I5905" s="199"/>
      <c r="K5905" s="199"/>
      <c r="M5905" s="199"/>
      <c r="N5905" s="200"/>
      <c r="P5905" s="199"/>
    </row>
    <row r="5906" spans="7:16" x14ac:dyDescent="0.2">
      <c r="G5906" s="199"/>
      <c r="I5906" s="199"/>
      <c r="K5906" s="199"/>
      <c r="M5906" s="199"/>
      <c r="N5906" s="200"/>
      <c r="P5906" s="199"/>
    </row>
    <row r="5907" spans="7:16" x14ac:dyDescent="0.2">
      <c r="G5907" s="199"/>
      <c r="I5907" s="199"/>
      <c r="K5907" s="199"/>
      <c r="M5907" s="199"/>
      <c r="N5907" s="200"/>
      <c r="P5907" s="199"/>
    </row>
    <row r="5908" spans="7:16" x14ac:dyDescent="0.2">
      <c r="G5908" s="199"/>
      <c r="I5908" s="199"/>
      <c r="K5908" s="199"/>
      <c r="M5908" s="199"/>
      <c r="N5908" s="200"/>
      <c r="P5908" s="199"/>
    </row>
    <row r="5909" spans="7:16" x14ac:dyDescent="0.2">
      <c r="G5909" s="199"/>
      <c r="I5909" s="199"/>
      <c r="K5909" s="199"/>
      <c r="M5909" s="199"/>
      <c r="N5909" s="200"/>
      <c r="P5909" s="199"/>
    </row>
    <row r="5910" spans="7:16" x14ac:dyDescent="0.2">
      <c r="G5910" s="199"/>
      <c r="I5910" s="199"/>
      <c r="K5910" s="199"/>
      <c r="M5910" s="199"/>
      <c r="N5910" s="200"/>
      <c r="P5910" s="199"/>
    </row>
    <row r="5911" spans="7:16" x14ac:dyDescent="0.2">
      <c r="G5911" s="199"/>
      <c r="I5911" s="199"/>
      <c r="K5911" s="199"/>
      <c r="M5911" s="199"/>
      <c r="N5911" s="200"/>
      <c r="P5911" s="199"/>
    </row>
    <row r="5912" spans="7:16" x14ac:dyDescent="0.2">
      <c r="G5912" s="199"/>
      <c r="I5912" s="199"/>
      <c r="K5912" s="199"/>
      <c r="M5912" s="199"/>
      <c r="N5912" s="200"/>
      <c r="P5912" s="199"/>
    </row>
    <row r="5913" spans="7:16" x14ac:dyDescent="0.2">
      <c r="G5913" s="199"/>
      <c r="I5913" s="199"/>
      <c r="K5913" s="199"/>
      <c r="M5913" s="199"/>
      <c r="N5913" s="200"/>
      <c r="P5913" s="199"/>
    </row>
    <row r="5914" spans="7:16" x14ac:dyDescent="0.2">
      <c r="G5914" s="199"/>
      <c r="I5914" s="199"/>
      <c r="K5914" s="199"/>
      <c r="M5914" s="199"/>
      <c r="N5914" s="200"/>
      <c r="P5914" s="199"/>
    </row>
    <row r="5915" spans="7:16" x14ac:dyDescent="0.2">
      <c r="G5915" s="199"/>
      <c r="I5915" s="199"/>
      <c r="K5915" s="199"/>
      <c r="M5915" s="199"/>
      <c r="N5915" s="200"/>
      <c r="P5915" s="199"/>
    </row>
    <row r="5916" spans="7:16" x14ac:dyDescent="0.2">
      <c r="G5916" s="199"/>
      <c r="I5916" s="199"/>
      <c r="K5916" s="199"/>
      <c r="M5916" s="199"/>
      <c r="N5916" s="200"/>
      <c r="P5916" s="199"/>
    </row>
    <row r="5917" spans="7:16" x14ac:dyDescent="0.2">
      <c r="G5917" s="199"/>
      <c r="I5917" s="199"/>
      <c r="K5917" s="199"/>
      <c r="M5917" s="199"/>
      <c r="N5917" s="200"/>
      <c r="P5917" s="199"/>
    </row>
    <row r="5918" spans="7:16" x14ac:dyDescent="0.2">
      <c r="G5918" s="199"/>
      <c r="I5918" s="199"/>
      <c r="K5918" s="199"/>
      <c r="M5918" s="199"/>
      <c r="N5918" s="200"/>
      <c r="P5918" s="199"/>
    </row>
    <row r="5919" spans="7:16" x14ac:dyDescent="0.2">
      <c r="G5919" s="199"/>
      <c r="I5919" s="199"/>
      <c r="K5919" s="199"/>
      <c r="M5919" s="199"/>
      <c r="N5919" s="200"/>
      <c r="P5919" s="199"/>
    </row>
    <row r="5920" spans="7:16" x14ac:dyDescent="0.2">
      <c r="G5920" s="199"/>
      <c r="I5920" s="199"/>
      <c r="K5920" s="199"/>
      <c r="M5920" s="199"/>
      <c r="N5920" s="200"/>
      <c r="P5920" s="199"/>
    </row>
    <row r="5921" spans="7:16" x14ac:dyDescent="0.2">
      <c r="G5921" s="199"/>
      <c r="I5921" s="199"/>
      <c r="K5921" s="199"/>
      <c r="M5921" s="199"/>
      <c r="N5921" s="200"/>
      <c r="P5921" s="199"/>
    </row>
    <row r="5922" spans="7:16" x14ac:dyDescent="0.2">
      <c r="G5922" s="199"/>
      <c r="I5922" s="199"/>
      <c r="K5922" s="199"/>
      <c r="M5922" s="199"/>
      <c r="N5922" s="200"/>
      <c r="P5922" s="199"/>
    </row>
    <row r="5923" spans="7:16" x14ac:dyDescent="0.2">
      <c r="G5923" s="199"/>
      <c r="I5923" s="199"/>
      <c r="K5923" s="199"/>
      <c r="M5923" s="199"/>
      <c r="N5923" s="200"/>
      <c r="P5923" s="199"/>
    </row>
    <row r="5924" spans="7:16" x14ac:dyDescent="0.2">
      <c r="G5924" s="199"/>
      <c r="I5924" s="199"/>
      <c r="K5924" s="199"/>
      <c r="M5924" s="199"/>
      <c r="N5924" s="200"/>
      <c r="P5924" s="199"/>
    </row>
    <row r="5925" spans="7:16" x14ac:dyDescent="0.2">
      <c r="G5925" s="199"/>
      <c r="I5925" s="199"/>
      <c r="K5925" s="199"/>
      <c r="M5925" s="199"/>
      <c r="N5925" s="200"/>
      <c r="P5925" s="199"/>
    </row>
    <row r="5926" spans="7:16" x14ac:dyDescent="0.2">
      <c r="G5926" s="199"/>
      <c r="I5926" s="199"/>
      <c r="K5926" s="199"/>
      <c r="M5926" s="199"/>
      <c r="N5926" s="200"/>
      <c r="P5926" s="199"/>
    </row>
    <row r="5927" spans="7:16" x14ac:dyDescent="0.2">
      <c r="G5927" s="199"/>
      <c r="I5927" s="199"/>
      <c r="K5927" s="199"/>
      <c r="M5927" s="199"/>
      <c r="N5927" s="200"/>
      <c r="P5927" s="199"/>
    </row>
    <row r="5928" spans="7:16" x14ac:dyDescent="0.2">
      <c r="G5928" s="199"/>
      <c r="I5928" s="199"/>
      <c r="K5928" s="199"/>
      <c r="M5928" s="199"/>
      <c r="N5928" s="200"/>
      <c r="P5928" s="199"/>
    </row>
    <row r="5929" spans="7:16" x14ac:dyDescent="0.2">
      <c r="G5929" s="199"/>
      <c r="I5929" s="199"/>
      <c r="K5929" s="199"/>
      <c r="M5929" s="199"/>
      <c r="N5929" s="200"/>
      <c r="P5929" s="199"/>
    </row>
    <row r="5930" spans="7:16" x14ac:dyDescent="0.2">
      <c r="G5930" s="199"/>
      <c r="I5930" s="199"/>
      <c r="K5930" s="199"/>
      <c r="M5930" s="199"/>
      <c r="N5930" s="200"/>
      <c r="P5930" s="199"/>
    </row>
    <row r="5931" spans="7:16" x14ac:dyDescent="0.2">
      <c r="G5931" s="199"/>
      <c r="I5931" s="199"/>
      <c r="K5931" s="199"/>
      <c r="M5931" s="199"/>
      <c r="N5931" s="200"/>
      <c r="P5931" s="199"/>
    </row>
    <row r="5932" spans="7:16" x14ac:dyDescent="0.2">
      <c r="G5932" s="199"/>
      <c r="I5932" s="199"/>
      <c r="K5932" s="199"/>
      <c r="M5932" s="199"/>
      <c r="N5932" s="200"/>
      <c r="P5932" s="199"/>
    </row>
    <row r="5933" spans="7:16" x14ac:dyDescent="0.2">
      <c r="G5933" s="199"/>
      <c r="I5933" s="199"/>
      <c r="K5933" s="199"/>
      <c r="M5933" s="199"/>
      <c r="N5933" s="200"/>
      <c r="P5933" s="199"/>
    </row>
    <row r="5934" spans="7:16" x14ac:dyDescent="0.2">
      <c r="G5934" s="199"/>
      <c r="I5934" s="199"/>
      <c r="K5934" s="199"/>
      <c r="M5934" s="199"/>
      <c r="N5934" s="200"/>
      <c r="P5934" s="199"/>
    </row>
    <row r="5935" spans="7:16" x14ac:dyDescent="0.2">
      <c r="G5935" s="199"/>
      <c r="I5935" s="199"/>
      <c r="K5935" s="199"/>
      <c r="M5935" s="199"/>
      <c r="N5935" s="200"/>
      <c r="P5935" s="199"/>
    </row>
    <row r="5936" spans="7:16" x14ac:dyDescent="0.2">
      <c r="G5936" s="199"/>
      <c r="I5936" s="199"/>
      <c r="K5936" s="199"/>
      <c r="M5936" s="199"/>
      <c r="N5936" s="200"/>
      <c r="P5936" s="199"/>
    </row>
    <row r="5937" spans="7:16" x14ac:dyDescent="0.2">
      <c r="G5937" s="199"/>
      <c r="I5937" s="199"/>
      <c r="K5937" s="199"/>
      <c r="M5937" s="199"/>
      <c r="N5937" s="200"/>
      <c r="P5937" s="199"/>
    </row>
    <row r="5938" spans="7:16" x14ac:dyDescent="0.2">
      <c r="G5938" s="199"/>
      <c r="I5938" s="199"/>
      <c r="K5938" s="199"/>
      <c r="M5938" s="199"/>
      <c r="N5938" s="200"/>
      <c r="P5938" s="199"/>
    </row>
    <row r="5939" spans="7:16" x14ac:dyDescent="0.2">
      <c r="G5939" s="199"/>
      <c r="I5939" s="199"/>
      <c r="K5939" s="199"/>
      <c r="M5939" s="199"/>
      <c r="N5939" s="200"/>
      <c r="P5939" s="199"/>
    </row>
    <row r="5940" spans="7:16" x14ac:dyDescent="0.2">
      <c r="G5940" s="199"/>
      <c r="I5940" s="199"/>
      <c r="K5940" s="199"/>
      <c r="M5940" s="199"/>
      <c r="N5940" s="200"/>
      <c r="P5940" s="199"/>
    </row>
    <row r="5941" spans="7:16" x14ac:dyDescent="0.2">
      <c r="G5941" s="199"/>
      <c r="I5941" s="199"/>
      <c r="K5941" s="199"/>
      <c r="M5941" s="199"/>
      <c r="N5941" s="200"/>
      <c r="P5941" s="199"/>
    </row>
    <row r="5942" spans="7:16" x14ac:dyDescent="0.2">
      <c r="G5942" s="199"/>
      <c r="I5942" s="199"/>
      <c r="K5942" s="199"/>
      <c r="M5942" s="199"/>
      <c r="N5942" s="200"/>
      <c r="P5942" s="199"/>
    </row>
    <row r="5943" spans="7:16" x14ac:dyDescent="0.2">
      <c r="G5943" s="199"/>
      <c r="I5943" s="199"/>
      <c r="K5943" s="199"/>
      <c r="M5943" s="199"/>
      <c r="N5943" s="200"/>
      <c r="P5943" s="199"/>
    </row>
    <row r="5944" spans="7:16" x14ac:dyDescent="0.2">
      <c r="G5944" s="199"/>
      <c r="I5944" s="199"/>
      <c r="K5944" s="199"/>
      <c r="M5944" s="199"/>
      <c r="N5944" s="200"/>
      <c r="P5944" s="199"/>
    </row>
    <row r="5945" spans="7:16" x14ac:dyDescent="0.2">
      <c r="G5945" s="199"/>
      <c r="I5945" s="199"/>
      <c r="K5945" s="199"/>
      <c r="M5945" s="199"/>
      <c r="N5945" s="200"/>
      <c r="P5945" s="199"/>
    </row>
    <row r="5946" spans="7:16" x14ac:dyDescent="0.2">
      <c r="G5946" s="199"/>
      <c r="I5946" s="199"/>
      <c r="K5946" s="199"/>
      <c r="M5946" s="199"/>
      <c r="N5946" s="200"/>
      <c r="P5946" s="199"/>
    </row>
    <row r="5947" spans="7:16" x14ac:dyDescent="0.2">
      <c r="G5947" s="199"/>
      <c r="I5947" s="199"/>
      <c r="K5947" s="199"/>
      <c r="M5947" s="199"/>
      <c r="N5947" s="200"/>
      <c r="P5947" s="199"/>
    </row>
    <row r="5948" spans="7:16" x14ac:dyDescent="0.2">
      <c r="G5948" s="199"/>
      <c r="I5948" s="199"/>
      <c r="K5948" s="199"/>
      <c r="M5948" s="199"/>
      <c r="N5948" s="200"/>
      <c r="P5948" s="199"/>
    </row>
    <row r="5949" spans="7:16" x14ac:dyDescent="0.2">
      <c r="G5949" s="199"/>
      <c r="I5949" s="199"/>
      <c r="K5949" s="199"/>
      <c r="M5949" s="199"/>
      <c r="N5949" s="200"/>
      <c r="P5949" s="199"/>
    </row>
    <row r="5950" spans="7:16" x14ac:dyDescent="0.2">
      <c r="G5950" s="199"/>
      <c r="I5950" s="199"/>
      <c r="K5950" s="199"/>
      <c r="M5950" s="199"/>
      <c r="N5950" s="200"/>
      <c r="P5950" s="199"/>
    </row>
    <row r="5951" spans="7:16" x14ac:dyDescent="0.2">
      <c r="G5951" s="199"/>
      <c r="I5951" s="199"/>
      <c r="K5951" s="199"/>
      <c r="M5951" s="199"/>
      <c r="N5951" s="200"/>
      <c r="P5951" s="199"/>
    </row>
    <row r="5952" spans="7:16" x14ac:dyDescent="0.2">
      <c r="G5952" s="199"/>
      <c r="I5952" s="199"/>
      <c r="K5952" s="199"/>
      <c r="M5952" s="199"/>
      <c r="N5952" s="200"/>
      <c r="P5952" s="199"/>
    </row>
    <row r="5953" spans="7:16" x14ac:dyDescent="0.2">
      <c r="G5953" s="199"/>
      <c r="I5953" s="199"/>
      <c r="K5953" s="199"/>
      <c r="M5953" s="199"/>
      <c r="N5953" s="200"/>
      <c r="P5953" s="199"/>
    </row>
    <row r="5954" spans="7:16" x14ac:dyDescent="0.2">
      <c r="G5954" s="199"/>
      <c r="I5954" s="199"/>
      <c r="K5954" s="199"/>
      <c r="M5954" s="199"/>
      <c r="N5954" s="200"/>
      <c r="P5954" s="199"/>
    </row>
    <row r="5955" spans="7:16" x14ac:dyDescent="0.2">
      <c r="G5955" s="199"/>
      <c r="I5955" s="199"/>
      <c r="K5955" s="199"/>
      <c r="M5955" s="199"/>
      <c r="N5955" s="200"/>
      <c r="P5955" s="199"/>
    </row>
    <row r="5956" spans="7:16" x14ac:dyDescent="0.2">
      <c r="G5956" s="199"/>
      <c r="I5956" s="199"/>
      <c r="K5956" s="199"/>
      <c r="M5956" s="199"/>
      <c r="N5956" s="200"/>
      <c r="P5956" s="199"/>
    </row>
    <row r="5957" spans="7:16" x14ac:dyDescent="0.2">
      <c r="G5957" s="199"/>
      <c r="I5957" s="199"/>
      <c r="K5957" s="199"/>
      <c r="M5957" s="199"/>
      <c r="N5957" s="200"/>
      <c r="P5957" s="199"/>
    </row>
    <row r="5958" spans="7:16" x14ac:dyDescent="0.2">
      <c r="G5958" s="199"/>
      <c r="I5958" s="199"/>
      <c r="K5958" s="199"/>
      <c r="M5958" s="199"/>
      <c r="N5958" s="200"/>
      <c r="P5958" s="199"/>
    </row>
    <row r="5959" spans="7:16" x14ac:dyDescent="0.2">
      <c r="G5959" s="199"/>
      <c r="I5959" s="199"/>
      <c r="K5959" s="199"/>
      <c r="M5959" s="199"/>
      <c r="N5959" s="200"/>
      <c r="P5959" s="199"/>
    </row>
    <row r="5960" spans="7:16" x14ac:dyDescent="0.2">
      <c r="G5960" s="199"/>
      <c r="I5960" s="199"/>
      <c r="K5960" s="199"/>
      <c r="M5960" s="199"/>
      <c r="N5960" s="200"/>
      <c r="P5960" s="199"/>
    </row>
    <row r="5961" spans="7:16" x14ac:dyDescent="0.2">
      <c r="G5961" s="199"/>
      <c r="I5961" s="199"/>
      <c r="K5961" s="199"/>
      <c r="M5961" s="199"/>
      <c r="N5961" s="200"/>
      <c r="P5961" s="199"/>
    </row>
    <row r="5962" spans="7:16" x14ac:dyDescent="0.2">
      <c r="G5962" s="199"/>
      <c r="I5962" s="199"/>
      <c r="K5962" s="199"/>
      <c r="M5962" s="199"/>
      <c r="N5962" s="200"/>
      <c r="P5962" s="199"/>
    </row>
    <row r="5963" spans="7:16" x14ac:dyDescent="0.2">
      <c r="G5963" s="199"/>
      <c r="I5963" s="199"/>
      <c r="K5963" s="199"/>
      <c r="M5963" s="199"/>
      <c r="N5963" s="200"/>
      <c r="P5963" s="199"/>
    </row>
    <row r="5964" spans="7:16" x14ac:dyDescent="0.2">
      <c r="G5964" s="199"/>
      <c r="I5964" s="199"/>
      <c r="K5964" s="199"/>
      <c r="M5964" s="199"/>
      <c r="N5964" s="200"/>
      <c r="P5964" s="199"/>
    </row>
    <row r="5965" spans="7:16" x14ac:dyDescent="0.2">
      <c r="G5965" s="199"/>
      <c r="I5965" s="199"/>
      <c r="K5965" s="199"/>
      <c r="M5965" s="199"/>
      <c r="N5965" s="200"/>
      <c r="P5965" s="199"/>
    </row>
    <row r="5966" spans="7:16" x14ac:dyDescent="0.2">
      <c r="G5966" s="199"/>
      <c r="I5966" s="199"/>
      <c r="K5966" s="199"/>
      <c r="M5966" s="199"/>
      <c r="N5966" s="200"/>
      <c r="P5966" s="199"/>
    </row>
    <row r="5967" spans="7:16" x14ac:dyDescent="0.2">
      <c r="G5967" s="199"/>
      <c r="I5967" s="199"/>
      <c r="K5967" s="199"/>
      <c r="M5967" s="199"/>
      <c r="N5967" s="200"/>
      <c r="P5967" s="199"/>
    </row>
    <row r="5968" spans="7:16" x14ac:dyDescent="0.2">
      <c r="G5968" s="199"/>
      <c r="I5968" s="199"/>
      <c r="K5968" s="199"/>
      <c r="M5968" s="199"/>
      <c r="N5968" s="200"/>
      <c r="P5968" s="199"/>
    </row>
    <row r="5969" spans="7:16" x14ac:dyDescent="0.2">
      <c r="G5969" s="199"/>
      <c r="I5969" s="199"/>
      <c r="K5969" s="199"/>
      <c r="M5969" s="199"/>
      <c r="N5969" s="200"/>
      <c r="P5969" s="199"/>
    </row>
    <row r="5970" spans="7:16" x14ac:dyDescent="0.2">
      <c r="G5970" s="199"/>
      <c r="I5970" s="199"/>
      <c r="K5970" s="199"/>
      <c r="M5970" s="199"/>
      <c r="N5970" s="200"/>
      <c r="P5970" s="199"/>
    </row>
    <row r="5971" spans="7:16" x14ac:dyDescent="0.2">
      <c r="G5971" s="199"/>
      <c r="I5971" s="199"/>
      <c r="K5971" s="199"/>
      <c r="M5971" s="199"/>
      <c r="N5971" s="200"/>
      <c r="P5971" s="199"/>
    </row>
    <row r="5972" spans="7:16" x14ac:dyDescent="0.2">
      <c r="G5972" s="199"/>
      <c r="I5972" s="199"/>
      <c r="K5972" s="199"/>
      <c r="M5972" s="199"/>
      <c r="N5972" s="200"/>
      <c r="P5972" s="199"/>
    </row>
    <row r="5973" spans="7:16" x14ac:dyDescent="0.2">
      <c r="G5973" s="199"/>
      <c r="I5973" s="199"/>
      <c r="K5973" s="199"/>
      <c r="M5973" s="199"/>
      <c r="N5973" s="200"/>
      <c r="P5973" s="199"/>
    </row>
    <row r="5974" spans="7:16" x14ac:dyDescent="0.2">
      <c r="G5974" s="199"/>
      <c r="I5974" s="199"/>
      <c r="K5974" s="199"/>
      <c r="M5974" s="199"/>
      <c r="N5974" s="200"/>
      <c r="P5974" s="199"/>
    </row>
    <row r="5975" spans="7:16" x14ac:dyDescent="0.2">
      <c r="G5975" s="199"/>
      <c r="I5975" s="199"/>
      <c r="K5975" s="199"/>
      <c r="M5975" s="199"/>
      <c r="N5975" s="200"/>
      <c r="P5975" s="199"/>
    </row>
    <row r="5976" spans="7:16" x14ac:dyDescent="0.2">
      <c r="G5976" s="199"/>
      <c r="I5976" s="199"/>
      <c r="K5976" s="199"/>
      <c r="M5976" s="199"/>
      <c r="N5976" s="200"/>
      <c r="P5976" s="199"/>
    </row>
    <row r="5977" spans="7:16" x14ac:dyDescent="0.2">
      <c r="G5977" s="199"/>
      <c r="I5977" s="199"/>
      <c r="K5977" s="199"/>
      <c r="M5977" s="199"/>
      <c r="N5977" s="200"/>
      <c r="P5977" s="199"/>
    </row>
    <row r="5978" spans="7:16" x14ac:dyDescent="0.2">
      <c r="G5978" s="199"/>
      <c r="I5978" s="199"/>
      <c r="K5978" s="199"/>
      <c r="M5978" s="199"/>
      <c r="N5978" s="200"/>
      <c r="P5978" s="199"/>
    </row>
    <row r="5979" spans="7:16" x14ac:dyDescent="0.2">
      <c r="G5979" s="199"/>
      <c r="I5979" s="199"/>
      <c r="K5979" s="199"/>
      <c r="M5979" s="199"/>
      <c r="N5979" s="200"/>
      <c r="P5979" s="199"/>
    </row>
    <row r="5980" spans="7:16" x14ac:dyDescent="0.2">
      <c r="G5980" s="199"/>
      <c r="I5980" s="199"/>
      <c r="K5980" s="199"/>
      <c r="M5980" s="199"/>
      <c r="N5980" s="200"/>
      <c r="P5980" s="199"/>
    </row>
    <row r="5981" spans="7:16" x14ac:dyDescent="0.2">
      <c r="G5981" s="199"/>
      <c r="I5981" s="199"/>
      <c r="K5981" s="199"/>
      <c r="M5981" s="199"/>
      <c r="N5981" s="200"/>
      <c r="P5981" s="199"/>
    </row>
    <row r="5982" spans="7:16" x14ac:dyDescent="0.2">
      <c r="G5982" s="199"/>
      <c r="I5982" s="199"/>
      <c r="K5982" s="199"/>
      <c r="M5982" s="199"/>
      <c r="N5982" s="200"/>
      <c r="P5982" s="199"/>
    </row>
    <row r="5983" spans="7:16" x14ac:dyDescent="0.2">
      <c r="G5983" s="199"/>
      <c r="I5983" s="199"/>
      <c r="K5983" s="199"/>
      <c r="M5983" s="199"/>
      <c r="N5983" s="200"/>
      <c r="P5983" s="199"/>
    </row>
    <row r="5984" spans="7:16" x14ac:dyDescent="0.2">
      <c r="G5984" s="199"/>
      <c r="I5984" s="199"/>
      <c r="K5984" s="199"/>
      <c r="M5984" s="199"/>
      <c r="N5984" s="200"/>
      <c r="P5984" s="199"/>
    </row>
    <row r="5985" spans="7:16" x14ac:dyDescent="0.2">
      <c r="G5985" s="199"/>
      <c r="I5985" s="199"/>
      <c r="K5985" s="199"/>
      <c r="M5985" s="199"/>
      <c r="N5985" s="200"/>
      <c r="P5985" s="199"/>
    </row>
    <row r="5986" spans="7:16" x14ac:dyDescent="0.2">
      <c r="G5986" s="199"/>
      <c r="I5986" s="199"/>
      <c r="K5986" s="199"/>
      <c r="M5986" s="199"/>
      <c r="N5986" s="200"/>
      <c r="P5986" s="199"/>
    </row>
    <row r="5987" spans="7:16" x14ac:dyDescent="0.2">
      <c r="G5987" s="199"/>
      <c r="I5987" s="199"/>
      <c r="K5987" s="199"/>
      <c r="M5987" s="199"/>
      <c r="N5987" s="200"/>
      <c r="P5987" s="199"/>
    </row>
    <row r="5988" spans="7:16" x14ac:dyDescent="0.2">
      <c r="G5988" s="199"/>
      <c r="I5988" s="199"/>
      <c r="K5988" s="199"/>
      <c r="M5988" s="199"/>
      <c r="N5988" s="200"/>
      <c r="P5988" s="199"/>
    </row>
    <row r="5989" spans="7:16" x14ac:dyDescent="0.2">
      <c r="G5989" s="199"/>
      <c r="I5989" s="199"/>
      <c r="K5989" s="199"/>
      <c r="M5989" s="199"/>
      <c r="N5989" s="200"/>
      <c r="P5989" s="199"/>
    </row>
    <row r="5990" spans="7:16" x14ac:dyDescent="0.2">
      <c r="G5990" s="199"/>
      <c r="I5990" s="199"/>
      <c r="K5990" s="199"/>
      <c r="M5990" s="199"/>
      <c r="N5990" s="200"/>
      <c r="P5990" s="199"/>
    </row>
    <row r="5991" spans="7:16" x14ac:dyDescent="0.2">
      <c r="G5991" s="199"/>
      <c r="I5991" s="199"/>
      <c r="K5991" s="199"/>
      <c r="M5991" s="199"/>
      <c r="N5991" s="200"/>
      <c r="P5991" s="199"/>
    </row>
    <row r="5992" spans="7:16" x14ac:dyDescent="0.2">
      <c r="G5992" s="199"/>
      <c r="I5992" s="199"/>
      <c r="K5992" s="199"/>
      <c r="M5992" s="199"/>
      <c r="N5992" s="200"/>
      <c r="P5992" s="199"/>
    </row>
    <row r="5993" spans="7:16" x14ac:dyDescent="0.2">
      <c r="G5993" s="199"/>
      <c r="I5993" s="199"/>
      <c r="K5993" s="199"/>
      <c r="M5993" s="199"/>
      <c r="N5993" s="200"/>
      <c r="P5993" s="199"/>
    </row>
    <row r="5994" spans="7:16" x14ac:dyDescent="0.2">
      <c r="G5994" s="199"/>
      <c r="I5994" s="199"/>
      <c r="K5994" s="199"/>
      <c r="M5994" s="199"/>
      <c r="N5994" s="200"/>
      <c r="P5994" s="199"/>
    </row>
    <row r="5995" spans="7:16" x14ac:dyDescent="0.2">
      <c r="G5995" s="199"/>
      <c r="I5995" s="199"/>
      <c r="K5995" s="199"/>
      <c r="M5995" s="199"/>
      <c r="N5995" s="200"/>
      <c r="P5995" s="199"/>
    </row>
    <row r="5996" spans="7:16" x14ac:dyDescent="0.2">
      <c r="G5996" s="199"/>
      <c r="I5996" s="199"/>
      <c r="K5996" s="199"/>
      <c r="M5996" s="199"/>
      <c r="N5996" s="200"/>
      <c r="P5996" s="199"/>
    </row>
    <row r="5997" spans="7:16" x14ac:dyDescent="0.2">
      <c r="G5997" s="199"/>
      <c r="I5997" s="199"/>
      <c r="K5997" s="199"/>
      <c r="M5997" s="199"/>
      <c r="N5997" s="200"/>
      <c r="P5997" s="199"/>
    </row>
    <row r="5998" spans="7:16" x14ac:dyDescent="0.2">
      <c r="G5998" s="199"/>
      <c r="I5998" s="199"/>
      <c r="K5998" s="199"/>
      <c r="M5998" s="199"/>
      <c r="N5998" s="200"/>
      <c r="P5998" s="199"/>
    </row>
    <row r="5999" spans="7:16" x14ac:dyDescent="0.2">
      <c r="G5999" s="199"/>
      <c r="I5999" s="199"/>
      <c r="K5999" s="199"/>
      <c r="M5999" s="199"/>
      <c r="N5999" s="200"/>
      <c r="P5999" s="199"/>
    </row>
    <row r="6000" spans="7:16" x14ac:dyDescent="0.2">
      <c r="G6000" s="199"/>
      <c r="I6000" s="199"/>
      <c r="K6000" s="199"/>
      <c r="M6000" s="199"/>
      <c r="N6000" s="200"/>
      <c r="P6000" s="199"/>
    </row>
    <row r="6001" spans="7:16" x14ac:dyDescent="0.2">
      <c r="G6001" s="199"/>
      <c r="I6001" s="199"/>
      <c r="K6001" s="199"/>
      <c r="M6001" s="199"/>
      <c r="N6001" s="200"/>
      <c r="P6001" s="199"/>
    </row>
    <row r="6002" spans="7:16" x14ac:dyDescent="0.2">
      <c r="G6002" s="199"/>
      <c r="I6002" s="199"/>
      <c r="K6002" s="199"/>
      <c r="M6002" s="199"/>
      <c r="N6002" s="200"/>
      <c r="P6002" s="199"/>
    </row>
    <row r="6003" spans="7:16" x14ac:dyDescent="0.2">
      <c r="G6003" s="199"/>
      <c r="I6003" s="199"/>
      <c r="K6003" s="199"/>
      <c r="M6003" s="199"/>
      <c r="N6003" s="200"/>
      <c r="P6003" s="199"/>
    </row>
    <row r="6004" spans="7:16" x14ac:dyDescent="0.2">
      <c r="G6004" s="199"/>
      <c r="I6004" s="199"/>
      <c r="K6004" s="199"/>
      <c r="M6004" s="199"/>
      <c r="N6004" s="200"/>
      <c r="P6004" s="199"/>
    </row>
    <row r="6005" spans="7:16" x14ac:dyDescent="0.2">
      <c r="G6005" s="199"/>
      <c r="I6005" s="199"/>
      <c r="K6005" s="199"/>
      <c r="M6005" s="199"/>
      <c r="N6005" s="200"/>
      <c r="P6005" s="199"/>
    </row>
    <row r="6006" spans="7:16" x14ac:dyDescent="0.2">
      <c r="G6006" s="199"/>
      <c r="I6006" s="199"/>
      <c r="K6006" s="199"/>
      <c r="M6006" s="199"/>
      <c r="N6006" s="200"/>
      <c r="P6006" s="199"/>
    </row>
    <row r="6007" spans="7:16" x14ac:dyDescent="0.2">
      <c r="G6007" s="199"/>
      <c r="I6007" s="199"/>
      <c r="K6007" s="199"/>
      <c r="M6007" s="199"/>
      <c r="N6007" s="200"/>
      <c r="P6007" s="199"/>
    </row>
    <row r="6008" spans="7:16" x14ac:dyDescent="0.2">
      <c r="G6008" s="199"/>
      <c r="I6008" s="199"/>
      <c r="K6008" s="199"/>
      <c r="M6008" s="199"/>
      <c r="N6008" s="200"/>
      <c r="P6008" s="199"/>
    </row>
    <row r="6009" spans="7:16" x14ac:dyDescent="0.2">
      <c r="G6009" s="199"/>
      <c r="I6009" s="199"/>
      <c r="K6009" s="199"/>
      <c r="M6009" s="199"/>
      <c r="N6009" s="200"/>
      <c r="P6009" s="199"/>
    </row>
    <row r="6010" spans="7:16" x14ac:dyDescent="0.2">
      <c r="G6010" s="199"/>
      <c r="I6010" s="199"/>
      <c r="K6010" s="199"/>
      <c r="M6010" s="199"/>
      <c r="N6010" s="200"/>
      <c r="P6010" s="199"/>
    </row>
    <row r="6011" spans="7:16" x14ac:dyDescent="0.2">
      <c r="G6011" s="199"/>
      <c r="I6011" s="199"/>
      <c r="K6011" s="199"/>
      <c r="M6011" s="199"/>
      <c r="N6011" s="200"/>
      <c r="P6011" s="199"/>
    </row>
    <row r="6012" spans="7:16" x14ac:dyDescent="0.2">
      <c r="G6012" s="199"/>
      <c r="I6012" s="199"/>
      <c r="K6012" s="199"/>
      <c r="M6012" s="199"/>
      <c r="N6012" s="200"/>
      <c r="P6012" s="199"/>
    </row>
    <row r="6013" spans="7:16" x14ac:dyDescent="0.2">
      <c r="G6013" s="199"/>
      <c r="I6013" s="199"/>
      <c r="K6013" s="199"/>
      <c r="M6013" s="199"/>
      <c r="N6013" s="200"/>
      <c r="P6013" s="199"/>
    </row>
    <row r="6014" spans="7:16" x14ac:dyDescent="0.2">
      <c r="G6014" s="199"/>
      <c r="I6014" s="199"/>
      <c r="K6014" s="199"/>
      <c r="M6014" s="199"/>
      <c r="N6014" s="200"/>
      <c r="P6014" s="199"/>
    </row>
    <row r="6015" spans="7:16" x14ac:dyDescent="0.2">
      <c r="G6015" s="199"/>
      <c r="I6015" s="199"/>
      <c r="K6015" s="199"/>
      <c r="M6015" s="199"/>
      <c r="N6015" s="200"/>
      <c r="P6015" s="199"/>
    </row>
    <row r="6016" spans="7:16" x14ac:dyDescent="0.2">
      <c r="G6016" s="199"/>
      <c r="I6016" s="199"/>
      <c r="K6016" s="199"/>
      <c r="M6016" s="199"/>
      <c r="N6016" s="200"/>
      <c r="P6016" s="199"/>
    </row>
    <row r="6017" spans="7:16" x14ac:dyDescent="0.2">
      <c r="G6017" s="199"/>
      <c r="I6017" s="199"/>
      <c r="K6017" s="199"/>
      <c r="M6017" s="199"/>
      <c r="N6017" s="200"/>
      <c r="P6017" s="199"/>
    </row>
    <row r="6018" spans="7:16" x14ac:dyDescent="0.2">
      <c r="G6018" s="199"/>
      <c r="I6018" s="199"/>
      <c r="K6018" s="199"/>
      <c r="M6018" s="199"/>
      <c r="N6018" s="200"/>
      <c r="P6018" s="199"/>
    </row>
    <row r="6019" spans="7:16" x14ac:dyDescent="0.2">
      <c r="G6019" s="199"/>
      <c r="I6019" s="199"/>
      <c r="K6019" s="199"/>
      <c r="M6019" s="199"/>
      <c r="N6019" s="200"/>
      <c r="P6019" s="199"/>
    </row>
    <row r="6020" spans="7:16" x14ac:dyDescent="0.2">
      <c r="G6020" s="199"/>
      <c r="I6020" s="199"/>
      <c r="K6020" s="199"/>
      <c r="M6020" s="199"/>
      <c r="N6020" s="200"/>
      <c r="P6020" s="199"/>
    </row>
    <row r="6021" spans="7:16" x14ac:dyDescent="0.2">
      <c r="G6021" s="199"/>
      <c r="I6021" s="199"/>
      <c r="K6021" s="199"/>
      <c r="M6021" s="199"/>
      <c r="N6021" s="200"/>
      <c r="P6021" s="199"/>
    </row>
    <row r="6022" spans="7:16" x14ac:dyDescent="0.2">
      <c r="G6022" s="199"/>
      <c r="I6022" s="199"/>
      <c r="K6022" s="199"/>
      <c r="M6022" s="199"/>
      <c r="N6022" s="200"/>
      <c r="P6022" s="199"/>
    </row>
    <row r="6023" spans="7:16" x14ac:dyDescent="0.2">
      <c r="G6023" s="199"/>
      <c r="I6023" s="199"/>
      <c r="K6023" s="199"/>
      <c r="M6023" s="199"/>
      <c r="N6023" s="200"/>
      <c r="P6023" s="199"/>
    </row>
    <row r="6024" spans="7:16" x14ac:dyDescent="0.2">
      <c r="G6024" s="199"/>
      <c r="I6024" s="199"/>
      <c r="K6024" s="199"/>
      <c r="M6024" s="199"/>
      <c r="N6024" s="200"/>
      <c r="P6024" s="199"/>
    </row>
    <row r="6025" spans="7:16" x14ac:dyDescent="0.2">
      <c r="G6025" s="199"/>
      <c r="I6025" s="199"/>
      <c r="K6025" s="199"/>
      <c r="M6025" s="199"/>
      <c r="N6025" s="200"/>
      <c r="P6025" s="199"/>
    </row>
    <row r="6026" spans="7:16" x14ac:dyDescent="0.2">
      <c r="G6026" s="199"/>
      <c r="I6026" s="199"/>
      <c r="K6026" s="199"/>
      <c r="M6026" s="199"/>
      <c r="N6026" s="200"/>
      <c r="P6026" s="199"/>
    </row>
    <row r="6027" spans="7:16" x14ac:dyDescent="0.2">
      <c r="G6027" s="199"/>
      <c r="I6027" s="199"/>
      <c r="K6027" s="199"/>
      <c r="M6027" s="199"/>
      <c r="N6027" s="200"/>
      <c r="P6027" s="199"/>
    </row>
    <row r="6028" spans="7:16" x14ac:dyDescent="0.2">
      <c r="G6028" s="199"/>
      <c r="I6028" s="199"/>
      <c r="K6028" s="199"/>
      <c r="M6028" s="199"/>
      <c r="N6028" s="200"/>
      <c r="P6028" s="199"/>
    </row>
    <row r="6029" spans="7:16" x14ac:dyDescent="0.2">
      <c r="G6029" s="199"/>
      <c r="I6029" s="199"/>
      <c r="K6029" s="199"/>
      <c r="M6029" s="199"/>
      <c r="N6029" s="200"/>
      <c r="P6029" s="199"/>
    </row>
    <row r="6030" spans="7:16" x14ac:dyDescent="0.2">
      <c r="G6030" s="199"/>
      <c r="I6030" s="199"/>
      <c r="K6030" s="199"/>
      <c r="M6030" s="199"/>
      <c r="N6030" s="200"/>
      <c r="P6030" s="199"/>
    </row>
    <row r="6031" spans="7:16" x14ac:dyDescent="0.2">
      <c r="G6031" s="199"/>
      <c r="I6031" s="199"/>
      <c r="K6031" s="199"/>
      <c r="M6031" s="199"/>
      <c r="N6031" s="200"/>
      <c r="P6031" s="199"/>
    </row>
    <row r="6032" spans="7:16" x14ac:dyDescent="0.2">
      <c r="G6032" s="199"/>
      <c r="I6032" s="199"/>
      <c r="K6032" s="199"/>
      <c r="M6032" s="199"/>
      <c r="N6032" s="200"/>
      <c r="P6032" s="199"/>
    </row>
    <row r="6033" spans="7:16" x14ac:dyDescent="0.2">
      <c r="G6033" s="199"/>
      <c r="I6033" s="199"/>
      <c r="K6033" s="199"/>
      <c r="M6033" s="199"/>
      <c r="N6033" s="200"/>
      <c r="P6033" s="199"/>
    </row>
    <row r="6034" spans="7:16" x14ac:dyDescent="0.2">
      <c r="G6034" s="199"/>
      <c r="I6034" s="199"/>
      <c r="K6034" s="199"/>
      <c r="M6034" s="199"/>
      <c r="N6034" s="200"/>
      <c r="P6034" s="199"/>
    </row>
    <row r="6035" spans="7:16" x14ac:dyDescent="0.2">
      <c r="G6035" s="199"/>
      <c r="I6035" s="199"/>
      <c r="K6035" s="199"/>
      <c r="M6035" s="199"/>
      <c r="N6035" s="200"/>
      <c r="P6035" s="199"/>
    </row>
    <row r="6036" spans="7:16" x14ac:dyDescent="0.2">
      <c r="G6036" s="199"/>
      <c r="I6036" s="199"/>
      <c r="K6036" s="199"/>
      <c r="M6036" s="199"/>
      <c r="N6036" s="200"/>
      <c r="P6036" s="199"/>
    </row>
    <row r="6037" spans="7:16" x14ac:dyDescent="0.2">
      <c r="G6037" s="199"/>
      <c r="I6037" s="199"/>
      <c r="K6037" s="199"/>
      <c r="M6037" s="199"/>
      <c r="N6037" s="200"/>
      <c r="P6037" s="199"/>
    </row>
    <row r="6038" spans="7:16" x14ac:dyDescent="0.2">
      <c r="G6038" s="199"/>
      <c r="I6038" s="199"/>
      <c r="K6038" s="199"/>
      <c r="M6038" s="199"/>
      <c r="N6038" s="200"/>
      <c r="P6038" s="199"/>
    </row>
    <row r="6039" spans="7:16" x14ac:dyDescent="0.2">
      <c r="G6039" s="199"/>
      <c r="I6039" s="199"/>
      <c r="K6039" s="199"/>
      <c r="M6039" s="199"/>
      <c r="N6039" s="200"/>
      <c r="P6039" s="199"/>
    </row>
    <row r="6040" spans="7:16" x14ac:dyDescent="0.2">
      <c r="G6040" s="199"/>
      <c r="I6040" s="199"/>
      <c r="K6040" s="199"/>
      <c r="M6040" s="199"/>
      <c r="N6040" s="200"/>
      <c r="P6040" s="199"/>
    </row>
    <row r="6041" spans="7:16" x14ac:dyDescent="0.2">
      <c r="G6041" s="199"/>
      <c r="I6041" s="199"/>
      <c r="K6041" s="199"/>
      <c r="M6041" s="199"/>
      <c r="N6041" s="200"/>
      <c r="P6041" s="199"/>
    </row>
    <row r="6042" spans="7:16" x14ac:dyDescent="0.2">
      <c r="G6042" s="199"/>
      <c r="I6042" s="199"/>
      <c r="K6042" s="199"/>
      <c r="M6042" s="199"/>
      <c r="N6042" s="200"/>
      <c r="P6042" s="199"/>
    </row>
    <row r="6043" spans="7:16" x14ac:dyDescent="0.2">
      <c r="G6043" s="199"/>
      <c r="I6043" s="199"/>
      <c r="K6043" s="199"/>
      <c r="M6043" s="199"/>
      <c r="N6043" s="200"/>
      <c r="P6043" s="199"/>
    </row>
    <row r="6044" spans="7:16" x14ac:dyDescent="0.2">
      <c r="G6044" s="199"/>
      <c r="I6044" s="199"/>
      <c r="K6044" s="199"/>
      <c r="M6044" s="199"/>
      <c r="N6044" s="200"/>
      <c r="P6044" s="199"/>
    </row>
    <row r="6045" spans="7:16" x14ac:dyDescent="0.2">
      <c r="G6045" s="199"/>
      <c r="I6045" s="199"/>
      <c r="K6045" s="199"/>
      <c r="M6045" s="199"/>
      <c r="N6045" s="200"/>
      <c r="P6045" s="199"/>
    </row>
    <row r="6046" spans="7:16" x14ac:dyDescent="0.2">
      <c r="G6046" s="199"/>
      <c r="I6046" s="199"/>
      <c r="K6046" s="199"/>
      <c r="M6046" s="199"/>
      <c r="N6046" s="200"/>
      <c r="P6046" s="199"/>
    </row>
    <row r="6047" spans="7:16" x14ac:dyDescent="0.2">
      <c r="G6047" s="199"/>
      <c r="I6047" s="199"/>
      <c r="K6047" s="199"/>
      <c r="M6047" s="199"/>
      <c r="N6047" s="200"/>
      <c r="P6047" s="199"/>
    </row>
    <row r="6048" spans="7:16" x14ac:dyDescent="0.2">
      <c r="G6048" s="199"/>
      <c r="I6048" s="199"/>
      <c r="K6048" s="199"/>
      <c r="M6048" s="199"/>
      <c r="N6048" s="200"/>
      <c r="P6048" s="199"/>
    </row>
    <row r="6049" spans="7:16" x14ac:dyDescent="0.2">
      <c r="G6049" s="199"/>
      <c r="I6049" s="199"/>
      <c r="K6049" s="199"/>
      <c r="M6049" s="199"/>
      <c r="N6049" s="200"/>
      <c r="P6049" s="199"/>
    </row>
    <row r="6050" spans="7:16" x14ac:dyDescent="0.2">
      <c r="G6050" s="199"/>
      <c r="I6050" s="199"/>
      <c r="K6050" s="199"/>
      <c r="M6050" s="199"/>
      <c r="N6050" s="200"/>
      <c r="P6050" s="199"/>
    </row>
    <row r="6051" spans="7:16" x14ac:dyDescent="0.2">
      <c r="G6051" s="199"/>
      <c r="I6051" s="199"/>
      <c r="K6051" s="199"/>
      <c r="M6051" s="199"/>
      <c r="N6051" s="200"/>
      <c r="P6051" s="199"/>
    </row>
    <row r="6052" spans="7:16" x14ac:dyDescent="0.2">
      <c r="G6052" s="199"/>
      <c r="I6052" s="199"/>
      <c r="K6052" s="199"/>
      <c r="M6052" s="199"/>
      <c r="N6052" s="200"/>
      <c r="P6052" s="199"/>
    </row>
    <row r="6053" spans="7:16" x14ac:dyDescent="0.2">
      <c r="G6053" s="199"/>
      <c r="I6053" s="199"/>
      <c r="K6053" s="199"/>
      <c r="M6053" s="199"/>
      <c r="N6053" s="200"/>
      <c r="P6053" s="199"/>
    </row>
    <row r="6054" spans="7:16" x14ac:dyDescent="0.2">
      <c r="G6054" s="199"/>
      <c r="I6054" s="199"/>
      <c r="K6054" s="199"/>
      <c r="M6054" s="199"/>
      <c r="N6054" s="200"/>
      <c r="P6054" s="199"/>
    </row>
    <row r="6055" spans="7:16" x14ac:dyDescent="0.2">
      <c r="G6055" s="199"/>
      <c r="I6055" s="199"/>
      <c r="K6055" s="199"/>
      <c r="M6055" s="199"/>
      <c r="N6055" s="200"/>
      <c r="P6055" s="199"/>
    </row>
    <row r="6056" spans="7:16" x14ac:dyDescent="0.2">
      <c r="G6056" s="199"/>
      <c r="I6056" s="199"/>
      <c r="K6056" s="199"/>
      <c r="M6056" s="199"/>
      <c r="N6056" s="200"/>
      <c r="P6056" s="199"/>
    </row>
    <row r="6057" spans="7:16" x14ac:dyDescent="0.2">
      <c r="G6057" s="199"/>
      <c r="I6057" s="199"/>
      <c r="K6057" s="199"/>
      <c r="M6057" s="199"/>
      <c r="N6057" s="200"/>
      <c r="P6057" s="199"/>
    </row>
    <row r="6058" spans="7:16" x14ac:dyDescent="0.2">
      <c r="G6058" s="199"/>
      <c r="I6058" s="199"/>
      <c r="K6058" s="199"/>
      <c r="M6058" s="199"/>
      <c r="N6058" s="200"/>
      <c r="P6058" s="199"/>
    </row>
    <row r="6059" spans="7:16" x14ac:dyDescent="0.2">
      <c r="G6059" s="199"/>
      <c r="I6059" s="199"/>
      <c r="K6059" s="199"/>
      <c r="M6059" s="199"/>
      <c r="N6059" s="200"/>
      <c r="P6059" s="199"/>
    </row>
    <row r="6060" spans="7:16" x14ac:dyDescent="0.2">
      <c r="G6060" s="199"/>
      <c r="I6060" s="199"/>
      <c r="K6060" s="199"/>
      <c r="M6060" s="199"/>
      <c r="N6060" s="200"/>
      <c r="P6060" s="199"/>
    </row>
    <row r="6061" spans="7:16" x14ac:dyDescent="0.2">
      <c r="G6061" s="199"/>
      <c r="I6061" s="199"/>
      <c r="K6061" s="199"/>
      <c r="M6061" s="199"/>
      <c r="N6061" s="200"/>
      <c r="P6061" s="199"/>
    </row>
    <row r="6062" spans="7:16" x14ac:dyDescent="0.2">
      <c r="G6062" s="199"/>
      <c r="I6062" s="199"/>
      <c r="K6062" s="199"/>
      <c r="M6062" s="199"/>
      <c r="N6062" s="200"/>
      <c r="P6062" s="199"/>
    </row>
    <row r="6063" spans="7:16" x14ac:dyDescent="0.2">
      <c r="G6063" s="199"/>
      <c r="I6063" s="199"/>
      <c r="K6063" s="199"/>
      <c r="M6063" s="199"/>
      <c r="N6063" s="200"/>
      <c r="P6063" s="199"/>
    </row>
    <row r="6064" spans="7:16" x14ac:dyDescent="0.2">
      <c r="G6064" s="199"/>
      <c r="I6064" s="199"/>
      <c r="K6064" s="199"/>
      <c r="M6064" s="199"/>
      <c r="N6064" s="200"/>
      <c r="P6064" s="199"/>
    </row>
    <row r="6065" spans="7:16" x14ac:dyDescent="0.2">
      <c r="G6065" s="199"/>
      <c r="I6065" s="199"/>
      <c r="K6065" s="199"/>
      <c r="M6065" s="199"/>
      <c r="N6065" s="200"/>
      <c r="P6065" s="199"/>
    </row>
    <row r="6066" spans="7:16" x14ac:dyDescent="0.2">
      <c r="G6066" s="199"/>
      <c r="I6066" s="199"/>
      <c r="K6066" s="199"/>
      <c r="M6066" s="199"/>
      <c r="N6066" s="200"/>
      <c r="P6066" s="199"/>
    </row>
    <row r="6067" spans="7:16" x14ac:dyDescent="0.2">
      <c r="G6067" s="199"/>
      <c r="I6067" s="199"/>
      <c r="K6067" s="199"/>
      <c r="M6067" s="199"/>
      <c r="N6067" s="200"/>
      <c r="P6067" s="199"/>
    </row>
    <row r="6068" spans="7:16" x14ac:dyDescent="0.2">
      <c r="G6068" s="199"/>
      <c r="I6068" s="199"/>
      <c r="K6068" s="199"/>
      <c r="M6068" s="199"/>
      <c r="N6068" s="200"/>
      <c r="P6068" s="199"/>
    </row>
    <row r="6069" spans="7:16" x14ac:dyDescent="0.2">
      <c r="G6069" s="199"/>
      <c r="I6069" s="199"/>
      <c r="K6069" s="199"/>
      <c r="M6069" s="199"/>
      <c r="N6069" s="200"/>
      <c r="P6069" s="199"/>
    </row>
    <row r="6070" spans="7:16" x14ac:dyDescent="0.2">
      <c r="G6070" s="199"/>
      <c r="I6070" s="199"/>
      <c r="K6070" s="199"/>
      <c r="M6070" s="199"/>
      <c r="N6070" s="200"/>
      <c r="P6070" s="199"/>
    </row>
    <row r="6071" spans="7:16" x14ac:dyDescent="0.2">
      <c r="G6071" s="199"/>
      <c r="I6071" s="199"/>
      <c r="K6071" s="199"/>
      <c r="M6071" s="199"/>
      <c r="N6071" s="200"/>
      <c r="P6071" s="199"/>
    </row>
    <row r="6072" spans="7:16" x14ac:dyDescent="0.2">
      <c r="G6072" s="199"/>
      <c r="I6072" s="199"/>
      <c r="K6072" s="199"/>
      <c r="M6072" s="199"/>
      <c r="N6072" s="200"/>
      <c r="P6072" s="199"/>
    </row>
    <row r="6073" spans="7:16" x14ac:dyDescent="0.2">
      <c r="G6073" s="199"/>
      <c r="I6073" s="199"/>
      <c r="K6073" s="199"/>
      <c r="M6073" s="199"/>
      <c r="N6073" s="200"/>
      <c r="P6073" s="199"/>
    </row>
    <row r="6074" spans="7:16" x14ac:dyDescent="0.2">
      <c r="G6074" s="199"/>
      <c r="I6074" s="199"/>
      <c r="K6074" s="199"/>
      <c r="M6074" s="199"/>
      <c r="N6074" s="200"/>
      <c r="P6074" s="199"/>
    </row>
    <row r="6075" spans="7:16" x14ac:dyDescent="0.2">
      <c r="G6075" s="199"/>
      <c r="I6075" s="199"/>
      <c r="K6075" s="199"/>
      <c r="M6075" s="199"/>
      <c r="N6075" s="200"/>
      <c r="P6075" s="199"/>
    </row>
    <row r="6076" spans="7:16" x14ac:dyDescent="0.2">
      <c r="G6076" s="199"/>
      <c r="I6076" s="199"/>
      <c r="K6076" s="199"/>
      <c r="M6076" s="199"/>
      <c r="N6076" s="200"/>
      <c r="P6076" s="199"/>
    </row>
    <row r="6077" spans="7:16" x14ac:dyDescent="0.2">
      <c r="G6077" s="199"/>
      <c r="I6077" s="199"/>
      <c r="K6077" s="199"/>
      <c r="M6077" s="199"/>
      <c r="N6077" s="200"/>
      <c r="P6077" s="199"/>
    </row>
    <row r="6078" spans="7:16" x14ac:dyDescent="0.2">
      <c r="G6078" s="199"/>
      <c r="I6078" s="199"/>
      <c r="K6078" s="199"/>
      <c r="M6078" s="199"/>
      <c r="N6078" s="200"/>
      <c r="P6078" s="199"/>
    </row>
    <row r="6079" spans="7:16" x14ac:dyDescent="0.2">
      <c r="G6079" s="199"/>
      <c r="I6079" s="199"/>
      <c r="K6079" s="199"/>
      <c r="M6079" s="199"/>
      <c r="N6079" s="200"/>
      <c r="P6079" s="199"/>
    </row>
    <row r="6080" spans="7:16" x14ac:dyDescent="0.2">
      <c r="G6080" s="199"/>
      <c r="I6080" s="199"/>
      <c r="K6080" s="199"/>
      <c r="M6080" s="199"/>
      <c r="N6080" s="200"/>
      <c r="P6080" s="199"/>
    </row>
    <row r="6081" spans="7:16" x14ac:dyDescent="0.2">
      <c r="G6081" s="199"/>
      <c r="I6081" s="199"/>
      <c r="K6081" s="199"/>
      <c r="M6081" s="199"/>
      <c r="N6081" s="200"/>
      <c r="P6081" s="199"/>
    </row>
    <row r="6082" spans="7:16" x14ac:dyDescent="0.2">
      <c r="G6082" s="199"/>
      <c r="I6082" s="199"/>
      <c r="K6082" s="199"/>
      <c r="M6082" s="199"/>
      <c r="N6082" s="200"/>
      <c r="P6082" s="199"/>
    </row>
    <row r="6083" spans="7:16" x14ac:dyDescent="0.2">
      <c r="G6083" s="199"/>
      <c r="I6083" s="199"/>
      <c r="K6083" s="199"/>
      <c r="M6083" s="199"/>
      <c r="N6083" s="200"/>
      <c r="P6083" s="199"/>
    </row>
    <row r="6084" spans="7:16" x14ac:dyDescent="0.2">
      <c r="G6084" s="199"/>
      <c r="I6084" s="199"/>
      <c r="K6084" s="199"/>
      <c r="M6084" s="199"/>
      <c r="N6084" s="200"/>
      <c r="P6084" s="199"/>
    </row>
    <row r="6085" spans="7:16" x14ac:dyDescent="0.2">
      <c r="G6085" s="199"/>
      <c r="I6085" s="199"/>
      <c r="K6085" s="199"/>
      <c r="M6085" s="199"/>
      <c r="N6085" s="200"/>
      <c r="P6085" s="199"/>
    </row>
    <row r="6086" spans="7:16" x14ac:dyDescent="0.2">
      <c r="G6086" s="199"/>
      <c r="I6086" s="199"/>
      <c r="K6086" s="199"/>
      <c r="M6086" s="199"/>
      <c r="N6086" s="200"/>
      <c r="P6086" s="199"/>
    </row>
    <row r="6087" spans="7:16" x14ac:dyDescent="0.2">
      <c r="G6087" s="199"/>
      <c r="I6087" s="199"/>
      <c r="K6087" s="199"/>
      <c r="M6087" s="199"/>
      <c r="N6087" s="200"/>
      <c r="P6087" s="199"/>
    </row>
    <row r="6088" spans="7:16" x14ac:dyDescent="0.2">
      <c r="G6088" s="199"/>
      <c r="I6088" s="199"/>
      <c r="K6088" s="199"/>
      <c r="M6088" s="199"/>
      <c r="N6088" s="200"/>
      <c r="P6088" s="199"/>
    </row>
    <row r="6089" spans="7:16" x14ac:dyDescent="0.2">
      <c r="G6089" s="199"/>
      <c r="I6089" s="199"/>
      <c r="K6089" s="199"/>
      <c r="M6089" s="199"/>
      <c r="N6089" s="200"/>
      <c r="P6089" s="199"/>
    </row>
    <row r="6090" spans="7:16" x14ac:dyDescent="0.2">
      <c r="G6090" s="199"/>
      <c r="I6090" s="199"/>
      <c r="K6090" s="199"/>
      <c r="M6090" s="199"/>
      <c r="N6090" s="200"/>
      <c r="P6090" s="199"/>
    </row>
    <row r="6091" spans="7:16" x14ac:dyDescent="0.2">
      <c r="G6091" s="199"/>
      <c r="I6091" s="199"/>
      <c r="K6091" s="199"/>
      <c r="M6091" s="199"/>
      <c r="N6091" s="200"/>
      <c r="P6091" s="199"/>
    </row>
    <row r="6092" spans="7:16" x14ac:dyDescent="0.2">
      <c r="G6092" s="199"/>
      <c r="I6092" s="199"/>
      <c r="K6092" s="199"/>
      <c r="M6092" s="199"/>
      <c r="N6092" s="200"/>
      <c r="P6092" s="199"/>
    </row>
    <row r="6093" spans="7:16" x14ac:dyDescent="0.2">
      <c r="G6093" s="199"/>
      <c r="I6093" s="199"/>
      <c r="K6093" s="199"/>
      <c r="M6093" s="199"/>
      <c r="N6093" s="200"/>
      <c r="P6093" s="199"/>
    </row>
    <row r="6094" spans="7:16" x14ac:dyDescent="0.2">
      <c r="G6094" s="199"/>
      <c r="I6094" s="199"/>
      <c r="K6094" s="199"/>
      <c r="M6094" s="199"/>
      <c r="N6094" s="200"/>
      <c r="P6094" s="199"/>
    </row>
    <row r="6095" spans="7:16" x14ac:dyDescent="0.2">
      <c r="G6095" s="199"/>
      <c r="I6095" s="199"/>
      <c r="K6095" s="199"/>
      <c r="M6095" s="199"/>
      <c r="N6095" s="200"/>
      <c r="P6095" s="199"/>
    </row>
    <row r="6096" spans="7:16" x14ac:dyDescent="0.2">
      <c r="G6096" s="199"/>
      <c r="I6096" s="199"/>
      <c r="K6096" s="199"/>
      <c r="M6096" s="199"/>
      <c r="N6096" s="200"/>
      <c r="P6096" s="199"/>
    </row>
    <row r="6097" spans="7:16" x14ac:dyDescent="0.2">
      <c r="G6097" s="199"/>
      <c r="I6097" s="199"/>
      <c r="K6097" s="199"/>
      <c r="M6097" s="199"/>
      <c r="N6097" s="200"/>
      <c r="P6097" s="199"/>
    </row>
    <row r="6098" spans="7:16" x14ac:dyDescent="0.2">
      <c r="G6098" s="199"/>
      <c r="I6098" s="199"/>
      <c r="K6098" s="199"/>
      <c r="M6098" s="199"/>
      <c r="N6098" s="200"/>
      <c r="P6098" s="199"/>
    </row>
    <row r="6099" spans="7:16" x14ac:dyDescent="0.2">
      <c r="G6099" s="199"/>
      <c r="I6099" s="199"/>
      <c r="K6099" s="199"/>
      <c r="M6099" s="199"/>
      <c r="N6099" s="200"/>
      <c r="P6099" s="199"/>
    </row>
    <row r="6100" spans="7:16" x14ac:dyDescent="0.2">
      <c r="G6100" s="199"/>
      <c r="I6100" s="199"/>
      <c r="K6100" s="199"/>
      <c r="M6100" s="199"/>
      <c r="N6100" s="200"/>
      <c r="P6100" s="199"/>
    </row>
    <row r="6101" spans="7:16" x14ac:dyDescent="0.2">
      <c r="G6101" s="199"/>
      <c r="I6101" s="199"/>
      <c r="K6101" s="199"/>
      <c r="M6101" s="199"/>
      <c r="N6101" s="200"/>
      <c r="P6101" s="199"/>
    </row>
    <row r="6102" spans="7:16" x14ac:dyDescent="0.2">
      <c r="G6102" s="199"/>
      <c r="I6102" s="199"/>
      <c r="K6102" s="199"/>
      <c r="M6102" s="199"/>
      <c r="N6102" s="200"/>
      <c r="P6102" s="199"/>
    </row>
    <row r="6103" spans="7:16" x14ac:dyDescent="0.2">
      <c r="G6103" s="199"/>
      <c r="I6103" s="199"/>
      <c r="K6103" s="199"/>
      <c r="M6103" s="199"/>
      <c r="N6103" s="200"/>
      <c r="P6103" s="199"/>
    </row>
    <row r="6104" spans="7:16" x14ac:dyDescent="0.2">
      <c r="G6104" s="199"/>
      <c r="I6104" s="199"/>
      <c r="K6104" s="199"/>
      <c r="M6104" s="199"/>
      <c r="N6104" s="200"/>
      <c r="P6104" s="199"/>
    </row>
    <row r="6105" spans="7:16" x14ac:dyDescent="0.2">
      <c r="G6105" s="199"/>
      <c r="I6105" s="199"/>
      <c r="K6105" s="199"/>
      <c r="M6105" s="199"/>
      <c r="N6105" s="200"/>
      <c r="P6105" s="199"/>
    </row>
    <row r="6106" spans="7:16" x14ac:dyDescent="0.2">
      <c r="G6106" s="199"/>
      <c r="I6106" s="199"/>
      <c r="K6106" s="199"/>
      <c r="M6106" s="199"/>
      <c r="N6106" s="200"/>
      <c r="P6106" s="199"/>
    </row>
    <row r="6107" spans="7:16" x14ac:dyDescent="0.2">
      <c r="G6107" s="199"/>
      <c r="I6107" s="199"/>
      <c r="K6107" s="199"/>
      <c r="M6107" s="199"/>
      <c r="N6107" s="200"/>
      <c r="P6107" s="199"/>
    </row>
    <row r="6108" spans="7:16" x14ac:dyDescent="0.2">
      <c r="G6108" s="199"/>
      <c r="I6108" s="199"/>
      <c r="K6108" s="199"/>
      <c r="M6108" s="199"/>
      <c r="N6108" s="200"/>
      <c r="P6108" s="199"/>
    </row>
    <row r="6109" spans="7:16" x14ac:dyDescent="0.2">
      <c r="G6109" s="199"/>
      <c r="I6109" s="199"/>
      <c r="K6109" s="199"/>
      <c r="M6109" s="199"/>
      <c r="N6109" s="200"/>
      <c r="P6109" s="199"/>
    </row>
    <row r="6110" spans="7:16" x14ac:dyDescent="0.2">
      <c r="G6110" s="199"/>
      <c r="I6110" s="199"/>
      <c r="K6110" s="199"/>
      <c r="M6110" s="199"/>
      <c r="N6110" s="200"/>
      <c r="P6110" s="199"/>
    </row>
    <row r="6111" spans="7:16" x14ac:dyDescent="0.2">
      <c r="G6111" s="199"/>
      <c r="I6111" s="199"/>
      <c r="K6111" s="199"/>
      <c r="M6111" s="199"/>
      <c r="N6111" s="200"/>
      <c r="P6111" s="199"/>
    </row>
    <row r="6112" spans="7:16" x14ac:dyDescent="0.2">
      <c r="G6112" s="199"/>
      <c r="I6112" s="199"/>
      <c r="K6112" s="199"/>
      <c r="M6112" s="199"/>
      <c r="N6112" s="200"/>
      <c r="P6112" s="199"/>
    </row>
    <row r="6113" spans="7:16" x14ac:dyDescent="0.2">
      <c r="G6113" s="199"/>
      <c r="I6113" s="199"/>
      <c r="K6113" s="199"/>
      <c r="M6113" s="199"/>
      <c r="N6113" s="200"/>
      <c r="P6113" s="199"/>
    </row>
    <row r="6114" spans="7:16" x14ac:dyDescent="0.2">
      <c r="G6114" s="199"/>
      <c r="I6114" s="199"/>
      <c r="K6114" s="199"/>
      <c r="M6114" s="199"/>
      <c r="N6114" s="200"/>
      <c r="P6114" s="199"/>
    </row>
    <row r="6115" spans="7:16" x14ac:dyDescent="0.2">
      <c r="G6115" s="199"/>
      <c r="I6115" s="199"/>
      <c r="K6115" s="199"/>
      <c r="M6115" s="199"/>
      <c r="N6115" s="200"/>
      <c r="P6115" s="199"/>
    </row>
    <row r="6116" spans="7:16" x14ac:dyDescent="0.2">
      <c r="G6116" s="199"/>
      <c r="I6116" s="199"/>
      <c r="K6116" s="199"/>
      <c r="M6116" s="199"/>
      <c r="N6116" s="200"/>
      <c r="P6116" s="199"/>
    </row>
    <row r="6117" spans="7:16" x14ac:dyDescent="0.2">
      <c r="G6117" s="199"/>
      <c r="I6117" s="199"/>
      <c r="K6117" s="199"/>
      <c r="M6117" s="199"/>
      <c r="N6117" s="200"/>
      <c r="P6117" s="199"/>
    </row>
    <row r="6118" spans="7:16" x14ac:dyDescent="0.2">
      <c r="G6118" s="199"/>
      <c r="I6118" s="199"/>
      <c r="K6118" s="199"/>
      <c r="M6118" s="199"/>
      <c r="N6118" s="200"/>
      <c r="P6118" s="199"/>
    </row>
    <row r="6119" spans="7:16" x14ac:dyDescent="0.2">
      <c r="G6119" s="199"/>
      <c r="I6119" s="199"/>
      <c r="K6119" s="199"/>
      <c r="M6119" s="199"/>
      <c r="N6119" s="200"/>
      <c r="P6119" s="199"/>
    </row>
    <row r="6120" spans="7:16" x14ac:dyDescent="0.2">
      <c r="G6120" s="199"/>
      <c r="I6120" s="199"/>
      <c r="K6120" s="199"/>
      <c r="M6120" s="199"/>
      <c r="N6120" s="200"/>
      <c r="P6120" s="199"/>
    </row>
    <row r="6121" spans="7:16" x14ac:dyDescent="0.2">
      <c r="G6121" s="199"/>
      <c r="I6121" s="199"/>
      <c r="K6121" s="199"/>
      <c r="M6121" s="199"/>
      <c r="N6121" s="200"/>
      <c r="P6121" s="199"/>
    </row>
    <row r="6122" spans="7:16" x14ac:dyDescent="0.2">
      <c r="G6122" s="199"/>
      <c r="I6122" s="199"/>
      <c r="K6122" s="199"/>
      <c r="M6122" s="199"/>
      <c r="N6122" s="200"/>
      <c r="P6122" s="199"/>
    </row>
    <row r="6123" spans="7:16" x14ac:dyDescent="0.2">
      <c r="G6123" s="199"/>
      <c r="I6123" s="199"/>
      <c r="K6123" s="199"/>
      <c r="M6123" s="199"/>
      <c r="N6123" s="200"/>
      <c r="P6123" s="199"/>
    </row>
    <row r="6124" spans="7:16" x14ac:dyDescent="0.2">
      <c r="G6124" s="199"/>
      <c r="I6124" s="199"/>
      <c r="K6124" s="199"/>
      <c r="M6124" s="199"/>
      <c r="N6124" s="200"/>
      <c r="P6124" s="199"/>
    </row>
    <row r="6125" spans="7:16" x14ac:dyDescent="0.2">
      <c r="G6125" s="199"/>
      <c r="I6125" s="199"/>
      <c r="K6125" s="199"/>
      <c r="M6125" s="199"/>
      <c r="N6125" s="200"/>
      <c r="P6125" s="199"/>
    </row>
    <row r="6126" spans="7:16" x14ac:dyDescent="0.2">
      <c r="G6126" s="199"/>
      <c r="I6126" s="199"/>
      <c r="K6126" s="199"/>
      <c r="M6126" s="199"/>
      <c r="N6126" s="200"/>
      <c r="P6126" s="199"/>
    </row>
    <row r="6127" spans="7:16" x14ac:dyDescent="0.2">
      <c r="G6127" s="199"/>
      <c r="I6127" s="199"/>
      <c r="K6127" s="199"/>
      <c r="M6127" s="199"/>
      <c r="N6127" s="200"/>
      <c r="P6127" s="199"/>
    </row>
    <row r="6128" spans="7:16" x14ac:dyDescent="0.2">
      <c r="G6128" s="199"/>
      <c r="I6128" s="199"/>
      <c r="K6128" s="199"/>
      <c r="M6128" s="199"/>
      <c r="N6128" s="200"/>
      <c r="P6128" s="199"/>
    </row>
    <row r="6129" spans="7:16" x14ac:dyDescent="0.2">
      <c r="G6129" s="199"/>
      <c r="I6129" s="199"/>
      <c r="K6129" s="199"/>
      <c r="M6129" s="199"/>
      <c r="N6129" s="200"/>
      <c r="P6129" s="199"/>
    </row>
    <row r="6130" spans="7:16" x14ac:dyDescent="0.2">
      <c r="G6130" s="199"/>
      <c r="I6130" s="199"/>
      <c r="K6130" s="199"/>
      <c r="M6130" s="199"/>
      <c r="N6130" s="200"/>
      <c r="P6130" s="199"/>
    </row>
    <row r="6131" spans="7:16" x14ac:dyDescent="0.2">
      <c r="G6131" s="199"/>
      <c r="I6131" s="199"/>
      <c r="K6131" s="199"/>
      <c r="M6131" s="199"/>
      <c r="N6131" s="200"/>
      <c r="P6131" s="199"/>
    </row>
    <row r="6132" spans="7:16" x14ac:dyDescent="0.2">
      <c r="G6132" s="199"/>
      <c r="I6132" s="199"/>
      <c r="K6132" s="199"/>
      <c r="M6132" s="199"/>
      <c r="N6132" s="200"/>
      <c r="P6132" s="199"/>
    </row>
    <row r="6133" spans="7:16" x14ac:dyDescent="0.2">
      <c r="G6133" s="199"/>
      <c r="I6133" s="199"/>
      <c r="K6133" s="199"/>
      <c r="M6133" s="199"/>
      <c r="N6133" s="200"/>
      <c r="P6133" s="199"/>
    </row>
    <row r="6134" spans="7:16" x14ac:dyDescent="0.2">
      <c r="G6134" s="199"/>
      <c r="I6134" s="199"/>
      <c r="K6134" s="199"/>
      <c r="M6134" s="199"/>
      <c r="N6134" s="200"/>
      <c r="P6134" s="199"/>
    </row>
    <row r="6135" spans="7:16" x14ac:dyDescent="0.2">
      <c r="G6135" s="199"/>
      <c r="I6135" s="199"/>
      <c r="K6135" s="199"/>
      <c r="M6135" s="199"/>
      <c r="N6135" s="200"/>
      <c r="P6135" s="199"/>
    </row>
    <row r="6136" spans="7:16" x14ac:dyDescent="0.2">
      <c r="G6136" s="199"/>
      <c r="I6136" s="199"/>
      <c r="K6136" s="199"/>
      <c r="M6136" s="199"/>
      <c r="N6136" s="200"/>
      <c r="P6136" s="199"/>
    </row>
    <row r="6137" spans="7:16" x14ac:dyDescent="0.2">
      <c r="G6137" s="199"/>
      <c r="I6137" s="199"/>
      <c r="K6137" s="199"/>
      <c r="M6137" s="199"/>
      <c r="N6137" s="200"/>
      <c r="P6137" s="199"/>
    </row>
    <row r="6138" spans="7:16" x14ac:dyDescent="0.2">
      <c r="G6138" s="199"/>
      <c r="I6138" s="199"/>
      <c r="K6138" s="199"/>
      <c r="M6138" s="199"/>
      <c r="N6138" s="200"/>
      <c r="P6138" s="199"/>
    </row>
    <row r="6139" spans="7:16" x14ac:dyDescent="0.2">
      <c r="G6139" s="199"/>
      <c r="I6139" s="199"/>
      <c r="K6139" s="199"/>
      <c r="M6139" s="199"/>
      <c r="N6139" s="200"/>
      <c r="P6139" s="199"/>
    </row>
    <row r="6140" spans="7:16" x14ac:dyDescent="0.2">
      <c r="G6140" s="199"/>
      <c r="I6140" s="199"/>
      <c r="K6140" s="199"/>
      <c r="M6140" s="199"/>
      <c r="N6140" s="200"/>
      <c r="P6140" s="199"/>
    </row>
    <row r="6141" spans="7:16" x14ac:dyDescent="0.2">
      <c r="G6141" s="199"/>
      <c r="I6141" s="199"/>
      <c r="K6141" s="199"/>
      <c r="M6141" s="199"/>
      <c r="N6141" s="200"/>
      <c r="P6141" s="199"/>
    </row>
    <row r="6142" spans="7:16" x14ac:dyDescent="0.2">
      <c r="G6142" s="199"/>
      <c r="I6142" s="199"/>
      <c r="K6142" s="199"/>
      <c r="M6142" s="199"/>
      <c r="N6142" s="200"/>
      <c r="P6142" s="199"/>
    </row>
    <row r="6143" spans="7:16" x14ac:dyDescent="0.2">
      <c r="G6143" s="199"/>
      <c r="I6143" s="199"/>
      <c r="K6143" s="199"/>
      <c r="M6143" s="199"/>
      <c r="N6143" s="200"/>
      <c r="P6143" s="199"/>
    </row>
    <row r="6144" spans="7:16" x14ac:dyDescent="0.2">
      <c r="G6144" s="199"/>
      <c r="I6144" s="199"/>
      <c r="K6144" s="199"/>
      <c r="M6144" s="199"/>
      <c r="N6144" s="200"/>
      <c r="P6144" s="199"/>
    </row>
    <row r="6145" spans="7:16" x14ac:dyDescent="0.2">
      <c r="G6145" s="199"/>
      <c r="I6145" s="199"/>
      <c r="K6145" s="199"/>
      <c r="M6145" s="199"/>
      <c r="N6145" s="200"/>
      <c r="P6145" s="199"/>
    </row>
    <row r="6146" spans="7:16" x14ac:dyDescent="0.2">
      <c r="G6146" s="199"/>
      <c r="I6146" s="199"/>
      <c r="K6146" s="199"/>
      <c r="M6146" s="199"/>
      <c r="N6146" s="200"/>
      <c r="P6146" s="199"/>
    </row>
    <row r="6147" spans="7:16" x14ac:dyDescent="0.2">
      <c r="G6147" s="199"/>
      <c r="I6147" s="199"/>
      <c r="K6147" s="199"/>
      <c r="M6147" s="199"/>
      <c r="N6147" s="200"/>
      <c r="P6147" s="199"/>
    </row>
    <row r="6148" spans="7:16" x14ac:dyDescent="0.2">
      <c r="G6148" s="199"/>
      <c r="I6148" s="199"/>
      <c r="K6148" s="199"/>
      <c r="M6148" s="199"/>
      <c r="N6148" s="200"/>
      <c r="P6148" s="199"/>
    </row>
    <row r="6149" spans="7:16" x14ac:dyDescent="0.2">
      <c r="G6149" s="199"/>
      <c r="I6149" s="199"/>
      <c r="K6149" s="199"/>
      <c r="M6149" s="199"/>
      <c r="N6149" s="200"/>
      <c r="P6149" s="199"/>
    </row>
    <row r="6150" spans="7:16" x14ac:dyDescent="0.2">
      <c r="G6150" s="199"/>
      <c r="I6150" s="199"/>
      <c r="K6150" s="199"/>
      <c r="M6150" s="199"/>
      <c r="N6150" s="200"/>
      <c r="P6150" s="199"/>
    </row>
    <row r="6151" spans="7:16" x14ac:dyDescent="0.2">
      <c r="G6151" s="199"/>
      <c r="I6151" s="199"/>
      <c r="K6151" s="199"/>
      <c r="M6151" s="199"/>
      <c r="N6151" s="200"/>
      <c r="P6151" s="199"/>
    </row>
    <row r="6152" spans="7:16" x14ac:dyDescent="0.2">
      <c r="G6152" s="199"/>
      <c r="I6152" s="199"/>
      <c r="K6152" s="199"/>
      <c r="M6152" s="199"/>
      <c r="N6152" s="200"/>
      <c r="P6152" s="199"/>
    </row>
    <row r="6153" spans="7:16" x14ac:dyDescent="0.2">
      <c r="G6153" s="199"/>
      <c r="I6153" s="199"/>
      <c r="K6153" s="199"/>
      <c r="M6153" s="199"/>
      <c r="N6153" s="200"/>
      <c r="P6153" s="199"/>
    </row>
    <row r="6154" spans="7:16" x14ac:dyDescent="0.2">
      <c r="G6154" s="199"/>
      <c r="I6154" s="199"/>
      <c r="K6154" s="199"/>
      <c r="M6154" s="199"/>
      <c r="N6154" s="200"/>
      <c r="P6154" s="199"/>
    </row>
    <row r="6155" spans="7:16" x14ac:dyDescent="0.2">
      <c r="G6155" s="199"/>
      <c r="I6155" s="199"/>
      <c r="K6155" s="199"/>
      <c r="M6155" s="199"/>
      <c r="N6155" s="200"/>
      <c r="P6155" s="199"/>
    </row>
    <row r="6156" spans="7:16" x14ac:dyDescent="0.2">
      <c r="G6156" s="199"/>
      <c r="I6156" s="199"/>
      <c r="K6156" s="199"/>
      <c r="M6156" s="199"/>
      <c r="N6156" s="200"/>
      <c r="P6156" s="199"/>
    </row>
    <row r="6157" spans="7:16" x14ac:dyDescent="0.2">
      <c r="G6157" s="199"/>
      <c r="I6157" s="199"/>
      <c r="K6157" s="199"/>
      <c r="M6157" s="199"/>
      <c r="N6157" s="200"/>
      <c r="P6157" s="199"/>
    </row>
    <row r="6158" spans="7:16" x14ac:dyDescent="0.2">
      <c r="G6158" s="199"/>
      <c r="I6158" s="199"/>
      <c r="K6158" s="199"/>
      <c r="M6158" s="199"/>
      <c r="N6158" s="200"/>
      <c r="P6158" s="199"/>
    </row>
    <row r="6159" spans="7:16" x14ac:dyDescent="0.2">
      <c r="G6159" s="199"/>
      <c r="I6159" s="199"/>
      <c r="K6159" s="199"/>
      <c r="M6159" s="199"/>
      <c r="N6159" s="200"/>
      <c r="P6159" s="199"/>
    </row>
    <row r="6160" spans="7:16" x14ac:dyDescent="0.2">
      <c r="G6160" s="199"/>
      <c r="I6160" s="199"/>
      <c r="K6160" s="199"/>
      <c r="M6160" s="199"/>
      <c r="N6160" s="200"/>
      <c r="P6160" s="199"/>
    </row>
    <row r="6161" spans="7:16" x14ac:dyDescent="0.2">
      <c r="G6161" s="199"/>
      <c r="I6161" s="199"/>
      <c r="K6161" s="199"/>
      <c r="M6161" s="199"/>
      <c r="N6161" s="200"/>
      <c r="P6161" s="199"/>
    </row>
    <row r="6162" spans="7:16" x14ac:dyDescent="0.2">
      <c r="G6162" s="199"/>
      <c r="I6162" s="199"/>
      <c r="K6162" s="199"/>
      <c r="M6162" s="199"/>
      <c r="N6162" s="200"/>
      <c r="P6162" s="199"/>
    </row>
    <row r="6163" spans="7:16" x14ac:dyDescent="0.2">
      <c r="G6163" s="199"/>
      <c r="I6163" s="199"/>
      <c r="K6163" s="199"/>
      <c r="M6163" s="199"/>
      <c r="N6163" s="200"/>
      <c r="P6163" s="199"/>
    </row>
    <row r="6164" spans="7:16" x14ac:dyDescent="0.2">
      <c r="G6164" s="199"/>
      <c r="I6164" s="199"/>
      <c r="K6164" s="199"/>
      <c r="M6164" s="199"/>
      <c r="N6164" s="200"/>
      <c r="P6164" s="199"/>
    </row>
    <row r="6165" spans="7:16" x14ac:dyDescent="0.2">
      <c r="G6165" s="199"/>
      <c r="I6165" s="199"/>
      <c r="K6165" s="199"/>
      <c r="M6165" s="199"/>
      <c r="N6165" s="200"/>
      <c r="P6165" s="199"/>
    </row>
    <row r="6166" spans="7:16" x14ac:dyDescent="0.2">
      <c r="G6166" s="199"/>
      <c r="I6166" s="199"/>
      <c r="K6166" s="199"/>
      <c r="M6166" s="199"/>
      <c r="N6166" s="200"/>
      <c r="P6166" s="199"/>
    </row>
    <row r="6167" spans="7:16" x14ac:dyDescent="0.2">
      <c r="G6167" s="199"/>
      <c r="I6167" s="199"/>
      <c r="K6167" s="199"/>
      <c r="M6167" s="199"/>
      <c r="N6167" s="200"/>
      <c r="P6167" s="199"/>
    </row>
    <row r="6168" spans="7:16" x14ac:dyDescent="0.2">
      <c r="G6168" s="199"/>
      <c r="I6168" s="199"/>
      <c r="K6168" s="199"/>
      <c r="M6168" s="199"/>
      <c r="N6168" s="200"/>
      <c r="P6168" s="199"/>
    </row>
    <row r="6169" spans="7:16" x14ac:dyDescent="0.2">
      <c r="G6169" s="199"/>
      <c r="I6169" s="199"/>
      <c r="K6169" s="199"/>
      <c r="M6169" s="199"/>
      <c r="N6169" s="200"/>
      <c r="P6169" s="199"/>
    </row>
    <row r="6170" spans="7:16" x14ac:dyDescent="0.2">
      <c r="G6170" s="199"/>
      <c r="I6170" s="199"/>
      <c r="K6170" s="199"/>
      <c r="M6170" s="199"/>
      <c r="N6170" s="200"/>
      <c r="P6170" s="199"/>
    </row>
    <row r="6171" spans="7:16" x14ac:dyDescent="0.2">
      <c r="G6171" s="199"/>
      <c r="I6171" s="199"/>
      <c r="K6171" s="199"/>
      <c r="M6171" s="199"/>
      <c r="N6171" s="200"/>
      <c r="P6171" s="199"/>
    </row>
    <row r="6172" spans="7:16" x14ac:dyDescent="0.2">
      <c r="G6172" s="199"/>
      <c r="I6172" s="199"/>
      <c r="K6172" s="199"/>
      <c r="M6172" s="199"/>
      <c r="N6172" s="200"/>
      <c r="P6172" s="199"/>
    </row>
    <row r="6173" spans="7:16" x14ac:dyDescent="0.2">
      <c r="G6173" s="199"/>
      <c r="I6173" s="199"/>
      <c r="K6173" s="199"/>
      <c r="M6173" s="199"/>
      <c r="N6173" s="200"/>
      <c r="P6173" s="199"/>
    </row>
    <row r="6174" spans="7:16" x14ac:dyDescent="0.2">
      <c r="G6174" s="199"/>
      <c r="I6174" s="199"/>
      <c r="K6174" s="199"/>
      <c r="M6174" s="199"/>
      <c r="N6174" s="200"/>
      <c r="P6174" s="199"/>
    </row>
    <row r="6175" spans="7:16" x14ac:dyDescent="0.2">
      <c r="G6175" s="199"/>
      <c r="I6175" s="199"/>
      <c r="K6175" s="199"/>
      <c r="M6175" s="199"/>
      <c r="N6175" s="200"/>
      <c r="P6175" s="199"/>
    </row>
    <row r="6176" spans="7:16" x14ac:dyDescent="0.2">
      <c r="G6176" s="199"/>
      <c r="I6176" s="199"/>
      <c r="K6176" s="199"/>
      <c r="M6176" s="199"/>
      <c r="N6176" s="200"/>
      <c r="P6176" s="199"/>
    </row>
    <row r="6177" spans="7:16" x14ac:dyDescent="0.2">
      <c r="G6177" s="199"/>
      <c r="I6177" s="199"/>
      <c r="K6177" s="199"/>
      <c r="M6177" s="199"/>
      <c r="N6177" s="200"/>
      <c r="P6177" s="199"/>
    </row>
    <row r="6178" spans="7:16" x14ac:dyDescent="0.2">
      <c r="G6178" s="199"/>
      <c r="I6178" s="199"/>
      <c r="K6178" s="199"/>
      <c r="M6178" s="199"/>
      <c r="N6178" s="200"/>
      <c r="P6178" s="199"/>
    </row>
    <row r="6179" spans="7:16" x14ac:dyDescent="0.2">
      <c r="G6179" s="199"/>
      <c r="I6179" s="199"/>
      <c r="K6179" s="199"/>
      <c r="M6179" s="199"/>
      <c r="N6179" s="200"/>
      <c r="P6179" s="199"/>
    </row>
    <row r="6180" spans="7:16" x14ac:dyDescent="0.2">
      <c r="G6180" s="199"/>
      <c r="I6180" s="199"/>
      <c r="K6180" s="199"/>
      <c r="M6180" s="199"/>
      <c r="N6180" s="200"/>
      <c r="P6180" s="199"/>
    </row>
    <row r="6181" spans="7:16" x14ac:dyDescent="0.2">
      <c r="G6181" s="199"/>
      <c r="I6181" s="199"/>
      <c r="K6181" s="199"/>
      <c r="M6181" s="199"/>
      <c r="N6181" s="200"/>
      <c r="P6181" s="199"/>
    </row>
    <row r="6182" spans="7:16" x14ac:dyDescent="0.2">
      <c r="G6182" s="199"/>
      <c r="I6182" s="199"/>
      <c r="K6182" s="199"/>
      <c r="M6182" s="199"/>
      <c r="N6182" s="200"/>
      <c r="P6182" s="199"/>
    </row>
    <row r="6183" spans="7:16" x14ac:dyDescent="0.2">
      <c r="G6183" s="199"/>
      <c r="I6183" s="199"/>
      <c r="K6183" s="199"/>
      <c r="M6183" s="199"/>
      <c r="N6183" s="200"/>
      <c r="P6183" s="199"/>
    </row>
    <row r="6184" spans="7:16" x14ac:dyDescent="0.2">
      <c r="G6184" s="199"/>
      <c r="I6184" s="199"/>
      <c r="K6184" s="199"/>
      <c r="M6184" s="199"/>
      <c r="N6184" s="200"/>
      <c r="P6184" s="199"/>
    </row>
    <row r="6185" spans="7:16" x14ac:dyDescent="0.2">
      <c r="G6185" s="199"/>
      <c r="I6185" s="199"/>
      <c r="K6185" s="199"/>
      <c r="M6185" s="199"/>
      <c r="N6185" s="200"/>
      <c r="P6185" s="199"/>
    </row>
    <row r="6186" spans="7:16" x14ac:dyDescent="0.2">
      <c r="G6186" s="199"/>
      <c r="I6186" s="199"/>
      <c r="K6186" s="199"/>
      <c r="M6186" s="199"/>
      <c r="N6186" s="200"/>
      <c r="P6186" s="199"/>
    </row>
    <row r="6187" spans="7:16" x14ac:dyDescent="0.2">
      <c r="G6187" s="199"/>
      <c r="I6187" s="199"/>
      <c r="K6187" s="199"/>
      <c r="M6187" s="199"/>
      <c r="N6187" s="200"/>
      <c r="P6187" s="199"/>
    </row>
    <row r="6188" spans="7:16" x14ac:dyDescent="0.2">
      <c r="G6188" s="199"/>
      <c r="I6188" s="199"/>
      <c r="K6188" s="199"/>
      <c r="M6188" s="199"/>
      <c r="N6188" s="200"/>
      <c r="P6188" s="199"/>
    </row>
    <row r="6189" spans="7:16" x14ac:dyDescent="0.2">
      <c r="G6189" s="199"/>
      <c r="I6189" s="199"/>
      <c r="K6189" s="199"/>
      <c r="M6189" s="199"/>
      <c r="N6189" s="200"/>
      <c r="P6189" s="199"/>
    </row>
    <row r="6190" spans="7:16" x14ac:dyDescent="0.2">
      <c r="G6190" s="199"/>
      <c r="I6190" s="199"/>
      <c r="K6190" s="199"/>
      <c r="M6190" s="199"/>
      <c r="N6190" s="200"/>
      <c r="P6190" s="199"/>
    </row>
    <row r="6191" spans="7:16" x14ac:dyDescent="0.2">
      <c r="G6191" s="199"/>
      <c r="I6191" s="199"/>
      <c r="K6191" s="199"/>
      <c r="M6191" s="199"/>
      <c r="N6191" s="200"/>
      <c r="P6191" s="199"/>
    </row>
    <row r="6192" spans="7:16" x14ac:dyDescent="0.2">
      <c r="G6192" s="199"/>
      <c r="I6192" s="199"/>
      <c r="K6192" s="199"/>
      <c r="M6192" s="199"/>
      <c r="N6192" s="200"/>
      <c r="P6192" s="199"/>
    </row>
    <row r="6193" spans="7:16" x14ac:dyDescent="0.2">
      <c r="G6193" s="199"/>
      <c r="I6193" s="199"/>
      <c r="K6193" s="199"/>
      <c r="M6193" s="199"/>
      <c r="N6193" s="200"/>
      <c r="P6193" s="199"/>
    </row>
    <row r="6194" spans="7:16" x14ac:dyDescent="0.2">
      <c r="G6194" s="199"/>
      <c r="I6194" s="199"/>
      <c r="K6194" s="199"/>
      <c r="M6194" s="199"/>
      <c r="N6194" s="200"/>
      <c r="P6194" s="199"/>
    </row>
    <row r="6195" spans="7:16" x14ac:dyDescent="0.2">
      <c r="G6195" s="199"/>
      <c r="I6195" s="199"/>
      <c r="K6195" s="199"/>
      <c r="M6195" s="199"/>
      <c r="N6195" s="200"/>
      <c r="P6195" s="199"/>
    </row>
    <row r="6196" spans="7:16" x14ac:dyDescent="0.2">
      <c r="G6196" s="199"/>
      <c r="I6196" s="199"/>
      <c r="K6196" s="199"/>
      <c r="M6196" s="199"/>
      <c r="N6196" s="200"/>
      <c r="P6196" s="199"/>
    </row>
    <row r="6197" spans="7:16" x14ac:dyDescent="0.2">
      <c r="G6197" s="199"/>
      <c r="I6197" s="199"/>
      <c r="K6197" s="199"/>
      <c r="M6197" s="199"/>
      <c r="N6197" s="200"/>
      <c r="P6197" s="199"/>
    </row>
    <row r="6198" spans="7:16" x14ac:dyDescent="0.2">
      <c r="G6198" s="199"/>
      <c r="I6198" s="199"/>
      <c r="K6198" s="199"/>
      <c r="M6198" s="199"/>
      <c r="N6198" s="200"/>
      <c r="P6198" s="199"/>
    </row>
    <row r="6199" spans="7:16" x14ac:dyDescent="0.2">
      <c r="G6199" s="199"/>
      <c r="I6199" s="199"/>
      <c r="K6199" s="199"/>
      <c r="M6199" s="199"/>
      <c r="N6199" s="200"/>
      <c r="P6199" s="199"/>
    </row>
    <row r="6200" spans="7:16" x14ac:dyDescent="0.2">
      <c r="G6200" s="199"/>
      <c r="I6200" s="199"/>
      <c r="K6200" s="199"/>
      <c r="M6200" s="199"/>
      <c r="N6200" s="200"/>
      <c r="P6200" s="199"/>
    </row>
    <row r="6201" spans="7:16" x14ac:dyDescent="0.2">
      <c r="G6201" s="199"/>
      <c r="I6201" s="199"/>
      <c r="K6201" s="199"/>
      <c r="M6201" s="199"/>
      <c r="N6201" s="200"/>
      <c r="P6201" s="199"/>
    </row>
    <row r="6202" spans="7:16" x14ac:dyDescent="0.2">
      <c r="G6202" s="199"/>
      <c r="I6202" s="199"/>
      <c r="K6202" s="199"/>
      <c r="M6202" s="199"/>
      <c r="N6202" s="200"/>
      <c r="P6202" s="199"/>
    </row>
    <row r="6203" spans="7:16" x14ac:dyDescent="0.2">
      <c r="G6203" s="199"/>
      <c r="I6203" s="199"/>
      <c r="K6203" s="199"/>
      <c r="M6203" s="199"/>
      <c r="N6203" s="200"/>
      <c r="P6203" s="199"/>
    </row>
    <row r="6204" spans="7:16" x14ac:dyDescent="0.2">
      <c r="G6204" s="199"/>
      <c r="I6204" s="199"/>
      <c r="K6204" s="199"/>
      <c r="M6204" s="199"/>
      <c r="N6204" s="200"/>
      <c r="P6204" s="199"/>
    </row>
    <row r="6205" spans="7:16" x14ac:dyDescent="0.2">
      <c r="G6205" s="199"/>
      <c r="I6205" s="199"/>
      <c r="K6205" s="199"/>
      <c r="M6205" s="199"/>
      <c r="N6205" s="200"/>
      <c r="P6205" s="199"/>
    </row>
    <row r="6206" spans="7:16" x14ac:dyDescent="0.2">
      <c r="G6206" s="199"/>
      <c r="I6206" s="199"/>
      <c r="K6206" s="199"/>
      <c r="M6206" s="199"/>
      <c r="N6206" s="200"/>
      <c r="P6206" s="199"/>
    </row>
    <row r="6207" spans="7:16" x14ac:dyDescent="0.2">
      <c r="G6207" s="199"/>
      <c r="I6207" s="199"/>
      <c r="K6207" s="199"/>
      <c r="M6207" s="199"/>
      <c r="N6207" s="200"/>
      <c r="P6207" s="199"/>
    </row>
    <row r="6208" spans="7:16" x14ac:dyDescent="0.2">
      <c r="G6208" s="199"/>
      <c r="I6208" s="199"/>
      <c r="K6208" s="199"/>
      <c r="M6208" s="199"/>
      <c r="N6208" s="200"/>
      <c r="P6208" s="199"/>
    </row>
    <row r="6209" spans="7:16" x14ac:dyDescent="0.2">
      <c r="G6209" s="199"/>
      <c r="I6209" s="199"/>
      <c r="K6209" s="199"/>
      <c r="M6209" s="199"/>
      <c r="N6209" s="200"/>
      <c r="P6209" s="199"/>
    </row>
    <row r="6210" spans="7:16" x14ac:dyDescent="0.2">
      <c r="G6210" s="199"/>
      <c r="I6210" s="199"/>
      <c r="K6210" s="199"/>
      <c r="M6210" s="199"/>
      <c r="N6210" s="200"/>
      <c r="P6210" s="199"/>
    </row>
    <row r="6211" spans="7:16" x14ac:dyDescent="0.2">
      <c r="G6211" s="199"/>
      <c r="I6211" s="199"/>
      <c r="K6211" s="199"/>
      <c r="M6211" s="199"/>
      <c r="N6211" s="200"/>
      <c r="P6211" s="199"/>
    </row>
    <row r="6212" spans="7:16" x14ac:dyDescent="0.2">
      <c r="G6212" s="199"/>
      <c r="I6212" s="199"/>
      <c r="K6212" s="199"/>
      <c r="M6212" s="199"/>
      <c r="N6212" s="200"/>
      <c r="P6212" s="199"/>
    </row>
    <row r="6213" spans="7:16" x14ac:dyDescent="0.2">
      <c r="G6213" s="199"/>
      <c r="I6213" s="199"/>
      <c r="K6213" s="199"/>
      <c r="M6213" s="199"/>
      <c r="N6213" s="200"/>
      <c r="P6213" s="199"/>
    </row>
    <row r="6214" spans="7:16" x14ac:dyDescent="0.2">
      <c r="G6214" s="199"/>
      <c r="I6214" s="199"/>
      <c r="K6214" s="199"/>
      <c r="M6214" s="199"/>
      <c r="N6214" s="200"/>
      <c r="P6214" s="199"/>
    </row>
    <row r="6215" spans="7:16" x14ac:dyDescent="0.2">
      <c r="G6215" s="199"/>
      <c r="I6215" s="199"/>
      <c r="K6215" s="199"/>
      <c r="M6215" s="199"/>
      <c r="N6215" s="200"/>
      <c r="P6215" s="199"/>
    </row>
    <row r="6216" spans="7:16" x14ac:dyDescent="0.2">
      <c r="G6216" s="199"/>
      <c r="I6216" s="199"/>
      <c r="K6216" s="199"/>
      <c r="M6216" s="199"/>
      <c r="N6216" s="200"/>
      <c r="P6216" s="199"/>
    </row>
    <row r="6217" spans="7:16" x14ac:dyDescent="0.2">
      <c r="G6217" s="199"/>
      <c r="I6217" s="199"/>
      <c r="K6217" s="199"/>
      <c r="M6217" s="199"/>
      <c r="N6217" s="200"/>
      <c r="P6217" s="199"/>
    </row>
    <row r="6218" spans="7:16" x14ac:dyDescent="0.2">
      <c r="G6218" s="199"/>
      <c r="I6218" s="199"/>
      <c r="K6218" s="199"/>
      <c r="M6218" s="199"/>
      <c r="N6218" s="200"/>
      <c r="P6218" s="199"/>
    </row>
    <row r="6219" spans="7:16" x14ac:dyDescent="0.2">
      <c r="G6219" s="199"/>
      <c r="I6219" s="199"/>
      <c r="K6219" s="199"/>
      <c r="M6219" s="199"/>
      <c r="N6219" s="200"/>
      <c r="P6219" s="199"/>
    </row>
    <row r="6220" spans="7:16" x14ac:dyDescent="0.2">
      <c r="G6220" s="199"/>
      <c r="I6220" s="199"/>
      <c r="K6220" s="199"/>
      <c r="M6220" s="199"/>
      <c r="N6220" s="200"/>
      <c r="P6220" s="199"/>
    </row>
    <row r="6221" spans="7:16" x14ac:dyDescent="0.2">
      <c r="G6221" s="199"/>
      <c r="I6221" s="199"/>
      <c r="K6221" s="199"/>
      <c r="M6221" s="199"/>
      <c r="N6221" s="200"/>
      <c r="P6221" s="199"/>
    </row>
    <row r="6222" spans="7:16" x14ac:dyDescent="0.2">
      <c r="G6222" s="199"/>
      <c r="I6222" s="199"/>
      <c r="K6222" s="199"/>
      <c r="M6222" s="199"/>
      <c r="N6222" s="200"/>
      <c r="P6222" s="199"/>
    </row>
    <row r="6223" spans="7:16" x14ac:dyDescent="0.2">
      <c r="G6223" s="199"/>
      <c r="I6223" s="199"/>
      <c r="K6223" s="199"/>
      <c r="M6223" s="199"/>
      <c r="N6223" s="200"/>
      <c r="P6223" s="199"/>
    </row>
    <row r="6224" spans="7:16" x14ac:dyDescent="0.2">
      <c r="G6224" s="199"/>
      <c r="I6224" s="199"/>
      <c r="K6224" s="199"/>
      <c r="M6224" s="199"/>
      <c r="N6224" s="200"/>
      <c r="P6224" s="199"/>
    </row>
    <row r="6225" spans="7:16" x14ac:dyDescent="0.2">
      <c r="G6225" s="199"/>
      <c r="I6225" s="199"/>
      <c r="K6225" s="199"/>
      <c r="M6225" s="199"/>
      <c r="N6225" s="200"/>
      <c r="P6225" s="199"/>
    </row>
    <row r="6226" spans="7:16" x14ac:dyDescent="0.2">
      <c r="G6226" s="199"/>
      <c r="I6226" s="199"/>
      <c r="K6226" s="199"/>
      <c r="M6226" s="199"/>
      <c r="N6226" s="200"/>
      <c r="P6226" s="199"/>
    </row>
    <row r="6227" spans="7:16" x14ac:dyDescent="0.2">
      <c r="G6227" s="199"/>
      <c r="I6227" s="199"/>
      <c r="K6227" s="199"/>
      <c r="M6227" s="199"/>
      <c r="N6227" s="200"/>
      <c r="P6227" s="199"/>
    </row>
    <row r="6228" spans="7:16" x14ac:dyDescent="0.2">
      <c r="G6228" s="199"/>
      <c r="I6228" s="199"/>
      <c r="K6228" s="199"/>
      <c r="M6228" s="199"/>
      <c r="N6228" s="200"/>
      <c r="P6228" s="199"/>
    </row>
    <row r="6229" spans="7:16" x14ac:dyDescent="0.2">
      <c r="G6229" s="199"/>
      <c r="I6229" s="199"/>
      <c r="K6229" s="199"/>
      <c r="M6229" s="199"/>
      <c r="N6229" s="200"/>
      <c r="P6229" s="199"/>
    </row>
    <row r="6230" spans="7:16" x14ac:dyDescent="0.2">
      <c r="G6230" s="199"/>
      <c r="I6230" s="199"/>
      <c r="K6230" s="199"/>
      <c r="M6230" s="199"/>
      <c r="N6230" s="200"/>
      <c r="P6230" s="199"/>
    </row>
    <row r="6231" spans="7:16" x14ac:dyDescent="0.2">
      <c r="G6231" s="199"/>
      <c r="I6231" s="199"/>
      <c r="K6231" s="199"/>
      <c r="M6231" s="199"/>
      <c r="N6231" s="200"/>
      <c r="P6231" s="199"/>
    </row>
    <row r="6232" spans="7:16" x14ac:dyDescent="0.2">
      <c r="G6232" s="199"/>
      <c r="I6232" s="199"/>
      <c r="K6232" s="199"/>
      <c r="M6232" s="199"/>
      <c r="N6232" s="200"/>
      <c r="P6232" s="199"/>
    </row>
    <row r="6233" spans="7:16" x14ac:dyDescent="0.2">
      <c r="G6233" s="199"/>
      <c r="I6233" s="199"/>
      <c r="K6233" s="199"/>
      <c r="M6233" s="199"/>
      <c r="N6233" s="200"/>
      <c r="P6233" s="199"/>
    </row>
    <row r="6234" spans="7:16" x14ac:dyDescent="0.2">
      <c r="G6234" s="199"/>
      <c r="I6234" s="199"/>
      <c r="K6234" s="199"/>
      <c r="M6234" s="199"/>
      <c r="N6234" s="200"/>
      <c r="P6234" s="199"/>
    </row>
    <row r="6235" spans="7:16" x14ac:dyDescent="0.2">
      <c r="G6235" s="199"/>
      <c r="I6235" s="199"/>
      <c r="K6235" s="199"/>
      <c r="M6235" s="199"/>
      <c r="N6235" s="200"/>
      <c r="P6235" s="199"/>
    </row>
    <row r="6236" spans="7:16" x14ac:dyDescent="0.2">
      <c r="G6236" s="199"/>
      <c r="I6236" s="199"/>
      <c r="K6236" s="199"/>
      <c r="M6236" s="199"/>
      <c r="N6236" s="200"/>
      <c r="P6236" s="199"/>
    </row>
    <row r="6237" spans="7:16" x14ac:dyDescent="0.2">
      <c r="G6237" s="199"/>
      <c r="I6237" s="199"/>
      <c r="K6237" s="199"/>
      <c r="M6237" s="199"/>
      <c r="N6237" s="200"/>
      <c r="P6237" s="199"/>
    </row>
    <row r="6238" spans="7:16" x14ac:dyDescent="0.2">
      <c r="G6238" s="199"/>
      <c r="I6238" s="199"/>
      <c r="K6238" s="199"/>
      <c r="M6238" s="199"/>
      <c r="N6238" s="200"/>
      <c r="P6238" s="199"/>
    </row>
    <row r="6239" spans="7:16" x14ac:dyDescent="0.2">
      <c r="G6239" s="199"/>
      <c r="I6239" s="199"/>
      <c r="K6239" s="199"/>
      <c r="M6239" s="199"/>
      <c r="N6239" s="200"/>
      <c r="P6239" s="199"/>
    </row>
    <row r="6240" spans="7:16" x14ac:dyDescent="0.2">
      <c r="G6240" s="199"/>
      <c r="I6240" s="199"/>
      <c r="K6240" s="199"/>
      <c r="M6240" s="199"/>
      <c r="N6240" s="200"/>
      <c r="P6240" s="199"/>
    </row>
    <row r="6241" spans="7:16" x14ac:dyDescent="0.2">
      <c r="G6241" s="199"/>
      <c r="I6241" s="199"/>
      <c r="K6241" s="199"/>
      <c r="M6241" s="199"/>
      <c r="N6241" s="200"/>
      <c r="P6241" s="199"/>
    </row>
    <row r="6242" spans="7:16" x14ac:dyDescent="0.2">
      <c r="G6242" s="199"/>
      <c r="I6242" s="199"/>
      <c r="K6242" s="199"/>
      <c r="M6242" s="199"/>
      <c r="N6242" s="200"/>
      <c r="P6242" s="199"/>
    </row>
    <row r="6243" spans="7:16" x14ac:dyDescent="0.2">
      <c r="G6243" s="199"/>
      <c r="I6243" s="199"/>
      <c r="K6243" s="199"/>
      <c r="M6243" s="199"/>
      <c r="N6243" s="200"/>
      <c r="P6243" s="199"/>
    </row>
    <row r="6244" spans="7:16" x14ac:dyDescent="0.2">
      <c r="G6244" s="199"/>
      <c r="I6244" s="199"/>
      <c r="K6244" s="199"/>
      <c r="M6244" s="199"/>
      <c r="N6244" s="200"/>
      <c r="P6244" s="199"/>
    </row>
    <row r="6245" spans="7:16" x14ac:dyDescent="0.2">
      <c r="G6245" s="199"/>
      <c r="I6245" s="199"/>
      <c r="K6245" s="199"/>
      <c r="M6245" s="199"/>
      <c r="N6245" s="200"/>
      <c r="P6245" s="199"/>
    </row>
    <row r="6246" spans="7:16" x14ac:dyDescent="0.2">
      <c r="G6246" s="199"/>
      <c r="I6246" s="199"/>
      <c r="K6246" s="199"/>
      <c r="M6246" s="199"/>
      <c r="N6246" s="200"/>
      <c r="P6246" s="199"/>
    </row>
    <row r="6247" spans="7:16" x14ac:dyDescent="0.2">
      <c r="G6247" s="199"/>
      <c r="I6247" s="199"/>
      <c r="K6247" s="199"/>
      <c r="M6247" s="199"/>
      <c r="N6247" s="200"/>
      <c r="P6247" s="199"/>
    </row>
    <row r="6248" spans="7:16" x14ac:dyDescent="0.2">
      <c r="G6248" s="199"/>
      <c r="I6248" s="199"/>
      <c r="K6248" s="199"/>
      <c r="M6248" s="199"/>
      <c r="N6248" s="200"/>
      <c r="P6248" s="199"/>
    </row>
    <row r="6249" spans="7:16" x14ac:dyDescent="0.2">
      <c r="G6249" s="199"/>
      <c r="I6249" s="199"/>
      <c r="K6249" s="199"/>
      <c r="M6249" s="199"/>
      <c r="N6249" s="200"/>
      <c r="P6249" s="199"/>
    </row>
    <row r="6250" spans="7:16" x14ac:dyDescent="0.2">
      <c r="G6250" s="199"/>
      <c r="I6250" s="199"/>
      <c r="K6250" s="199"/>
      <c r="M6250" s="199"/>
      <c r="N6250" s="200"/>
      <c r="P6250" s="199"/>
    </row>
    <row r="6251" spans="7:16" x14ac:dyDescent="0.2">
      <c r="G6251" s="199"/>
      <c r="I6251" s="199"/>
      <c r="K6251" s="199"/>
      <c r="M6251" s="199"/>
      <c r="N6251" s="200"/>
      <c r="P6251" s="199"/>
    </row>
    <row r="6252" spans="7:16" x14ac:dyDescent="0.2">
      <c r="G6252" s="199"/>
      <c r="I6252" s="199"/>
      <c r="K6252" s="199"/>
      <c r="M6252" s="199"/>
      <c r="N6252" s="200"/>
      <c r="P6252" s="199"/>
    </row>
    <row r="6253" spans="7:16" x14ac:dyDescent="0.2">
      <c r="G6253" s="199"/>
      <c r="I6253" s="199"/>
      <c r="K6253" s="199"/>
      <c r="M6253" s="199"/>
      <c r="N6253" s="200"/>
      <c r="P6253" s="199"/>
    </row>
    <row r="6254" spans="7:16" x14ac:dyDescent="0.2">
      <c r="G6254" s="199"/>
      <c r="I6254" s="199"/>
      <c r="K6254" s="199"/>
      <c r="M6254" s="199"/>
      <c r="N6254" s="200"/>
      <c r="P6254" s="199"/>
    </row>
    <row r="6255" spans="7:16" x14ac:dyDescent="0.2">
      <c r="G6255" s="199"/>
      <c r="I6255" s="199"/>
      <c r="K6255" s="199"/>
      <c r="M6255" s="199"/>
      <c r="N6255" s="200"/>
      <c r="P6255" s="199"/>
    </row>
    <row r="6256" spans="7:16" x14ac:dyDescent="0.2">
      <c r="G6256" s="199"/>
      <c r="I6256" s="199"/>
      <c r="K6256" s="199"/>
      <c r="M6256" s="199"/>
      <c r="N6256" s="200"/>
      <c r="P6256" s="199"/>
    </row>
    <row r="6257" spans="7:16" x14ac:dyDescent="0.2">
      <c r="G6257" s="199"/>
      <c r="I6257" s="199"/>
      <c r="K6257" s="199"/>
      <c r="M6257" s="199"/>
      <c r="N6257" s="200"/>
      <c r="P6257" s="199"/>
    </row>
    <row r="6258" spans="7:16" x14ac:dyDescent="0.2">
      <c r="G6258" s="199"/>
      <c r="I6258" s="199"/>
      <c r="K6258" s="199"/>
      <c r="M6258" s="199"/>
      <c r="N6258" s="200"/>
      <c r="P6258" s="199"/>
    </row>
    <row r="6259" spans="7:16" x14ac:dyDescent="0.2">
      <c r="G6259" s="199"/>
      <c r="I6259" s="199"/>
      <c r="K6259" s="199"/>
      <c r="M6259" s="199"/>
      <c r="N6259" s="200"/>
      <c r="P6259" s="199"/>
    </row>
    <row r="6260" spans="7:16" x14ac:dyDescent="0.2">
      <c r="G6260" s="199"/>
      <c r="I6260" s="199"/>
      <c r="K6260" s="199"/>
      <c r="M6260" s="199"/>
      <c r="N6260" s="200"/>
      <c r="P6260" s="199"/>
    </row>
    <row r="6261" spans="7:16" x14ac:dyDescent="0.2">
      <c r="G6261" s="199"/>
      <c r="I6261" s="199"/>
      <c r="K6261" s="199"/>
      <c r="M6261" s="199"/>
      <c r="N6261" s="200"/>
      <c r="P6261" s="199"/>
    </row>
    <row r="6262" spans="7:16" x14ac:dyDescent="0.2">
      <c r="G6262" s="199"/>
      <c r="I6262" s="199"/>
      <c r="K6262" s="199"/>
      <c r="M6262" s="199"/>
      <c r="N6262" s="200"/>
      <c r="P6262" s="199"/>
    </row>
    <row r="6263" spans="7:16" x14ac:dyDescent="0.2">
      <c r="G6263" s="199"/>
      <c r="I6263" s="199"/>
      <c r="K6263" s="199"/>
      <c r="M6263" s="199"/>
      <c r="N6263" s="200"/>
      <c r="P6263" s="199"/>
    </row>
    <row r="6264" spans="7:16" x14ac:dyDescent="0.2">
      <c r="G6264" s="199"/>
      <c r="I6264" s="199"/>
      <c r="K6264" s="199"/>
      <c r="M6264" s="199"/>
      <c r="N6264" s="200"/>
      <c r="P6264" s="199"/>
    </row>
    <row r="6265" spans="7:16" x14ac:dyDescent="0.2">
      <c r="G6265" s="199"/>
      <c r="I6265" s="199"/>
      <c r="K6265" s="199"/>
      <c r="M6265" s="199"/>
      <c r="N6265" s="200"/>
      <c r="P6265" s="199"/>
    </row>
    <row r="6266" spans="7:16" x14ac:dyDescent="0.2">
      <c r="G6266" s="199"/>
      <c r="I6266" s="199"/>
      <c r="K6266" s="199"/>
      <c r="M6266" s="199"/>
      <c r="N6266" s="200"/>
      <c r="P6266" s="199"/>
    </row>
    <row r="6267" spans="7:16" x14ac:dyDescent="0.2">
      <c r="G6267" s="199"/>
      <c r="I6267" s="199"/>
      <c r="K6267" s="199"/>
      <c r="M6267" s="199"/>
      <c r="N6267" s="200"/>
      <c r="P6267" s="199"/>
    </row>
    <row r="6268" spans="7:16" x14ac:dyDescent="0.2">
      <c r="G6268" s="199"/>
      <c r="I6268" s="199"/>
      <c r="K6268" s="199"/>
      <c r="M6268" s="199"/>
      <c r="N6268" s="200"/>
      <c r="P6268" s="199"/>
    </row>
    <row r="6269" spans="7:16" x14ac:dyDescent="0.2">
      <c r="G6269" s="199"/>
      <c r="I6269" s="199"/>
      <c r="K6269" s="199"/>
      <c r="M6269" s="199"/>
      <c r="N6269" s="200"/>
      <c r="P6269" s="199"/>
    </row>
    <row r="6270" spans="7:16" x14ac:dyDescent="0.2">
      <c r="G6270" s="199"/>
      <c r="I6270" s="199"/>
      <c r="K6270" s="199"/>
      <c r="M6270" s="199"/>
      <c r="N6270" s="200"/>
      <c r="P6270" s="199"/>
    </row>
    <row r="6271" spans="7:16" x14ac:dyDescent="0.2">
      <c r="G6271" s="199"/>
      <c r="I6271" s="199"/>
      <c r="K6271" s="199"/>
      <c r="M6271" s="199"/>
      <c r="N6271" s="200"/>
      <c r="P6271" s="199"/>
    </row>
    <row r="6272" spans="7:16" x14ac:dyDescent="0.2">
      <c r="G6272" s="199"/>
      <c r="I6272" s="199"/>
      <c r="K6272" s="199"/>
      <c r="M6272" s="199"/>
      <c r="N6272" s="200"/>
      <c r="P6272" s="199"/>
    </row>
    <row r="6273" spans="7:16" x14ac:dyDescent="0.2">
      <c r="G6273" s="199"/>
      <c r="I6273" s="199"/>
      <c r="K6273" s="199"/>
      <c r="M6273" s="199"/>
      <c r="N6273" s="200"/>
      <c r="P6273" s="199"/>
    </row>
    <row r="6274" spans="7:16" x14ac:dyDescent="0.2">
      <c r="G6274" s="199"/>
      <c r="I6274" s="199"/>
      <c r="K6274" s="199"/>
      <c r="M6274" s="199"/>
      <c r="N6274" s="200"/>
      <c r="P6274" s="199"/>
    </row>
    <row r="6275" spans="7:16" x14ac:dyDescent="0.2">
      <c r="G6275" s="199"/>
      <c r="I6275" s="199"/>
      <c r="K6275" s="199"/>
      <c r="M6275" s="199"/>
      <c r="N6275" s="200"/>
      <c r="P6275" s="199"/>
    </row>
    <row r="6276" spans="7:16" x14ac:dyDescent="0.2">
      <c r="G6276" s="199"/>
      <c r="I6276" s="199"/>
      <c r="K6276" s="199"/>
      <c r="M6276" s="199"/>
      <c r="N6276" s="200"/>
      <c r="P6276" s="199"/>
    </row>
    <row r="6277" spans="7:16" x14ac:dyDescent="0.2">
      <c r="G6277" s="199"/>
      <c r="I6277" s="199"/>
      <c r="K6277" s="199"/>
      <c r="M6277" s="199"/>
      <c r="N6277" s="200"/>
      <c r="P6277" s="199"/>
    </row>
    <row r="6278" spans="7:16" x14ac:dyDescent="0.2">
      <c r="G6278" s="199"/>
      <c r="I6278" s="199"/>
      <c r="K6278" s="199"/>
      <c r="M6278" s="199"/>
      <c r="N6278" s="200"/>
      <c r="P6278" s="199"/>
    </row>
    <row r="6279" spans="7:16" x14ac:dyDescent="0.2">
      <c r="G6279" s="199"/>
      <c r="I6279" s="199"/>
      <c r="K6279" s="199"/>
      <c r="M6279" s="199"/>
      <c r="N6279" s="200"/>
      <c r="P6279" s="199"/>
    </row>
    <row r="6280" spans="7:16" x14ac:dyDescent="0.2">
      <c r="G6280" s="199"/>
      <c r="I6280" s="199"/>
      <c r="K6280" s="199"/>
      <c r="M6280" s="199"/>
      <c r="N6280" s="200"/>
      <c r="P6280" s="199"/>
    </row>
    <row r="6281" spans="7:16" x14ac:dyDescent="0.2">
      <c r="G6281" s="199"/>
      <c r="I6281" s="199"/>
      <c r="K6281" s="199"/>
      <c r="M6281" s="199"/>
      <c r="N6281" s="200"/>
      <c r="P6281" s="199"/>
    </row>
    <row r="6282" spans="7:16" x14ac:dyDescent="0.2">
      <c r="G6282" s="199"/>
      <c r="I6282" s="199"/>
      <c r="K6282" s="199"/>
      <c r="M6282" s="199"/>
      <c r="N6282" s="200"/>
      <c r="P6282" s="199"/>
    </row>
    <row r="6283" spans="7:16" x14ac:dyDescent="0.2">
      <c r="G6283" s="199"/>
      <c r="I6283" s="199"/>
      <c r="K6283" s="199"/>
      <c r="M6283" s="199"/>
      <c r="N6283" s="200"/>
      <c r="P6283" s="199"/>
    </row>
    <row r="6284" spans="7:16" x14ac:dyDescent="0.2">
      <c r="G6284" s="199"/>
      <c r="I6284" s="199"/>
      <c r="K6284" s="199"/>
      <c r="M6284" s="199"/>
      <c r="N6284" s="200"/>
      <c r="P6284" s="199"/>
    </row>
    <row r="6285" spans="7:16" x14ac:dyDescent="0.2">
      <c r="G6285" s="199"/>
      <c r="I6285" s="199"/>
      <c r="K6285" s="199"/>
      <c r="M6285" s="199"/>
      <c r="N6285" s="200"/>
      <c r="P6285" s="199"/>
    </row>
    <row r="6286" spans="7:16" x14ac:dyDescent="0.2">
      <c r="G6286" s="199"/>
      <c r="I6286" s="199"/>
      <c r="K6286" s="199"/>
      <c r="M6286" s="199"/>
      <c r="N6286" s="200"/>
      <c r="P6286" s="199"/>
    </row>
    <row r="6287" spans="7:16" x14ac:dyDescent="0.2">
      <c r="G6287" s="199"/>
      <c r="I6287" s="199"/>
      <c r="K6287" s="199"/>
      <c r="M6287" s="199"/>
      <c r="N6287" s="200"/>
      <c r="P6287" s="199"/>
    </row>
    <row r="6288" spans="7:16" x14ac:dyDescent="0.2">
      <c r="G6288" s="199"/>
      <c r="I6288" s="199"/>
      <c r="K6288" s="199"/>
      <c r="M6288" s="199"/>
      <c r="N6288" s="200"/>
      <c r="P6288" s="199"/>
    </row>
    <row r="6289" spans="7:16" x14ac:dyDescent="0.2">
      <c r="G6289" s="199"/>
      <c r="I6289" s="199"/>
      <c r="K6289" s="199"/>
      <c r="M6289" s="199"/>
      <c r="N6289" s="200"/>
      <c r="P6289" s="199"/>
    </row>
    <row r="6290" spans="7:16" x14ac:dyDescent="0.2">
      <c r="G6290" s="199"/>
      <c r="I6290" s="199"/>
      <c r="K6290" s="199"/>
      <c r="M6290" s="199"/>
      <c r="N6290" s="200"/>
      <c r="P6290" s="199"/>
    </row>
    <row r="6291" spans="7:16" x14ac:dyDescent="0.2">
      <c r="G6291" s="199"/>
      <c r="I6291" s="199"/>
      <c r="K6291" s="199"/>
      <c r="M6291" s="199"/>
      <c r="N6291" s="200"/>
      <c r="P6291" s="199"/>
    </row>
    <row r="6292" spans="7:16" x14ac:dyDescent="0.2">
      <c r="G6292" s="199"/>
      <c r="I6292" s="199"/>
      <c r="K6292" s="199"/>
      <c r="M6292" s="199"/>
      <c r="N6292" s="200"/>
      <c r="P6292" s="199"/>
    </row>
    <row r="6293" spans="7:16" x14ac:dyDescent="0.2">
      <c r="G6293" s="199"/>
      <c r="I6293" s="199"/>
      <c r="K6293" s="199"/>
      <c r="M6293" s="199"/>
      <c r="N6293" s="200"/>
      <c r="P6293" s="199"/>
    </row>
    <row r="6294" spans="7:16" x14ac:dyDescent="0.2">
      <c r="G6294" s="199"/>
      <c r="I6294" s="199"/>
      <c r="K6294" s="199"/>
      <c r="M6294" s="199"/>
      <c r="N6294" s="200"/>
      <c r="P6294" s="199"/>
    </row>
    <row r="6295" spans="7:16" x14ac:dyDescent="0.2">
      <c r="G6295" s="199"/>
      <c r="I6295" s="199"/>
      <c r="K6295" s="199"/>
      <c r="M6295" s="199"/>
      <c r="N6295" s="200"/>
      <c r="P6295" s="199"/>
    </row>
    <row r="6296" spans="7:16" x14ac:dyDescent="0.2">
      <c r="G6296" s="199"/>
      <c r="I6296" s="199"/>
      <c r="K6296" s="199"/>
      <c r="M6296" s="199"/>
      <c r="N6296" s="200"/>
      <c r="P6296" s="199"/>
    </row>
    <row r="6297" spans="7:16" x14ac:dyDescent="0.2">
      <c r="G6297" s="199"/>
      <c r="I6297" s="199"/>
      <c r="K6297" s="199"/>
      <c r="M6297" s="199"/>
      <c r="N6297" s="200"/>
      <c r="P6297" s="199"/>
    </row>
    <row r="6298" spans="7:16" x14ac:dyDescent="0.2">
      <c r="G6298" s="199"/>
      <c r="I6298" s="199"/>
      <c r="K6298" s="199"/>
      <c r="M6298" s="199"/>
      <c r="N6298" s="200"/>
      <c r="P6298" s="199"/>
    </row>
    <row r="6299" spans="7:16" x14ac:dyDescent="0.2">
      <c r="G6299" s="199"/>
      <c r="I6299" s="199"/>
      <c r="K6299" s="199"/>
      <c r="M6299" s="199"/>
      <c r="N6299" s="200"/>
      <c r="P6299" s="199"/>
    </row>
    <row r="6300" spans="7:16" x14ac:dyDescent="0.2">
      <c r="G6300" s="199"/>
      <c r="I6300" s="199"/>
      <c r="K6300" s="199"/>
      <c r="M6300" s="199"/>
      <c r="N6300" s="200"/>
      <c r="P6300" s="199"/>
    </row>
    <row r="6301" spans="7:16" x14ac:dyDescent="0.2">
      <c r="G6301" s="199"/>
      <c r="I6301" s="199"/>
      <c r="K6301" s="199"/>
      <c r="M6301" s="199"/>
      <c r="N6301" s="200"/>
      <c r="P6301" s="199"/>
    </row>
    <row r="6302" spans="7:16" x14ac:dyDescent="0.2">
      <c r="G6302" s="199"/>
      <c r="I6302" s="199"/>
      <c r="K6302" s="199"/>
      <c r="M6302" s="199"/>
      <c r="N6302" s="200"/>
      <c r="P6302" s="199"/>
    </row>
    <row r="6303" spans="7:16" x14ac:dyDescent="0.2">
      <c r="G6303" s="199"/>
      <c r="I6303" s="199"/>
      <c r="K6303" s="199"/>
      <c r="M6303" s="199"/>
      <c r="N6303" s="200"/>
      <c r="P6303" s="199"/>
    </row>
    <row r="6304" spans="7:16" x14ac:dyDescent="0.2">
      <c r="G6304" s="199"/>
      <c r="I6304" s="199"/>
      <c r="K6304" s="199"/>
      <c r="M6304" s="199"/>
      <c r="N6304" s="200"/>
      <c r="P6304" s="199"/>
    </row>
    <row r="6305" spans="7:16" x14ac:dyDescent="0.2">
      <c r="G6305" s="199"/>
      <c r="I6305" s="199"/>
      <c r="K6305" s="199"/>
      <c r="M6305" s="199"/>
      <c r="N6305" s="200"/>
      <c r="P6305" s="199"/>
    </row>
    <row r="6306" spans="7:16" x14ac:dyDescent="0.2">
      <c r="G6306" s="199"/>
      <c r="I6306" s="199"/>
      <c r="K6306" s="199"/>
      <c r="M6306" s="199"/>
      <c r="N6306" s="200"/>
      <c r="P6306" s="199"/>
    </row>
    <row r="6307" spans="7:16" x14ac:dyDescent="0.2">
      <c r="G6307" s="199"/>
      <c r="I6307" s="199"/>
      <c r="K6307" s="199"/>
      <c r="M6307" s="199"/>
      <c r="N6307" s="200"/>
      <c r="P6307" s="199"/>
    </row>
    <row r="6308" spans="7:16" x14ac:dyDescent="0.2">
      <c r="G6308" s="199"/>
      <c r="I6308" s="199"/>
      <c r="K6308" s="199"/>
      <c r="M6308" s="199"/>
      <c r="N6308" s="200"/>
      <c r="P6308" s="199"/>
    </row>
    <row r="6309" spans="7:16" x14ac:dyDescent="0.2">
      <c r="G6309" s="199"/>
      <c r="I6309" s="199"/>
      <c r="K6309" s="199"/>
      <c r="M6309" s="199"/>
      <c r="N6309" s="200"/>
      <c r="P6309" s="199"/>
    </row>
    <row r="6310" spans="7:16" x14ac:dyDescent="0.2">
      <c r="G6310" s="199"/>
      <c r="I6310" s="199"/>
      <c r="K6310" s="199"/>
      <c r="M6310" s="199"/>
      <c r="N6310" s="200"/>
      <c r="P6310" s="199"/>
    </row>
    <row r="6311" spans="7:16" x14ac:dyDescent="0.2">
      <c r="G6311" s="199"/>
      <c r="I6311" s="199"/>
      <c r="K6311" s="199"/>
      <c r="M6311" s="199"/>
      <c r="N6311" s="200"/>
      <c r="P6311" s="199"/>
    </row>
    <row r="6312" spans="7:16" x14ac:dyDescent="0.2">
      <c r="G6312" s="199"/>
      <c r="I6312" s="199"/>
      <c r="K6312" s="199"/>
      <c r="M6312" s="199"/>
      <c r="N6312" s="200"/>
      <c r="P6312" s="199"/>
    </row>
    <row r="6313" spans="7:16" x14ac:dyDescent="0.2">
      <c r="G6313" s="199"/>
      <c r="I6313" s="199"/>
      <c r="K6313" s="199"/>
      <c r="M6313" s="199"/>
      <c r="N6313" s="200"/>
      <c r="P6313" s="199"/>
    </row>
    <row r="6314" spans="7:16" x14ac:dyDescent="0.2">
      <c r="G6314" s="199"/>
      <c r="I6314" s="199"/>
      <c r="K6314" s="199"/>
      <c r="M6314" s="199"/>
      <c r="N6314" s="200"/>
      <c r="P6314" s="199"/>
    </row>
    <row r="6315" spans="7:16" x14ac:dyDescent="0.2">
      <c r="G6315" s="199"/>
      <c r="I6315" s="199"/>
      <c r="K6315" s="199"/>
      <c r="M6315" s="199"/>
      <c r="N6315" s="200"/>
      <c r="P6315" s="199"/>
    </row>
    <row r="6316" spans="7:16" x14ac:dyDescent="0.2">
      <c r="G6316" s="199"/>
      <c r="I6316" s="199"/>
      <c r="K6316" s="199"/>
      <c r="M6316" s="199"/>
      <c r="N6316" s="200"/>
      <c r="P6316" s="199"/>
    </row>
    <row r="6317" spans="7:16" x14ac:dyDescent="0.2">
      <c r="G6317" s="199"/>
      <c r="I6317" s="199"/>
      <c r="K6317" s="199"/>
      <c r="M6317" s="199"/>
      <c r="N6317" s="200"/>
      <c r="P6317" s="199"/>
    </row>
    <row r="6318" spans="7:16" x14ac:dyDescent="0.2">
      <c r="G6318" s="199"/>
      <c r="I6318" s="199"/>
      <c r="K6318" s="199"/>
      <c r="M6318" s="199"/>
      <c r="N6318" s="200"/>
      <c r="P6318" s="199"/>
    </row>
    <row r="6319" spans="7:16" x14ac:dyDescent="0.2">
      <c r="G6319" s="199"/>
      <c r="I6319" s="199"/>
      <c r="K6319" s="199"/>
      <c r="M6319" s="199"/>
      <c r="N6319" s="200"/>
      <c r="P6319" s="199"/>
    </row>
    <row r="6320" spans="7:16" x14ac:dyDescent="0.2">
      <c r="G6320" s="199"/>
      <c r="I6320" s="199"/>
      <c r="K6320" s="199"/>
      <c r="M6320" s="199"/>
      <c r="N6320" s="200"/>
      <c r="P6320" s="199"/>
    </row>
    <row r="6321" spans="7:16" x14ac:dyDescent="0.2">
      <c r="G6321" s="199"/>
      <c r="I6321" s="199"/>
      <c r="K6321" s="199"/>
      <c r="M6321" s="199"/>
      <c r="N6321" s="200"/>
      <c r="P6321" s="199"/>
    </row>
    <row r="6322" spans="7:16" x14ac:dyDescent="0.2">
      <c r="G6322" s="199"/>
      <c r="I6322" s="199"/>
      <c r="K6322" s="199"/>
      <c r="M6322" s="199"/>
      <c r="N6322" s="200"/>
      <c r="P6322" s="199"/>
    </row>
    <row r="6323" spans="7:16" x14ac:dyDescent="0.2">
      <c r="G6323" s="199"/>
      <c r="I6323" s="199"/>
      <c r="K6323" s="199"/>
      <c r="M6323" s="199"/>
      <c r="N6323" s="200"/>
      <c r="P6323" s="199"/>
    </row>
    <row r="6324" spans="7:16" x14ac:dyDescent="0.2">
      <c r="G6324" s="199"/>
      <c r="I6324" s="199"/>
      <c r="K6324" s="199"/>
      <c r="M6324" s="199"/>
      <c r="N6324" s="200"/>
      <c r="P6324" s="199"/>
    </row>
    <row r="6325" spans="7:16" x14ac:dyDescent="0.2">
      <c r="G6325" s="199"/>
      <c r="I6325" s="199"/>
      <c r="K6325" s="199"/>
      <c r="M6325" s="199"/>
      <c r="N6325" s="200"/>
      <c r="P6325" s="199"/>
    </row>
    <row r="6326" spans="7:16" x14ac:dyDescent="0.2">
      <c r="G6326" s="199"/>
      <c r="I6326" s="199"/>
      <c r="K6326" s="199"/>
      <c r="M6326" s="199"/>
      <c r="N6326" s="200"/>
      <c r="P6326" s="199"/>
    </row>
    <row r="6327" spans="7:16" x14ac:dyDescent="0.2">
      <c r="G6327" s="199"/>
      <c r="I6327" s="199"/>
      <c r="K6327" s="199"/>
      <c r="M6327" s="199"/>
      <c r="N6327" s="200"/>
      <c r="P6327" s="199"/>
    </row>
    <row r="6328" spans="7:16" x14ac:dyDescent="0.2">
      <c r="G6328" s="199"/>
      <c r="I6328" s="199"/>
      <c r="K6328" s="199"/>
      <c r="M6328" s="199"/>
      <c r="N6328" s="200"/>
      <c r="P6328" s="199"/>
    </row>
    <row r="6329" spans="7:16" x14ac:dyDescent="0.2">
      <c r="G6329" s="199"/>
      <c r="I6329" s="199"/>
      <c r="K6329" s="199"/>
      <c r="M6329" s="199"/>
      <c r="N6329" s="200"/>
      <c r="P6329" s="199"/>
    </row>
    <row r="6330" spans="7:16" x14ac:dyDescent="0.2">
      <c r="G6330" s="199"/>
      <c r="I6330" s="199"/>
      <c r="K6330" s="199"/>
      <c r="M6330" s="199"/>
      <c r="N6330" s="200"/>
      <c r="P6330" s="199"/>
    </row>
    <row r="6331" spans="7:16" x14ac:dyDescent="0.2">
      <c r="G6331" s="199"/>
      <c r="I6331" s="199"/>
      <c r="K6331" s="199"/>
      <c r="M6331" s="199"/>
      <c r="N6331" s="200"/>
      <c r="P6331" s="199"/>
    </row>
    <row r="6332" spans="7:16" x14ac:dyDescent="0.2">
      <c r="G6332" s="199"/>
      <c r="I6332" s="199"/>
      <c r="K6332" s="199"/>
      <c r="M6332" s="199"/>
      <c r="N6332" s="200"/>
      <c r="P6332" s="199"/>
    </row>
    <row r="6333" spans="7:16" x14ac:dyDescent="0.2">
      <c r="G6333" s="199"/>
      <c r="I6333" s="199"/>
      <c r="K6333" s="199"/>
      <c r="M6333" s="199"/>
      <c r="N6333" s="200"/>
      <c r="P6333" s="199"/>
    </row>
    <row r="6334" spans="7:16" x14ac:dyDescent="0.2">
      <c r="G6334" s="199"/>
      <c r="I6334" s="199"/>
      <c r="K6334" s="199"/>
      <c r="M6334" s="199"/>
      <c r="N6334" s="200"/>
      <c r="P6334" s="199"/>
    </row>
    <row r="6335" spans="7:16" x14ac:dyDescent="0.2">
      <c r="G6335" s="199"/>
      <c r="I6335" s="199"/>
      <c r="K6335" s="199"/>
      <c r="M6335" s="199"/>
      <c r="N6335" s="200"/>
      <c r="P6335" s="199"/>
    </row>
    <row r="6336" spans="7:16" x14ac:dyDescent="0.2">
      <c r="G6336" s="199"/>
      <c r="I6336" s="199"/>
      <c r="K6336" s="199"/>
      <c r="M6336" s="199"/>
      <c r="N6336" s="200"/>
      <c r="P6336" s="199"/>
    </row>
    <row r="6337" spans="7:16" x14ac:dyDescent="0.2">
      <c r="G6337" s="199"/>
      <c r="I6337" s="199"/>
      <c r="K6337" s="199"/>
      <c r="M6337" s="199"/>
      <c r="N6337" s="200"/>
      <c r="P6337" s="199"/>
    </row>
    <row r="6338" spans="7:16" x14ac:dyDescent="0.2">
      <c r="G6338" s="199"/>
      <c r="I6338" s="199"/>
      <c r="K6338" s="199"/>
      <c r="M6338" s="199"/>
      <c r="N6338" s="200"/>
      <c r="P6338" s="199"/>
    </row>
    <row r="6339" spans="7:16" x14ac:dyDescent="0.2">
      <c r="G6339" s="199"/>
      <c r="I6339" s="199"/>
      <c r="K6339" s="199"/>
      <c r="M6339" s="199"/>
      <c r="N6339" s="200"/>
      <c r="P6339" s="199"/>
    </row>
    <row r="6340" spans="7:16" x14ac:dyDescent="0.2">
      <c r="G6340" s="199"/>
      <c r="I6340" s="199"/>
      <c r="K6340" s="199"/>
      <c r="M6340" s="199"/>
      <c r="N6340" s="200"/>
      <c r="P6340" s="199"/>
    </row>
    <row r="6341" spans="7:16" x14ac:dyDescent="0.2">
      <c r="G6341" s="199"/>
      <c r="I6341" s="199"/>
      <c r="K6341" s="199"/>
      <c r="M6341" s="199"/>
      <c r="N6341" s="200"/>
      <c r="P6341" s="199"/>
    </row>
    <row r="6342" spans="7:16" x14ac:dyDescent="0.2">
      <c r="G6342" s="199"/>
      <c r="I6342" s="199"/>
      <c r="K6342" s="199"/>
      <c r="M6342" s="199"/>
      <c r="N6342" s="200"/>
      <c r="P6342" s="199"/>
    </row>
    <row r="6343" spans="7:16" x14ac:dyDescent="0.2">
      <c r="G6343" s="199"/>
      <c r="I6343" s="199"/>
      <c r="K6343" s="199"/>
      <c r="M6343" s="199"/>
      <c r="N6343" s="200"/>
      <c r="P6343" s="199"/>
    </row>
    <row r="6344" spans="7:16" x14ac:dyDescent="0.2">
      <c r="G6344" s="199"/>
      <c r="I6344" s="199"/>
      <c r="K6344" s="199"/>
      <c r="M6344" s="199"/>
      <c r="N6344" s="200"/>
      <c r="P6344" s="199"/>
    </row>
    <row r="6345" spans="7:16" x14ac:dyDescent="0.2">
      <c r="G6345" s="199"/>
      <c r="I6345" s="199"/>
      <c r="K6345" s="199"/>
      <c r="M6345" s="199"/>
      <c r="N6345" s="200"/>
      <c r="P6345" s="199"/>
    </row>
    <row r="6346" spans="7:16" x14ac:dyDescent="0.2">
      <c r="G6346" s="199"/>
      <c r="I6346" s="199"/>
      <c r="K6346" s="199"/>
      <c r="M6346" s="199"/>
      <c r="N6346" s="200"/>
      <c r="P6346" s="199"/>
    </row>
    <row r="6347" spans="7:16" x14ac:dyDescent="0.2">
      <c r="G6347" s="199"/>
      <c r="I6347" s="199"/>
      <c r="K6347" s="199"/>
      <c r="M6347" s="199"/>
      <c r="N6347" s="200"/>
      <c r="P6347" s="199"/>
    </row>
    <row r="6348" spans="7:16" x14ac:dyDescent="0.2">
      <c r="G6348" s="199"/>
      <c r="I6348" s="199"/>
      <c r="K6348" s="199"/>
      <c r="M6348" s="199"/>
      <c r="N6348" s="200"/>
      <c r="P6348" s="199"/>
    </row>
    <row r="6349" spans="7:16" x14ac:dyDescent="0.2">
      <c r="G6349" s="199"/>
      <c r="I6349" s="199"/>
      <c r="K6349" s="199"/>
      <c r="M6349" s="199"/>
      <c r="N6349" s="200"/>
      <c r="P6349" s="199"/>
    </row>
    <row r="6350" spans="7:16" x14ac:dyDescent="0.2">
      <c r="G6350" s="199"/>
      <c r="I6350" s="199"/>
      <c r="K6350" s="199"/>
      <c r="M6350" s="199"/>
      <c r="N6350" s="200"/>
      <c r="P6350" s="199"/>
    </row>
    <row r="6351" spans="7:16" x14ac:dyDescent="0.2">
      <c r="G6351" s="199"/>
      <c r="I6351" s="199"/>
      <c r="K6351" s="199"/>
      <c r="M6351" s="199"/>
      <c r="N6351" s="200"/>
      <c r="P6351" s="199"/>
    </row>
    <row r="6352" spans="7:16" x14ac:dyDescent="0.2">
      <c r="G6352" s="199"/>
      <c r="I6352" s="199"/>
      <c r="K6352" s="199"/>
      <c r="M6352" s="199"/>
      <c r="N6352" s="200"/>
      <c r="P6352" s="199"/>
    </row>
    <row r="6353" spans="7:16" x14ac:dyDescent="0.2">
      <c r="G6353" s="199"/>
      <c r="I6353" s="199"/>
      <c r="K6353" s="199"/>
      <c r="M6353" s="199"/>
      <c r="N6353" s="200"/>
      <c r="P6353" s="199"/>
    </row>
    <row r="6354" spans="7:16" x14ac:dyDescent="0.2">
      <c r="G6354" s="199"/>
      <c r="I6354" s="199"/>
      <c r="K6354" s="199"/>
      <c r="M6354" s="199"/>
      <c r="N6354" s="200"/>
      <c r="P6354" s="199"/>
    </row>
    <row r="6355" spans="7:16" x14ac:dyDescent="0.2">
      <c r="G6355" s="199"/>
      <c r="I6355" s="199"/>
      <c r="K6355" s="199"/>
      <c r="M6355" s="199"/>
      <c r="N6355" s="200"/>
      <c r="P6355" s="199"/>
    </row>
    <row r="6356" spans="7:16" x14ac:dyDescent="0.2">
      <c r="G6356" s="199"/>
      <c r="I6356" s="199"/>
      <c r="K6356" s="199"/>
      <c r="M6356" s="199"/>
      <c r="N6356" s="200"/>
      <c r="P6356" s="199"/>
    </row>
    <row r="6357" spans="7:16" x14ac:dyDescent="0.2">
      <c r="G6357" s="199"/>
      <c r="I6357" s="199"/>
      <c r="K6357" s="199"/>
      <c r="M6357" s="199"/>
      <c r="N6357" s="200"/>
      <c r="P6357" s="199"/>
    </row>
    <row r="6358" spans="7:16" x14ac:dyDescent="0.2">
      <c r="G6358" s="199"/>
      <c r="I6358" s="199"/>
      <c r="K6358" s="199"/>
      <c r="M6358" s="199"/>
      <c r="N6358" s="200"/>
      <c r="P6358" s="199"/>
    </row>
    <row r="6359" spans="7:16" x14ac:dyDescent="0.2">
      <c r="G6359" s="199"/>
      <c r="I6359" s="199"/>
      <c r="K6359" s="199"/>
      <c r="M6359" s="199"/>
      <c r="N6359" s="200"/>
      <c r="P6359" s="199"/>
    </row>
    <row r="6360" spans="7:16" x14ac:dyDescent="0.2">
      <c r="G6360" s="199"/>
      <c r="I6360" s="199"/>
      <c r="K6360" s="199"/>
      <c r="M6360" s="199"/>
      <c r="N6360" s="200"/>
      <c r="P6360" s="199"/>
    </row>
    <row r="6361" spans="7:16" x14ac:dyDescent="0.2">
      <c r="G6361" s="199"/>
      <c r="I6361" s="199"/>
      <c r="K6361" s="199"/>
      <c r="M6361" s="199"/>
      <c r="N6361" s="200"/>
      <c r="P6361" s="199"/>
    </row>
    <row r="6362" spans="7:16" x14ac:dyDescent="0.2">
      <c r="G6362" s="199"/>
      <c r="I6362" s="199"/>
      <c r="K6362" s="199"/>
      <c r="M6362" s="199"/>
      <c r="N6362" s="200"/>
      <c r="P6362" s="199"/>
    </row>
    <row r="6363" spans="7:16" x14ac:dyDescent="0.2">
      <c r="G6363" s="199"/>
      <c r="I6363" s="199"/>
      <c r="K6363" s="199"/>
      <c r="M6363" s="199"/>
      <c r="N6363" s="200"/>
      <c r="P6363" s="199"/>
    </row>
    <row r="6364" spans="7:16" x14ac:dyDescent="0.2">
      <c r="G6364" s="199"/>
      <c r="I6364" s="199"/>
      <c r="K6364" s="199"/>
      <c r="M6364" s="199"/>
      <c r="N6364" s="200"/>
      <c r="P6364" s="199"/>
    </row>
    <row r="6365" spans="7:16" x14ac:dyDescent="0.2">
      <c r="G6365" s="199"/>
      <c r="I6365" s="199"/>
      <c r="K6365" s="199"/>
      <c r="M6365" s="199"/>
      <c r="N6365" s="200"/>
      <c r="P6365" s="199"/>
    </row>
    <row r="6366" spans="7:16" x14ac:dyDescent="0.2">
      <c r="G6366" s="199"/>
      <c r="I6366" s="199"/>
      <c r="K6366" s="199"/>
      <c r="M6366" s="199"/>
      <c r="N6366" s="200"/>
      <c r="P6366" s="199"/>
    </row>
    <row r="6367" spans="7:16" x14ac:dyDescent="0.2">
      <c r="G6367" s="199"/>
      <c r="I6367" s="199"/>
      <c r="K6367" s="199"/>
      <c r="M6367" s="199"/>
      <c r="N6367" s="200"/>
      <c r="P6367" s="199"/>
    </row>
    <row r="6368" spans="7:16" x14ac:dyDescent="0.2">
      <c r="G6368" s="199"/>
      <c r="I6368" s="199"/>
      <c r="K6368" s="199"/>
      <c r="M6368" s="199"/>
      <c r="N6368" s="200"/>
      <c r="P6368" s="199"/>
    </row>
    <row r="6369" spans="7:16" x14ac:dyDescent="0.2">
      <c r="G6369" s="199"/>
      <c r="I6369" s="199"/>
      <c r="K6369" s="199"/>
      <c r="M6369" s="199"/>
      <c r="N6369" s="200"/>
      <c r="P6369" s="199"/>
    </row>
    <row r="6370" spans="7:16" x14ac:dyDescent="0.2">
      <c r="G6370" s="199"/>
      <c r="I6370" s="199"/>
      <c r="K6370" s="199"/>
      <c r="M6370" s="199"/>
      <c r="N6370" s="200"/>
      <c r="P6370" s="199"/>
    </row>
    <row r="6371" spans="7:16" x14ac:dyDescent="0.2">
      <c r="G6371" s="199"/>
      <c r="I6371" s="199"/>
      <c r="K6371" s="199"/>
      <c r="M6371" s="199"/>
      <c r="N6371" s="200"/>
      <c r="P6371" s="199"/>
    </row>
    <row r="6372" spans="7:16" x14ac:dyDescent="0.2">
      <c r="G6372" s="199"/>
      <c r="I6372" s="199"/>
      <c r="K6372" s="199"/>
      <c r="M6372" s="199"/>
      <c r="N6372" s="200"/>
      <c r="P6372" s="199"/>
    </row>
    <row r="6373" spans="7:16" x14ac:dyDescent="0.2">
      <c r="G6373" s="199"/>
      <c r="I6373" s="199"/>
      <c r="K6373" s="199"/>
      <c r="M6373" s="199"/>
      <c r="N6373" s="200"/>
      <c r="P6373" s="199"/>
    </row>
    <row r="6374" spans="7:16" x14ac:dyDescent="0.2">
      <c r="G6374" s="199"/>
      <c r="I6374" s="199"/>
      <c r="K6374" s="199"/>
      <c r="M6374" s="199"/>
      <c r="N6374" s="200"/>
      <c r="P6374" s="199"/>
    </row>
    <row r="6375" spans="7:16" x14ac:dyDescent="0.2">
      <c r="G6375" s="199"/>
      <c r="I6375" s="199"/>
      <c r="K6375" s="199"/>
      <c r="M6375" s="199"/>
      <c r="N6375" s="200"/>
      <c r="P6375" s="199"/>
    </row>
    <row r="6376" spans="7:16" x14ac:dyDescent="0.2">
      <c r="G6376" s="199"/>
      <c r="I6376" s="199"/>
      <c r="K6376" s="199"/>
      <c r="M6376" s="199"/>
      <c r="N6376" s="200"/>
      <c r="P6376" s="199"/>
    </row>
    <row r="6377" spans="7:16" x14ac:dyDescent="0.2">
      <c r="G6377" s="199"/>
      <c r="I6377" s="199"/>
      <c r="K6377" s="199"/>
      <c r="M6377" s="199"/>
      <c r="N6377" s="200"/>
      <c r="P6377" s="199"/>
    </row>
    <row r="6378" spans="7:16" x14ac:dyDescent="0.2">
      <c r="G6378" s="199"/>
      <c r="I6378" s="199"/>
      <c r="K6378" s="199"/>
      <c r="M6378" s="199"/>
      <c r="N6378" s="200"/>
      <c r="P6378" s="199"/>
    </row>
    <row r="6379" spans="7:16" x14ac:dyDescent="0.2">
      <c r="G6379" s="199"/>
      <c r="I6379" s="199"/>
      <c r="K6379" s="199"/>
      <c r="M6379" s="199"/>
      <c r="N6379" s="200"/>
      <c r="P6379" s="199"/>
    </row>
    <row r="6380" spans="7:16" x14ac:dyDescent="0.2">
      <c r="G6380" s="199"/>
      <c r="I6380" s="199"/>
      <c r="K6380" s="199"/>
      <c r="M6380" s="199"/>
      <c r="N6380" s="200"/>
      <c r="P6380" s="199"/>
    </row>
    <row r="6381" spans="7:16" x14ac:dyDescent="0.2">
      <c r="G6381" s="199"/>
      <c r="I6381" s="199"/>
      <c r="K6381" s="199"/>
      <c r="M6381" s="199"/>
      <c r="N6381" s="200"/>
      <c r="P6381" s="199"/>
    </row>
    <row r="6382" spans="7:16" x14ac:dyDescent="0.2">
      <c r="G6382" s="199"/>
      <c r="I6382" s="199"/>
      <c r="K6382" s="199"/>
      <c r="M6382" s="199"/>
      <c r="N6382" s="200"/>
      <c r="P6382" s="199"/>
    </row>
    <row r="6383" spans="7:16" x14ac:dyDescent="0.2">
      <c r="G6383" s="199"/>
      <c r="I6383" s="199"/>
      <c r="K6383" s="199"/>
      <c r="M6383" s="199"/>
      <c r="N6383" s="200"/>
      <c r="P6383" s="199"/>
    </row>
    <row r="6384" spans="7:16" x14ac:dyDescent="0.2">
      <c r="G6384" s="199"/>
      <c r="I6384" s="199"/>
      <c r="K6384" s="199"/>
      <c r="M6384" s="199"/>
      <c r="N6384" s="200"/>
      <c r="P6384" s="199"/>
    </row>
    <row r="6385" spans="7:16" x14ac:dyDescent="0.2">
      <c r="G6385" s="199"/>
      <c r="I6385" s="199"/>
      <c r="K6385" s="199"/>
      <c r="M6385" s="199"/>
      <c r="N6385" s="200"/>
      <c r="P6385" s="199"/>
    </row>
    <row r="6386" spans="7:16" x14ac:dyDescent="0.2">
      <c r="G6386" s="199"/>
      <c r="I6386" s="199"/>
      <c r="K6386" s="199"/>
      <c r="M6386" s="199"/>
      <c r="N6386" s="200"/>
      <c r="P6386" s="199"/>
    </row>
    <row r="6387" spans="7:16" x14ac:dyDescent="0.2">
      <c r="G6387" s="199"/>
      <c r="I6387" s="199"/>
      <c r="K6387" s="199"/>
      <c r="M6387" s="199"/>
      <c r="N6387" s="200"/>
      <c r="P6387" s="199"/>
    </row>
    <row r="6388" spans="7:16" x14ac:dyDescent="0.2">
      <c r="G6388" s="199"/>
      <c r="I6388" s="199"/>
      <c r="K6388" s="199"/>
      <c r="M6388" s="199"/>
      <c r="N6388" s="200"/>
      <c r="P6388" s="199"/>
    </row>
    <row r="6389" spans="7:16" x14ac:dyDescent="0.2">
      <c r="G6389" s="199"/>
      <c r="I6389" s="199"/>
      <c r="K6389" s="199"/>
      <c r="M6389" s="199"/>
      <c r="N6389" s="200"/>
      <c r="P6389" s="199"/>
    </row>
    <row r="6390" spans="7:16" x14ac:dyDescent="0.2">
      <c r="G6390" s="199"/>
      <c r="I6390" s="199"/>
      <c r="K6390" s="199"/>
      <c r="M6390" s="199"/>
      <c r="N6390" s="200"/>
      <c r="P6390" s="199"/>
    </row>
    <row r="6391" spans="7:16" x14ac:dyDescent="0.2">
      <c r="G6391" s="199"/>
      <c r="I6391" s="199"/>
      <c r="K6391" s="199"/>
      <c r="M6391" s="199"/>
      <c r="N6391" s="200"/>
      <c r="P6391" s="199"/>
    </row>
    <row r="6392" spans="7:16" x14ac:dyDescent="0.2">
      <c r="G6392" s="199"/>
      <c r="I6392" s="199"/>
      <c r="K6392" s="199"/>
      <c r="M6392" s="199"/>
      <c r="N6392" s="200"/>
      <c r="P6392" s="199"/>
    </row>
    <row r="6393" spans="7:16" x14ac:dyDescent="0.2">
      <c r="G6393" s="199"/>
      <c r="I6393" s="199"/>
      <c r="K6393" s="199"/>
      <c r="M6393" s="199"/>
      <c r="N6393" s="200"/>
      <c r="P6393" s="199"/>
    </row>
    <row r="6394" spans="7:16" x14ac:dyDescent="0.2">
      <c r="G6394" s="199"/>
      <c r="I6394" s="199"/>
      <c r="K6394" s="199"/>
      <c r="M6394" s="199"/>
      <c r="N6394" s="200"/>
      <c r="P6394" s="199"/>
    </row>
    <row r="6395" spans="7:16" x14ac:dyDescent="0.2">
      <c r="G6395" s="199"/>
      <c r="I6395" s="199"/>
      <c r="K6395" s="199"/>
      <c r="M6395" s="199"/>
      <c r="N6395" s="200"/>
      <c r="P6395" s="199"/>
    </row>
    <row r="6396" spans="7:16" x14ac:dyDescent="0.2">
      <c r="G6396" s="199"/>
      <c r="I6396" s="199"/>
      <c r="K6396" s="199"/>
      <c r="M6396" s="199"/>
      <c r="N6396" s="200"/>
      <c r="P6396" s="199"/>
    </row>
    <row r="6397" spans="7:16" x14ac:dyDescent="0.2">
      <c r="G6397" s="199"/>
      <c r="I6397" s="199"/>
      <c r="K6397" s="199"/>
      <c r="M6397" s="199"/>
      <c r="N6397" s="200"/>
      <c r="P6397" s="199"/>
    </row>
    <row r="6398" spans="7:16" x14ac:dyDescent="0.2">
      <c r="G6398" s="199"/>
      <c r="I6398" s="199"/>
      <c r="K6398" s="199"/>
      <c r="M6398" s="199"/>
      <c r="N6398" s="200"/>
      <c r="P6398" s="199"/>
    </row>
    <row r="6399" spans="7:16" x14ac:dyDescent="0.2">
      <c r="G6399" s="199"/>
      <c r="I6399" s="199"/>
      <c r="K6399" s="199"/>
      <c r="M6399" s="199"/>
      <c r="N6399" s="200"/>
      <c r="P6399" s="199"/>
    </row>
    <row r="6400" spans="7:16" x14ac:dyDescent="0.2">
      <c r="G6400" s="199"/>
      <c r="I6400" s="199"/>
      <c r="K6400" s="199"/>
      <c r="M6400" s="199"/>
      <c r="N6400" s="200"/>
      <c r="P6400" s="199"/>
    </row>
    <row r="6401" spans="7:16" x14ac:dyDescent="0.2">
      <c r="G6401" s="199"/>
      <c r="I6401" s="199"/>
      <c r="K6401" s="199"/>
      <c r="M6401" s="199"/>
      <c r="N6401" s="200"/>
      <c r="P6401" s="199"/>
    </row>
    <row r="6402" spans="7:16" x14ac:dyDescent="0.2">
      <c r="G6402" s="199"/>
      <c r="I6402" s="199"/>
      <c r="K6402" s="199"/>
      <c r="M6402" s="199"/>
      <c r="N6402" s="200"/>
      <c r="P6402" s="199"/>
    </row>
    <row r="6403" spans="7:16" x14ac:dyDescent="0.2">
      <c r="G6403" s="199"/>
      <c r="I6403" s="199"/>
      <c r="K6403" s="199"/>
      <c r="M6403" s="199"/>
      <c r="N6403" s="200"/>
      <c r="P6403" s="199"/>
    </row>
    <row r="6404" spans="7:16" x14ac:dyDescent="0.2">
      <c r="G6404" s="199"/>
      <c r="I6404" s="199"/>
      <c r="K6404" s="199"/>
      <c r="M6404" s="199"/>
      <c r="N6404" s="200"/>
      <c r="P6404" s="199"/>
    </row>
    <row r="6405" spans="7:16" x14ac:dyDescent="0.2">
      <c r="G6405" s="199"/>
      <c r="I6405" s="199"/>
      <c r="K6405" s="199"/>
      <c r="M6405" s="199"/>
      <c r="N6405" s="200"/>
      <c r="P6405" s="199"/>
    </row>
    <row r="6406" spans="7:16" x14ac:dyDescent="0.2">
      <c r="G6406" s="199"/>
      <c r="I6406" s="199"/>
      <c r="K6406" s="199"/>
      <c r="M6406" s="199"/>
      <c r="N6406" s="200"/>
      <c r="P6406" s="199"/>
    </row>
    <row r="6407" spans="7:16" x14ac:dyDescent="0.2">
      <c r="G6407" s="199"/>
      <c r="I6407" s="199"/>
      <c r="K6407" s="199"/>
      <c r="M6407" s="199"/>
      <c r="N6407" s="200"/>
      <c r="P6407" s="199"/>
    </row>
    <row r="6408" spans="7:16" x14ac:dyDescent="0.2">
      <c r="G6408" s="199"/>
      <c r="I6408" s="199"/>
      <c r="K6408" s="199"/>
      <c r="M6408" s="199"/>
      <c r="N6408" s="200"/>
      <c r="P6408" s="199"/>
    </row>
    <row r="6409" spans="7:16" x14ac:dyDescent="0.2">
      <c r="G6409" s="199"/>
      <c r="I6409" s="199"/>
      <c r="K6409" s="199"/>
      <c r="M6409" s="199"/>
      <c r="N6409" s="200"/>
      <c r="P6409" s="199"/>
    </row>
    <row r="6410" spans="7:16" x14ac:dyDescent="0.2">
      <c r="G6410" s="199"/>
      <c r="I6410" s="199"/>
      <c r="K6410" s="199"/>
      <c r="M6410" s="199"/>
      <c r="N6410" s="200"/>
      <c r="P6410" s="199"/>
    </row>
    <row r="6411" spans="7:16" x14ac:dyDescent="0.2">
      <c r="G6411" s="199"/>
      <c r="I6411" s="199"/>
      <c r="K6411" s="199"/>
      <c r="M6411" s="199"/>
      <c r="N6411" s="200"/>
      <c r="P6411" s="199"/>
    </row>
    <row r="6412" spans="7:16" x14ac:dyDescent="0.2">
      <c r="G6412" s="199"/>
      <c r="I6412" s="199"/>
      <c r="K6412" s="199"/>
      <c r="M6412" s="199"/>
      <c r="N6412" s="200"/>
      <c r="P6412" s="199"/>
    </row>
    <row r="6413" spans="7:16" x14ac:dyDescent="0.2">
      <c r="G6413" s="199"/>
      <c r="I6413" s="199"/>
      <c r="K6413" s="199"/>
      <c r="M6413" s="199"/>
      <c r="N6413" s="200"/>
      <c r="P6413" s="199"/>
    </row>
    <row r="6414" spans="7:16" x14ac:dyDescent="0.2">
      <c r="G6414" s="199"/>
      <c r="I6414" s="199"/>
      <c r="K6414" s="199"/>
      <c r="M6414" s="199"/>
      <c r="N6414" s="200"/>
      <c r="P6414" s="199"/>
    </row>
    <row r="6415" spans="7:16" x14ac:dyDescent="0.2">
      <c r="G6415" s="199"/>
      <c r="I6415" s="199"/>
      <c r="K6415" s="199"/>
      <c r="M6415" s="199"/>
      <c r="N6415" s="200"/>
      <c r="P6415" s="199"/>
    </row>
    <row r="6416" spans="7:16" x14ac:dyDescent="0.2">
      <c r="G6416" s="199"/>
      <c r="I6416" s="199"/>
      <c r="K6416" s="199"/>
      <c r="M6416" s="199"/>
      <c r="N6416" s="200"/>
      <c r="P6416" s="199"/>
    </row>
    <row r="6417" spans="7:16" x14ac:dyDescent="0.2">
      <c r="G6417" s="199"/>
      <c r="I6417" s="199"/>
      <c r="K6417" s="199"/>
      <c r="M6417" s="199"/>
      <c r="N6417" s="200"/>
      <c r="P6417" s="199"/>
    </row>
    <row r="6418" spans="7:16" x14ac:dyDescent="0.2">
      <c r="G6418" s="199"/>
      <c r="I6418" s="199"/>
      <c r="K6418" s="199"/>
      <c r="M6418" s="199"/>
      <c r="N6418" s="200"/>
      <c r="P6418" s="199"/>
    </row>
    <row r="6419" spans="7:16" x14ac:dyDescent="0.2">
      <c r="G6419" s="199"/>
      <c r="I6419" s="199"/>
      <c r="K6419" s="199"/>
      <c r="M6419" s="199"/>
      <c r="N6419" s="200"/>
      <c r="P6419" s="199"/>
    </row>
    <row r="6420" spans="7:16" x14ac:dyDescent="0.2">
      <c r="G6420" s="199"/>
      <c r="I6420" s="199"/>
      <c r="K6420" s="199"/>
      <c r="M6420" s="199"/>
      <c r="N6420" s="200"/>
      <c r="P6420" s="199"/>
    </row>
    <row r="6421" spans="7:16" x14ac:dyDescent="0.2">
      <c r="G6421" s="199"/>
      <c r="I6421" s="199"/>
      <c r="K6421" s="199"/>
      <c r="M6421" s="199"/>
      <c r="N6421" s="200"/>
      <c r="P6421" s="199"/>
    </row>
    <row r="6422" spans="7:16" x14ac:dyDescent="0.2">
      <c r="G6422" s="199"/>
      <c r="I6422" s="199"/>
      <c r="K6422" s="199"/>
      <c r="M6422" s="199"/>
      <c r="N6422" s="200"/>
      <c r="P6422" s="199"/>
    </row>
    <row r="6423" spans="7:16" x14ac:dyDescent="0.2">
      <c r="G6423" s="199"/>
      <c r="I6423" s="199"/>
      <c r="K6423" s="199"/>
      <c r="M6423" s="199"/>
      <c r="N6423" s="200"/>
      <c r="P6423" s="199"/>
    </row>
    <row r="6424" spans="7:16" x14ac:dyDescent="0.2">
      <c r="G6424" s="199"/>
      <c r="I6424" s="199"/>
      <c r="K6424" s="199"/>
      <c r="M6424" s="199"/>
      <c r="N6424" s="200"/>
      <c r="P6424" s="199"/>
    </row>
    <row r="6425" spans="7:16" x14ac:dyDescent="0.2">
      <c r="G6425" s="199"/>
      <c r="I6425" s="199"/>
      <c r="K6425" s="199"/>
      <c r="M6425" s="199"/>
      <c r="N6425" s="200"/>
      <c r="P6425" s="199"/>
    </row>
    <row r="6426" spans="7:16" x14ac:dyDescent="0.2">
      <c r="G6426" s="199"/>
      <c r="I6426" s="199"/>
      <c r="K6426" s="199"/>
      <c r="M6426" s="199"/>
      <c r="N6426" s="200"/>
      <c r="P6426" s="199"/>
    </row>
    <row r="6427" spans="7:16" x14ac:dyDescent="0.2">
      <c r="G6427" s="199"/>
      <c r="I6427" s="199"/>
      <c r="K6427" s="199"/>
      <c r="M6427" s="199"/>
      <c r="N6427" s="200"/>
      <c r="P6427" s="199"/>
    </row>
    <row r="6428" spans="7:16" x14ac:dyDescent="0.2">
      <c r="G6428" s="199"/>
      <c r="I6428" s="199"/>
      <c r="K6428" s="199"/>
      <c r="M6428" s="199"/>
      <c r="N6428" s="200"/>
      <c r="P6428" s="199"/>
    </row>
    <row r="6429" spans="7:16" x14ac:dyDescent="0.2">
      <c r="G6429" s="199"/>
      <c r="I6429" s="199"/>
      <c r="K6429" s="199"/>
      <c r="M6429" s="199"/>
      <c r="N6429" s="200"/>
      <c r="P6429" s="199"/>
    </row>
    <row r="6430" spans="7:16" x14ac:dyDescent="0.2">
      <c r="G6430" s="199"/>
      <c r="I6430" s="199"/>
      <c r="K6430" s="199"/>
      <c r="M6430" s="199"/>
      <c r="N6430" s="200"/>
      <c r="P6430" s="199"/>
    </row>
    <row r="6431" spans="7:16" x14ac:dyDescent="0.2">
      <c r="G6431" s="199"/>
      <c r="I6431" s="199"/>
      <c r="K6431" s="199"/>
      <c r="M6431" s="199"/>
      <c r="N6431" s="200"/>
      <c r="P6431" s="199"/>
    </row>
    <row r="6432" spans="7:16" x14ac:dyDescent="0.2">
      <c r="G6432" s="199"/>
      <c r="I6432" s="199"/>
      <c r="K6432" s="199"/>
      <c r="M6432" s="199"/>
      <c r="N6432" s="200"/>
      <c r="P6432" s="199"/>
    </row>
    <row r="6433" spans="7:16" x14ac:dyDescent="0.2">
      <c r="G6433" s="199"/>
      <c r="I6433" s="199"/>
      <c r="K6433" s="199"/>
      <c r="M6433" s="199"/>
      <c r="N6433" s="200"/>
      <c r="P6433" s="199"/>
    </row>
    <row r="6434" spans="7:16" x14ac:dyDescent="0.2">
      <c r="G6434" s="199"/>
      <c r="I6434" s="199"/>
      <c r="K6434" s="199"/>
      <c r="M6434" s="199"/>
      <c r="N6434" s="200"/>
      <c r="P6434" s="199"/>
    </row>
    <row r="6435" spans="7:16" x14ac:dyDescent="0.2">
      <c r="G6435" s="199"/>
      <c r="I6435" s="199"/>
      <c r="K6435" s="199"/>
      <c r="M6435" s="199"/>
      <c r="N6435" s="200"/>
      <c r="P6435" s="199"/>
    </row>
    <row r="6436" spans="7:16" x14ac:dyDescent="0.2">
      <c r="G6436" s="199"/>
      <c r="I6436" s="199"/>
      <c r="K6436" s="199"/>
      <c r="M6436" s="199"/>
      <c r="N6436" s="200"/>
      <c r="P6436" s="199"/>
    </row>
    <row r="6437" spans="7:16" x14ac:dyDescent="0.2">
      <c r="G6437" s="199"/>
      <c r="I6437" s="199"/>
      <c r="K6437" s="199"/>
      <c r="M6437" s="199"/>
      <c r="N6437" s="200"/>
      <c r="P6437" s="199"/>
    </row>
    <row r="6438" spans="7:16" x14ac:dyDescent="0.2">
      <c r="G6438" s="199"/>
      <c r="I6438" s="199"/>
      <c r="K6438" s="199"/>
      <c r="M6438" s="199"/>
      <c r="N6438" s="200"/>
      <c r="P6438" s="199"/>
    </row>
    <row r="6439" spans="7:16" x14ac:dyDescent="0.2">
      <c r="G6439" s="199"/>
      <c r="I6439" s="199"/>
      <c r="K6439" s="199"/>
      <c r="M6439" s="199"/>
      <c r="N6439" s="200"/>
      <c r="P6439" s="199"/>
    </row>
    <row r="6440" spans="7:16" x14ac:dyDescent="0.2">
      <c r="G6440" s="199"/>
      <c r="I6440" s="199"/>
      <c r="K6440" s="199"/>
      <c r="M6440" s="199"/>
      <c r="N6440" s="200"/>
      <c r="P6440" s="199"/>
    </row>
    <row r="6441" spans="7:16" x14ac:dyDescent="0.2">
      <c r="G6441" s="199"/>
      <c r="I6441" s="199"/>
      <c r="K6441" s="199"/>
      <c r="M6441" s="199"/>
      <c r="N6441" s="200"/>
      <c r="P6441" s="199"/>
    </row>
    <row r="6442" spans="7:16" x14ac:dyDescent="0.2">
      <c r="G6442" s="199"/>
      <c r="I6442" s="199"/>
      <c r="K6442" s="199"/>
      <c r="M6442" s="199"/>
      <c r="N6442" s="200"/>
      <c r="P6442" s="199"/>
    </row>
    <row r="6443" spans="7:16" x14ac:dyDescent="0.2">
      <c r="G6443" s="199"/>
      <c r="I6443" s="199"/>
      <c r="K6443" s="199"/>
      <c r="M6443" s="199"/>
      <c r="N6443" s="200"/>
      <c r="P6443" s="199"/>
    </row>
    <row r="6444" spans="7:16" x14ac:dyDescent="0.2">
      <c r="G6444" s="199"/>
      <c r="I6444" s="199"/>
      <c r="K6444" s="199"/>
      <c r="M6444" s="199"/>
      <c r="N6444" s="200"/>
      <c r="P6444" s="199"/>
    </row>
    <row r="6445" spans="7:16" x14ac:dyDescent="0.2">
      <c r="G6445" s="199"/>
      <c r="I6445" s="199"/>
      <c r="K6445" s="199"/>
      <c r="M6445" s="199"/>
      <c r="N6445" s="200"/>
      <c r="P6445" s="199"/>
    </row>
    <row r="6446" spans="7:16" x14ac:dyDescent="0.2">
      <c r="G6446" s="199"/>
      <c r="I6446" s="199"/>
      <c r="K6446" s="199"/>
      <c r="M6446" s="199"/>
      <c r="N6446" s="200"/>
      <c r="P6446" s="199"/>
    </row>
    <row r="6447" spans="7:16" x14ac:dyDescent="0.2">
      <c r="G6447" s="199"/>
      <c r="I6447" s="199"/>
      <c r="K6447" s="199"/>
      <c r="M6447" s="199"/>
      <c r="N6447" s="200"/>
      <c r="P6447" s="199"/>
    </row>
    <row r="6448" spans="7:16" x14ac:dyDescent="0.2">
      <c r="G6448" s="199"/>
      <c r="I6448" s="199"/>
      <c r="K6448" s="199"/>
      <c r="M6448" s="199"/>
      <c r="N6448" s="200"/>
      <c r="P6448" s="199"/>
    </row>
    <row r="6449" spans="7:16" x14ac:dyDescent="0.2">
      <c r="G6449" s="199"/>
      <c r="I6449" s="199"/>
      <c r="K6449" s="199"/>
      <c r="M6449" s="199"/>
      <c r="N6449" s="200"/>
      <c r="P6449" s="199"/>
    </row>
    <row r="6450" spans="7:16" x14ac:dyDescent="0.2">
      <c r="G6450" s="199"/>
      <c r="I6450" s="199"/>
      <c r="K6450" s="199"/>
      <c r="M6450" s="199"/>
      <c r="N6450" s="200"/>
      <c r="P6450" s="199"/>
    </row>
    <row r="6451" spans="7:16" x14ac:dyDescent="0.2">
      <c r="G6451" s="199"/>
      <c r="I6451" s="199"/>
      <c r="K6451" s="199"/>
      <c r="M6451" s="199"/>
      <c r="N6451" s="200"/>
      <c r="P6451" s="199"/>
    </row>
    <row r="6452" spans="7:16" x14ac:dyDescent="0.2">
      <c r="G6452" s="199"/>
      <c r="I6452" s="199"/>
      <c r="K6452" s="199"/>
      <c r="M6452" s="199"/>
      <c r="N6452" s="200"/>
      <c r="P6452" s="199"/>
    </row>
    <row r="6453" spans="7:16" x14ac:dyDescent="0.2">
      <c r="G6453" s="199"/>
      <c r="I6453" s="199"/>
      <c r="K6453" s="199"/>
      <c r="M6453" s="199"/>
      <c r="N6453" s="200"/>
      <c r="P6453" s="199"/>
    </row>
    <row r="6454" spans="7:16" x14ac:dyDescent="0.2">
      <c r="G6454" s="199"/>
      <c r="I6454" s="199"/>
      <c r="K6454" s="199"/>
      <c r="M6454" s="199"/>
      <c r="N6454" s="200"/>
      <c r="P6454" s="199"/>
    </row>
    <row r="6455" spans="7:16" x14ac:dyDescent="0.2">
      <c r="G6455" s="199"/>
      <c r="I6455" s="199"/>
      <c r="K6455" s="199"/>
      <c r="M6455" s="199"/>
      <c r="N6455" s="200"/>
      <c r="P6455" s="199"/>
    </row>
    <row r="6456" spans="7:16" x14ac:dyDescent="0.2">
      <c r="G6456" s="199"/>
      <c r="I6456" s="199"/>
      <c r="K6456" s="199"/>
      <c r="M6456" s="199"/>
      <c r="N6456" s="200"/>
      <c r="P6456" s="199"/>
    </row>
    <row r="6457" spans="7:16" x14ac:dyDescent="0.2">
      <c r="G6457" s="199"/>
      <c r="I6457" s="199"/>
      <c r="K6457" s="199"/>
      <c r="M6457" s="199"/>
      <c r="N6457" s="200"/>
      <c r="P6457" s="199"/>
    </row>
    <row r="6458" spans="7:16" x14ac:dyDescent="0.2">
      <c r="G6458" s="199"/>
      <c r="I6458" s="199"/>
      <c r="K6458" s="199"/>
      <c r="M6458" s="199"/>
      <c r="N6458" s="200"/>
      <c r="P6458" s="199"/>
    </row>
    <row r="6459" spans="7:16" x14ac:dyDescent="0.2">
      <c r="G6459" s="199"/>
      <c r="I6459" s="199"/>
      <c r="K6459" s="199"/>
      <c r="M6459" s="199"/>
      <c r="N6459" s="200"/>
      <c r="P6459" s="199"/>
    </row>
    <row r="6460" spans="7:16" x14ac:dyDescent="0.2">
      <c r="G6460" s="199"/>
      <c r="I6460" s="199"/>
      <c r="K6460" s="199"/>
      <c r="M6460" s="199"/>
      <c r="N6460" s="200"/>
      <c r="P6460" s="199"/>
    </row>
    <row r="6461" spans="7:16" x14ac:dyDescent="0.2">
      <c r="G6461" s="199"/>
      <c r="I6461" s="199"/>
      <c r="K6461" s="199"/>
      <c r="M6461" s="199"/>
      <c r="N6461" s="200"/>
      <c r="P6461" s="199"/>
    </row>
    <row r="6462" spans="7:16" x14ac:dyDescent="0.2">
      <c r="G6462" s="199"/>
      <c r="I6462" s="199"/>
      <c r="K6462" s="199"/>
      <c r="M6462" s="199"/>
      <c r="N6462" s="200"/>
      <c r="P6462" s="199"/>
    </row>
    <row r="6463" spans="7:16" x14ac:dyDescent="0.2">
      <c r="G6463" s="199"/>
      <c r="I6463" s="199"/>
      <c r="K6463" s="199"/>
      <c r="M6463" s="199"/>
      <c r="N6463" s="200"/>
      <c r="P6463" s="199"/>
    </row>
    <row r="6464" spans="7:16" x14ac:dyDescent="0.2">
      <c r="G6464" s="199"/>
      <c r="I6464" s="199"/>
      <c r="K6464" s="199"/>
      <c r="M6464" s="199"/>
      <c r="N6464" s="200"/>
      <c r="P6464" s="199"/>
    </row>
    <row r="6465" spans="7:16" x14ac:dyDescent="0.2">
      <c r="G6465" s="199"/>
      <c r="I6465" s="199"/>
      <c r="K6465" s="199"/>
      <c r="M6465" s="199"/>
      <c r="N6465" s="200"/>
      <c r="P6465" s="199"/>
    </row>
    <row r="6466" spans="7:16" x14ac:dyDescent="0.2">
      <c r="G6466" s="199"/>
      <c r="I6466" s="199"/>
      <c r="K6466" s="199"/>
      <c r="M6466" s="199"/>
      <c r="N6466" s="200"/>
      <c r="P6466" s="199"/>
    </row>
    <row r="6467" spans="7:16" x14ac:dyDescent="0.2">
      <c r="G6467" s="199"/>
      <c r="I6467" s="199"/>
      <c r="K6467" s="199"/>
      <c r="M6467" s="199"/>
      <c r="N6467" s="200"/>
      <c r="P6467" s="199"/>
    </row>
    <row r="6468" spans="7:16" x14ac:dyDescent="0.2">
      <c r="G6468" s="199"/>
      <c r="I6468" s="199"/>
      <c r="K6468" s="199"/>
      <c r="M6468" s="199"/>
      <c r="N6468" s="200"/>
      <c r="P6468" s="199"/>
    </row>
    <row r="6469" spans="7:16" x14ac:dyDescent="0.2">
      <c r="G6469" s="199"/>
      <c r="I6469" s="199"/>
      <c r="K6469" s="199"/>
      <c r="M6469" s="199"/>
      <c r="N6469" s="200"/>
      <c r="P6469" s="199"/>
    </row>
    <row r="6470" spans="7:16" x14ac:dyDescent="0.2">
      <c r="G6470" s="199"/>
      <c r="I6470" s="199"/>
      <c r="K6470" s="199"/>
      <c r="M6470" s="199"/>
      <c r="N6470" s="200"/>
      <c r="P6470" s="199"/>
    </row>
    <row r="6471" spans="7:16" x14ac:dyDescent="0.2">
      <c r="G6471" s="199"/>
      <c r="I6471" s="199"/>
      <c r="K6471" s="199"/>
      <c r="M6471" s="199"/>
      <c r="N6471" s="200"/>
      <c r="P6471" s="199"/>
    </row>
    <row r="6472" spans="7:16" x14ac:dyDescent="0.2">
      <c r="G6472" s="199"/>
      <c r="I6472" s="199"/>
      <c r="K6472" s="199"/>
      <c r="M6472" s="199"/>
      <c r="N6472" s="200"/>
      <c r="P6472" s="199"/>
    </row>
    <row r="6473" spans="7:16" x14ac:dyDescent="0.2">
      <c r="G6473" s="199"/>
      <c r="I6473" s="199"/>
      <c r="K6473" s="199"/>
      <c r="M6473" s="199"/>
      <c r="N6473" s="200"/>
      <c r="P6473" s="199"/>
    </row>
    <row r="6474" spans="7:16" x14ac:dyDescent="0.2">
      <c r="G6474" s="199"/>
      <c r="I6474" s="199"/>
      <c r="K6474" s="199"/>
      <c r="M6474" s="199"/>
      <c r="N6474" s="200"/>
      <c r="P6474" s="199"/>
    </row>
    <row r="6475" spans="7:16" x14ac:dyDescent="0.2">
      <c r="G6475" s="199"/>
      <c r="I6475" s="199"/>
      <c r="K6475" s="199"/>
      <c r="M6475" s="199"/>
      <c r="N6475" s="200"/>
      <c r="P6475" s="199"/>
    </row>
    <row r="6476" spans="7:16" x14ac:dyDescent="0.2">
      <c r="G6476" s="199"/>
      <c r="I6476" s="199"/>
      <c r="K6476" s="199"/>
      <c r="M6476" s="199"/>
      <c r="N6476" s="200"/>
      <c r="P6476" s="199"/>
    </row>
    <row r="6477" spans="7:16" x14ac:dyDescent="0.2">
      <c r="G6477" s="199"/>
      <c r="I6477" s="199"/>
      <c r="K6477" s="199"/>
      <c r="M6477" s="199"/>
      <c r="N6477" s="200"/>
      <c r="P6477" s="199"/>
    </row>
    <row r="6478" spans="7:16" x14ac:dyDescent="0.2">
      <c r="G6478" s="199"/>
      <c r="I6478" s="199"/>
      <c r="K6478" s="199"/>
      <c r="M6478" s="199"/>
      <c r="N6478" s="200"/>
      <c r="P6478" s="199"/>
    </row>
    <row r="6479" spans="7:16" x14ac:dyDescent="0.2">
      <c r="G6479" s="199"/>
      <c r="I6479" s="199"/>
      <c r="K6479" s="199"/>
      <c r="M6479" s="199"/>
      <c r="N6479" s="200"/>
      <c r="P6479" s="199"/>
    </row>
    <row r="6480" spans="7:16" x14ac:dyDescent="0.2">
      <c r="G6480" s="199"/>
      <c r="I6480" s="199"/>
      <c r="K6480" s="199"/>
      <c r="M6480" s="199"/>
      <c r="N6480" s="200"/>
      <c r="P6480" s="199"/>
    </row>
    <row r="6481" spans="7:16" x14ac:dyDescent="0.2">
      <c r="G6481" s="199"/>
      <c r="I6481" s="199"/>
      <c r="K6481" s="199"/>
      <c r="M6481" s="199"/>
      <c r="N6481" s="200"/>
      <c r="P6481" s="199"/>
    </row>
    <row r="6482" spans="7:16" x14ac:dyDescent="0.2">
      <c r="G6482" s="199"/>
      <c r="I6482" s="199"/>
      <c r="K6482" s="199"/>
      <c r="M6482" s="199"/>
      <c r="N6482" s="200"/>
      <c r="P6482" s="199"/>
    </row>
    <row r="6483" spans="7:16" x14ac:dyDescent="0.2">
      <c r="G6483" s="199"/>
      <c r="I6483" s="199"/>
      <c r="K6483" s="199"/>
      <c r="M6483" s="199"/>
      <c r="N6483" s="200"/>
      <c r="P6483" s="199"/>
    </row>
    <row r="6484" spans="7:16" x14ac:dyDescent="0.2">
      <c r="G6484" s="199"/>
      <c r="I6484" s="199"/>
      <c r="K6484" s="199"/>
      <c r="M6484" s="199"/>
      <c r="N6484" s="200"/>
      <c r="P6484" s="199"/>
    </row>
    <row r="6485" spans="7:16" x14ac:dyDescent="0.2">
      <c r="G6485" s="199"/>
      <c r="I6485" s="199"/>
      <c r="K6485" s="199"/>
      <c r="M6485" s="199"/>
      <c r="N6485" s="200"/>
      <c r="P6485" s="199"/>
    </row>
    <row r="6486" spans="7:16" x14ac:dyDescent="0.2">
      <c r="G6486" s="199"/>
      <c r="I6486" s="199"/>
      <c r="K6486" s="199"/>
      <c r="M6486" s="199"/>
      <c r="N6486" s="200"/>
      <c r="P6486" s="199"/>
    </row>
    <row r="6487" spans="7:16" x14ac:dyDescent="0.2">
      <c r="G6487" s="199"/>
      <c r="I6487" s="199"/>
      <c r="K6487" s="199"/>
      <c r="M6487" s="199"/>
      <c r="N6487" s="200"/>
      <c r="P6487" s="199"/>
    </row>
    <row r="6488" spans="7:16" x14ac:dyDescent="0.2">
      <c r="G6488" s="199"/>
      <c r="I6488" s="199"/>
      <c r="K6488" s="199"/>
      <c r="M6488" s="199"/>
      <c r="N6488" s="200"/>
      <c r="P6488" s="199"/>
    </row>
    <row r="6489" spans="7:16" x14ac:dyDescent="0.2">
      <c r="G6489" s="199"/>
      <c r="I6489" s="199"/>
      <c r="K6489" s="199"/>
      <c r="M6489" s="199"/>
      <c r="N6489" s="200"/>
      <c r="P6489" s="199"/>
    </row>
    <row r="6490" spans="7:16" x14ac:dyDescent="0.2">
      <c r="G6490" s="199"/>
      <c r="I6490" s="199"/>
      <c r="K6490" s="199"/>
      <c r="M6490" s="199"/>
      <c r="N6490" s="200"/>
      <c r="P6490" s="199"/>
    </row>
    <row r="6491" spans="7:16" x14ac:dyDescent="0.2">
      <c r="G6491" s="199"/>
      <c r="I6491" s="199"/>
      <c r="K6491" s="199"/>
      <c r="M6491" s="199"/>
      <c r="N6491" s="200"/>
      <c r="P6491" s="199"/>
    </row>
    <row r="6492" spans="7:16" x14ac:dyDescent="0.2">
      <c r="G6492" s="199"/>
      <c r="I6492" s="199"/>
      <c r="K6492" s="199"/>
      <c r="M6492" s="199"/>
      <c r="N6492" s="200"/>
      <c r="P6492" s="199"/>
    </row>
    <row r="6493" spans="7:16" x14ac:dyDescent="0.2">
      <c r="G6493" s="199"/>
      <c r="I6493" s="199"/>
      <c r="K6493" s="199"/>
      <c r="M6493" s="199"/>
      <c r="N6493" s="200"/>
      <c r="P6493" s="199"/>
    </row>
    <row r="6494" spans="7:16" x14ac:dyDescent="0.2">
      <c r="G6494" s="199"/>
      <c r="I6494" s="199"/>
      <c r="K6494" s="199"/>
      <c r="M6494" s="199"/>
      <c r="N6494" s="200"/>
      <c r="P6494" s="199"/>
    </row>
    <row r="6495" spans="7:16" x14ac:dyDescent="0.2">
      <c r="G6495" s="199"/>
      <c r="I6495" s="199"/>
      <c r="K6495" s="199"/>
      <c r="M6495" s="199"/>
      <c r="N6495" s="200"/>
      <c r="P6495" s="199"/>
    </row>
    <row r="6496" spans="7:16" x14ac:dyDescent="0.2">
      <c r="G6496" s="199"/>
      <c r="I6496" s="199"/>
      <c r="K6496" s="199"/>
      <c r="M6496" s="199"/>
      <c r="N6496" s="200"/>
      <c r="P6496" s="199"/>
    </row>
    <row r="6497" spans="7:16" x14ac:dyDescent="0.2">
      <c r="G6497" s="199"/>
      <c r="I6497" s="199"/>
      <c r="K6497" s="199"/>
      <c r="M6497" s="199"/>
      <c r="N6497" s="200"/>
      <c r="P6497" s="199"/>
    </row>
    <row r="6498" spans="7:16" x14ac:dyDescent="0.2">
      <c r="G6498" s="199"/>
      <c r="I6498" s="199"/>
      <c r="K6498" s="199"/>
      <c r="M6498" s="199"/>
      <c r="N6498" s="200"/>
      <c r="P6498" s="199"/>
    </row>
    <row r="6499" spans="7:16" x14ac:dyDescent="0.2">
      <c r="G6499" s="199"/>
      <c r="I6499" s="199"/>
      <c r="K6499" s="199"/>
      <c r="M6499" s="199"/>
      <c r="N6499" s="200"/>
      <c r="P6499" s="199"/>
    </row>
    <row r="6500" spans="7:16" x14ac:dyDescent="0.2">
      <c r="G6500" s="199"/>
      <c r="I6500" s="199"/>
      <c r="K6500" s="199"/>
      <c r="M6500" s="199"/>
      <c r="N6500" s="200"/>
      <c r="P6500" s="199"/>
    </row>
    <row r="6501" spans="7:16" x14ac:dyDescent="0.2">
      <c r="G6501" s="199"/>
      <c r="I6501" s="199"/>
      <c r="K6501" s="199"/>
      <c r="M6501" s="199"/>
      <c r="N6501" s="200"/>
      <c r="P6501" s="199"/>
    </row>
    <row r="6502" spans="7:16" x14ac:dyDescent="0.2">
      <c r="G6502" s="199"/>
      <c r="I6502" s="199"/>
      <c r="K6502" s="199"/>
      <c r="M6502" s="199"/>
      <c r="N6502" s="200"/>
      <c r="P6502" s="199"/>
    </row>
    <row r="6503" spans="7:16" x14ac:dyDescent="0.2">
      <c r="G6503" s="199"/>
      <c r="I6503" s="199"/>
      <c r="K6503" s="199"/>
      <c r="M6503" s="199"/>
      <c r="N6503" s="200"/>
      <c r="P6503" s="199"/>
    </row>
    <row r="6504" spans="7:16" x14ac:dyDescent="0.2">
      <c r="G6504" s="199"/>
      <c r="I6504" s="199"/>
      <c r="K6504" s="199"/>
      <c r="M6504" s="199"/>
      <c r="N6504" s="200"/>
      <c r="P6504" s="199"/>
    </row>
    <row r="6505" spans="7:16" x14ac:dyDescent="0.2">
      <c r="G6505" s="199"/>
      <c r="I6505" s="199"/>
      <c r="K6505" s="199"/>
      <c r="M6505" s="199"/>
      <c r="N6505" s="200"/>
      <c r="P6505" s="199"/>
    </row>
    <row r="6506" spans="7:16" x14ac:dyDescent="0.2">
      <c r="G6506" s="199"/>
      <c r="I6506" s="199"/>
      <c r="K6506" s="199"/>
      <c r="M6506" s="199"/>
      <c r="N6506" s="200"/>
      <c r="P6506" s="199"/>
    </row>
    <row r="6507" spans="7:16" x14ac:dyDescent="0.2">
      <c r="G6507" s="199"/>
      <c r="I6507" s="199"/>
      <c r="K6507" s="199"/>
      <c r="M6507" s="199"/>
      <c r="N6507" s="200"/>
      <c r="P6507" s="199"/>
    </row>
    <row r="6508" spans="7:16" x14ac:dyDescent="0.2">
      <c r="G6508" s="199"/>
      <c r="I6508" s="199"/>
      <c r="K6508" s="199"/>
      <c r="M6508" s="199"/>
      <c r="N6508" s="200"/>
      <c r="P6508" s="199"/>
    </row>
    <row r="6509" spans="7:16" x14ac:dyDescent="0.2">
      <c r="G6509" s="199"/>
      <c r="I6509" s="199"/>
      <c r="K6509" s="199"/>
      <c r="M6509" s="199"/>
      <c r="N6509" s="200"/>
      <c r="P6509" s="199"/>
    </row>
    <row r="6510" spans="7:16" x14ac:dyDescent="0.2">
      <c r="G6510" s="199"/>
      <c r="I6510" s="199"/>
      <c r="K6510" s="199"/>
      <c r="M6510" s="199"/>
      <c r="N6510" s="200"/>
      <c r="P6510" s="199"/>
    </row>
    <row r="6511" spans="7:16" x14ac:dyDescent="0.2">
      <c r="G6511" s="199"/>
      <c r="I6511" s="199"/>
      <c r="K6511" s="199"/>
      <c r="M6511" s="199"/>
      <c r="N6511" s="200"/>
      <c r="P6511" s="199"/>
    </row>
    <row r="6512" spans="7:16" x14ac:dyDescent="0.2">
      <c r="G6512" s="199"/>
      <c r="I6512" s="199"/>
      <c r="K6512" s="199"/>
      <c r="M6512" s="199"/>
      <c r="N6512" s="200"/>
      <c r="P6512" s="199"/>
    </row>
    <row r="6513" spans="7:16" x14ac:dyDescent="0.2">
      <c r="G6513" s="199"/>
      <c r="I6513" s="199"/>
      <c r="K6513" s="199"/>
      <c r="M6513" s="199"/>
      <c r="N6513" s="200"/>
      <c r="P6513" s="199"/>
    </row>
    <row r="6514" spans="7:16" x14ac:dyDescent="0.2">
      <c r="G6514" s="199"/>
      <c r="I6514" s="199"/>
      <c r="K6514" s="199"/>
      <c r="M6514" s="199"/>
      <c r="N6514" s="200"/>
      <c r="P6514" s="199"/>
    </row>
    <row r="6515" spans="7:16" x14ac:dyDescent="0.2">
      <c r="G6515" s="199"/>
      <c r="I6515" s="199"/>
      <c r="K6515" s="199"/>
      <c r="M6515" s="199"/>
      <c r="N6515" s="200"/>
      <c r="P6515" s="199"/>
    </row>
    <row r="6516" spans="7:16" x14ac:dyDescent="0.2">
      <c r="G6516" s="199"/>
      <c r="I6516" s="199"/>
      <c r="K6516" s="199"/>
      <c r="M6516" s="199"/>
      <c r="N6516" s="200"/>
      <c r="P6516" s="199"/>
    </row>
    <row r="6517" spans="7:16" x14ac:dyDescent="0.2">
      <c r="G6517" s="199"/>
      <c r="I6517" s="199"/>
      <c r="K6517" s="199"/>
      <c r="M6517" s="199"/>
      <c r="N6517" s="200"/>
      <c r="P6517" s="199"/>
    </row>
    <row r="6518" spans="7:16" x14ac:dyDescent="0.2">
      <c r="G6518" s="199"/>
      <c r="I6518" s="199"/>
      <c r="K6518" s="199"/>
      <c r="M6518" s="199"/>
      <c r="N6518" s="200"/>
      <c r="P6518" s="199"/>
    </row>
    <row r="6519" spans="7:16" x14ac:dyDescent="0.2">
      <c r="G6519" s="199"/>
      <c r="I6519" s="199"/>
      <c r="K6519" s="199"/>
      <c r="M6519" s="199"/>
      <c r="N6519" s="200"/>
      <c r="P6519" s="199"/>
    </row>
    <row r="6520" spans="7:16" x14ac:dyDescent="0.2">
      <c r="G6520" s="199"/>
      <c r="I6520" s="199"/>
      <c r="K6520" s="199"/>
      <c r="M6520" s="199"/>
      <c r="N6520" s="200"/>
      <c r="P6520" s="199"/>
    </row>
    <row r="6521" spans="7:16" x14ac:dyDescent="0.2">
      <c r="G6521" s="199"/>
      <c r="I6521" s="199"/>
      <c r="K6521" s="199"/>
      <c r="M6521" s="199"/>
      <c r="N6521" s="200"/>
      <c r="P6521" s="199"/>
    </row>
    <row r="6522" spans="7:16" x14ac:dyDescent="0.2">
      <c r="G6522" s="199"/>
      <c r="I6522" s="199"/>
      <c r="K6522" s="199"/>
      <c r="M6522" s="199"/>
      <c r="N6522" s="200"/>
      <c r="P6522" s="199"/>
    </row>
    <row r="6523" spans="7:16" x14ac:dyDescent="0.2">
      <c r="G6523" s="199"/>
      <c r="I6523" s="199"/>
      <c r="K6523" s="199"/>
      <c r="M6523" s="199"/>
      <c r="N6523" s="200"/>
      <c r="P6523" s="199"/>
    </row>
    <row r="6524" spans="7:16" x14ac:dyDescent="0.2">
      <c r="G6524" s="199"/>
      <c r="I6524" s="199"/>
      <c r="K6524" s="199"/>
      <c r="M6524" s="199"/>
      <c r="N6524" s="200"/>
      <c r="P6524" s="199"/>
    </row>
    <row r="6525" spans="7:16" x14ac:dyDescent="0.2">
      <c r="G6525" s="199"/>
      <c r="I6525" s="199"/>
      <c r="K6525" s="199"/>
      <c r="M6525" s="199"/>
      <c r="N6525" s="200"/>
      <c r="P6525" s="199"/>
    </row>
    <row r="6526" spans="7:16" x14ac:dyDescent="0.2">
      <c r="G6526" s="199"/>
      <c r="I6526" s="199"/>
      <c r="K6526" s="199"/>
      <c r="M6526" s="199"/>
      <c r="N6526" s="200"/>
      <c r="P6526" s="199"/>
    </row>
    <row r="6527" spans="7:16" x14ac:dyDescent="0.2">
      <c r="G6527" s="199"/>
      <c r="I6527" s="199"/>
      <c r="K6527" s="199"/>
      <c r="M6527" s="199"/>
      <c r="N6527" s="200"/>
      <c r="P6527" s="199"/>
    </row>
    <row r="6528" spans="7:16" x14ac:dyDescent="0.2">
      <c r="G6528" s="199"/>
      <c r="I6528" s="199"/>
      <c r="K6528" s="199"/>
      <c r="M6528" s="199"/>
      <c r="N6528" s="200"/>
      <c r="P6528" s="199"/>
    </row>
    <row r="6529" spans="7:16" x14ac:dyDescent="0.2">
      <c r="G6529" s="199"/>
      <c r="I6529" s="199"/>
      <c r="K6529" s="199"/>
      <c r="M6529" s="199"/>
      <c r="N6529" s="200"/>
      <c r="P6529" s="199"/>
    </row>
    <row r="6530" spans="7:16" x14ac:dyDescent="0.2">
      <c r="G6530" s="199"/>
      <c r="I6530" s="199"/>
      <c r="K6530" s="199"/>
      <c r="M6530" s="199"/>
      <c r="N6530" s="200"/>
      <c r="P6530" s="199"/>
    </row>
    <row r="6531" spans="7:16" x14ac:dyDescent="0.2">
      <c r="G6531" s="199"/>
      <c r="I6531" s="199"/>
      <c r="K6531" s="199"/>
      <c r="M6531" s="199"/>
      <c r="N6531" s="200"/>
      <c r="P6531" s="199"/>
    </row>
    <row r="6532" spans="7:16" x14ac:dyDescent="0.2">
      <c r="G6532" s="199"/>
      <c r="I6532" s="199"/>
      <c r="K6532" s="199"/>
      <c r="M6532" s="199"/>
      <c r="N6532" s="200"/>
      <c r="P6532" s="199"/>
    </row>
    <row r="6533" spans="7:16" x14ac:dyDescent="0.2">
      <c r="G6533" s="199"/>
      <c r="I6533" s="199"/>
      <c r="K6533" s="199"/>
      <c r="M6533" s="199"/>
      <c r="N6533" s="200"/>
      <c r="P6533" s="199"/>
    </row>
    <row r="6534" spans="7:16" x14ac:dyDescent="0.2">
      <c r="G6534" s="199"/>
      <c r="I6534" s="199"/>
      <c r="K6534" s="199"/>
      <c r="M6534" s="199"/>
      <c r="N6534" s="200"/>
      <c r="P6534" s="199"/>
    </row>
    <row r="6535" spans="7:16" x14ac:dyDescent="0.2">
      <c r="G6535" s="199"/>
      <c r="I6535" s="199"/>
      <c r="K6535" s="199"/>
      <c r="M6535" s="199"/>
      <c r="N6535" s="200"/>
      <c r="P6535" s="199"/>
    </row>
    <row r="6536" spans="7:16" x14ac:dyDescent="0.2">
      <c r="G6536" s="199"/>
      <c r="I6536" s="199"/>
      <c r="K6536" s="199"/>
      <c r="M6536" s="199"/>
      <c r="N6536" s="200"/>
      <c r="P6536" s="199"/>
    </row>
    <row r="6537" spans="7:16" x14ac:dyDescent="0.2">
      <c r="G6537" s="199"/>
      <c r="I6537" s="199"/>
      <c r="K6537" s="199"/>
      <c r="M6537" s="199"/>
      <c r="N6537" s="200"/>
      <c r="P6537" s="199"/>
    </row>
    <row r="6538" spans="7:16" x14ac:dyDescent="0.2">
      <c r="G6538" s="199"/>
      <c r="I6538" s="199"/>
      <c r="K6538" s="199"/>
      <c r="M6538" s="199"/>
      <c r="N6538" s="200"/>
      <c r="P6538" s="199"/>
    </row>
    <row r="6539" spans="7:16" x14ac:dyDescent="0.2">
      <c r="G6539" s="199"/>
      <c r="I6539" s="199"/>
      <c r="K6539" s="199"/>
      <c r="M6539" s="199"/>
      <c r="N6539" s="200"/>
      <c r="P6539" s="199"/>
    </row>
    <row r="6540" spans="7:16" x14ac:dyDescent="0.2">
      <c r="G6540" s="199"/>
      <c r="I6540" s="199"/>
      <c r="K6540" s="199"/>
      <c r="M6540" s="199"/>
      <c r="N6540" s="200"/>
      <c r="P6540" s="199"/>
    </row>
    <row r="6541" spans="7:16" x14ac:dyDescent="0.2">
      <c r="G6541" s="199"/>
      <c r="I6541" s="199"/>
      <c r="K6541" s="199"/>
      <c r="M6541" s="199"/>
      <c r="N6541" s="200"/>
      <c r="P6541" s="199"/>
    </row>
    <row r="6542" spans="7:16" x14ac:dyDescent="0.2">
      <c r="G6542" s="199"/>
      <c r="I6542" s="199"/>
      <c r="K6542" s="199"/>
      <c r="M6542" s="199"/>
      <c r="N6542" s="200"/>
      <c r="P6542" s="199"/>
    </row>
    <row r="6543" spans="7:16" x14ac:dyDescent="0.2">
      <c r="G6543" s="199"/>
      <c r="I6543" s="199"/>
      <c r="K6543" s="199"/>
      <c r="M6543" s="199"/>
      <c r="N6543" s="200"/>
      <c r="P6543" s="199"/>
    </row>
    <row r="6544" spans="7:16" x14ac:dyDescent="0.2">
      <c r="G6544" s="199"/>
      <c r="I6544" s="199"/>
      <c r="K6544" s="199"/>
      <c r="M6544" s="199"/>
      <c r="N6544" s="200"/>
      <c r="P6544" s="199"/>
    </row>
    <row r="6545" spans="7:16" x14ac:dyDescent="0.2">
      <c r="G6545" s="199"/>
      <c r="I6545" s="199"/>
      <c r="K6545" s="199"/>
      <c r="M6545" s="199"/>
      <c r="N6545" s="200"/>
      <c r="P6545" s="199"/>
    </row>
    <row r="6546" spans="7:16" x14ac:dyDescent="0.2">
      <c r="G6546" s="199"/>
      <c r="I6546" s="199"/>
      <c r="K6546" s="199"/>
      <c r="M6546" s="199"/>
      <c r="N6546" s="200"/>
      <c r="P6546" s="199"/>
    </row>
    <row r="6547" spans="7:16" x14ac:dyDescent="0.2">
      <c r="G6547" s="199"/>
      <c r="I6547" s="199"/>
      <c r="K6547" s="199"/>
      <c r="M6547" s="199"/>
      <c r="N6547" s="200"/>
      <c r="P6547" s="199"/>
    </row>
    <row r="6548" spans="7:16" x14ac:dyDescent="0.2">
      <c r="G6548" s="199"/>
      <c r="I6548" s="199"/>
      <c r="K6548" s="199"/>
      <c r="M6548" s="199"/>
      <c r="N6548" s="200"/>
      <c r="P6548" s="199"/>
    </row>
    <row r="6549" spans="7:16" x14ac:dyDescent="0.2">
      <c r="G6549" s="199"/>
      <c r="I6549" s="199"/>
      <c r="K6549" s="199"/>
      <c r="M6549" s="199"/>
      <c r="N6549" s="200"/>
      <c r="P6549" s="199"/>
    </row>
    <row r="6550" spans="7:16" x14ac:dyDescent="0.2">
      <c r="G6550" s="199"/>
      <c r="I6550" s="199"/>
      <c r="K6550" s="199"/>
      <c r="M6550" s="199"/>
      <c r="N6550" s="200"/>
      <c r="P6550" s="199"/>
    </row>
    <row r="6551" spans="7:16" x14ac:dyDescent="0.2">
      <c r="G6551" s="199"/>
      <c r="I6551" s="199"/>
      <c r="K6551" s="199"/>
      <c r="M6551" s="199"/>
      <c r="N6551" s="200"/>
      <c r="P6551" s="199"/>
    </row>
    <row r="6552" spans="7:16" x14ac:dyDescent="0.2">
      <c r="G6552" s="199"/>
      <c r="I6552" s="199"/>
      <c r="K6552" s="199"/>
      <c r="M6552" s="199"/>
      <c r="N6552" s="200"/>
      <c r="P6552" s="199"/>
    </row>
    <row r="6553" spans="7:16" x14ac:dyDescent="0.2">
      <c r="G6553" s="199"/>
      <c r="I6553" s="199"/>
      <c r="K6553" s="199"/>
      <c r="M6553" s="199"/>
      <c r="N6553" s="200"/>
      <c r="P6553" s="199"/>
    </row>
    <row r="6554" spans="7:16" x14ac:dyDescent="0.2">
      <c r="G6554" s="199"/>
      <c r="I6554" s="199"/>
      <c r="K6554" s="199"/>
      <c r="M6554" s="199"/>
      <c r="N6554" s="200"/>
      <c r="P6554" s="199"/>
    </row>
    <row r="6555" spans="7:16" x14ac:dyDescent="0.2">
      <c r="G6555" s="199"/>
      <c r="I6555" s="199"/>
      <c r="K6555" s="199"/>
      <c r="M6555" s="199"/>
      <c r="N6555" s="200"/>
      <c r="P6555" s="199"/>
    </row>
    <row r="6556" spans="7:16" x14ac:dyDescent="0.2">
      <c r="G6556" s="199"/>
      <c r="I6556" s="199"/>
      <c r="K6556" s="199"/>
      <c r="M6556" s="199"/>
      <c r="N6556" s="200"/>
      <c r="P6556" s="199"/>
    </row>
    <row r="6557" spans="7:16" x14ac:dyDescent="0.2">
      <c r="G6557" s="199"/>
      <c r="I6557" s="199"/>
      <c r="K6557" s="199"/>
      <c r="M6557" s="199"/>
      <c r="N6557" s="200"/>
      <c r="P6557" s="199"/>
    </row>
    <row r="6558" spans="7:16" x14ac:dyDescent="0.2">
      <c r="G6558" s="199"/>
      <c r="I6558" s="199"/>
      <c r="K6558" s="199"/>
      <c r="M6558" s="199"/>
      <c r="N6558" s="200"/>
      <c r="P6558" s="199"/>
    </row>
    <row r="6559" spans="7:16" x14ac:dyDescent="0.2">
      <c r="G6559" s="199"/>
      <c r="I6559" s="199"/>
      <c r="K6559" s="199"/>
      <c r="M6559" s="199"/>
      <c r="N6559" s="200"/>
      <c r="P6559" s="199"/>
    </row>
    <row r="6560" spans="7:16" x14ac:dyDescent="0.2">
      <c r="G6560" s="199"/>
      <c r="I6560" s="199"/>
      <c r="K6560" s="199"/>
      <c r="M6560" s="199"/>
      <c r="N6560" s="200"/>
      <c r="P6560" s="199"/>
    </row>
    <row r="6561" spans="7:16" x14ac:dyDescent="0.2">
      <c r="G6561" s="199"/>
      <c r="I6561" s="199"/>
      <c r="K6561" s="199"/>
      <c r="M6561" s="199"/>
      <c r="N6561" s="200"/>
      <c r="P6561" s="199"/>
    </row>
    <row r="6562" spans="7:16" x14ac:dyDescent="0.2">
      <c r="G6562" s="199"/>
      <c r="I6562" s="199"/>
      <c r="K6562" s="199"/>
      <c r="M6562" s="199"/>
      <c r="N6562" s="200"/>
      <c r="P6562" s="199"/>
    </row>
    <row r="6563" spans="7:16" x14ac:dyDescent="0.2">
      <c r="G6563" s="199"/>
      <c r="I6563" s="199"/>
      <c r="K6563" s="199"/>
      <c r="M6563" s="199"/>
      <c r="N6563" s="200"/>
      <c r="P6563" s="199"/>
    </row>
    <row r="6564" spans="7:16" x14ac:dyDescent="0.2">
      <c r="G6564" s="199"/>
      <c r="I6564" s="199"/>
      <c r="K6564" s="199"/>
      <c r="M6564" s="199"/>
      <c r="N6564" s="200"/>
      <c r="P6564" s="199"/>
    </row>
    <row r="6565" spans="7:16" x14ac:dyDescent="0.2">
      <c r="G6565" s="199"/>
      <c r="I6565" s="199"/>
      <c r="K6565" s="199"/>
      <c r="M6565" s="199"/>
      <c r="N6565" s="200"/>
      <c r="P6565" s="199"/>
    </row>
    <row r="6566" spans="7:16" x14ac:dyDescent="0.2">
      <c r="G6566" s="199"/>
      <c r="I6566" s="199"/>
      <c r="K6566" s="199"/>
      <c r="M6566" s="199"/>
      <c r="N6566" s="200"/>
      <c r="P6566" s="199"/>
    </row>
    <row r="6567" spans="7:16" x14ac:dyDescent="0.2">
      <c r="G6567" s="199"/>
      <c r="I6567" s="199"/>
      <c r="K6567" s="199"/>
      <c r="M6567" s="199"/>
      <c r="N6567" s="200"/>
      <c r="P6567" s="199"/>
    </row>
    <row r="6568" spans="7:16" x14ac:dyDescent="0.2">
      <c r="G6568" s="199"/>
      <c r="I6568" s="199"/>
      <c r="K6568" s="199"/>
      <c r="M6568" s="199"/>
      <c r="N6568" s="200"/>
      <c r="P6568" s="199"/>
    </row>
    <row r="6569" spans="7:16" x14ac:dyDescent="0.2">
      <c r="G6569" s="199"/>
      <c r="I6569" s="199"/>
      <c r="K6569" s="199"/>
      <c r="M6569" s="199"/>
      <c r="N6569" s="200"/>
      <c r="P6569" s="199"/>
    </row>
    <row r="6570" spans="7:16" x14ac:dyDescent="0.2">
      <c r="G6570" s="199"/>
      <c r="I6570" s="199"/>
      <c r="K6570" s="199"/>
      <c r="M6570" s="199"/>
      <c r="N6570" s="200"/>
      <c r="P6570" s="199"/>
    </row>
    <row r="6571" spans="7:16" x14ac:dyDescent="0.2">
      <c r="G6571" s="199"/>
      <c r="I6571" s="199"/>
      <c r="K6571" s="199"/>
      <c r="M6571" s="199"/>
      <c r="N6571" s="200"/>
      <c r="P6571" s="199"/>
    </row>
    <row r="6572" spans="7:16" x14ac:dyDescent="0.2">
      <c r="G6572" s="199"/>
      <c r="I6572" s="199"/>
      <c r="K6572" s="199"/>
      <c r="M6572" s="199"/>
      <c r="N6572" s="200"/>
      <c r="P6572" s="199"/>
    </row>
    <row r="6573" spans="7:16" x14ac:dyDescent="0.2">
      <c r="G6573" s="199"/>
      <c r="I6573" s="199"/>
      <c r="K6573" s="199"/>
      <c r="M6573" s="199"/>
      <c r="N6573" s="200"/>
      <c r="P6573" s="199"/>
    </row>
    <row r="6574" spans="7:16" x14ac:dyDescent="0.2">
      <c r="G6574" s="199"/>
      <c r="I6574" s="199"/>
      <c r="K6574" s="199"/>
      <c r="M6574" s="199"/>
      <c r="N6574" s="200"/>
      <c r="P6574" s="199"/>
    </row>
    <row r="6575" spans="7:16" x14ac:dyDescent="0.2">
      <c r="G6575" s="199"/>
      <c r="I6575" s="199"/>
      <c r="K6575" s="199"/>
      <c r="M6575" s="199"/>
      <c r="N6575" s="200"/>
      <c r="P6575" s="199"/>
    </row>
    <row r="6576" spans="7:16" x14ac:dyDescent="0.2">
      <c r="G6576" s="199"/>
      <c r="I6576" s="199"/>
      <c r="K6576" s="199"/>
      <c r="M6576" s="199"/>
      <c r="N6576" s="200"/>
      <c r="P6576" s="199"/>
    </row>
    <row r="6577" spans="7:16" x14ac:dyDescent="0.2">
      <c r="G6577" s="199"/>
      <c r="I6577" s="199"/>
      <c r="K6577" s="199"/>
      <c r="M6577" s="199"/>
      <c r="N6577" s="200"/>
      <c r="P6577" s="199"/>
    </row>
    <row r="6578" spans="7:16" x14ac:dyDescent="0.2">
      <c r="G6578" s="199"/>
      <c r="I6578" s="199"/>
      <c r="K6578" s="199"/>
      <c r="M6578" s="199"/>
      <c r="N6578" s="200"/>
      <c r="P6578" s="199"/>
    </row>
    <row r="6579" spans="7:16" x14ac:dyDescent="0.2">
      <c r="G6579" s="199"/>
      <c r="I6579" s="199"/>
      <c r="K6579" s="199"/>
      <c r="M6579" s="199"/>
      <c r="N6579" s="200"/>
      <c r="P6579" s="199"/>
    </row>
    <row r="6580" spans="7:16" x14ac:dyDescent="0.2">
      <c r="G6580" s="199"/>
      <c r="I6580" s="199"/>
      <c r="K6580" s="199"/>
      <c r="M6580" s="199"/>
      <c r="N6580" s="200"/>
      <c r="P6580" s="199"/>
    </row>
    <row r="6581" spans="7:16" x14ac:dyDescent="0.2">
      <c r="G6581" s="199"/>
      <c r="I6581" s="199"/>
      <c r="K6581" s="199"/>
      <c r="M6581" s="199"/>
      <c r="N6581" s="200"/>
      <c r="P6581" s="199"/>
    </row>
    <row r="6582" spans="7:16" x14ac:dyDescent="0.2">
      <c r="G6582" s="199"/>
      <c r="I6582" s="199"/>
      <c r="K6582" s="199"/>
      <c r="M6582" s="199"/>
      <c r="N6582" s="200"/>
      <c r="P6582" s="199"/>
    </row>
    <row r="6583" spans="7:16" x14ac:dyDescent="0.2">
      <c r="G6583" s="199"/>
      <c r="I6583" s="199"/>
      <c r="K6583" s="199"/>
      <c r="M6583" s="199"/>
      <c r="N6583" s="200"/>
      <c r="P6583" s="199"/>
    </row>
    <row r="6584" spans="7:16" x14ac:dyDescent="0.2">
      <c r="G6584" s="199"/>
      <c r="I6584" s="199"/>
      <c r="K6584" s="199"/>
      <c r="M6584" s="199"/>
      <c r="N6584" s="200"/>
      <c r="P6584" s="199"/>
    </row>
    <row r="6585" spans="7:16" x14ac:dyDescent="0.2">
      <c r="G6585" s="199"/>
      <c r="I6585" s="199"/>
      <c r="K6585" s="199"/>
      <c r="M6585" s="199"/>
      <c r="N6585" s="200"/>
      <c r="P6585" s="199"/>
    </row>
    <row r="6586" spans="7:16" x14ac:dyDescent="0.2">
      <c r="G6586" s="199"/>
      <c r="I6586" s="199"/>
      <c r="K6586" s="199"/>
      <c r="M6586" s="199"/>
      <c r="N6586" s="200"/>
      <c r="P6586" s="199"/>
    </row>
    <row r="6587" spans="7:16" x14ac:dyDescent="0.2">
      <c r="G6587" s="199"/>
      <c r="I6587" s="199"/>
      <c r="K6587" s="199"/>
      <c r="M6587" s="199"/>
      <c r="N6587" s="200"/>
      <c r="P6587" s="199"/>
    </row>
    <row r="6588" spans="7:16" x14ac:dyDescent="0.2">
      <c r="G6588" s="199"/>
      <c r="I6588" s="199"/>
      <c r="K6588" s="199"/>
      <c r="M6588" s="199"/>
      <c r="N6588" s="200"/>
      <c r="P6588" s="199"/>
    </row>
    <row r="6589" spans="7:16" x14ac:dyDescent="0.2">
      <c r="G6589" s="199"/>
      <c r="I6589" s="199"/>
      <c r="K6589" s="199"/>
      <c r="M6589" s="199"/>
      <c r="N6589" s="200"/>
      <c r="P6589" s="199"/>
    </row>
    <row r="6590" spans="7:16" x14ac:dyDescent="0.2">
      <c r="G6590" s="199"/>
      <c r="I6590" s="199"/>
      <c r="K6590" s="199"/>
      <c r="M6590" s="199"/>
      <c r="N6590" s="200"/>
      <c r="P6590" s="199"/>
    </row>
    <row r="6591" spans="7:16" x14ac:dyDescent="0.2">
      <c r="G6591" s="199"/>
      <c r="I6591" s="199"/>
      <c r="K6591" s="199"/>
      <c r="M6591" s="199"/>
      <c r="N6591" s="200"/>
      <c r="P6591" s="199"/>
    </row>
    <row r="6592" spans="7:16" x14ac:dyDescent="0.2">
      <c r="G6592" s="199"/>
      <c r="I6592" s="199"/>
      <c r="K6592" s="199"/>
      <c r="M6592" s="199"/>
      <c r="N6592" s="200"/>
      <c r="P6592" s="199"/>
    </row>
    <row r="6593" spans="7:16" x14ac:dyDescent="0.2">
      <c r="G6593" s="199"/>
      <c r="I6593" s="199"/>
      <c r="K6593" s="199"/>
      <c r="M6593" s="199"/>
      <c r="N6593" s="200"/>
      <c r="P6593" s="199"/>
    </row>
    <row r="6594" spans="7:16" x14ac:dyDescent="0.2">
      <c r="G6594" s="199"/>
      <c r="I6594" s="199"/>
      <c r="K6594" s="199"/>
      <c r="M6594" s="199"/>
      <c r="N6594" s="200"/>
      <c r="P6594" s="199"/>
    </row>
    <row r="6595" spans="7:16" x14ac:dyDescent="0.2">
      <c r="G6595" s="199"/>
      <c r="I6595" s="199"/>
      <c r="K6595" s="199"/>
      <c r="M6595" s="199"/>
      <c r="N6595" s="200"/>
      <c r="P6595" s="199"/>
    </row>
    <row r="6596" spans="7:16" x14ac:dyDescent="0.2">
      <c r="G6596" s="199"/>
      <c r="I6596" s="199"/>
      <c r="K6596" s="199"/>
      <c r="M6596" s="199"/>
      <c r="N6596" s="200"/>
      <c r="P6596" s="199"/>
    </row>
    <row r="6597" spans="7:16" x14ac:dyDescent="0.2">
      <c r="G6597" s="199"/>
      <c r="I6597" s="199"/>
      <c r="K6597" s="199"/>
      <c r="M6597" s="199"/>
      <c r="N6597" s="200"/>
      <c r="P6597" s="199"/>
    </row>
    <row r="6598" spans="7:16" x14ac:dyDescent="0.2">
      <c r="G6598" s="199"/>
      <c r="I6598" s="199"/>
      <c r="K6598" s="199"/>
      <c r="M6598" s="199"/>
      <c r="N6598" s="200"/>
      <c r="P6598" s="199"/>
    </row>
    <row r="6599" spans="7:16" x14ac:dyDescent="0.2">
      <c r="G6599" s="199"/>
      <c r="I6599" s="199"/>
      <c r="K6599" s="199"/>
      <c r="M6599" s="199"/>
      <c r="N6599" s="200"/>
      <c r="P6599" s="199"/>
    </row>
    <row r="6600" spans="7:16" x14ac:dyDescent="0.2">
      <c r="G6600" s="199"/>
      <c r="I6600" s="199"/>
      <c r="K6600" s="199"/>
      <c r="M6600" s="199"/>
      <c r="N6600" s="200"/>
      <c r="P6600" s="199"/>
    </row>
    <row r="6601" spans="7:16" x14ac:dyDescent="0.2">
      <c r="G6601" s="199"/>
      <c r="I6601" s="199"/>
      <c r="K6601" s="199"/>
      <c r="M6601" s="199"/>
      <c r="N6601" s="200"/>
      <c r="P6601" s="199"/>
    </row>
    <row r="6602" spans="7:16" x14ac:dyDescent="0.2">
      <c r="G6602" s="199"/>
      <c r="I6602" s="199"/>
      <c r="K6602" s="199"/>
      <c r="M6602" s="199"/>
      <c r="N6602" s="200"/>
      <c r="P6602" s="199"/>
    </row>
    <row r="6603" spans="7:16" x14ac:dyDescent="0.2">
      <c r="G6603" s="199"/>
      <c r="I6603" s="199"/>
      <c r="K6603" s="199"/>
      <c r="M6603" s="199"/>
      <c r="N6603" s="200"/>
      <c r="P6603" s="199"/>
    </row>
    <row r="6604" spans="7:16" x14ac:dyDescent="0.2">
      <c r="G6604" s="199"/>
      <c r="I6604" s="199"/>
      <c r="K6604" s="199"/>
      <c r="M6604" s="199"/>
      <c r="N6604" s="200"/>
      <c r="P6604" s="199"/>
    </row>
    <row r="6605" spans="7:16" x14ac:dyDescent="0.2">
      <c r="G6605" s="199"/>
      <c r="I6605" s="199"/>
      <c r="K6605" s="199"/>
      <c r="M6605" s="199"/>
      <c r="N6605" s="200"/>
      <c r="P6605" s="199"/>
    </row>
    <row r="6606" spans="7:16" x14ac:dyDescent="0.2">
      <c r="G6606" s="199"/>
      <c r="I6606" s="199"/>
      <c r="K6606" s="199"/>
      <c r="M6606" s="199"/>
      <c r="N6606" s="200"/>
      <c r="P6606" s="199"/>
    </row>
    <row r="6607" spans="7:16" x14ac:dyDescent="0.2">
      <c r="G6607" s="199"/>
      <c r="I6607" s="199"/>
      <c r="K6607" s="199"/>
      <c r="M6607" s="199"/>
      <c r="N6607" s="200"/>
      <c r="P6607" s="199"/>
    </row>
    <row r="6608" spans="7:16" x14ac:dyDescent="0.2">
      <c r="G6608" s="199"/>
      <c r="I6608" s="199"/>
      <c r="K6608" s="199"/>
      <c r="M6608" s="199"/>
      <c r="N6608" s="200"/>
      <c r="P6608" s="199"/>
    </row>
    <row r="6609" spans="7:16" x14ac:dyDescent="0.2">
      <c r="G6609" s="199"/>
      <c r="I6609" s="199"/>
      <c r="K6609" s="199"/>
      <c r="M6609" s="199"/>
      <c r="N6609" s="200"/>
      <c r="P6609" s="199"/>
    </row>
    <row r="6610" spans="7:16" x14ac:dyDescent="0.2">
      <c r="G6610" s="199"/>
      <c r="I6610" s="199"/>
      <c r="K6610" s="199"/>
      <c r="M6610" s="199"/>
      <c r="N6610" s="200"/>
      <c r="P6610" s="199"/>
    </row>
    <row r="6611" spans="7:16" x14ac:dyDescent="0.2">
      <c r="G6611" s="199"/>
      <c r="I6611" s="199"/>
      <c r="K6611" s="199"/>
      <c r="M6611" s="199"/>
      <c r="N6611" s="200"/>
      <c r="P6611" s="199"/>
    </row>
    <row r="6612" spans="7:16" x14ac:dyDescent="0.2">
      <c r="G6612" s="199"/>
      <c r="I6612" s="199"/>
      <c r="K6612" s="199"/>
      <c r="M6612" s="199"/>
      <c r="N6612" s="200"/>
      <c r="P6612" s="199"/>
    </row>
    <row r="6613" spans="7:16" x14ac:dyDescent="0.2">
      <c r="G6613" s="199"/>
      <c r="I6613" s="199"/>
      <c r="K6613" s="199"/>
      <c r="M6613" s="199"/>
      <c r="N6613" s="200"/>
      <c r="P6613" s="199"/>
    </row>
    <row r="6614" spans="7:16" x14ac:dyDescent="0.2">
      <c r="G6614" s="199"/>
      <c r="I6614" s="199"/>
      <c r="K6614" s="199"/>
      <c r="M6614" s="199"/>
      <c r="N6614" s="200"/>
      <c r="P6614" s="199"/>
    </row>
    <row r="6615" spans="7:16" x14ac:dyDescent="0.2">
      <c r="G6615" s="199"/>
      <c r="I6615" s="199"/>
      <c r="K6615" s="199"/>
      <c r="M6615" s="199"/>
      <c r="N6615" s="200"/>
      <c r="P6615" s="199"/>
    </row>
    <row r="6616" spans="7:16" x14ac:dyDescent="0.2">
      <c r="G6616" s="199"/>
      <c r="I6616" s="199"/>
      <c r="K6616" s="199"/>
      <c r="M6616" s="199"/>
      <c r="N6616" s="200"/>
      <c r="P6616" s="199"/>
    </row>
    <row r="6617" spans="7:16" x14ac:dyDescent="0.2">
      <c r="G6617" s="199"/>
      <c r="I6617" s="199"/>
      <c r="K6617" s="199"/>
      <c r="M6617" s="199"/>
      <c r="N6617" s="200"/>
      <c r="P6617" s="199"/>
    </row>
    <row r="6618" spans="7:16" x14ac:dyDescent="0.2">
      <c r="G6618" s="199"/>
      <c r="I6618" s="199"/>
      <c r="K6618" s="199"/>
      <c r="M6618" s="199"/>
      <c r="N6618" s="200"/>
      <c r="P6618" s="199"/>
    </row>
    <row r="6619" spans="7:16" x14ac:dyDescent="0.2">
      <c r="G6619" s="199"/>
      <c r="I6619" s="199"/>
      <c r="K6619" s="199"/>
      <c r="M6619" s="199"/>
      <c r="N6619" s="200"/>
      <c r="P6619" s="199"/>
    </row>
    <row r="6620" spans="7:16" x14ac:dyDescent="0.2">
      <c r="G6620" s="199"/>
      <c r="I6620" s="199"/>
      <c r="K6620" s="199"/>
      <c r="M6620" s="199"/>
      <c r="N6620" s="200"/>
      <c r="P6620" s="199"/>
    </row>
    <row r="6621" spans="7:16" x14ac:dyDescent="0.2">
      <c r="G6621" s="199"/>
      <c r="I6621" s="199"/>
      <c r="K6621" s="199"/>
      <c r="M6621" s="199"/>
      <c r="N6621" s="200"/>
      <c r="P6621" s="199"/>
    </row>
    <row r="6622" spans="7:16" x14ac:dyDescent="0.2">
      <c r="G6622" s="199"/>
      <c r="I6622" s="199"/>
      <c r="K6622" s="199"/>
      <c r="M6622" s="199"/>
      <c r="N6622" s="200"/>
      <c r="P6622" s="199"/>
    </row>
    <row r="6623" spans="7:16" x14ac:dyDescent="0.2">
      <c r="G6623" s="199"/>
      <c r="I6623" s="199"/>
      <c r="K6623" s="199"/>
      <c r="M6623" s="199"/>
      <c r="N6623" s="200"/>
      <c r="P6623" s="199"/>
    </row>
    <row r="6624" spans="7:16" x14ac:dyDescent="0.2">
      <c r="G6624" s="199"/>
      <c r="I6624" s="199"/>
      <c r="K6624" s="199"/>
      <c r="M6624" s="199"/>
      <c r="N6624" s="200"/>
      <c r="P6624" s="199"/>
    </row>
    <row r="6625" spans="7:16" x14ac:dyDescent="0.2">
      <c r="G6625" s="199"/>
      <c r="I6625" s="199"/>
      <c r="K6625" s="199"/>
      <c r="M6625" s="199"/>
      <c r="N6625" s="200"/>
      <c r="P6625" s="199"/>
    </row>
    <row r="6626" spans="7:16" x14ac:dyDescent="0.2">
      <c r="G6626" s="199"/>
      <c r="I6626" s="199"/>
      <c r="K6626" s="199"/>
      <c r="M6626" s="199"/>
      <c r="N6626" s="200"/>
      <c r="P6626" s="199"/>
    </row>
    <row r="6627" spans="7:16" x14ac:dyDescent="0.2">
      <c r="G6627" s="199"/>
      <c r="I6627" s="199"/>
      <c r="K6627" s="199"/>
      <c r="M6627" s="199"/>
      <c r="N6627" s="200"/>
      <c r="P6627" s="199"/>
    </row>
    <row r="6628" spans="7:16" x14ac:dyDescent="0.2">
      <c r="G6628" s="199"/>
      <c r="I6628" s="199"/>
      <c r="K6628" s="199"/>
      <c r="M6628" s="199"/>
      <c r="N6628" s="200"/>
      <c r="P6628" s="199"/>
    </row>
    <row r="6629" spans="7:16" x14ac:dyDescent="0.2">
      <c r="G6629" s="199"/>
      <c r="I6629" s="199"/>
      <c r="K6629" s="199"/>
      <c r="M6629" s="199"/>
      <c r="N6629" s="200"/>
      <c r="P6629" s="199"/>
    </row>
    <row r="6630" spans="7:16" x14ac:dyDescent="0.2">
      <c r="G6630" s="199"/>
      <c r="I6630" s="199"/>
      <c r="K6630" s="199"/>
      <c r="M6630" s="199"/>
      <c r="N6630" s="200"/>
      <c r="P6630" s="199"/>
    </row>
    <row r="6631" spans="7:16" x14ac:dyDescent="0.2">
      <c r="G6631" s="199"/>
      <c r="I6631" s="199"/>
      <c r="K6631" s="199"/>
      <c r="M6631" s="199"/>
      <c r="N6631" s="200"/>
      <c r="P6631" s="199"/>
    </row>
    <row r="6632" spans="7:16" x14ac:dyDescent="0.2">
      <c r="G6632" s="199"/>
      <c r="I6632" s="199"/>
      <c r="K6632" s="199"/>
      <c r="M6632" s="199"/>
      <c r="N6632" s="200"/>
      <c r="P6632" s="199"/>
    </row>
    <row r="6633" spans="7:16" x14ac:dyDescent="0.2">
      <c r="G6633" s="199"/>
      <c r="I6633" s="199"/>
      <c r="K6633" s="199"/>
      <c r="M6633" s="199"/>
      <c r="N6633" s="200"/>
      <c r="P6633" s="199"/>
    </row>
    <row r="6634" spans="7:16" x14ac:dyDescent="0.2">
      <c r="G6634" s="199"/>
      <c r="I6634" s="199"/>
      <c r="K6634" s="199"/>
      <c r="M6634" s="199"/>
      <c r="N6634" s="200"/>
      <c r="P6634" s="199"/>
    </row>
    <row r="6635" spans="7:16" x14ac:dyDescent="0.2">
      <c r="G6635" s="199"/>
      <c r="I6635" s="199"/>
      <c r="K6635" s="199"/>
      <c r="M6635" s="199"/>
      <c r="N6635" s="200"/>
      <c r="P6635" s="199"/>
    </row>
    <row r="6636" spans="7:16" x14ac:dyDescent="0.2">
      <c r="G6636" s="199"/>
      <c r="I6636" s="199"/>
      <c r="K6636" s="199"/>
      <c r="M6636" s="199"/>
      <c r="N6636" s="200"/>
      <c r="P6636" s="199"/>
    </row>
    <row r="6637" spans="7:16" x14ac:dyDescent="0.2">
      <c r="G6637" s="199"/>
      <c r="I6637" s="199"/>
      <c r="K6637" s="199"/>
      <c r="M6637" s="199"/>
      <c r="N6637" s="200"/>
      <c r="P6637" s="199"/>
    </row>
    <row r="6638" spans="7:16" x14ac:dyDescent="0.2">
      <c r="G6638" s="199"/>
      <c r="I6638" s="199"/>
      <c r="K6638" s="199"/>
      <c r="M6638" s="199"/>
      <c r="N6638" s="200"/>
      <c r="P6638" s="199"/>
    </row>
    <row r="6639" spans="7:16" x14ac:dyDescent="0.2">
      <c r="G6639" s="199"/>
      <c r="I6639" s="199"/>
      <c r="K6639" s="199"/>
      <c r="M6639" s="199"/>
      <c r="N6639" s="200"/>
      <c r="P6639" s="199"/>
    </row>
    <row r="6640" spans="7:16" x14ac:dyDescent="0.2">
      <c r="G6640" s="199"/>
      <c r="I6640" s="199"/>
      <c r="K6640" s="199"/>
      <c r="M6640" s="199"/>
      <c r="N6640" s="200"/>
      <c r="P6640" s="199"/>
    </row>
    <row r="6641" spans="7:16" x14ac:dyDescent="0.2">
      <c r="G6641" s="199"/>
      <c r="I6641" s="199"/>
      <c r="K6641" s="199"/>
      <c r="M6641" s="199"/>
      <c r="N6641" s="200"/>
      <c r="P6641" s="199"/>
    </row>
    <row r="6642" spans="7:16" x14ac:dyDescent="0.2">
      <c r="G6642" s="199"/>
      <c r="I6642" s="199"/>
      <c r="K6642" s="199"/>
      <c r="M6642" s="199"/>
      <c r="N6642" s="200"/>
      <c r="P6642" s="199"/>
    </row>
    <row r="6643" spans="7:16" x14ac:dyDescent="0.2">
      <c r="G6643" s="199"/>
      <c r="I6643" s="199"/>
      <c r="K6643" s="199"/>
      <c r="M6643" s="199"/>
      <c r="N6643" s="200"/>
      <c r="P6643" s="199"/>
    </row>
    <row r="6644" spans="7:16" x14ac:dyDescent="0.2">
      <c r="G6644" s="199"/>
      <c r="I6644" s="199"/>
      <c r="K6644" s="199"/>
      <c r="M6644" s="199"/>
      <c r="N6644" s="200"/>
      <c r="P6644" s="199"/>
    </row>
    <row r="6645" spans="7:16" x14ac:dyDescent="0.2">
      <c r="G6645" s="199"/>
      <c r="I6645" s="199"/>
      <c r="K6645" s="199"/>
      <c r="M6645" s="199"/>
      <c r="N6645" s="200"/>
      <c r="P6645" s="199"/>
    </row>
    <row r="6646" spans="7:16" x14ac:dyDescent="0.2">
      <c r="G6646" s="199"/>
      <c r="I6646" s="199"/>
      <c r="K6646" s="199"/>
      <c r="M6646" s="199"/>
      <c r="N6646" s="200"/>
      <c r="P6646" s="199"/>
    </row>
    <row r="6647" spans="7:16" x14ac:dyDescent="0.2">
      <c r="G6647" s="199"/>
      <c r="I6647" s="199"/>
      <c r="K6647" s="199"/>
      <c r="M6647" s="199"/>
      <c r="N6647" s="200"/>
      <c r="P6647" s="199"/>
    </row>
    <row r="6648" spans="7:16" x14ac:dyDescent="0.2">
      <c r="G6648" s="199"/>
      <c r="I6648" s="199"/>
      <c r="K6648" s="199"/>
      <c r="M6648" s="199"/>
      <c r="N6648" s="200"/>
      <c r="P6648" s="199"/>
    </row>
    <row r="6649" spans="7:16" x14ac:dyDescent="0.2">
      <c r="G6649" s="199"/>
      <c r="I6649" s="199"/>
      <c r="K6649" s="199"/>
      <c r="M6649" s="199"/>
      <c r="N6649" s="200"/>
      <c r="P6649" s="199"/>
    </row>
    <row r="6650" spans="7:16" x14ac:dyDescent="0.2">
      <c r="G6650" s="199"/>
      <c r="I6650" s="199"/>
      <c r="K6650" s="199"/>
      <c r="M6650" s="199"/>
      <c r="N6650" s="200"/>
      <c r="P6650" s="199"/>
    </row>
    <row r="6651" spans="7:16" x14ac:dyDescent="0.2">
      <c r="G6651" s="199"/>
      <c r="I6651" s="199"/>
      <c r="K6651" s="199"/>
      <c r="M6651" s="199"/>
      <c r="N6651" s="200"/>
      <c r="P6651" s="199"/>
    </row>
    <row r="6652" spans="7:16" x14ac:dyDescent="0.2">
      <c r="G6652" s="199"/>
      <c r="I6652" s="199"/>
      <c r="K6652" s="199"/>
      <c r="M6652" s="199"/>
      <c r="N6652" s="200"/>
      <c r="P6652" s="199"/>
    </row>
    <row r="6653" spans="7:16" x14ac:dyDescent="0.2">
      <c r="G6653" s="199"/>
      <c r="I6653" s="199"/>
      <c r="K6653" s="199"/>
      <c r="M6653" s="199"/>
      <c r="N6653" s="200"/>
      <c r="P6653" s="199"/>
    </row>
    <row r="6654" spans="7:16" x14ac:dyDescent="0.2">
      <c r="G6654" s="199"/>
      <c r="I6654" s="199"/>
      <c r="K6654" s="199"/>
      <c r="M6654" s="199"/>
      <c r="N6654" s="200"/>
      <c r="P6654" s="199"/>
    </row>
    <row r="6655" spans="7:16" x14ac:dyDescent="0.2">
      <c r="G6655" s="199"/>
      <c r="I6655" s="199"/>
      <c r="K6655" s="199"/>
      <c r="M6655" s="199"/>
      <c r="N6655" s="200"/>
      <c r="P6655" s="199"/>
    </row>
    <row r="6656" spans="7:16" x14ac:dyDescent="0.2">
      <c r="G6656" s="199"/>
      <c r="I6656" s="199"/>
      <c r="K6656" s="199"/>
      <c r="M6656" s="199"/>
      <c r="N6656" s="200"/>
      <c r="P6656" s="199"/>
    </row>
    <row r="6657" spans="7:16" x14ac:dyDescent="0.2">
      <c r="G6657" s="199"/>
      <c r="I6657" s="199"/>
      <c r="K6657" s="199"/>
      <c r="M6657" s="199"/>
      <c r="N6657" s="200"/>
      <c r="P6657" s="199"/>
    </row>
    <row r="6658" spans="7:16" x14ac:dyDescent="0.2">
      <c r="G6658" s="199"/>
      <c r="I6658" s="199"/>
      <c r="K6658" s="199"/>
      <c r="M6658" s="199"/>
      <c r="N6658" s="200"/>
      <c r="P6658" s="199"/>
    </row>
    <row r="6659" spans="7:16" x14ac:dyDescent="0.2">
      <c r="G6659" s="199"/>
      <c r="I6659" s="199"/>
      <c r="K6659" s="199"/>
      <c r="M6659" s="199"/>
      <c r="N6659" s="200"/>
      <c r="P6659" s="199"/>
    </row>
    <row r="6660" spans="7:16" x14ac:dyDescent="0.2">
      <c r="G6660" s="199"/>
      <c r="I6660" s="199"/>
      <c r="K6660" s="199"/>
      <c r="M6660" s="199"/>
      <c r="N6660" s="200"/>
      <c r="P6660" s="199"/>
    </row>
    <row r="6661" spans="7:16" x14ac:dyDescent="0.2">
      <c r="G6661" s="199"/>
      <c r="I6661" s="199"/>
      <c r="K6661" s="199"/>
      <c r="M6661" s="199"/>
      <c r="N6661" s="200"/>
      <c r="P6661" s="199"/>
    </row>
    <row r="6662" spans="7:16" x14ac:dyDescent="0.2">
      <c r="G6662" s="199"/>
      <c r="I6662" s="199"/>
      <c r="K6662" s="199"/>
      <c r="M6662" s="199"/>
      <c r="N6662" s="200"/>
      <c r="P6662" s="199"/>
    </row>
    <row r="6663" spans="7:16" x14ac:dyDescent="0.2">
      <c r="G6663" s="199"/>
      <c r="I6663" s="199"/>
      <c r="K6663" s="199"/>
      <c r="M6663" s="199"/>
      <c r="N6663" s="200"/>
      <c r="P6663" s="199"/>
    </row>
    <row r="6664" spans="7:16" x14ac:dyDescent="0.2">
      <c r="G6664" s="199"/>
      <c r="I6664" s="199"/>
      <c r="K6664" s="199"/>
      <c r="M6664" s="199"/>
      <c r="N6664" s="200"/>
      <c r="P6664" s="199"/>
    </row>
    <row r="6665" spans="7:16" x14ac:dyDescent="0.2">
      <c r="G6665" s="199"/>
      <c r="I6665" s="199"/>
      <c r="K6665" s="199"/>
      <c r="M6665" s="199"/>
      <c r="N6665" s="200"/>
      <c r="P6665" s="199"/>
    </row>
    <row r="6666" spans="7:16" x14ac:dyDescent="0.2">
      <c r="G6666" s="199"/>
      <c r="I6666" s="199"/>
      <c r="K6666" s="199"/>
      <c r="M6666" s="199"/>
      <c r="N6666" s="200"/>
      <c r="P6666" s="199"/>
    </row>
    <row r="6667" spans="7:16" x14ac:dyDescent="0.2">
      <c r="G6667" s="199"/>
      <c r="I6667" s="199"/>
      <c r="K6667" s="199"/>
      <c r="M6667" s="199"/>
      <c r="N6667" s="200"/>
      <c r="P6667" s="199"/>
    </row>
    <row r="6668" spans="7:16" x14ac:dyDescent="0.2">
      <c r="G6668" s="199"/>
      <c r="I6668" s="199"/>
      <c r="K6668" s="199"/>
      <c r="M6668" s="199"/>
      <c r="N6668" s="200"/>
      <c r="P6668" s="199"/>
    </row>
    <row r="6669" spans="7:16" x14ac:dyDescent="0.2">
      <c r="G6669" s="199"/>
      <c r="I6669" s="199"/>
      <c r="K6669" s="199"/>
      <c r="M6669" s="199"/>
      <c r="N6669" s="200"/>
      <c r="P6669" s="199"/>
    </row>
    <row r="6670" spans="7:16" x14ac:dyDescent="0.2">
      <c r="G6670" s="199"/>
      <c r="I6670" s="199"/>
      <c r="K6670" s="199"/>
      <c r="M6670" s="199"/>
      <c r="N6670" s="200"/>
      <c r="P6670" s="199"/>
    </row>
    <row r="6671" spans="7:16" x14ac:dyDescent="0.2">
      <c r="G6671" s="199"/>
      <c r="I6671" s="199"/>
      <c r="K6671" s="199"/>
      <c r="M6671" s="199"/>
      <c r="N6671" s="200"/>
      <c r="P6671" s="199"/>
    </row>
    <row r="6672" spans="7:16" x14ac:dyDescent="0.2">
      <c r="G6672" s="199"/>
      <c r="I6672" s="199"/>
      <c r="K6672" s="199"/>
      <c r="M6672" s="199"/>
      <c r="N6672" s="200"/>
      <c r="P6672" s="199"/>
    </row>
    <row r="6673" spans="7:16" x14ac:dyDescent="0.2">
      <c r="G6673" s="199"/>
      <c r="I6673" s="199"/>
      <c r="K6673" s="199"/>
      <c r="M6673" s="199"/>
      <c r="N6673" s="200"/>
      <c r="P6673" s="199"/>
    </row>
    <row r="6674" spans="7:16" x14ac:dyDescent="0.2">
      <c r="G6674" s="199"/>
      <c r="I6674" s="199"/>
      <c r="K6674" s="199"/>
      <c r="M6674" s="199"/>
      <c r="N6674" s="200"/>
      <c r="P6674" s="199"/>
    </row>
    <row r="6675" spans="7:16" x14ac:dyDescent="0.2">
      <c r="G6675" s="199"/>
      <c r="I6675" s="199"/>
      <c r="K6675" s="199"/>
      <c r="M6675" s="199"/>
      <c r="N6675" s="200"/>
      <c r="P6675" s="199"/>
    </row>
    <row r="6676" spans="7:16" x14ac:dyDescent="0.2">
      <c r="G6676" s="199"/>
      <c r="I6676" s="199"/>
      <c r="K6676" s="199"/>
      <c r="M6676" s="199"/>
      <c r="N6676" s="200"/>
      <c r="P6676" s="199"/>
    </row>
    <row r="6677" spans="7:16" x14ac:dyDescent="0.2">
      <c r="G6677" s="199"/>
      <c r="I6677" s="199"/>
      <c r="K6677" s="199"/>
      <c r="M6677" s="199"/>
      <c r="N6677" s="200"/>
      <c r="P6677" s="199"/>
    </row>
    <row r="6678" spans="7:16" x14ac:dyDescent="0.2">
      <c r="G6678" s="199"/>
      <c r="I6678" s="199"/>
      <c r="K6678" s="199"/>
      <c r="M6678" s="199"/>
      <c r="N6678" s="200"/>
      <c r="P6678" s="199"/>
    </row>
    <row r="6679" spans="7:16" x14ac:dyDescent="0.2">
      <c r="G6679" s="199"/>
      <c r="I6679" s="199"/>
      <c r="K6679" s="199"/>
      <c r="M6679" s="199"/>
      <c r="N6679" s="200"/>
      <c r="P6679" s="199"/>
    </row>
    <row r="6680" spans="7:16" x14ac:dyDescent="0.2">
      <c r="G6680" s="199"/>
      <c r="I6680" s="199"/>
      <c r="K6680" s="199"/>
      <c r="M6680" s="199"/>
      <c r="N6680" s="200"/>
      <c r="P6680" s="199"/>
    </row>
    <row r="6681" spans="7:16" x14ac:dyDescent="0.2">
      <c r="G6681" s="199"/>
      <c r="I6681" s="199"/>
      <c r="K6681" s="199"/>
      <c r="M6681" s="199"/>
      <c r="N6681" s="200"/>
      <c r="P6681" s="199"/>
    </row>
    <row r="6682" spans="7:16" x14ac:dyDescent="0.2">
      <c r="G6682" s="199"/>
      <c r="I6682" s="199"/>
      <c r="K6682" s="199"/>
      <c r="M6682" s="199"/>
      <c r="N6682" s="200"/>
      <c r="P6682" s="199"/>
    </row>
    <row r="6683" spans="7:16" x14ac:dyDescent="0.2">
      <c r="G6683" s="199"/>
      <c r="I6683" s="199"/>
      <c r="K6683" s="199"/>
      <c r="M6683" s="199"/>
      <c r="N6683" s="200"/>
      <c r="P6683" s="199"/>
    </row>
    <row r="6684" spans="7:16" x14ac:dyDescent="0.2">
      <c r="G6684" s="199"/>
      <c r="I6684" s="199"/>
      <c r="K6684" s="199"/>
      <c r="M6684" s="199"/>
      <c r="N6684" s="200"/>
      <c r="P6684" s="199"/>
    </row>
    <row r="6685" spans="7:16" x14ac:dyDescent="0.2">
      <c r="G6685" s="199"/>
      <c r="I6685" s="199"/>
      <c r="K6685" s="199"/>
      <c r="M6685" s="199"/>
      <c r="N6685" s="200"/>
      <c r="P6685" s="199"/>
    </row>
    <row r="6686" spans="7:16" x14ac:dyDescent="0.2">
      <c r="G6686" s="199"/>
      <c r="I6686" s="199"/>
      <c r="K6686" s="199"/>
      <c r="M6686" s="199"/>
      <c r="N6686" s="200"/>
      <c r="P6686" s="199"/>
    </row>
    <row r="6687" spans="7:16" x14ac:dyDescent="0.2">
      <c r="G6687" s="199"/>
      <c r="I6687" s="199"/>
      <c r="K6687" s="199"/>
      <c r="M6687" s="199"/>
      <c r="N6687" s="200"/>
      <c r="P6687" s="199"/>
    </row>
    <row r="6688" spans="7:16" x14ac:dyDescent="0.2">
      <c r="G6688" s="199"/>
      <c r="I6688" s="199"/>
      <c r="K6688" s="199"/>
      <c r="M6688" s="199"/>
      <c r="N6688" s="200"/>
      <c r="P6688" s="199"/>
    </row>
    <row r="6689" spans="7:16" x14ac:dyDescent="0.2">
      <c r="G6689" s="199"/>
      <c r="I6689" s="199"/>
      <c r="K6689" s="199"/>
      <c r="M6689" s="199"/>
      <c r="N6689" s="200"/>
      <c r="P6689" s="199"/>
    </row>
    <row r="6690" spans="7:16" x14ac:dyDescent="0.2">
      <c r="G6690" s="199"/>
      <c r="I6690" s="199"/>
      <c r="K6690" s="199"/>
      <c r="M6690" s="199"/>
      <c r="N6690" s="200"/>
      <c r="P6690" s="199"/>
    </row>
    <row r="6691" spans="7:16" x14ac:dyDescent="0.2">
      <c r="G6691" s="199"/>
      <c r="I6691" s="199"/>
      <c r="K6691" s="199"/>
      <c r="M6691" s="199"/>
      <c r="N6691" s="200"/>
      <c r="P6691" s="199"/>
    </row>
    <row r="6692" spans="7:16" x14ac:dyDescent="0.2">
      <c r="G6692" s="199"/>
      <c r="I6692" s="199"/>
      <c r="K6692" s="199"/>
      <c r="M6692" s="199"/>
      <c r="N6692" s="200"/>
      <c r="P6692" s="199"/>
    </row>
    <row r="6693" spans="7:16" x14ac:dyDescent="0.2">
      <c r="G6693" s="199"/>
      <c r="I6693" s="199"/>
      <c r="K6693" s="199"/>
      <c r="M6693" s="199"/>
      <c r="N6693" s="200"/>
      <c r="P6693" s="199"/>
    </row>
    <row r="6694" spans="7:16" x14ac:dyDescent="0.2">
      <c r="G6694" s="199"/>
      <c r="I6694" s="199"/>
      <c r="K6694" s="199"/>
      <c r="M6694" s="199"/>
      <c r="N6694" s="200"/>
      <c r="P6694" s="199"/>
    </row>
    <row r="6695" spans="7:16" x14ac:dyDescent="0.2">
      <c r="G6695" s="199"/>
      <c r="I6695" s="199"/>
      <c r="K6695" s="199"/>
      <c r="M6695" s="199"/>
      <c r="N6695" s="200"/>
      <c r="P6695" s="199"/>
    </row>
    <row r="6696" spans="7:16" x14ac:dyDescent="0.2">
      <c r="G6696" s="199"/>
      <c r="I6696" s="199"/>
      <c r="K6696" s="199"/>
      <c r="M6696" s="199"/>
      <c r="N6696" s="200"/>
      <c r="P6696" s="199"/>
    </row>
    <row r="6697" spans="7:16" x14ac:dyDescent="0.2">
      <c r="G6697" s="199"/>
      <c r="I6697" s="199"/>
      <c r="K6697" s="199"/>
      <c r="M6697" s="199"/>
      <c r="N6697" s="200"/>
      <c r="P6697" s="199"/>
    </row>
    <row r="6698" spans="7:16" x14ac:dyDescent="0.2">
      <c r="G6698" s="199"/>
      <c r="I6698" s="199"/>
      <c r="K6698" s="199"/>
      <c r="M6698" s="199"/>
      <c r="N6698" s="200"/>
      <c r="P6698" s="199"/>
    </row>
    <row r="6699" spans="7:16" x14ac:dyDescent="0.2">
      <c r="G6699" s="199"/>
      <c r="I6699" s="199"/>
      <c r="K6699" s="199"/>
      <c r="M6699" s="199"/>
      <c r="N6699" s="200"/>
      <c r="P6699" s="199"/>
    </row>
    <row r="6700" spans="7:16" x14ac:dyDescent="0.2">
      <c r="G6700" s="199"/>
      <c r="I6700" s="199"/>
      <c r="K6700" s="199"/>
      <c r="M6700" s="199"/>
      <c r="N6700" s="200"/>
      <c r="P6700" s="199"/>
    </row>
    <row r="6701" spans="7:16" x14ac:dyDescent="0.2">
      <c r="G6701" s="199"/>
      <c r="I6701" s="199"/>
      <c r="K6701" s="199"/>
      <c r="M6701" s="199"/>
      <c r="N6701" s="200"/>
      <c r="P6701" s="199"/>
    </row>
    <row r="6702" spans="7:16" x14ac:dyDescent="0.2">
      <c r="G6702" s="199"/>
      <c r="I6702" s="199"/>
      <c r="K6702" s="199"/>
      <c r="M6702" s="199"/>
      <c r="N6702" s="200"/>
      <c r="P6702" s="199"/>
    </row>
    <row r="6703" spans="7:16" x14ac:dyDescent="0.2">
      <c r="G6703" s="199"/>
      <c r="I6703" s="199"/>
      <c r="K6703" s="199"/>
      <c r="M6703" s="199"/>
      <c r="N6703" s="200"/>
      <c r="P6703" s="199"/>
    </row>
    <row r="6704" spans="7:16" x14ac:dyDescent="0.2">
      <c r="G6704" s="199"/>
      <c r="I6704" s="199"/>
      <c r="K6704" s="199"/>
      <c r="M6704" s="199"/>
      <c r="N6704" s="200"/>
      <c r="P6704" s="199"/>
    </row>
    <row r="6705" spans="7:16" x14ac:dyDescent="0.2">
      <c r="G6705" s="199"/>
      <c r="I6705" s="199"/>
      <c r="K6705" s="199"/>
      <c r="M6705" s="199"/>
      <c r="N6705" s="200"/>
      <c r="P6705" s="199"/>
    </row>
    <row r="6706" spans="7:16" x14ac:dyDescent="0.2">
      <c r="G6706" s="199"/>
      <c r="I6706" s="199"/>
      <c r="K6706" s="199"/>
      <c r="M6706" s="199"/>
      <c r="N6706" s="200"/>
      <c r="P6706" s="199"/>
    </row>
    <row r="6707" spans="7:16" x14ac:dyDescent="0.2">
      <c r="G6707" s="199"/>
      <c r="I6707" s="199"/>
      <c r="K6707" s="199"/>
      <c r="M6707" s="199"/>
      <c r="N6707" s="200"/>
      <c r="P6707" s="199"/>
    </row>
    <row r="6708" spans="7:16" x14ac:dyDescent="0.2">
      <c r="G6708" s="199"/>
      <c r="I6708" s="199"/>
      <c r="K6708" s="199"/>
      <c r="M6708" s="199"/>
      <c r="N6708" s="200"/>
      <c r="P6708" s="199"/>
    </row>
    <row r="6709" spans="7:16" x14ac:dyDescent="0.2">
      <c r="G6709" s="199"/>
      <c r="I6709" s="199"/>
      <c r="K6709" s="199"/>
      <c r="M6709" s="199"/>
      <c r="N6709" s="200"/>
      <c r="P6709" s="199"/>
    </row>
    <row r="6710" spans="7:16" x14ac:dyDescent="0.2">
      <c r="G6710" s="199"/>
      <c r="I6710" s="199"/>
      <c r="K6710" s="199"/>
      <c r="M6710" s="199"/>
      <c r="N6710" s="200"/>
      <c r="P6710" s="199"/>
    </row>
    <row r="6711" spans="7:16" x14ac:dyDescent="0.2">
      <c r="G6711" s="199"/>
      <c r="I6711" s="199"/>
      <c r="K6711" s="199"/>
      <c r="M6711" s="199"/>
      <c r="N6711" s="200"/>
      <c r="P6711" s="199"/>
    </row>
    <row r="6712" spans="7:16" x14ac:dyDescent="0.2">
      <c r="G6712" s="199"/>
      <c r="I6712" s="199"/>
      <c r="K6712" s="199"/>
      <c r="M6712" s="199"/>
      <c r="N6712" s="200"/>
      <c r="P6712" s="199"/>
    </row>
    <row r="6713" spans="7:16" x14ac:dyDescent="0.2">
      <c r="G6713" s="199"/>
      <c r="I6713" s="199"/>
      <c r="K6713" s="199"/>
      <c r="M6713" s="199"/>
      <c r="N6713" s="200"/>
      <c r="P6713" s="199"/>
    </row>
    <row r="6714" spans="7:16" x14ac:dyDescent="0.2">
      <c r="G6714" s="199"/>
      <c r="I6714" s="199"/>
      <c r="K6714" s="199"/>
      <c r="M6714" s="199"/>
      <c r="N6714" s="200"/>
      <c r="P6714" s="199"/>
    </row>
    <row r="6715" spans="7:16" x14ac:dyDescent="0.2">
      <c r="G6715" s="199"/>
      <c r="I6715" s="199"/>
      <c r="K6715" s="199"/>
      <c r="M6715" s="199"/>
      <c r="N6715" s="200"/>
      <c r="P6715" s="199"/>
    </row>
    <row r="6716" spans="7:16" x14ac:dyDescent="0.2">
      <c r="G6716" s="199"/>
      <c r="I6716" s="199"/>
      <c r="K6716" s="199"/>
      <c r="M6716" s="199"/>
      <c r="N6716" s="200"/>
      <c r="P6716" s="199"/>
    </row>
    <row r="6717" spans="7:16" x14ac:dyDescent="0.2">
      <c r="G6717" s="199"/>
      <c r="I6717" s="199"/>
      <c r="K6717" s="199"/>
      <c r="M6717" s="199"/>
      <c r="N6717" s="200"/>
      <c r="P6717" s="199"/>
    </row>
    <row r="6718" spans="7:16" x14ac:dyDescent="0.2">
      <c r="G6718" s="199"/>
      <c r="I6718" s="199"/>
      <c r="K6718" s="199"/>
      <c r="M6718" s="199"/>
      <c r="N6718" s="200"/>
      <c r="P6718" s="199"/>
    </row>
    <row r="6719" spans="7:16" x14ac:dyDescent="0.2">
      <c r="G6719" s="199"/>
      <c r="I6719" s="199"/>
      <c r="K6719" s="199"/>
      <c r="M6719" s="199"/>
      <c r="N6719" s="200"/>
      <c r="P6719" s="199"/>
    </row>
    <row r="6720" spans="7:16" x14ac:dyDescent="0.2">
      <c r="G6720" s="199"/>
      <c r="I6720" s="199"/>
      <c r="K6720" s="199"/>
      <c r="M6720" s="199"/>
      <c r="N6720" s="200"/>
      <c r="P6720" s="199"/>
    </row>
    <row r="6721" spans="7:16" x14ac:dyDescent="0.2">
      <c r="G6721" s="199"/>
      <c r="I6721" s="199"/>
      <c r="K6721" s="199"/>
      <c r="M6721" s="199"/>
      <c r="N6721" s="200"/>
      <c r="P6721" s="199"/>
    </row>
    <row r="6722" spans="7:16" x14ac:dyDescent="0.2">
      <c r="G6722" s="199"/>
      <c r="I6722" s="199"/>
      <c r="K6722" s="199"/>
      <c r="M6722" s="199"/>
      <c r="N6722" s="200"/>
      <c r="P6722" s="199"/>
    </row>
    <row r="6723" spans="7:16" x14ac:dyDescent="0.2">
      <c r="G6723" s="199"/>
      <c r="I6723" s="199"/>
      <c r="K6723" s="199"/>
      <c r="M6723" s="199"/>
      <c r="N6723" s="200"/>
      <c r="P6723" s="199"/>
    </row>
    <row r="6724" spans="7:16" x14ac:dyDescent="0.2">
      <c r="G6724" s="199"/>
      <c r="I6724" s="199"/>
      <c r="K6724" s="199"/>
      <c r="M6724" s="199"/>
      <c r="N6724" s="200"/>
      <c r="P6724" s="199"/>
    </row>
    <row r="6725" spans="7:16" x14ac:dyDescent="0.2">
      <c r="G6725" s="199"/>
      <c r="I6725" s="199"/>
      <c r="K6725" s="199"/>
      <c r="M6725" s="199"/>
      <c r="N6725" s="200"/>
      <c r="P6725" s="199"/>
    </row>
    <row r="6726" spans="7:16" x14ac:dyDescent="0.2">
      <c r="G6726" s="199"/>
      <c r="I6726" s="199"/>
      <c r="K6726" s="199"/>
      <c r="M6726" s="199"/>
      <c r="N6726" s="200"/>
      <c r="P6726" s="199"/>
    </row>
    <row r="6727" spans="7:16" x14ac:dyDescent="0.2">
      <c r="G6727" s="199"/>
      <c r="I6727" s="199"/>
      <c r="K6727" s="199"/>
      <c r="M6727" s="199"/>
      <c r="N6727" s="200"/>
      <c r="P6727" s="199"/>
    </row>
    <row r="6728" spans="7:16" x14ac:dyDescent="0.2">
      <c r="G6728" s="199"/>
      <c r="I6728" s="199"/>
      <c r="K6728" s="199"/>
      <c r="M6728" s="199"/>
      <c r="N6728" s="200"/>
      <c r="P6728" s="199"/>
    </row>
    <row r="6729" spans="7:16" x14ac:dyDescent="0.2">
      <c r="G6729" s="199"/>
      <c r="I6729" s="199"/>
      <c r="K6729" s="199"/>
      <c r="M6729" s="199"/>
      <c r="N6729" s="200"/>
      <c r="P6729" s="199"/>
    </row>
    <row r="6730" spans="7:16" x14ac:dyDescent="0.2">
      <c r="G6730" s="199"/>
      <c r="I6730" s="199"/>
      <c r="K6730" s="199"/>
      <c r="M6730" s="199"/>
      <c r="N6730" s="200"/>
      <c r="P6730" s="199"/>
    </row>
    <row r="6731" spans="7:16" x14ac:dyDescent="0.2">
      <c r="G6731" s="199"/>
      <c r="I6731" s="199"/>
      <c r="K6731" s="199"/>
      <c r="M6731" s="199"/>
      <c r="N6731" s="200"/>
      <c r="P6731" s="199"/>
    </row>
    <row r="6732" spans="7:16" x14ac:dyDescent="0.2">
      <c r="G6732" s="199"/>
      <c r="I6732" s="199"/>
      <c r="K6732" s="199"/>
      <c r="M6732" s="199"/>
      <c r="N6732" s="200"/>
      <c r="P6732" s="199"/>
    </row>
    <row r="6733" spans="7:16" x14ac:dyDescent="0.2">
      <c r="G6733" s="199"/>
      <c r="I6733" s="199"/>
      <c r="K6733" s="199"/>
      <c r="M6733" s="199"/>
      <c r="N6733" s="200"/>
      <c r="P6733" s="199"/>
    </row>
    <row r="6734" spans="7:16" x14ac:dyDescent="0.2">
      <c r="G6734" s="199"/>
      <c r="I6734" s="199"/>
      <c r="K6734" s="199"/>
      <c r="M6734" s="199"/>
      <c r="N6734" s="200"/>
      <c r="P6734" s="199"/>
    </row>
    <row r="6735" spans="7:16" x14ac:dyDescent="0.2">
      <c r="G6735" s="199"/>
      <c r="I6735" s="199"/>
      <c r="K6735" s="199"/>
      <c r="M6735" s="199"/>
      <c r="N6735" s="200"/>
      <c r="P6735" s="199"/>
    </row>
    <row r="6736" spans="7:16" x14ac:dyDescent="0.2">
      <c r="G6736" s="199"/>
      <c r="I6736" s="199"/>
      <c r="K6736" s="199"/>
      <c r="M6736" s="199"/>
      <c r="N6736" s="200"/>
      <c r="P6736" s="199"/>
    </row>
    <row r="6737" spans="7:16" x14ac:dyDescent="0.2">
      <c r="G6737" s="199"/>
      <c r="I6737" s="199"/>
      <c r="K6737" s="199"/>
      <c r="M6737" s="199"/>
      <c r="N6737" s="200"/>
      <c r="P6737" s="199"/>
    </row>
    <row r="6738" spans="7:16" x14ac:dyDescent="0.2">
      <c r="G6738" s="199"/>
      <c r="I6738" s="199"/>
      <c r="K6738" s="199"/>
      <c r="M6738" s="199"/>
      <c r="N6738" s="200"/>
      <c r="P6738" s="199"/>
    </row>
    <row r="6739" spans="7:16" x14ac:dyDescent="0.2">
      <c r="G6739" s="199"/>
      <c r="I6739" s="199"/>
      <c r="K6739" s="199"/>
      <c r="M6739" s="199"/>
      <c r="N6739" s="200"/>
      <c r="P6739" s="199"/>
    </row>
    <row r="6740" spans="7:16" x14ac:dyDescent="0.2">
      <c r="G6740" s="199"/>
      <c r="I6740" s="199"/>
      <c r="K6740" s="199"/>
      <c r="M6740" s="199"/>
      <c r="N6740" s="200"/>
      <c r="P6740" s="199"/>
    </row>
    <row r="6741" spans="7:16" x14ac:dyDescent="0.2">
      <c r="G6741" s="199"/>
      <c r="I6741" s="199"/>
      <c r="K6741" s="199"/>
      <c r="M6741" s="199"/>
      <c r="N6741" s="200"/>
      <c r="P6741" s="199"/>
    </row>
    <row r="6742" spans="7:16" x14ac:dyDescent="0.2">
      <c r="G6742" s="199"/>
      <c r="I6742" s="199"/>
      <c r="K6742" s="199"/>
      <c r="M6742" s="199"/>
      <c r="N6742" s="200"/>
      <c r="P6742" s="199"/>
    </row>
    <row r="6743" spans="7:16" x14ac:dyDescent="0.2">
      <c r="G6743" s="199"/>
      <c r="I6743" s="199"/>
      <c r="K6743" s="199"/>
      <c r="M6743" s="199"/>
      <c r="N6743" s="200"/>
      <c r="P6743" s="199"/>
    </row>
    <row r="6744" spans="7:16" x14ac:dyDescent="0.2">
      <c r="G6744" s="199"/>
      <c r="I6744" s="199"/>
      <c r="K6744" s="199"/>
      <c r="M6744" s="199"/>
      <c r="N6744" s="200"/>
      <c r="P6744" s="199"/>
    </row>
    <row r="6745" spans="7:16" x14ac:dyDescent="0.2">
      <c r="G6745" s="199"/>
      <c r="I6745" s="199"/>
      <c r="K6745" s="199"/>
      <c r="M6745" s="199"/>
      <c r="N6745" s="200"/>
      <c r="P6745" s="199"/>
    </row>
    <row r="6746" spans="7:16" x14ac:dyDescent="0.2">
      <c r="G6746" s="199"/>
      <c r="I6746" s="199"/>
      <c r="K6746" s="199"/>
      <c r="M6746" s="199"/>
      <c r="N6746" s="200"/>
      <c r="P6746" s="199"/>
    </row>
    <row r="6747" spans="7:16" x14ac:dyDescent="0.2">
      <c r="G6747" s="199"/>
      <c r="I6747" s="199"/>
      <c r="K6747" s="199"/>
      <c r="M6747" s="199"/>
      <c r="N6747" s="200"/>
      <c r="P6747" s="199"/>
    </row>
    <row r="6748" spans="7:16" x14ac:dyDescent="0.2">
      <c r="G6748" s="199"/>
      <c r="I6748" s="199"/>
      <c r="K6748" s="199"/>
      <c r="M6748" s="199"/>
      <c r="N6748" s="200"/>
      <c r="P6748" s="199"/>
    </row>
    <row r="6749" spans="7:16" x14ac:dyDescent="0.2">
      <c r="G6749" s="199"/>
      <c r="I6749" s="199"/>
      <c r="K6749" s="199"/>
      <c r="M6749" s="199"/>
      <c r="N6749" s="200"/>
      <c r="P6749" s="199"/>
    </row>
    <row r="6750" spans="7:16" x14ac:dyDescent="0.2">
      <c r="G6750" s="199"/>
      <c r="I6750" s="199"/>
      <c r="K6750" s="199"/>
      <c r="M6750" s="199"/>
      <c r="N6750" s="200"/>
      <c r="P6750" s="199"/>
    </row>
    <row r="6751" spans="7:16" x14ac:dyDescent="0.2">
      <c r="G6751" s="199"/>
      <c r="I6751" s="199"/>
      <c r="K6751" s="199"/>
      <c r="M6751" s="199"/>
      <c r="N6751" s="200"/>
      <c r="P6751" s="199"/>
    </row>
    <row r="6752" spans="7:16" x14ac:dyDescent="0.2">
      <c r="G6752" s="199"/>
      <c r="I6752" s="199"/>
      <c r="K6752" s="199"/>
      <c r="M6752" s="199"/>
      <c r="N6752" s="200"/>
      <c r="P6752" s="199"/>
    </row>
    <row r="6753" spans="7:16" x14ac:dyDescent="0.2">
      <c r="G6753" s="199"/>
      <c r="I6753" s="199"/>
      <c r="K6753" s="199"/>
      <c r="M6753" s="199"/>
      <c r="N6753" s="200"/>
      <c r="P6753" s="199"/>
    </row>
    <row r="6754" spans="7:16" x14ac:dyDescent="0.2">
      <c r="G6754" s="199"/>
      <c r="I6754" s="199"/>
      <c r="K6754" s="199"/>
      <c r="M6754" s="199"/>
      <c r="N6754" s="200"/>
      <c r="P6754" s="199"/>
    </row>
    <row r="6755" spans="7:16" x14ac:dyDescent="0.2">
      <c r="G6755" s="199"/>
      <c r="I6755" s="199"/>
      <c r="K6755" s="199"/>
      <c r="M6755" s="199"/>
      <c r="N6755" s="200"/>
      <c r="P6755" s="199"/>
    </row>
    <row r="6756" spans="7:16" x14ac:dyDescent="0.2">
      <c r="G6756" s="199"/>
      <c r="I6756" s="199"/>
      <c r="K6756" s="199"/>
      <c r="M6756" s="199"/>
      <c r="N6756" s="200"/>
      <c r="P6756" s="199"/>
    </row>
    <row r="6757" spans="7:16" x14ac:dyDescent="0.2">
      <c r="G6757" s="199"/>
      <c r="I6757" s="199"/>
      <c r="K6757" s="199"/>
      <c r="M6757" s="199"/>
      <c r="N6757" s="200"/>
      <c r="P6757" s="199"/>
    </row>
    <row r="6758" spans="7:16" x14ac:dyDescent="0.2">
      <c r="G6758" s="199"/>
      <c r="I6758" s="199"/>
      <c r="K6758" s="199"/>
      <c r="M6758" s="199"/>
      <c r="N6758" s="200"/>
      <c r="P6758" s="199"/>
    </row>
    <row r="6759" spans="7:16" x14ac:dyDescent="0.2">
      <c r="G6759" s="199"/>
      <c r="I6759" s="199"/>
      <c r="K6759" s="199"/>
      <c r="M6759" s="199"/>
      <c r="N6759" s="200"/>
      <c r="P6759" s="199"/>
    </row>
    <row r="6760" spans="7:16" x14ac:dyDescent="0.2">
      <c r="G6760" s="199"/>
      <c r="I6760" s="199"/>
      <c r="K6760" s="199"/>
      <c r="M6760" s="199"/>
      <c r="N6760" s="200"/>
      <c r="P6760" s="199"/>
    </row>
    <row r="6761" spans="7:16" x14ac:dyDescent="0.2">
      <c r="G6761" s="199"/>
      <c r="I6761" s="199"/>
      <c r="K6761" s="199"/>
      <c r="M6761" s="199"/>
      <c r="N6761" s="200"/>
      <c r="P6761" s="199"/>
    </row>
    <row r="6762" spans="7:16" x14ac:dyDescent="0.2">
      <c r="G6762" s="199"/>
      <c r="I6762" s="199"/>
      <c r="K6762" s="199"/>
      <c r="M6762" s="199"/>
      <c r="N6762" s="200"/>
      <c r="P6762" s="199"/>
    </row>
    <row r="6763" spans="7:16" x14ac:dyDescent="0.2">
      <c r="G6763" s="199"/>
      <c r="I6763" s="199"/>
      <c r="K6763" s="199"/>
      <c r="M6763" s="199"/>
      <c r="N6763" s="200"/>
      <c r="P6763" s="199"/>
    </row>
    <row r="6764" spans="7:16" x14ac:dyDescent="0.2">
      <c r="G6764" s="199"/>
      <c r="I6764" s="199"/>
      <c r="K6764" s="199"/>
      <c r="M6764" s="199"/>
      <c r="N6764" s="200"/>
      <c r="P6764" s="199"/>
    </row>
    <row r="6765" spans="7:16" x14ac:dyDescent="0.2">
      <c r="G6765" s="199"/>
      <c r="I6765" s="199"/>
      <c r="K6765" s="199"/>
      <c r="M6765" s="199"/>
      <c r="N6765" s="200"/>
      <c r="P6765" s="199"/>
    </row>
    <row r="6766" spans="7:16" x14ac:dyDescent="0.2">
      <c r="G6766" s="199"/>
      <c r="I6766" s="199"/>
      <c r="K6766" s="199"/>
      <c r="M6766" s="199"/>
      <c r="N6766" s="200"/>
      <c r="P6766" s="199"/>
    </row>
    <row r="6767" spans="7:16" x14ac:dyDescent="0.2">
      <c r="G6767" s="199"/>
      <c r="I6767" s="199"/>
      <c r="K6767" s="199"/>
      <c r="M6767" s="199"/>
      <c r="N6767" s="200"/>
      <c r="P6767" s="199"/>
    </row>
    <row r="6768" spans="7:16" x14ac:dyDescent="0.2">
      <c r="G6768" s="199"/>
      <c r="I6768" s="199"/>
      <c r="K6768" s="199"/>
      <c r="M6768" s="199"/>
      <c r="N6768" s="200"/>
      <c r="P6768" s="199"/>
    </row>
    <row r="6769" spans="7:16" x14ac:dyDescent="0.2">
      <c r="G6769" s="199"/>
      <c r="I6769" s="199"/>
      <c r="K6769" s="199"/>
      <c r="M6769" s="199"/>
      <c r="N6769" s="200"/>
      <c r="P6769" s="199"/>
    </row>
    <row r="6770" spans="7:16" x14ac:dyDescent="0.2">
      <c r="G6770" s="199"/>
      <c r="I6770" s="199"/>
      <c r="K6770" s="199"/>
      <c r="M6770" s="199"/>
      <c r="N6770" s="200"/>
      <c r="P6770" s="199"/>
    </row>
    <row r="6771" spans="7:16" x14ac:dyDescent="0.2">
      <c r="G6771" s="199"/>
      <c r="I6771" s="199"/>
      <c r="K6771" s="199"/>
      <c r="M6771" s="199"/>
      <c r="N6771" s="200"/>
      <c r="P6771" s="199"/>
    </row>
    <row r="6772" spans="7:16" x14ac:dyDescent="0.2">
      <c r="G6772" s="199"/>
      <c r="I6772" s="199"/>
      <c r="K6772" s="199"/>
      <c r="M6772" s="199"/>
      <c r="N6772" s="200"/>
      <c r="P6772" s="199"/>
    </row>
    <row r="6773" spans="7:16" x14ac:dyDescent="0.2">
      <c r="G6773" s="199"/>
      <c r="I6773" s="199"/>
      <c r="K6773" s="199"/>
      <c r="M6773" s="199"/>
      <c r="N6773" s="200"/>
      <c r="P6773" s="199"/>
    </row>
    <row r="6774" spans="7:16" x14ac:dyDescent="0.2">
      <c r="G6774" s="199"/>
      <c r="I6774" s="199"/>
      <c r="K6774" s="199"/>
      <c r="M6774" s="199"/>
      <c r="N6774" s="200"/>
      <c r="P6774" s="199"/>
    </row>
    <row r="6775" spans="7:16" x14ac:dyDescent="0.2">
      <c r="G6775" s="199"/>
      <c r="I6775" s="199"/>
      <c r="K6775" s="199"/>
      <c r="M6775" s="199"/>
      <c r="N6775" s="200"/>
      <c r="P6775" s="199"/>
    </row>
    <row r="6776" spans="7:16" x14ac:dyDescent="0.2">
      <c r="G6776" s="199"/>
      <c r="I6776" s="199"/>
      <c r="K6776" s="199"/>
      <c r="M6776" s="199"/>
      <c r="N6776" s="200"/>
      <c r="P6776" s="199"/>
    </row>
    <row r="6777" spans="7:16" x14ac:dyDescent="0.2">
      <c r="G6777" s="199"/>
      <c r="I6777" s="199"/>
      <c r="K6777" s="199"/>
      <c r="M6777" s="199"/>
      <c r="N6777" s="200"/>
      <c r="P6777" s="199"/>
    </row>
    <row r="6778" spans="7:16" x14ac:dyDescent="0.2">
      <c r="G6778" s="199"/>
      <c r="I6778" s="199"/>
      <c r="K6778" s="199"/>
      <c r="M6778" s="199"/>
      <c r="N6778" s="200"/>
      <c r="P6778" s="199"/>
    </row>
    <row r="6779" spans="7:16" x14ac:dyDescent="0.2">
      <c r="G6779" s="199"/>
      <c r="I6779" s="199"/>
      <c r="K6779" s="199"/>
      <c r="M6779" s="199"/>
      <c r="N6779" s="200"/>
      <c r="P6779" s="199"/>
    </row>
    <row r="6780" spans="7:16" x14ac:dyDescent="0.2">
      <c r="G6780" s="199"/>
      <c r="I6780" s="199"/>
      <c r="K6780" s="199"/>
      <c r="M6780" s="199"/>
      <c r="N6780" s="200"/>
      <c r="P6780" s="199"/>
    </row>
    <row r="6781" spans="7:16" x14ac:dyDescent="0.2">
      <c r="G6781" s="199"/>
      <c r="I6781" s="199"/>
      <c r="K6781" s="199"/>
      <c r="M6781" s="199"/>
      <c r="N6781" s="200"/>
      <c r="P6781" s="199"/>
    </row>
    <row r="6782" spans="7:16" x14ac:dyDescent="0.2">
      <c r="G6782" s="199"/>
      <c r="I6782" s="199"/>
      <c r="K6782" s="199"/>
      <c r="M6782" s="199"/>
      <c r="N6782" s="200"/>
      <c r="P6782" s="199"/>
    </row>
    <row r="6783" spans="7:16" x14ac:dyDescent="0.2">
      <c r="G6783" s="199"/>
      <c r="I6783" s="199"/>
      <c r="K6783" s="199"/>
      <c r="M6783" s="199"/>
      <c r="N6783" s="200"/>
      <c r="P6783" s="199"/>
    </row>
    <row r="6784" spans="7:16" x14ac:dyDescent="0.2">
      <c r="G6784" s="199"/>
      <c r="I6784" s="199"/>
      <c r="K6784" s="199"/>
      <c r="M6784" s="199"/>
      <c r="N6784" s="200"/>
      <c r="P6784" s="199"/>
    </row>
    <row r="6785" spans="7:16" x14ac:dyDescent="0.2">
      <c r="G6785" s="199"/>
      <c r="I6785" s="199"/>
      <c r="K6785" s="199"/>
      <c r="M6785" s="199"/>
      <c r="N6785" s="200"/>
      <c r="P6785" s="199"/>
    </row>
    <row r="6786" spans="7:16" x14ac:dyDescent="0.2">
      <c r="G6786" s="199"/>
      <c r="I6786" s="199"/>
      <c r="K6786" s="199"/>
      <c r="M6786" s="199"/>
      <c r="N6786" s="200"/>
      <c r="P6786" s="199"/>
    </row>
    <row r="6787" spans="7:16" x14ac:dyDescent="0.2">
      <c r="G6787" s="199"/>
      <c r="I6787" s="199"/>
      <c r="K6787" s="199"/>
      <c r="M6787" s="199"/>
      <c r="N6787" s="200"/>
      <c r="P6787" s="199"/>
    </row>
    <row r="6788" spans="7:16" x14ac:dyDescent="0.2">
      <c r="G6788" s="199"/>
      <c r="I6788" s="199"/>
      <c r="K6788" s="199"/>
      <c r="M6788" s="199"/>
      <c r="N6788" s="200"/>
      <c r="P6788" s="199"/>
    </row>
    <row r="6789" spans="7:16" x14ac:dyDescent="0.2">
      <c r="G6789" s="199"/>
      <c r="I6789" s="199"/>
      <c r="K6789" s="199"/>
      <c r="M6789" s="199"/>
      <c r="N6789" s="200"/>
      <c r="P6789" s="199"/>
    </row>
    <row r="6790" spans="7:16" x14ac:dyDescent="0.2">
      <c r="G6790" s="199"/>
      <c r="I6790" s="199"/>
      <c r="K6790" s="199"/>
      <c r="M6790" s="199"/>
      <c r="N6790" s="200"/>
      <c r="P6790" s="199"/>
    </row>
    <row r="6791" spans="7:16" x14ac:dyDescent="0.2">
      <c r="G6791" s="199"/>
      <c r="I6791" s="199"/>
      <c r="K6791" s="199"/>
      <c r="M6791" s="199"/>
      <c r="N6791" s="200"/>
      <c r="P6791" s="199"/>
    </row>
    <row r="6792" spans="7:16" x14ac:dyDescent="0.2">
      <c r="G6792" s="199"/>
      <c r="I6792" s="199"/>
      <c r="K6792" s="199"/>
      <c r="M6792" s="199"/>
      <c r="N6792" s="200"/>
      <c r="P6792" s="199"/>
    </row>
    <row r="6793" spans="7:16" x14ac:dyDescent="0.2">
      <c r="G6793" s="199"/>
      <c r="I6793" s="199"/>
      <c r="K6793" s="199"/>
      <c r="M6793" s="199"/>
      <c r="N6793" s="200"/>
      <c r="P6793" s="199"/>
    </row>
    <row r="6794" spans="7:16" x14ac:dyDescent="0.2">
      <c r="G6794" s="199"/>
      <c r="I6794" s="199"/>
      <c r="K6794" s="199"/>
      <c r="M6794" s="199"/>
      <c r="N6794" s="200"/>
      <c r="P6794" s="199"/>
    </row>
    <row r="6795" spans="7:16" x14ac:dyDescent="0.2">
      <c r="G6795" s="199"/>
      <c r="I6795" s="199"/>
      <c r="K6795" s="199"/>
      <c r="M6795" s="199"/>
      <c r="N6795" s="200"/>
      <c r="P6795" s="199"/>
    </row>
    <row r="6796" spans="7:16" x14ac:dyDescent="0.2">
      <c r="G6796" s="199"/>
      <c r="I6796" s="199"/>
      <c r="K6796" s="199"/>
      <c r="M6796" s="199"/>
      <c r="N6796" s="200"/>
      <c r="P6796" s="199"/>
    </row>
    <row r="6797" spans="7:16" x14ac:dyDescent="0.2">
      <c r="G6797" s="199"/>
      <c r="I6797" s="199"/>
      <c r="K6797" s="199"/>
      <c r="M6797" s="199"/>
      <c r="N6797" s="200"/>
      <c r="P6797" s="199"/>
    </row>
    <row r="6798" spans="7:16" x14ac:dyDescent="0.2">
      <c r="G6798" s="199"/>
      <c r="I6798" s="199"/>
      <c r="K6798" s="199"/>
      <c r="M6798" s="199"/>
      <c r="N6798" s="200"/>
      <c r="P6798" s="199"/>
    </row>
    <row r="6799" spans="7:16" x14ac:dyDescent="0.2">
      <c r="G6799" s="199"/>
      <c r="I6799" s="199"/>
      <c r="K6799" s="199"/>
      <c r="M6799" s="199"/>
      <c r="N6799" s="200"/>
      <c r="P6799" s="199"/>
    </row>
    <row r="6800" spans="7:16" x14ac:dyDescent="0.2">
      <c r="G6800" s="199"/>
      <c r="I6800" s="199"/>
      <c r="K6800" s="199"/>
      <c r="M6800" s="199"/>
      <c r="N6800" s="200"/>
      <c r="P6800" s="199"/>
    </row>
    <row r="6801" spans="7:16" x14ac:dyDescent="0.2">
      <c r="G6801" s="199"/>
      <c r="I6801" s="199"/>
      <c r="K6801" s="199"/>
      <c r="M6801" s="199"/>
      <c r="N6801" s="200"/>
      <c r="P6801" s="199"/>
    </row>
    <row r="6802" spans="7:16" x14ac:dyDescent="0.2">
      <c r="G6802" s="199"/>
      <c r="I6802" s="199"/>
      <c r="K6802" s="199"/>
      <c r="M6802" s="199"/>
      <c r="N6802" s="200"/>
      <c r="P6802" s="199"/>
    </row>
    <row r="6803" spans="7:16" x14ac:dyDescent="0.2">
      <c r="G6803" s="199"/>
      <c r="I6803" s="199"/>
      <c r="K6803" s="199"/>
      <c r="M6803" s="199"/>
      <c r="N6803" s="200"/>
      <c r="P6803" s="199"/>
    </row>
    <row r="6804" spans="7:16" x14ac:dyDescent="0.2">
      <c r="G6804" s="199"/>
      <c r="I6804" s="199"/>
      <c r="K6804" s="199"/>
      <c r="M6804" s="199"/>
      <c r="N6804" s="200"/>
      <c r="P6804" s="199"/>
    </row>
    <row r="6805" spans="7:16" x14ac:dyDescent="0.2">
      <c r="G6805" s="199"/>
      <c r="I6805" s="199"/>
      <c r="K6805" s="199"/>
      <c r="M6805" s="199"/>
      <c r="N6805" s="200"/>
      <c r="P6805" s="199"/>
    </row>
    <row r="6806" spans="7:16" x14ac:dyDescent="0.2">
      <c r="G6806" s="199"/>
      <c r="I6806" s="199"/>
      <c r="K6806" s="199"/>
      <c r="M6806" s="199"/>
      <c r="N6806" s="200"/>
      <c r="P6806" s="199"/>
    </row>
    <row r="6807" spans="7:16" x14ac:dyDescent="0.2">
      <c r="G6807" s="199"/>
      <c r="I6807" s="199"/>
      <c r="K6807" s="199"/>
      <c r="M6807" s="199"/>
      <c r="N6807" s="200"/>
      <c r="P6807" s="199"/>
    </row>
    <row r="6808" spans="7:16" x14ac:dyDescent="0.2">
      <c r="G6808" s="199"/>
      <c r="I6808" s="199"/>
      <c r="K6808" s="199"/>
      <c r="M6808" s="199"/>
      <c r="N6808" s="200"/>
      <c r="P6808" s="199"/>
    </row>
    <row r="6809" spans="7:16" x14ac:dyDescent="0.2">
      <c r="G6809" s="199"/>
      <c r="I6809" s="199"/>
      <c r="K6809" s="199"/>
      <c r="M6809" s="199"/>
      <c r="N6809" s="200"/>
      <c r="P6809" s="199"/>
    </row>
    <row r="6810" spans="7:16" x14ac:dyDescent="0.2">
      <c r="G6810" s="199"/>
      <c r="I6810" s="199"/>
      <c r="K6810" s="199"/>
      <c r="M6810" s="199"/>
      <c r="N6810" s="200"/>
      <c r="P6810" s="199"/>
    </row>
    <row r="6811" spans="7:16" x14ac:dyDescent="0.2">
      <c r="G6811" s="199"/>
      <c r="I6811" s="199"/>
      <c r="K6811" s="199"/>
      <c r="M6811" s="199"/>
      <c r="N6811" s="200"/>
      <c r="P6811" s="199"/>
    </row>
    <row r="6812" spans="7:16" x14ac:dyDescent="0.2">
      <c r="G6812" s="199"/>
      <c r="I6812" s="199"/>
      <c r="K6812" s="199"/>
      <c r="M6812" s="199"/>
      <c r="N6812" s="200"/>
      <c r="P6812" s="199"/>
    </row>
    <row r="6813" spans="7:16" x14ac:dyDescent="0.2">
      <c r="G6813" s="199"/>
      <c r="I6813" s="199"/>
      <c r="K6813" s="199"/>
      <c r="M6813" s="199"/>
      <c r="N6813" s="200"/>
      <c r="P6813" s="199"/>
    </row>
    <row r="6814" spans="7:16" x14ac:dyDescent="0.2">
      <c r="G6814" s="199"/>
      <c r="I6814" s="199"/>
      <c r="K6814" s="199"/>
      <c r="M6814" s="199"/>
      <c r="N6814" s="200"/>
      <c r="P6814" s="199"/>
    </row>
    <row r="6815" spans="7:16" x14ac:dyDescent="0.2">
      <c r="G6815" s="199"/>
      <c r="I6815" s="199"/>
      <c r="K6815" s="199"/>
      <c r="M6815" s="199"/>
      <c r="N6815" s="200"/>
      <c r="P6815" s="199"/>
    </row>
    <row r="6816" spans="7:16" x14ac:dyDescent="0.2">
      <c r="G6816" s="199"/>
      <c r="I6816" s="199"/>
      <c r="K6816" s="199"/>
      <c r="M6816" s="199"/>
      <c r="N6816" s="200"/>
      <c r="P6816" s="199"/>
    </row>
    <row r="6817" spans="7:16" x14ac:dyDescent="0.2">
      <c r="G6817" s="199"/>
      <c r="I6817" s="199"/>
      <c r="K6817" s="199"/>
      <c r="M6817" s="199"/>
      <c r="N6817" s="200"/>
      <c r="P6817" s="199"/>
    </row>
    <row r="6818" spans="7:16" x14ac:dyDescent="0.2">
      <c r="G6818" s="199"/>
      <c r="I6818" s="199"/>
      <c r="K6818" s="199"/>
      <c r="M6818" s="199"/>
      <c r="N6818" s="200"/>
      <c r="P6818" s="199"/>
    </row>
    <row r="6819" spans="7:16" x14ac:dyDescent="0.2">
      <c r="G6819" s="199"/>
      <c r="I6819" s="199"/>
      <c r="K6819" s="199"/>
      <c r="M6819" s="199"/>
      <c r="N6819" s="200"/>
      <c r="P6819" s="199"/>
    </row>
    <row r="6820" spans="7:16" x14ac:dyDescent="0.2">
      <c r="G6820" s="199"/>
      <c r="I6820" s="199"/>
      <c r="K6820" s="199"/>
      <c r="M6820" s="199"/>
      <c r="N6820" s="200"/>
      <c r="P6820" s="199"/>
    </row>
    <row r="6821" spans="7:16" x14ac:dyDescent="0.2">
      <c r="G6821" s="199"/>
      <c r="I6821" s="199"/>
      <c r="K6821" s="199"/>
      <c r="M6821" s="199"/>
      <c r="N6821" s="200"/>
      <c r="P6821" s="199"/>
    </row>
    <row r="6822" spans="7:16" x14ac:dyDescent="0.2">
      <c r="G6822" s="199"/>
      <c r="I6822" s="199"/>
      <c r="K6822" s="199"/>
      <c r="M6822" s="199"/>
      <c r="N6822" s="200"/>
      <c r="P6822" s="199"/>
    </row>
    <row r="6823" spans="7:16" x14ac:dyDescent="0.2">
      <c r="G6823" s="199"/>
      <c r="I6823" s="199"/>
      <c r="K6823" s="199"/>
      <c r="M6823" s="199"/>
      <c r="N6823" s="200"/>
      <c r="P6823" s="199"/>
    </row>
    <row r="6824" spans="7:16" x14ac:dyDescent="0.2">
      <c r="G6824" s="199"/>
      <c r="I6824" s="199"/>
      <c r="K6824" s="199"/>
      <c r="M6824" s="199"/>
      <c r="N6824" s="200"/>
      <c r="P6824" s="199"/>
    </row>
    <row r="6825" spans="7:16" x14ac:dyDescent="0.2">
      <c r="G6825" s="199"/>
      <c r="I6825" s="199"/>
      <c r="K6825" s="199"/>
      <c r="M6825" s="199"/>
      <c r="N6825" s="200"/>
      <c r="P6825" s="199"/>
    </row>
    <row r="6826" spans="7:16" x14ac:dyDescent="0.2">
      <c r="G6826" s="199"/>
      <c r="I6826" s="199"/>
      <c r="K6826" s="199"/>
      <c r="M6826" s="199"/>
      <c r="N6826" s="200"/>
      <c r="P6826" s="199"/>
    </row>
    <row r="6827" spans="7:16" x14ac:dyDescent="0.2">
      <c r="G6827" s="199"/>
      <c r="I6827" s="199"/>
      <c r="K6827" s="199"/>
      <c r="M6827" s="199"/>
      <c r="N6827" s="200"/>
      <c r="P6827" s="199"/>
    </row>
    <row r="6828" spans="7:16" x14ac:dyDescent="0.2">
      <c r="G6828" s="199"/>
      <c r="I6828" s="199"/>
      <c r="K6828" s="199"/>
      <c r="M6828" s="199"/>
      <c r="N6828" s="200"/>
      <c r="P6828" s="199"/>
    </row>
    <row r="6829" spans="7:16" x14ac:dyDescent="0.2">
      <c r="G6829" s="199"/>
      <c r="I6829" s="199"/>
      <c r="K6829" s="199"/>
      <c r="M6829" s="199"/>
      <c r="N6829" s="200"/>
      <c r="P6829" s="199"/>
    </row>
    <row r="6830" spans="7:16" x14ac:dyDescent="0.2">
      <c r="G6830" s="199"/>
      <c r="I6830" s="199"/>
      <c r="K6830" s="199"/>
      <c r="M6830" s="199"/>
      <c r="N6830" s="200"/>
      <c r="P6830" s="199"/>
    </row>
    <row r="6831" spans="7:16" x14ac:dyDescent="0.2">
      <c r="G6831" s="199"/>
      <c r="I6831" s="199"/>
      <c r="K6831" s="199"/>
      <c r="M6831" s="199"/>
      <c r="N6831" s="200"/>
      <c r="P6831" s="199"/>
    </row>
    <row r="6832" spans="7:16" x14ac:dyDescent="0.2">
      <c r="G6832" s="199"/>
      <c r="I6832" s="199"/>
      <c r="K6832" s="199"/>
      <c r="M6832" s="199"/>
      <c r="N6832" s="200"/>
      <c r="P6832" s="199"/>
    </row>
    <row r="6833" spans="7:16" x14ac:dyDescent="0.2">
      <c r="G6833" s="199"/>
      <c r="I6833" s="199"/>
      <c r="K6833" s="199"/>
      <c r="M6833" s="199"/>
      <c r="N6833" s="200"/>
      <c r="P6833" s="199"/>
    </row>
    <row r="6834" spans="7:16" x14ac:dyDescent="0.2">
      <c r="G6834" s="199"/>
      <c r="I6834" s="199"/>
      <c r="K6834" s="199"/>
      <c r="M6834" s="199"/>
      <c r="N6834" s="200"/>
      <c r="P6834" s="199"/>
    </row>
    <row r="6835" spans="7:16" x14ac:dyDescent="0.2">
      <c r="G6835" s="199"/>
      <c r="I6835" s="199"/>
      <c r="K6835" s="199"/>
      <c r="M6835" s="199"/>
      <c r="N6835" s="200"/>
      <c r="P6835" s="199"/>
    </row>
    <row r="6836" spans="7:16" x14ac:dyDescent="0.2">
      <c r="G6836" s="199"/>
      <c r="I6836" s="199"/>
      <c r="K6836" s="199"/>
      <c r="M6836" s="199"/>
      <c r="N6836" s="200"/>
      <c r="P6836" s="199"/>
    </row>
    <row r="6837" spans="7:16" x14ac:dyDescent="0.2">
      <c r="G6837" s="199"/>
      <c r="I6837" s="199"/>
      <c r="K6837" s="199"/>
      <c r="M6837" s="199"/>
      <c r="N6837" s="200"/>
      <c r="P6837" s="199"/>
    </row>
    <row r="6838" spans="7:16" x14ac:dyDescent="0.2">
      <c r="G6838" s="199"/>
      <c r="I6838" s="199"/>
      <c r="K6838" s="199"/>
      <c r="M6838" s="199"/>
      <c r="N6838" s="200"/>
      <c r="P6838" s="199"/>
    </row>
    <row r="6839" spans="7:16" x14ac:dyDescent="0.2">
      <c r="G6839" s="199"/>
      <c r="I6839" s="199"/>
      <c r="K6839" s="199"/>
      <c r="M6839" s="199"/>
      <c r="N6839" s="200"/>
      <c r="P6839" s="199"/>
    </row>
    <row r="6840" spans="7:16" x14ac:dyDescent="0.2">
      <c r="G6840" s="199"/>
      <c r="I6840" s="199"/>
      <c r="K6840" s="199"/>
      <c r="M6840" s="199"/>
      <c r="N6840" s="200"/>
      <c r="P6840" s="199"/>
    </row>
    <row r="6841" spans="7:16" x14ac:dyDescent="0.2">
      <c r="G6841" s="199"/>
      <c r="I6841" s="199"/>
      <c r="K6841" s="199"/>
      <c r="M6841" s="199"/>
      <c r="N6841" s="200"/>
      <c r="P6841" s="199"/>
    </row>
    <row r="6842" spans="7:16" x14ac:dyDescent="0.2">
      <c r="G6842" s="199"/>
      <c r="I6842" s="199"/>
      <c r="K6842" s="199"/>
      <c r="M6842" s="199"/>
      <c r="N6842" s="200"/>
      <c r="P6842" s="199"/>
    </row>
    <row r="6843" spans="7:16" x14ac:dyDescent="0.2">
      <c r="G6843" s="199"/>
      <c r="I6843" s="199"/>
      <c r="K6843" s="199"/>
      <c r="M6843" s="199"/>
      <c r="N6843" s="200"/>
      <c r="P6843" s="199"/>
    </row>
    <row r="6844" spans="7:16" x14ac:dyDescent="0.2">
      <c r="G6844" s="199"/>
      <c r="I6844" s="199"/>
      <c r="K6844" s="199"/>
      <c r="M6844" s="199"/>
      <c r="N6844" s="200"/>
      <c r="P6844" s="199"/>
    </row>
    <row r="6845" spans="7:16" x14ac:dyDescent="0.2">
      <c r="G6845" s="199"/>
      <c r="I6845" s="199"/>
      <c r="K6845" s="199"/>
      <c r="M6845" s="199"/>
      <c r="N6845" s="200"/>
      <c r="P6845" s="199"/>
    </row>
    <row r="6846" spans="7:16" x14ac:dyDescent="0.2">
      <c r="G6846" s="199"/>
      <c r="I6846" s="199"/>
      <c r="K6846" s="199"/>
      <c r="M6846" s="199"/>
      <c r="N6846" s="200"/>
      <c r="P6846" s="199"/>
    </row>
    <row r="6847" spans="7:16" x14ac:dyDescent="0.2">
      <c r="G6847" s="199"/>
      <c r="I6847" s="199"/>
      <c r="K6847" s="199"/>
      <c r="M6847" s="199"/>
      <c r="N6847" s="200"/>
      <c r="P6847" s="199"/>
    </row>
    <row r="6848" spans="7:16" x14ac:dyDescent="0.2">
      <c r="G6848" s="199"/>
      <c r="I6848" s="199"/>
      <c r="K6848" s="199"/>
      <c r="M6848" s="199"/>
      <c r="N6848" s="200"/>
      <c r="P6848" s="199"/>
    </row>
    <row r="6849" spans="7:16" x14ac:dyDescent="0.2">
      <c r="G6849" s="199"/>
      <c r="I6849" s="199"/>
      <c r="K6849" s="199"/>
      <c r="M6849" s="199"/>
      <c r="N6849" s="200"/>
      <c r="P6849" s="199"/>
    </row>
    <row r="6850" spans="7:16" x14ac:dyDescent="0.2">
      <c r="G6850" s="199"/>
      <c r="I6850" s="199"/>
      <c r="K6850" s="199"/>
      <c r="M6850" s="199"/>
      <c r="N6850" s="200"/>
      <c r="P6850" s="199"/>
    </row>
    <row r="6851" spans="7:16" x14ac:dyDescent="0.2">
      <c r="G6851" s="199"/>
      <c r="I6851" s="199"/>
      <c r="K6851" s="199"/>
      <c r="M6851" s="199"/>
      <c r="N6851" s="200"/>
      <c r="P6851" s="199"/>
    </row>
    <row r="6852" spans="7:16" x14ac:dyDescent="0.2">
      <c r="G6852" s="199"/>
      <c r="I6852" s="199"/>
      <c r="K6852" s="199"/>
      <c r="M6852" s="199"/>
      <c r="N6852" s="200"/>
      <c r="P6852" s="199"/>
    </row>
    <row r="6853" spans="7:16" x14ac:dyDescent="0.2">
      <c r="G6853" s="199"/>
      <c r="I6853" s="199"/>
      <c r="K6853" s="199"/>
      <c r="M6853" s="199"/>
      <c r="N6853" s="200"/>
      <c r="P6853" s="199"/>
    </row>
    <row r="6854" spans="7:16" x14ac:dyDescent="0.2">
      <c r="G6854" s="199"/>
      <c r="I6854" s="199"/>
      <c r="K6854" s="199"/>
      <c r="M6854" s="199"/>
      <c r="N6854" s="200"/>
      <c r="P6854" s="199"/>
    </row>
    <row r="6855" spans="7:16" x14ac:dyDescent="0.2">
      <c r="G6855" s="199"/>
      <c r="I6855" s="199"/>
      <c r="K6855" s="199"/>
      <c r="M6855" s="199"/>
      <c r="N6855" s="200"/>
      <c r="P6855" s="199"/>
    </row>
    <row r="6856" spans="7:16" x14ac:dyDescent="0.2">
      <c r="G6856" s="199"/>
      <c r="I6856" s="199"/>
      <c r="K6856" s="199"/>
      <c r="M6856" s="199"/>
      <c r="N6856" s="200"/>
      <c r="P6856" s="199"/>
    </row>
    <row r="6857" spans="7:16" x14ac:dyDescent="0.2">
      <c r="G6857" s="199"/>
      <c r="I6857" s="199"/>
      <c r="K6857" s="199"/>
      <c r="M6857" s="199"/>
      <c r="N6857" s="200"/>
      <c r="P6857" s="199"/>
    </row>
    <row r="6858" spans="7:16" x14ac:dyDescent="0.2">
      <c r="G6858" s="199"/>
      <c r="I6858" s="199"/>
      <c r="K6858" s="199"/>
      <c r="M6858" s="199"/>
      <c r="N6858" s="200"/>
      <c r="P6858" s="199"/>
    </row>
    <row r="6859" spans="7:16" x14ac:dyDescent="0.2">
      <c r="G6859" s="199"/>
      <c r="I6859" s="199"/>
      <c r="K6859" s="199"/>
      <c r="M6859" s="199"/>
      <c r="N6859" s="200"/>
      <c r="P6859" s="199"/>
    </row>
    <row r="6860" spans="7:16" x14ac:dyDescent="0.2">
      <c r="G6860" s="199"/>
      <c r="I6860" s="199"/>
      <c r="K6860" s="199"/>
      <c r="M6860" s="199"/>
      <c r="N6860" s="200"/>
      <c r="P6860" s="199"/>
    </row>
    <row r="6861" spans="7:16" x14ac:dyDescent="0.2">
      <c r="G6861" s="199"/>
      <c r="I6861" s="199"/>
      <c r="K6861" s="199"/>
      <c r="M6861" s="199"/>
      <c r="N6861" s="200"/>
      <c r="P6861" s="199"/>
    </row>
    <row r="6862" spans="7:16" x14ac:dyDescent="0.2">
      <c r="G6862" s="199"/>
      <c r="I6862" s="199"/>
      <c r="K6862" s="199"/>
      <c r="M6862" s="199"/>
      <c r="N6862" s="200"/>
      <c r="P6862" s="199"/>
    </row>
    <row r="6863" spans="7:16" x14ac:dyDescent="0.2">
      <c r="G6863" s="199"/>
      <c r="I6863" s="199"/>
      <c r="K6863" s="199"/>
      <c r="M6863" s="199"/>
      <c r="N6863" s="200"/>
      <c r="P6863" s="199"/>
    </row>
    <row r="6864" spans="7:16" x14ac:dyDescent="0.2">
      <c r="G6864" s="199"/>
      <c r="I6864" s="199"/>
      <c r="K6864" s="199"/>
      <c r="M6864" s="199"/>
      <c r="N6864" s="200"/>
      <c r="P6864" s="199"/>
    </row>
    <row r="6865" spans="7:16" x14ac:dyDescent="0.2">
      <c r="G6865" s="199"/>
      <c r="I6865" s="199"/>
      <c r="K6865" s="199"/>
      <c r="M6865" s="199"/>
      <c r="N6865" s="200"/>
      <c r="P6865" s="199"/>
    </row>
    <row r="6866" spans="7:16" x14ac:dyDescent="0.2">
      <c r="G6866" s="199"/>
      <c r="I6866" s="199"/>
      <c r="K6866" s="199"/>
      <c r="M6866" s="199"/>
      <c r="N6866" s="200"/>
      <c r="P6866" s="199"/>
    </row>
    <row r="6867" spans="7:16" x14ac:dyDescent="0.2">
      <c r="G6867" s="199"/>
      <c r="I6867" s="199"/>
      <c r="K6867" s="199"/>
      <c r="M6867" s="199"/>
      <c r="N6867" s="200"/>
      <c r="P6867" s="199"/>
    </row>
    <row r="6868" spans="7:16" x14ac:dyDescent="0.2">
      <c r="G6868" s="199"/>
      <c r="I6868" s="199"/>
      <c r="K6868" s="199"/>
      <c r="M6868" s="199"/>
      <c r="N6868" s="200"/>
      <c r="P6868" s="199"/>
    </row>
    <row r="6869" spans="7:16" x14ac:dyDescent="0.2">
      <c r="G6869" s="199"/>
      <c r="I6869" s="199"/>
      <c r="K6869" s="199"/>
      <c r="M6869" s="199"/>
      <c r="N6869" s="200"/>
      <c r="P6869" s="199"/>
    </row>
    <row r="6870" spans="7:16" x14ac:dyDescent="0.2">
      <c r="G6870" s="199"/>
      <c r="I6870" s="199"/>
      <c r="K6870" s="199"/>
      <c r="M6870" s="199"/>
      <c r="N6870" s="200"/>
      <c r="P6870" s="199"/>
    </row>
    <row r="6871" spans="7:16" x14ac:dyDescent="0.2">
      <c r="G6871" s="199"/>
      <c r="I6871" s="199"/>
      <c r="K6871" s="199"/>
      <c r="M6871" s="199"/>
      <c r="N6871" s="200"/>
      <c r="P6871" s="199"/>
    </row>
    <row r="6872" spans="7:16" x14ac:dyDescent="0.2">
      <c r="G6872" s="199"/>
      <c r="I6872" s="199"/>
      <c r="K6872" s="199"/>
      <c r="M6872" s="199"/>
      <c r="N6872" s="200"/>
      <c r="P6872" s="199"/>
    </row>
    <row r="6873" spans="7:16" x14ac:dyDescent="0.2">
      <c r="G6873" s="199"/>
      <c r="I6873" s="199"/>
      <c r="K6873" s="199"/>
      <c r="M6873" s="199"/>
      <c r="N6873" s="200"/>
      <c r="P6873" s="199"/>
    </row>
    <row r="6874" spans="7:16" x14ac:dyDescent="0.2">
      <c r="G6874" s="199"/>
      <c r="I6874" s="199"/>
      <c r="K6874" s="199"/>
      <c r="M6874" s="199"/>
      <c r="N6874" s="200"/>
      <c r="P6874" s="199"/>
    </row>
    <row r="6875" spans="7:16" x14ac:dyDescent="0.2">
      <c r="G6875" s="199"/>
      <c r="I6875" s="199"/>
      <c r="K6875" s="199"/>
      <c r="M6875" s="199"/>
      <c r="N6875" s="200"/>
      <c r="P6875" s="199"/>
    </row>
    <row r="6876" spans="7:16" x14ac:dyDescent="0.2">
      <c r="G6876" s="199"/>
      <c r="I6876" s="199"/>
      <c r="K6876" s="199"/>
      <c r="M6876" s="199"/>
      <c r="N6876" s="200"/>
      <c r="P6876" s="199"/>
    </row>
    <row r="6877" spans="7:16" x14ac:dyDescent="0.2">
      <c r="G6877" s="199"/>
      <c r="I6877" s="199"/>
      <c r="K6877" s="199"/>
      <c r="M6877" s="199"/>
      <c r="N6877" s="200"/>
      <c r="P6877" s="199"/>
    </row>
    <row r="6878" spans="7:16" x14ac:dyDescent="0.2">
      <c r="G6878" s="199"/>
      <c r="I6878" s="199"/>
      <c r="K6878" s="199"/>
      <c r="M6878" s="199"/>
      <c r="N6878" s="200"/>
      <c r="P6878" s="199"/>
    </row>
    <row r="6879" spans="7:16" x14ac:dyDescent="0.2">
      <c r="G6879" s="199"/>
      <c r="I6879" s="199"/>
      <c r="K6879" s="199"/>
      <c r="M6879" s="199"/>
      <c r="N6879" s="200"/>
      <c r="P6879" s="199"/>
    </row>
    <row r="6880" spans="7:16" x14ac:dyDescent="0.2">
      <c r="G6880" s="199"/>
      <c r="I6880" s="199"/>
      <c r="K6880" s="199"/>
      <c r="M6880" s="199"/>
      <c r="N6880" s="200"/>
      <c r="P6880" s="199"/>
    </row>
    <row r="6881" spans="7:16" x14ac:dyDescent="0.2">
      <c r="G6881" s="199"/>
      <c r="I6881" s="199"/>
      <c r="K6881" s="199"/>
      <c r="M6881" s="199"/>
      <c r="N6881" s="200"/>
      <c r="P6881" s="199"/>
    </row>
    <row r="6882" spans="7:16" x14ac:dyDescent="0.2">
      <c r="G6882" s="199"/>
      <c r="I6882" s="199"/>
      <c r="K6882" s="199"/>
      <c r="M6882" s="199"/>
      <c r="N6882" s="200"/>
      <c r="P6882" s="199"/>
    </row>
    <row r="6883" spans="7:16" x14ac:dyDescent="0.2">
      <c r="G6883" s="199"/>
      <c r="I6883" s="199"/>
      <c r="K6883" s="199"/>
      <c r="M6883" s="199"/>
      <c r="N6883" s="200"/>
      <c r="P6883" s="199"/>
    </row>
    <row r="6884" spans="7:16" x14ac:dyDescent="0.2">
      <c r="G6884" s="199"/>
      <c r="I6884" s="199"/>
      <c r="K6884" s="199"/>
      <c r="M6884" s="199"/>
      <c r="N6884" s="200"/>
      <c r="P6884" s="199"/>
    </row>
    <row r="6885" spans="7:16" x14ac:dyDescent="0.2">
      <c r="G6885" s="199"/>
      <c r="I6885" s="199"/>
      <c r="K6885" s="199"/>
      <c r="M6885" s="199"/>
      <c r="N6885" s="200"/>
      <c r="P6885" s="199"/>
    </row>
    <row r="6886" spans="7:16" x14ac:dyDescent="0.2">
      <c r="G6886" s="199"/>
      <c r="I6886" s="199"/>
      <c r="K6886" s="199"/>
      <c r="M6886" s="199"/>
      <c r="N6886" s="200"/>
      <c r="P6886" s="199"/>
    </row>
    <row r="6887" spans="7:16" x14ac:dyDescent="0.2">
      <c r="G6887" s="199"/>
      <c r="I6887" s="199"/>
      <c r="K6887" s="199"/>
      <c r="M6887" s="199"/>
      <c r="N6887" s="200"/>
      <c r="P6887" s="199"/>
    </row>
    <row r="6888" spans="7:16" x14ac:dyDescent="0.2">
      <c r="G6888" s="199"/>
      <c r="I6888" s="199"/>
      <c r="K6888" s="199"/>
      <c r="M6888" s="199"/>
      <c r="N6888" s="200"/>
      <c r="P6888" s="199"/>
    </row>
    <row r="6889" spans="7:16" x14ac:dyDescent="0.2">
      <c r="G6889" s="199"/>
      <c r="I6889" s="199"/>
      <c r="K6889" s="199"/>
      <c r="M6889" s="199"/>
      <c r="N6889" s="200"/>
      <c r="P6889" s="199"/>
    </row>
    <row r="6890" spans="7:16" x14ac:dyDescent="0.2">
      <c r="G6890" s="199"/>
      <c r="I6890" s="199"/>
      <c r="K6890" s="199"/>
      <c r="M6890" s="199"/>
      <c r="N6890" s="200"/>
      <c r="P6890" s="199"/>
    </row>
    <row r="6891" spans="7:16" x14ac:dyDescent="0.2">
      <c r="G6891" s="199"/>
      <c r="I6891" s="199"/>
      <c r="K6891" s="199"/>
      <c r="M6891" s="199"/>
      <c r="N6891" s="200"/>
      <c r="P6891" s="199"/>
    </row>
    <row r="6892" spans="7:16" x14ac:dyDescent="0.2">
      <c r="G6892" s="199"/>
      <c r="I6892" s="199"/>
      <c r="K6892" s="199"/>
      <c r="M6892" s="199"/>
      <c r="N6892" s="200"/>
      <c r="P6892" s="199"/>
    </row>
    <row r="6893" spans="7:16" x14ac:dyDescent="0.2">
      <c r="G6893" s="199"/>
      <c r="I6893" s="199"/>
      <c r="K6893" s="199"/>
      <c r="M6893" s="199"/>
      <c r="N6893" s="200"/>
      <c r="P6893" s="199"/>
    </row>
    <row r="6894" spans="7:16" x14ac:dyDescent="0.2">
      <c r="G6894" s="199"/>
      <c r="I6894" s="199"/>
      <c r="K6894" s="199"/>
      <c r="M6894" s="199"/>
      <c r="N6894" s="200"/>
      <c r="P6894" s="199"/>
    </row>
    <row r="6895" spans="7:16" x14ac:dyDescent="0.2">
      <c r="G6895" s="199"/>
      <c r="I6895" s="199"/>
      <c r="K6895" s="199"/>
      <c r="M6895" s="199"/>
      <c r="N6895" s="200"/>
      <c r="P6895" s="199"/>
    </row>
    <row r="6896" spans="7:16" x14ac:dyDescent="0.2">
      <c r="G6896" s="199"/>
      <c r="I6896" s="199"/>
      <c r="K6896" s="199"/>
      <c r="M6896" s="199"/>
      <c r="N6896" s="200"/>
      <c r="P6896" s="199"/>
    </row>
    <row r="6897" spans="7:16" x14ac:dyDescent="0.2">
      <c r="G6897" s="199"/>
      <c r="I6897" s="199"/>
      <c r="K6897" s="199"/>
      <c r="M6897" s="199"/>
      <c r="N6897" s="200"/>
      <c r="P6897" s="199"/>
    </row>
    <row r="6898" spans="7:16" x14ac:dyDescent="0.2">
      <c r="G6898" s="199"/>
      <c r="I6898" s="199"/>
      <c r="K6898" s="199"/>
      <c r="M6898" s="199"/>
      <c r="N6898" s="200"/>
      <c r="P6898" s="199"/>
    </row>
    <row r="6899" spans="7:16" x14ac:dyDescent="0.2">
      <c r="G6899" s="199"/>
      <c r="I6899" s="199"/>
      <c r="K6899" s="199"/>
      <c r="M6899" s="199"/>
      <c r="N6899" s="200"/>
      <c r="P6899" s="199"/>
    </row>
    <row r="6900" spans="7:16" x14ac:dyDescent="0.2">
      <c r="G6900" s="199"/>
      <c r="I6900" s="199"/>
      <c r="K6900" s="199"/>
      <c r="M6900" s="199"/>
      <c r="N6900" s="200"/>
      <c r="P6900" s="199"/>
    </row>
    <row r="6901" spans="7:16" x14ac:dyDescent="0.2">
      <c r="G6901" s="199"/>
      <c r="I6901" s="199"/>
      <c r="K6901" s="199"/>
      <c r="M6901" s="199"/>
      <c r="N6901" s="200"/>
      <c r="P6901" s="199"/>
    </row>
    <row r="6902" spans="7:16" x14ac:dyDescent="0.2">
      <c r="G6902" s="199"/>
      <c r="I6902" s="199"/>
      <c r="K6902" s="199"/>
      <c r="M6902" s="199"/>
      <c r="N6902" s="200"/>
      <c r="P6902" s="199"/>
    </row>
    <row r="6903" spans="7:16" x14ac:dyDescent="0.2">
      <c r="G6903" s="199"/>
      <c r="I6903" s="199"/>
      <c r="K6903" s="199"/>
      <c r="M6903" s="199"/>
      <c r="N6903" s="200"/>
      <c r="P6903" s="199"/>
    </row>
    <row r="6904" spans="7:16" x14ac:dyDescent="0.2">
      <c r="G6904" s="199"/>
      <c r="I6904" s="199"/>
      <c r="K6904" s="199"/>
      <c r="M6904" s="199"/>
      <c r="N6904" s="200"/>
      <c r="P6904" s="199"/>
    </row>
    <row r="6905" spans="7:16" x14ac:dyDescent="0.2">
      <c r="G6905" s="199"/>
      <c r="I6905" s="199"/>
      <c r="K6905" s="199"/>
      <c r="M6905" s="199"/>
      <c r="N6905" s="200"/>
      <c r="P6905" s="199"/>
    </row>
    <row r="6906" spans="7:16" x14ac:dyDescent="0.2">
      <c r="G6906" s="199"/>
      <c r="I6906" s="199"/>
      <c r="K6906" s="199"/>
      <c r="M6906" s="199"/>
      <c r="N6906" s="200"/>
      <c r="P6906" s="199"/>
    </row>
    <row r="6907" spans="7:16" x14ac:dyDescent="0.2">
      <c r="G6907" s="199"/>
      <c r="I6907" s="199"/>
      <c r="K6907" s="199"/>
      <c r="M6907" s="199"/>
      <c r="N6907" s="200"/>
      <c r="P6907" s="199"/>
    </row>
    <row r="6908" spans="7:16" x14ac:dyDescent="0.2">
      <c r="G6908" s="199"/>
      <c r="I6908" s="199"/>
      <c r="K6908" s="199"/>
      <c r="M6908" s="199"/>
      <c r="N6908" s="200"/>
      <c r="P6908" s="199"/>
    </row>
    <row r="6909" spans="7:16" x14ac:dyDescent="0.2">
      <c r="G6909" s="199"/>
      <c r="I6909" s="199"/>
      <c r="K6909" s="199"/>
      <c r="M6909" s="199"/>
      <c r="N6909" s="200"/>
      <c r="P6909" s="199"/>
    </row>
    <row r="6910" spans="7:16" x14ac:dyDescent="0.2">
      <c r="G6910" s="199"/>
      <c r="I6910" s="199"/>
      <c r="K6910" s="199"/>
      <c r="M6910" s="199"/>
      <c r="N6910" s="200"/>
      <c r="P6910" s="199"/>
    </row>
    <row r="6911" spans="7:16" x14ac:dyDescent="0.2">
      <c r="G6911" s="199"/>
      <c r="I6911" s="199"/>
      <c r="K6911" s="199"/>
      <c r="M6911" s="199"/>
      <c r="N6911" s="200"/>
      <c r="P6911" s="199"/>
    </row>
    <row r="6912" spans="7:16" x14ac:dyDescent="0.2">
      <c r="G6912" s="199"/>
      <c r="I6912" s="199"/>
      <c r="K6912" s="199"/>
      <c r="M6912" s="199"/>
      <c r="N6912" s="200"/>
      <c r="P6912" s="199"/>
    </row>
    <row r="6913" spans="7:16" x14ac:dyDescent="0.2">
      <c r="G6913" s="199"/>
      <c r="I6913" s="199"/>
      <c r="K6913" s="199"/>
      <c r="M6913" s="199"/>
      <c r="N6913" s="200"/>
      <c r="P6913" s="199"/>
    </row>
    <row r="6914" spans="7:16" x14ac:dyDescent="0.2">
      <c r="G6914" s="199"/>
      <c r="I6914" s="199"/>
      <c r="K6914" s="199"/>
      <c r="M6914" s="199"/>
      <c r="N6914" s="200"/>
      <c r="P6914" s="199"/>
    </row>
    <row r="6915" spans="7:16" x14ac:dyDescent="0.2">
      <c r="G6915" s="199"/>
      <c r="I6915" s="199"/>
      <c r="K6915" s="199"/>
      <c r="M6915" s="199"/>
      <c r="N6915" s="200"/>
      <c r="P6915" s="199"/>
    </row>
    <row r="6916" spans="7:16" x14ac:dyDescent="0.2">
      <c r="G6916" s="199"/>
      <c r="I6916" s="199"/>
      <c r="K6916" s="199"/>
      <c r="M6916" s="199"/>
      <c r="N6916" s="200"/>
      <c r="P6916" s="199"/>
    </row>
    <row r="6917" spans="7:16" x14ac:dyDescent="0.2">
      <c r="G6917" s="199"/>
      <c r="I6917" s="199"/>
      <c r="K6917" s="199"/>
      <c r="M6917" s="199"/>
      <c r="N6917" s="200"/>
      <c r="P6917" s="199"/>
    </row>
    <row r="6918" spans="7:16" x14ac:dyDescent="0.2">
      <c r="G6918" s="199"/>
      <c r="I6918" s="199"/>
      <c r="K6918" s="199"/>
      <c r="M6918" s="199"/>
      <c r="N6918" s="200"/>
      <c r="P6918" s="199"/>
    </row>
    <row r="6919" spans="7:16" x14ac:dyDescent="0.2">
      <c r="G6919" s="199"/>
      <c r="I6919" s="199"/>
      <c r="K6919" s="199"/>
      <c r="M6919" s="199"/>
      <c r="N6919" s="200"/>
      <c r="P6919" s="199"/>
    </row>
    <row r="6920" spans="7:16" x14ac:dyDescent="0.2">
      <c r="G6920" s="199"/>
      <c r="I6920" s="199"/>
      <c r="K6920" s="199"/>
      <c r="M6920" s="199"/>
      <c r="N6920" s="200"/>
      <c r="P6920" s="199"/>
    </row>
    <row r="6921" spans="7:16" x14ac:dyDescent="0.2">
      <c r="G6921" s="199"/>
      <c r="I6921" s="199"/>
      <c r="K6921" s="199"/>
      <c r="M6921" s="199"/>
      <c r="N6921" s="200"/>
      <c r="P6921" s="199"/>
    </row>
    <row r="6922" spans="7:16" x14ac:dyDescent="0.2">
      <c r="G6922" s="199"/>
      <c r="I6922" s="199"/>
      <c r="K6922" s="199"/>
      <c r="M6922" s="199"/>
      <c r="N6922" s="200"/>
      <c r="P6922" s="199"/>
    </row>
    <row r="6923" spans="7:16" x14ac:dyDescent="0.2">
      <c r="G6923" s="199"/>
      <c r="I6923" s="199"/>
      <c r="K6923" s="199"/>
      <c r="M6923" s="199"/>
      <c r="N6923" s="200"/>
      <c r="P6923" s="199"/>
    </row>
    <row r="6924" spans="7:16" x14ac:dyDescent="0.2">
      <c r="G6924" s="199"/>
      <c r="I6924" s="199"/>
      <c r="K6924" s="199"/>
      <c r="M6924" s="199"/>
      <c r="N6924" s="200"/>
      <c r="P6924" s="199"/>
    </row>
    <row r="6925" spans="7:16" x14ac:dyDescent="0.2">
      <c r="G6925" s="199"/>
      <c r="I6925" s="199"/>
      <c r="K6925" s="199"/>
      <c r="M6925" s="199"/>
      <c r="N6925" s="200"/>
      <c r="P6925" s="199"/>
    </row>
    <row r="6926" spans="7:16" x14ac:dyDescent="0.2">
      <c r="G6926" s="199"/>
      <c r="I6926" s="199"/>
      <c r="K6926" s="199"/>
      <c r="M6926" s="199"/>
      <c r="N6926" s="200"/>
      <c r="P6926" s="199"/>
    </row>
    <row r="6927" spans="7:16" x14ac:dyDescent="0.2">
      <c r="G6927" s="199"/>
      <c r="I6927" s="199"/>
      <c r="K6927" s="199"/>
      <c r="M6927" s="199"/>
      <c r="N6927" s="200"/>
      <c r="P6927" s="199"/>
    </row>
    <row r="6928" spans="7:16" x14ac:dyDescent="0.2">
      <c r="G6928" s="199"/>
      <c r="I6928" s="199"/>
      <c r="K6928" s="199"/>
      <c r="M6928" s="199"/>
      <c r="N6928" s="200"/>
      <c r="P6928" s="199"/>
    </row>
    <row r="6929" spans="7:16" x14ac:dyDescent="0.2">
      <c r="G6929" s="199"/>
      <c r="I6929" s="199"/>
      <c r="K6929" s="199"/>
      <c r="M6929" s="199"/>
      <c r="N6929" s="200"/>
      <c r="P6929" s="199"/>
    </row>
    <row r="6930" spans="7:16" x14ac:dyDescent="0.2">
      <c r="G6930" s="199"/>
      <c r="I6930" s="199"/>
      <c r="K6930" s="199"/>
      <c r="M6930" s="199"/>
      <c r="N6930" s="200"/>
      <c r="P6930" s="199"/>
    </row>
    <row r="6931" spans="7:16" x14ac:dyDescent="0.2">
      <c r="G6931" s="199"/>
      <c r="I6931" s="199"/>
      <c r="K6931" s="199"/>
      <c r="M6931" s="199"/>
      <c r="N6931" s="200"/>
      <c r="P6931" s="199"/>
    </row>
    <row r="6932" spans="7:16" x14ac:dyDescent="0.2">
      <c r="G6932" s="199"/>
      <c r="I6932" s="199"/>
      <c r="K6932" s="199"/>
      <c r="M6932" s="199"/>
      <c r="N6932" s="200"/>
      <c r="P6932" s="199"/>
    </row>
    <row r="6933" spans="7:16" x14ac:dyDescent="0.2">
      <c r="G6933" s="199"/>
      <c r="I6933" s="199"/>
      <c r="K6933" s="199"/>
      <c r="M6933" s="199"/>
      <c r="N6933" s="200"/>
      <c r="P6933" s="199"/>
    </row>
    <row r="6934" spans="7:16" x14ac:dyDescent="0.2">
      <c r="G6934" s="199"/>
      <c r="I6934" s="199"/>
      <c r="K6934" s="199"/>
      <c r="M6934" s="199"/>
      <c r="N6934" s="200"/>
      <c r="P6934" s="199"/>
    </row>
    <row r="6935" spans="7:16" x14ac:dyDescent="0.2">
      <c r="G6935" s="199"/>
      <c r="I6935" s="199"/>
      <c r="K6935" s="199"/>
      <c r="M6935" s="199"/>
      <c r="N6935" s="200"/>
      <c r="P6935" s="199"/>
    </row>
    <row r="6936" spans="7:16" x14ac:dyDescent="0.2">
      <c r="G6936" s="199"/>
      <c r="I6936" s="199"/>
      <c r="K6936" s="199"/>
      <c r="M6936" s="199"/>
      <c r="N6936" s="200"/>
      <c r="P6936" s="199"/>
    </row>
    <row r="6937" spans="7:16" x14ac:dyDescent="0.2">
      <c r="G6937" s="199"/>
      <c r="I6937" s="199"/>
      <c r="K6937" s="199"/>
      <c r="M6937" s="199"/>
      <c r="N6937" s="200"/>
      <c r="P6937" s="199"/>
    </row>
    <row r="6938" spans="7:16" x14ac:dyDescent="0.2">
      <c r="G6938" s="199"/>
      <c r="I6938" s="199"/>
      <c r="K6938" s="199"/>
      <c r="M6938" s="199"/>
      <c r="N6938" s="200"/>
      <c r="P6938" s="199"/>
    </row>
    <row r="6939" spans="7:16" x14ac:dyDescent="0.2">
      <c r="G6939" s="199"/>
      <c r="I6939" s="199"/>
      <c r="K6939" s="199"/>
      <c r="M6939" s="199"/>
      <c r="N6939" s="200"/>
      <c r="P6939" s="199"/>
    </row>
    <row r="6940" spans="7:16" x14ac:dyDescent="0.2">
      <c r="G6940" s="199"/>
      <c r="I6940" s="199"/>
      <c r="K6940" s="199"/>
      <c r="M6940" s="199"/>
      <c r="N6940" s="200"/>
      <c r="P6940" s="199"/>
    </row>
    <row r="6941" spans="7:16" x14ac:dyDescent="0.2">
      <c r="G6941" s="199"/>
      <c r="I6941" s="199"/>
      <c r="K6941" s="199"/>
      <c r="M6941" s="199"/>
      <c r="N6941" s="200"/>
      <c r="P6941" s="199"/>
    </row>
    <row r="6942" spans="7:16" x14ac:dyDescent="0.2">
      <c r="G6942" s="199"/>
      <c r="I6942" s="199"/>
      <c r="K6942" s="199"/>
      <c r="M6942" s="199"/>
      <c r="N6942" s="200"/>
      <c r="P6942" s="199"/>
    </row>
    <row r="6943" spans="7:16" x14ac:dyDescent="0.2">
      <c r="G6943" s="199"/>
      <c r="I6943" s="199"/>
      <c r="K6943" s="199"/>
      <c r="M6943" s="199"/>
      <c r="N6943" s="200"/>
      <c r="P6943" s="199"/>
    </row>
    <row r="6944" spans="7:16" x14ac:dyDescent="0.2">
      <c r="G6944" s="199"/>
      <c r="I6944" s="199"/>
      <c r="K6944" s="199"/>
      <c r="M6944" s="199"/>
      <c r="N6944" s="200"/>
      <c r="P6944" s="199"/>
    </row>
    <row r="6945" spans="7:16" x14ac:dyDescent="0.2">
      <c r="G6945" s="199"/>
      <c r="I6945" s="199"/>
      <c r="K6945" s="199"/>
      <c r="M6945" s="199"/>
      <c r="N6945" s="200"/>
      <c r="P6945" s="199"/>
    </row>
    <row r="6946" spans="7:16" x14ac:dyDescent="0.2">
      <c r="G6946" s="199"/>
      <c r="I6946" s="199"/>
      <c r="K6946" s="199"/>
      <c r="M6946" s="199"/>
      <c r="N6946" s="200"/>
      <c r="P6946" s="199"/>
    </row>
    <row r="6947" spans="7:16" x14ac:dyDescent="0.2">
      <c r="G6947" s="199"/>
      <c r="I6947" s="199"/>
      <c r="K6947" s="199"/>
      <c r="M6947" s="199"/>
      <c r="N6947" s="200"/>
      <c r="P6947" s="199"/>
    </row>
    <row r="6948" spans="7:16" x14ac:dyDescent="0.2">
      <c r="G6948" s="199"/>
      <c r="I6948" s="199"/>
      <c r="K6948" s="199"/>
      <c r="M6948" s="199"/>
      <c r="N6948" s="200"/>
      <c r="P6948" s="199"/>
    </row>
    <row r="6949" spans="7:16" x14ac:dyDescent="0.2">
      <c r="G6949" s="199"/>
      <c r="I6949" s="199"/>
      <c r="K6949" s="199"/>
      <c r="M6949" s="199"/>
      <c r="N6949" s="200"/>
      <c r="P6949" s="199"/>
    </row>
    <row r="6950" spans="7:16" x14ac:dyDescent="0.2">
      <c r="G6950" s="199"/>
      <c r="I6950" s="199"/>
      <c r="K6950" s="199"/>
      <c r="M6950" s="199"/>
      <c r="N6950" s="200"/>
      <c r="P6950" s="199"/>
    </row>
    <row r="6951" spans="7:16" x14ac:dyDescent="0.2">
      <c r="G6951" s="199"/>
      <c r="I6951" s="199"/>
      <c r="K6951" s="199"/>
      <c r="M6951" s="199"/>
      <c r="N6951" s="200"/>
      <c r="P6951" s="199"/>
    </row>
    <row r="6952" spans="7:16" x14ac:dyDescent="0.2">
      <c r="G6952" s="199"/>
      <c r="I6952" s="199"/>
      <c r="K6952" s="199"/>
      <c r="M6952" s="199"/>
      <c r="N6952" s="200"/>
      <c r="P6952" s="199"/>
    </row>
    <row r="6953" spans="7:16" x14ac:dyDescent="0.2">
      <c r="G6953" s="199"/>
      <c r="I6953" s="199"/>
      <c r="K6953" s="199"/>
      <c r="M6953" s="199"/>
      <c r="N6953" s="200"/>
      <c r="P6953" s="199"/>
    </row>
    <row r="6954" spans="7:16" x14ac:dyDescent="0.2">
      <c r="G6954" s="199"/>
      <c r="I6954" s="199"/>
      <c r="K6954" s="199"/>
      <c r="M6954" s="199"/>
      <c r="N6954" s="200"/>
      <c r="P6954" s="199"/>
    </row>
    <row r="6955" spans="7:16" x14ac:dyDescent="0.2">
      <c r="G6955" s="199"/>
      <c r="I6955" s="199"/>
      <c r="K6955" s="199"/>
      <c r="M6955" s="199"/>
      <c r="N6955" s="200"/>
      <c r="P6955" s="199"/>
    </row>
    <row r="6956" spans="7:16" x14ac:dyDescent="0.2">
      <c r="G6956" s="199"/>
      <c r="I6956" s="199"/>
      <c r="K6956" s="199"/>
      <c r="M6956" s="199"/>
      <c r="N6956" s="200"/>
      <c r="P6956" s="199"/>
    </row>
    <row r="6957" spans="7:16" x14ac:dyDescent="0.2">
      <c r="G6957" s="199"/>
      <c r="I6957" s="199"/>
      <c r="K6957" s="199"/>
      <c r="M6957" s="199"/>
      <c r="N6957" s="200"/>
      <c r="P6957" s="199"/>
    </row>
    <row r="6958" spans="7:16" x14ac:dyDescent="0.2">
      <c r="G6958" s="199"/>
      <c r="I6958" s="199"/>
      <c r="K6958" s="199"/>
      <c r="M6958" s="199"/>
      <c r="N6958" s="200"/>
      <c r="P6958" s="199"/>
    </row>
    <row r="6959" spans="7:16" x14ac:dyDescent="0.2">
      <c r="G6959" s="199"/>
      <c r="I6959" s="199"/>
      <c r="K6959" s="199"/>
      <c r="M6959" s="199"/>
      <c r="N6959" s="200"/>
      <c r="P6959" s="199"/>
    </row>
    <row r="6960" spans="7:16" x14ac:dyDescent="0.2">
      <c r="G6960" s="199"/>
      <c r="I6960" s="199"/>
      <c r="K6960" s="199"/>
      <c r="M6960" s="199"/>
      <c r="N6960" s="200"/>
      <c r="P6960" s="199"/>
    </row>
    <row r="6961" spans="7:16" x14ac:dyDescent="0.2">
      <c r="G6961" s="199"/>
      <c r="I6961" s="199"/>
      <c r="K6961" s="199"/>
      <c r="M6961" s="199"/>
      <c r="N6961" s="200"/>
      <c r="P6961" s="199"/>
    </row>
    <row r="6962" spans="7:16" x14ac:dyDescent="0.2">
      <c r="G6962" s="199"/>
      <c r="I6962" s="199"/>
      <c r="K6962" s="199"/>
      <c r="M6962" s="199"/>
      <c r="N6962" s="200"/>
      <c r="P6962" s="199"/>
    </row>
    <row r="6963" spans="7:16" x14ac:dyDescent="0.2">
      <c r="G6963" s="199"/>
      <c r="I6963" s="199"/>
      <c r="K6963" s="199"/>
      <c r="M6963" s="199"/>
      <c r="N6963" s="200"/>
      <c r="P6963" s="199"/>
    </row>
    <row r="6964" spans="7:16" x14ac:dyDescent="0.2">
      <c r="G6964" s="199"/>
      <c r="I6964" s="199"/>
      <c r="K6964" s="199"/>
      <c r="M6964" s="199"/>
      <c r="N6964" s="200"/>
      <c r="P6964" s="199"/>
    </row>
    <row r="6965" spans="7:16" x14ac:dyDescent="0.2">
      <c r="G6965" s="199"/>
      <c r="I6965" s="199"/>
      <c r="K6965" s="199"/>
      <c r="M6965" s="199"/>
      <c r="N6965" s="200"/>
      <c r="P6965" s="199"/>
    </row>
    <row r="6966" spans="7:16" x14ac:dyDescent="0.2">
      <c r="G6966" s="199"/>
      <c r="I6966" s="199"/>
      <c r="K6966" s="199"/>
      <c r="M6966" s="199"/>
      <c r="N6966" s="200"/>
      <c r="P6966" s="199"/>
    </row>
    <row r="6967" spans="7:16" x14ac:dyDescent="0.2">
      <c r="G6967" s="199"/>
      <c r="I6967" s="199"/>
      <c r="K6967" s="199"/>
      <c r="M6967" s="199"/>
      <c r="N6967" s="200"/>
      <c r="P6967" s="199"/>
    </row>
    <row r="6968" spans="7:16" x14ac:dyDescent="0.2">
      <c r="G6968" s="199"/>
      <c r="I6968" s="199"/>
      <c r="K6968" s="199"/>
      <c r="M6968" s="199"/>
      <c r="N6968" s="200"/>
      <c r="P6968" s="199"/>
    </row>
    <row r="6969" spans="7:16" x14ac:dyDescent="0.2">
      <c r="G6969" s="199"/>
      <c r="I6969" s="199"/>
      <c r="K6969" s="199"/>
      <c r="M6969" s="199"/>
      <c r="N6969" s="200"/>
      <c r="P6969" s="199"/>
    </row>
    <row r="6970" spans="7:16" x14ac:dyDescent="0.2">
      <c r="G6970" s="199"/>
      <c r="I6970" s="199"/>
      <c r="K6970" s="199"/>
      <c r="M6970" s="199"/>
      <c r="N6970" s="200"/>
      <c r="P6970" s="199"/>
    </row>
    <row r="6971" spans="7:16" x14ac:dyDescent="0.2">
      <c r="G6971" s="199"/>
      <c r="I6971" s="199"/>
      <c r="K6971" s="199"/>
      <c r="M6971" s="199"/>
      <c r="N6971" s="200"/>
      <c r="P6971" s="199"/>
    </row>
    <row r="6972" spans="7:16" x14ac:dyDescent="0.2">
      <c r="G6972" s="199"/>
      <c r="I6972" s="199"/>
      <c r="K6972" s="199"/>
      <c r="M6972" s="199"/>
      <c r="N6972" s="200"/>
      <c r="P6972" s="199"/>
    </row>
    <row r="6973" spans="7:16" x14ac:dyDescent="0.2">
      <c r="G6973" s="199"/>
      <c r="I6973" s="199"/>
      <c r="K6973" s="199"/>
      <c r="M6973" s="199"/>
      <c r="N6973" s="200"/>
      <c r="P6973" s="199"/>
    </row>
    <row r="6974" spans="7:16" x14ac:dyDescent="0.2">
      <c r="G6974" s="199"/>
      <c r="I6974" s="199"/>
      <c r="K6974" s="199"/>
      <c r="M6974" s="199"/>
      <c r="N6974" s="200"/>
      <c r="P6974" s="199"/>
    </row>
    <row r="6975" spans="7:16" x14ac:dyDescent="0.2">
      <c r="G6975" s="199"/>
      <c r="I6975" s="199"/>
      <c r="K6975" s="199"/>
      <c r="M6975" s="199"/>
      <c r="N6975" s="200"/>
      <c r="P6975" s="199"/>
    </row>
    <row r="6976" spans="7:16" x14ac:dyDescent="0.2">
      <c r="G6976" s="199"/>
      <c r="I6976" s="199"/>
      <c r="K6976" s="199"/>
      <c r="M6976" s="199"/>
      <c r="N6976" s="200"/>
      <c r="P6976" s="199"/>
    </row>
    <row r="6977" spans="7:16" x14ac:dyDescent="0.2">
      <c r="G6977" s="199"/>
      <c r="I6977" s="199"/>
      <c r="K6977" s="199"/>
      <c r="M6977" s="199"/>
      <c r="N6977" s="200"/>
      <c r="P6977" s="199"/>
    </row>
    <row r="6978" spans="7:16" x14ac:dyDescent="0.2">
      <c r="G6978" s="199"/>
      <c r="I6978" s="199"/>
      <c r="K6978" s="199"/>
      <c r="M6978" s="199"/>
      <c r="N6978" s="200"/>
      <c r="P6978" s="199"/>
    </row>
    <row r="6979" spans="7:16" x14ac:dyDescent="0.2">
      <c r="G6979" s="199"/>
      <c r="I6979" s="199"/>
      <c r="K6979" s="199"/>
      <c r="M6979" s="199"/>
      <c r="N6979" s="200"/>
      <c r="P6979" s="199"/>
    </row>
    <row r="6980" spans="7:16" x14ac:dyDescent="0.2">
      <c r="G6980" s="199"/>
      <c r="I6980" s="199"/>
      <c r="K6980" s="199"/>
      <c r="M6980" s="199"/>
      <c r="N6980" s="200"/>
      <c r="P6980" s="199"/>
    </row>
    <row r="6981" spans="7:16" x14ac:dyDescent="0.2">
      <c r="G6981" s="199"/>
      <c r="I6981" s="199"/>
      <c r="K6981" s="199"/>
      <c r="M6981" s="199"/>
      <c r="N6981" s="200"/>
      <c r="P6981" s="199"/>
    </row>
    <row r="6982" spans="7:16" x14ac:dyDescent="0.2">
      <c r="G6982" s="199"/>
      <c r="I6982" s="199"/>
      <c r="K6982" s="199"/>
      <c r="M6982" s="199"/>
      <c r="N6982" s="200"/>
      <c r="P6982" s="199"/>
    </row>
    <row r="6983" spans="7:16" x14ac:dyDescent="0.2">
      <c r="G6983" s="199"/>
      <c r="I6983" s="199"/>
      <c r="K6983" s="199"/>
      <c r="M6983" s="199"/>
      <c r="N6983" s="200"/>
      <c r="P6983" s="199"/>
    </row>
    <row r="6984" spans="7:16" x14ac:dyDescent="0.2">
      <c r="G6984" s="199"/>
      <c r="I6984" s="199"/>
      <c r="K6984" s="199"/>
      <c r="M6984" s="199"/>
      <c r="N6984" s="200"/>
      <c r="P6984" s="199"/>
    </row>
    <row r="6985" spans="7:16" x14ac:dyDescent="0.2">
      <c r="G6985" s="199"/>
      <c r="I6985" s="199"/>
      <c r="K6985" s="199"/>
      <c r="M6985" s="199"/>
      <c r="N6985" s="200"/>
      <c r="P6985" s="199"/>
    </row>
    <row r="6986" spans="7:16" x14ac:dyDescent="0.2">
      <c r="G6986" s="199"/>
      <c r="I6986" s="199"/>
      <c r="K6986" s="199"/>
      <c r="M6986" s="199"/>
      <c r="N6986" s="200"/>
      <c r="P6986" s="199"/>
    </row>
    <row r="6987" spans="7:16" x14ac:dyDescent="0.2">
      <c r="G6987" s="199"/>
      <c r="I6987" s="199"/>
      <c r="K6987" s="199"/>
      <c r="M6987" s="199"/>
      <c r="N6987" s="200"/>
      <c r="P6987" s="199"/>
    </row>
    <row r="6988" spans="7:16" x14ac:dyDescent="0.2">
      <c r="G6988" s="199"/>
      <c r="I6988" s="199"/>
      <c r="K6988" s="199"/>
      <c r="M6988" s="199"/>
      <c r="N6988" s="200"/>
      <c r="P6988" s="199"/>
    </row>
    <row r="6989" spans="7:16" x14ac:dyDescent="0.2">
      <c r="G6989" s="199"/>
      <c r="I6989" s="199"/>
      <c r="K6989" s="199"/>
      <c r="M6989" s="199"/>
      <c r="N6989" s="200"/>
      <c r="P6989" s="199"/>
    </row>
    <row r="6990" spans="7:16" x14ac:dyDescent="0.2">
      <c r="G6990" s="199"/>
      <c r="I6990" s="199"/>
      <c r="K6990" s="199"/>
      <c r="M6990" s="199"/>
      <c r="N6990" s="200"/>
      <c r="P6990" s="199"/>
    </row>
    <row r="6991" spans="7:16" x14ac:dyDescent="0.2">
      <c r="G6991" s="199"/>
      <c r="I6991" s="199"/>
      <c r="K6991" s="199"/>
      <c r="M6991" s="199"/>
      <c r="N6991" s="200"/>
      <c r="P6991" s="199"/>
    </row>
    <row r="6992" spans="7:16" x14ac:dyDescent="0.2">
      <c r="G6992" s="199"/>
      <c r="I6992" s="199"/>
      <c r="K6992" s="199"/>
      <c r="M6992" s="199"/>
      <c r="N6992" s="200"/>
      <c r="P6992" s="199"/>
    </row>
    <row r="6993" spans="7:16" x14ac:dyDescent="0.2">
      <c r="G6993" s="199"/>
      <c r="I6993" s="199"/>
      <c r="K6993" s="199"/>
      <c r="M6993" s="199"/>
      <c r="N6993" s="200"/>
      <c r="P6993" s="199"/>
    </row>
    <row r="6994" spans="7:16" x14ac:dyDescent="0.2">
      <c r="G6994" s="199"/>
      <c r="I6994" s="199"/>
      <c r="K6994" s="199"/>
      <c r="M6994" s="199"/>
      <c r="N6994" s="200"/>
      <c r="P6994" s="199"/>
    </row>
    <row r="6995" spans="7:16" x14ac:dyDescent="0.2">
      <c r="G6995" s="199"/>
      <c r="I6995" s="199"/>
      <c r="K6995" s="199"/>
      <c r="M6995" s="199"/>
      <c r="N6995" s="200"/>
      <c r="P6995" s="199"/>
    </row>
    <row r="6996" spans="7:16" x14ac:dyDescent="0.2">
      <c r="G6996" s="199"/>
      <c r="I6996" s="199"/>
      <c r="K6996" s="199"/>
      <c r="M6996" s="199"/>
      <c r="N6996" s="200"/>
      <c r="P6996" s="199"/>
    </row>
    <row r="6997" spans="7:16" x14ac:dyDescent="0.2">
      <c r="G6997" s="199"/>
      <c r="I6997" s="199"/>
      <c r="K6997" s="199"/>
      <c r="M6997" s="199"/>
      <c r="N6997" s="200"/>
      <c r="P6997" s="199"/>
    </row>
    <row r="6998" spans="7:16" x14ac:dyDescent="0.2">
      <c r="G6998" s="199"/>
      <c r="I6998" s="199"/>
      <c r="K6998" s="199"/>
      <c r="M6998" s="199"/>
      <c r="N6998" s="200"/>
      <c r="P6998" s="199"/>
    </row>
    <row r="6999" spans="7:16" x14ac:dyDescent="0.2">
      <c r="G6999" s="199"/>
      <c r="I6999" s="199"/>
      <c r="K6999" s="199"/>
      <c r="M6999" s="199"/>
      <c r="N6999" s="200"/>
      <c r="P6999" s="199"/>
    </row>
    <row r="7000" spans="7:16" x14ac:dyDescent="0.2">
      <c r="G7000" s="199"/>
      <c r="I7000" s="199"/>
      <c r="K7000" s="199"/>
      <c r="M7000" s="199"/>
      <c r="N7000" s="200"/>
      <c r="P7000" s="199"/>
    </row>
    <row r="7001" spans="7:16" x14ac:dyDescent="0.2">
      <c r="G7001" s="199"/>
      <c r="I7001" s="199"/>
      <c r="K7001" s="199"/>
      <c r="M7001" s="199"/>
      <c r="N7001" s="200"/>
      <c r="P7001" s="199"/>
    </row>
    <row r="7002" spans="7:16" x14ac:dyDescent="0.2">
      <c r="G7002" s="199"/>
      <c r="I7002" s="199"/>
      <c r="K7002" s="199"/>
      <c r="M7002" s="199"/>
      <c r="N7002" s="200"/>
      <c r="P7002" s="199"/>
    </row>
    <row r="7003" spans="7:16" x14ac:dyDescent="0.2">
      <c r="G7003" s="199"/>
      <c r="I7003" s="199"/>
      <c r="K7003" s="199"/>
      <c r="M7003" s="199"/>
      <c r="N7003" s="200"/>
      <c r="P7003" s="199"/>
    </row>
    <row r="7004" spans="7:16" x14ac:dyDescent="0.2">
      <c r="G7004" s="199"/>
      <c r="I7004" s="199"/>
      <c r="K7004" s="199"/>
      <c r="M7004" s="199"/>
      <c r="N7004" s="200"/>
      <c r="P7004" s="199"/>
    </row>
    <row r="7005" spans="7:16" x14ac:dyDescent="0.2">
      <c r="G7005" s="199"/>
      <c r="I7005" s="199"/>
      <c r="K7005" s="199"/>
      <c r="M7005" s="199"/>
      <c r="N7005" s="200"/>
      <c r="P7005" s="199"/>
    </row>
    <row r="7006" spans="7:16" x14ac:dyDescent="0.2">
      <c r="G7006" s="199"/>
      <c r="I7006" s="199"/>
      <c r="K7006" s="199"/>
      <c r="M7006" s="199"/>
      <c r="N7006" s="200"/>
      <c r="P7006" s="199"/>
    </row>
    <row r="7007" spans="7:16" x14ac:dyDescent="0.2">
      <c r="G7007" s="199"/>
      <c r="I7007" s="199"/>
      <c r="K7007" s="199"/>
      <c r="M7007" s="199"/>
      <c r="N7007" s="200"/>
      <c r="P7007" s="199"/>
    </row>
    <row r="7008" spans="7:16" x14ac:dyDescent="0.2">
      <c r="G7008" s="199"/>
      <c r="I7008" s="199"/>
      <c r="K7008" s="199"/>
      <c r="M7008" s="199"/>
      <c r="N7008" s="200"/>
      <c r="P7008" s="199"/>
    </row>
    <row r="7009" spans="7:16" x14ac:dyDescent="0.2">
      <c r="G7009" s="199"/>
      <c r="I7009" s="199"/>
      <c r="K7009" s="199"/>
      <c r="M7009" s="199"/>
      <c r="N7009" s="200"/>
      <c r="P7009" s="199"/>
    </row>
    <row r="7010" spans="7:16" x14ac:dyDescent="0.2">
      <c r="G7010" s="199"/>
      <c r="I7010" s="199"/>
      <c r="K7010" s="199"/>
      <c r="M7010" s="199"/>
      <c r="N7010" s="200"/>
      <c r="P7010" s="199"/>
    </row>
    <row r="7011" spans="7:16" x14ac:dyDescent="0.2">
      <c r="G7011" s="199"/>
      <c r="I7011" s="199"/>
      <c r="K7011" s="199"/>
      <c r="M7011" s="199"/>
      <c r="N7011" s="200"/>
      <c r="P7011" s="199"/>
    </row>
    <row r="7012" spans="7:16" x14ac:dyDescent="0.2">
      <c r="G7012" s="199"/>
      <c r="I7012" s="199"/>
      <c r="K7012" s="199"/>
      <c r="M7012" s="199"/>
      <c r="N7012" s="200"/>
      <c r="P7012" s="199"/>
    </row>
    <row r="7013" spans="7:16" x14ac:dyDescent="0.2">
      <c r="G7013" s="199"/>
      <c r="I7013" s="199"/>
      <c r="K7013" s="199"/>
      <c r="M7013" s="199"/>
      <c r="N7013" s="200"/>
      <c r="P7013" s="199"/>
    </row>
    <row r="7014" spans="7:16" x14ac:dyDescent="0.2">
      <c r="G7014" s="199"/>
      <c r="I7014" s="199"/>
      <c r="K7014" s="199"/>
      <c r="M7014" s="199"/>
      <c r="N7014" s="200"/>
      <c r="P7014" s="199"/>
    </row>
    <row r="7015" spans="7:16" x14ac:dyDescent="0.2">
      <c r="G7015" s="199"/>
      <c r="I7015" s="199"/>
      <c r="K7015" s="199"/>
      <c r="M7015" s="199"/>
      <c r="N7015" s="200"/>
      <c r="P7015" s="199"/>
    </row>
    <row r="7016" spans="7:16" x14ac:dyDescent="0.2">
      <c r="G7016" s="199"/>
      <c r="I7016" s="199"/>
      <c r="K7016" s="199"/>
      <c r="M7016" s="199"/>
      <c r="N7016" s="200"/>
      <c r="P7016" s="199"/>
    </row>
    <row r="7017" spans="7:16" x14ac:dyDescent="0.2">
      <c r="G7017" s="199"/>
      <c r="I7017" s="199"/>
      <c r="K7017" s="199"/>
      <c r="M7017" s="199"/>
      <c r="N7017" s="200"/>
      <c r="P7017" s="199"/>
    </row>
    <row r="7018" spans="7:16" x14ac:dyDescent="0.2">
      <c r="G7018" s="199"/>
      <c r="I7018" s="199"/>
      <c r="K7018" s="199"/>
      <c r="M7018" s="199"/>
      <c r="N7018" s="200"/>
      <c r="P7018" s="199"/>
    </row>
    <row r="7019" spans="7:16" x14ac:dyDescent="0.2">
      <c r="G7019" s="199"/>
      <c r="I7019" s="199"/>
      <c r="K7019" s="199"/>
      <c r="M7019" s="199"/>
      <c r="N7019" s="200"/>
      <c r="P7019" s="199"/>
    </row>
    <row r="7020" spans="7:16" x14ac:dyDescent="0.2">
      <c r="G7020" s="199"/>
      <c r="I7020" s="199"/>
      <c r="K7020" s="199"/>
      <c r="M7020" s="199"/>
      <c r="N7020" s="200"/>
      <c r="P7020" s="199"/>
    </row>
    <row r="7021" spans="7:16" x14ac:dyDescent="0.2">
      <c r="G7021" s="199"/>
      <c r="I7021" s="199"/>
      <c r="K7021" s="199"/>
      <c r="M7021" s="199"/>
      <c r="N7021" s="200"/>
      <c r="P7021" s="199"/>
    </row>
    <row r="7022" spans="7:16" x14ac:dyDescent="0.2">
      <c r="G7022" s="199"/>
      <c r="I7022" s="199"/>
      <c r="K7022" s="199"/>
      <c r="M7022" s="199"/>
      <c r="N7022" s="200"/>
      <c r="P7022" s="199"/>
    </row>
    <row r="7023" spans="7:16" x14ac:dyDescent="0.2">
      <c r="G7023" s="199"/>
      <c r="I7023" s="199"/>
      <c r="K7023" s="199"/>
      <c r="M7023" s="199"/>
      <c r="N7023" s="200"/>
      <c r="P7023" s="199"/>
    </row>
    <row r="7024" spans="7:16" x14ac:dyDescent="0.2">
      <c r="G7024" s="199"/>
      <c r="I7024" s="199"/>
      <c r="K7024" s="199"/>
      <c r="M7024" s="199"/>
      <c r="N7024" s="200"/>
      <c r="P7024" s="199"/>
    </row>
    <row r="7025" spans="7:16" x14ac:dyDescent="0.2">
      <c r="G7025" s="199"/>
      <c r="I7025" s="199"/>
      <c r="K7025" s="199"/>
      <c r="M7025" s="199"/>
      <c r="N7025" s="200"/>
      <c r="P7025" s="199"/>
    </row>
    <row r="7026" spans="7:16" x14ac:dyDescent="0.2">
      <c r="G7026" s="199"/>
      <c r="I7026" s="199"/>
      <c r="K7026" s="199"/>
      <c r="M7026" s="199"/>
      <c r="N7026" s="200"/>
      <c r="P7026" s="199"/>
    </row>
    <row r="7027" spans="7:16" x14ac:dyDescent="0.2">
      <c r="G7027" s="199"/>
      <c r="I7027" s="199"/>
      <c r="K7027" s="199"/>
      <c r="M7027" s="199"/>
      <c r="N7027" s="200"/>
      <c r="P7027" s="199"/>
    </row>
    <row r="7028" spans="7:16" x14ac:dyDescent="0.2">
      <c r="G7028" s="199"/>
      <c r="I7028" s="199"/>
      <c r="K7028" s="199"/>
      <c r="M7028" s="199"/>
      <c r="N7028" s="200"/>
      <c r="P7028" s="199"/>
    </row>
    <row r="7029" spans="7:16" x14ac:dyDescent="0.2">
      <c r="G7029" s="199"/>
      <c r="I7029" s="199"/>
      <c r="K7029" s="199"/>
      <c r="M7029" s="199"/>
      <c r="N7029" s="200"/>
      <c r="P7029" s="199"/>
    </row>
    <row r="7030" spans="7:16" x14ac:dyDescent="0.2">
      <c r="G7030" s="199"/>
      <c r="I7030" s="199"/>
      <c r="K7030" s="199"/>
      <c r="M7030" s="199"/>
      <c r="N7030" s="200"/>
      <c r="P7030" s="199"/>
    </row>
    <row r="7031" spans="7:16" x14ac:dyDescent="0.2">
      <c r="G7031" s="199"/>
      <c r="I7031" s="199"/>
      <c r="K7031" s="199"/>
      <c r="M7031" s="199"/>
      <c r="N7031" s="200"/>
      <c r="P7031" s="199"/>
    </row>
    <row r="7032" spans="7:16" x14ac:dyDescent="0.2">
      <c r="G7032" s="199"/>
      <c r="I7032" s="199"/>
      <c r="K7032" s="199"/>
      <c r="M7032" s="199"/>
      <c r="N7032" s="200"/>
      <c r="P7032" s="199"/>
    </row>
    <row r="7033" spans="7:16" x14ac:dyDescent="0.2">
      <c r="G7033" s="199"/>
      <c r="I7033" s="199"/>
      <c r="K7033" s="199"/>
      <c r="M7033" s="199"/>
      <c r="N7033" s="200"/>
      <c r="P7033" s="199"/>
    </row>
    <row r="7034" spans="7:16" x14ac:dyDescent="0.2">
      <c r="G7034" s="199"/>
      <c r="I7034" s="199"/>
      <c r="K7034" s="199"/>
      <c r="M7034" s="199"/>
      <c r="N7034" s="200"/>
      <c r="P7034" s="199"/>
    </row>
    <row r="7035" spans="7:16" x14ac:dyDescent="0.2">
      <c r="G7035" s="199"/>
      <c r="I7035" s="199"/>
      <c r="K7035" s="199"/>
      <c r="M7035" s="199"/>
      <c r="N7035" s="200"/>
      <c r="P7035" s="199"/>
    </row>
    <row r="7036" spans="7:16" x14ac:dyDescent="0.2">
      <c r="G7036" s="199"/>
      <c r="I7036" s="199"/>
      <c r="K7036" s="199"/>
      <c r="M7036" s="199"/>
      <c r="N7036" s="200"/>
      <c r="P7036" s="199"/>
    </row>
    <row r="7037" spans="7:16" x14ac:dyDescent="0.2">
      <c r="G7037" s="199"/>
      <c r="I7037" s="199"/>
      <c r="K7037" s="199"/>
      <c r="M7037" s="199"/>
      <c r="N7037" s="200"/>
      <c r="P7037" s="199"/>
    </row>
    <row r="7038" spans="7:16" x14ac:dyDescent="0.2">
      <c r="G7038" s="199"/>
      <c r="I7038" s="199"/>
      <c r="K7038" s="199"/>
      <c r="M7038" s="199"/>
      <c r="N7038" s="200"/>
      <c r="P7038" s="199"/>
    </row>
    <row r="7039" spans="7:16" x14ac:dyDescent="0.2">
      <c r="G7039" s="199"/>
      <c r="I7039" s="199"/>
      <c r="K7039" s="199"/>
      <c r="M7039" s="199"/>
      <c r="N7039" s="200"/>
      <c r="P7039" s="199"/>
    </row>
    <row r="7040" spans="7:16" x14ac:dyDescent="0.2">
      <c r="G7040" s="199"/>
      <c r="I7040" s="199"/>
      <c r="K7040" s="199"/>
      <c r="M7040" s="199"/>
      <c r="N7040" s="200"/>
      <c r="P7040" s="199"/>
    </row>
    <row r="7041" spans="7:16" x14ac:dyDescent="0.2">
      <c r="G7041" s="199"/>
      <c r="I7041" s="199"/>
      <c r="K7041" s="199"/>
      <c r="M7041" s="199"/>
      <c r="N7041" s="200"/>
      <c r="P7041" s="199"/>
    </row>
    <row r="7042" spans="7:16" x14ac:dyDescent="0.2">
      <c r="G7042" s="199"/>
      <c r="I7042" s="199"/>
      <c r="K7042" s="199"/>
      <c r="M7042" s="199"/>
      <c r="N7042" s="200"/>
      <c r="P7042" s="199"/>
    </row>
    <row r="7043" spans="7:16" x14ac:dyDescent="0.2">
      <c r="G7043" s="199"/>
      <c r="I7043" s="199"/>
      <c r="K7043" s="199"/>
      <c r="M7043" s="199"/>
      <c r="N7043" s="200"/>
      <c r="P7043" s="199"/>
    </row>
    <row r="7044" spans="7:16" x14ac:dyDescent="0.2">
      <c r="G7044" s="199"/>
      <c r="I7044" s="199"/>
      <c r="K7044" s="199"/>
      <c r="M7044" s="199"/>
      <c r="N7044" s="200"/>
      <c r="P7044" s="199"/>
    </row>
    <row r="7045" spans="7:16" x14ac:dyDescent="0.2">
      <c r="G7045" s="199"/>
      <c r="I7045" s="199"/>
      <c r="K7045" s="199"/>
      <c r="M7045" s="199"/>
      <c r="N7045" s="200"/>
      <c r="P7045" s="199"/>
    </row>
    <row r="7046" spans="7:16" x14ac:dyDescent="0.2">
      <c r="G7046" s="199"/>
      <c r="I7046" s="199"/>
      <c r="K7046" s="199"/>
      <c r="M7046" s="199"/>
      <c r="N7046" s="200"/>
      <c r="P7046" s="199"/>
    </row>
    <row r="7047" spans="7:16" x14ac:dyDescent="0.2">
      <c r="G7047" s="199"/>
      <c r="I7047" s="199"/>
      <c r="K7047" s="199"/>
      <c r="M7047" s="199"/>
      <c r="N7047" s="200"/>
      <c r="P7047" s="199"/>
    </row>
    <row r="7048" spans="7:16" x14ac:dyDescent="0.2">
      <c r="G7048" s="199"/>
      <c r="I7048" s="199"/>
      <c r="K7048" s="199"/>
      <c r="M7048" s="199"/>
      <c r="N7048" s="200"/>
      <c r="P7048" s="199"/>
    </row>
    <row r="7049" spans="7:16" x14ac:dyDescent="0.2">
      <c r="G7049" s="199"/>
      <c r="I7049" s="199"/>
      <c r="K7049" s="199"/>
      <c r="M7049" s="199"/>
      <c r="N7049" s="200"/>
      <c r="P7049" s="199"/>
    </row>
    <row r="7050" spans="7:16" x14ac:dyDescent="0.2">
      <c r="G7050" s="199"/>
      <c r="I7050" s="199"/>
      <c r="K7050" s="199"/>
      <c r="M7050" s="199"/>
      <c r="N7050" s="200"/>
      <c r="P7050" s="199"/>
    </row>
    <row r="7051" spans="7:16" x14ac:dyDescent="0.2">
      <c r="G7051" s="199"/>
      <c r="I7051" s="199"/>
      <c r="K7051" s="199"/>
      <c r="M7051" s="199"/>
      <c r="N7051" s="200"/>
      <c r="P7051" s="199"/>
    </row>
    <row r="7052" spans="7:16" x14ac:dyDescent="0.2">
      <c r="G7052" s="199"/>
      <c r="I7052" s="199"/>
      <c r="K7052" s="199"/>
      <c r="M7052" s="199"/>
      <c r="N7052" s="200"/>
      <c r="P7052" s="199"/>
    </row>
    <row r="7053" spans="7:16" x14ac:dyDescent="0.2">
      <c r="G7053" s="199"/>
      <c r="I7053" s="199"/>
      <c r="K7053" s="199"/>
      <c r="M7053" s="199"/>
      <c r="N7053" s="200"/>
      <c r="P7053" s="199"/>
    </row>
    <row r="7054" spans="7:16" x14ac:dyDescent="0.2">
      <c r="G7054" s="199"/>
      <c r="I7054" s="199"/>
      <c r="K7054" s="199"/>
      <c r="M7054" s="199"/>
      <c r="N7054" s="200"/>
      <c r="P7054" s="199"/>
    </row>
    <row r="7055" spans="7:16" x14ac:dyDescent="0.2">
      <c r="G7055" s="199"/>
      <c r="I7055" s="199"/>
      <c r="K7055" s="199"/>
      <c r="M7055" s="199"/>
      <c r="N7055" s="200"/>
      <c r="P7055" s="199"/>
    </row>
    <row r="7056" spans="7:16" x14ac:dyDescent="0.2">
      <c r="G7056" s="199"/>
      <c r="I7056" s="199"/>
      <c r="K7056" s="199"/>
      <c r="M7056" s="199"/>
      <c r="N7056" s="200"/>
      <c r="P7056" s="199"/>
    </row>
    <row r="7057" spans="7:16" x14ac:dyDescent="0.2">
      <c r="G7057" s="199"/>
      <c r="I7057" s="199"/>
      <c r="K7057" s="199"/>
      <c r="M7057" s="199"/>
      <c r="N7057" s="200"/>
      <c r="P7057" s="199"/>
    </row>
    <row r="7058" spans="7:16" x14ac:dyDescent="0.2">
      <c r="G7058" s="199"/>
      <c r="I7058" s="199"/>
      <c r="K7058" s="199"/>
      <c r="M7058" s="199"/>
      <c r="N7058" s="200"/>
      <c r="P7058" s="199"/>
    </row>
    <row r="7059" spans="7:16" x14ac:dyDescent="0.2">
      <c r="G7059" s="199"/>
      <c r="I7059" s="199"/>
      <c r="K7059" s="199"/>
      <c r="M7059" s="199"/>
      <c r="N7059" s="200"/>
      <c r="P7059" s="199"/>
    </row>
    <row r="7060" spans="7:16" x14ac:dyDescent="0.2">
      <c r="G7060" s="199"/>
      <c r="I7060" s="199"/>
      <c r="K7060" s="199"/>
      <c r="M7060" s="199"/>
      <c r="N7060" s="200"/>
      <c r="P7060" s="199"/>
    </row>
    <row r="7061" spans="7:16" x14ac:dyDescent="0.2">
      <c r="G7061" s="199"/>
      <c r="I7061" s="199"/>
      <c r="K7061" s="199"/>
      <c r="M7061" s="199"/>
      <c r="N7061" s="200"/>
      <c r="P7061" s="199"/>
    </row>
    <row r="7062" spans="7:16" x14ac:dyDescent="0.2">
      <c r="G7062" s="199"/>
      <c r="I7062" s="199"/>
      <c r="K7062" s="199"/>
      <c r="M7062" s="199"/>
      <c r="N7062" s="200"/>
      <c r="P7062" s="199"/>
    </row>
    <row r="7063" spans="7:16" x14ac:dyDescent="0.2">
      <c r="G7063" s="199"/>
      <c r="I7063" s="199"/>
      <c r="K7063" s="199"/>
      <c r="M7063" s="199"/>
      <c r="N7063" s="200"/>
      <c r="P7063" s="199"/>
    </row>
    <row r="7064" spans="7:16" x14ac:dyDescent="0.2">
      <c r="G7064" s="199"/>
      <c r="I7064" s="199"/>
      <c r="K7064" s="199"/>
      <c r="M7064" s="199"/>
      <c r="N7064" s="200"/>
      <c r="P7064" s="199"/>
    </row>
    <row r="7065" spans="7:16" x14ac:dyDescent="0.2">
      <c r="G7065" s="199"/>
      <c r="I7065" s="199"/>
      <c r="K7065" s="199"/>
      <c r="M7065" s="199"/>
      <c r="N7065" s="200"/>
      <c r="P7065" s="199"/>
    </row>
    <row r="7066" spans="7:16" x14ac:dyDescent="0.2">
      <c r="G7066" s="199"/>
      <c r="I7066" s="199"/>
      <c r="K7066" s="199"/>
      <c r="M7066" s="199"/>
      <c r="N7066" s="200"/>
      <c r="P7066" s="199"/>
    </row>
    <row r="7067" spans="7:16" x14ac:dyDescent="0.2">
      <c r="G7067" s="199"/>
      <c r="I7067" s="199"/>
      <c r="K7067" s="199"/>
      <c r="M7067" s="199"/>
      <c r="N7067" s="200"/>
      <c r="P7067" s="199"/>
    </row>
    <row r="7068" spans="7:16" x14ac:dyDescent="0.2">
      <c r="G7068" s="199"/>
      <c r="I7068" s="199"/>
      <c r="K7068" s="199"/>
      <c r="M7068" s="199"/>
      <c r="N7068" s="200"/>
      <c r="P7068" s="199"/>
    </row>
    <row r="7069" spans="7:16" x14ac:dyDescent="0.2">
      <c r="G7069" s="199"/>
      <c r="I7069" s="199"/>
      <c r="K7069" s="199"/>
      <c r="M7069" s="199"/>
      <c r="N7069" s="200"/>
      <c r="P7069" s="199"/>
    </row>
    <row r="7070" spans="7:16" x14ac:dyDescent="0.2">
      <c r="G7070" s="199"/>
      <c r="I7070" s="199"/>
      <c r="K7070" s="199"/>
      <c r="M7070" s="199"/>
      <c r="N7070" s="200"/>
      <c r="P7070" s="199"/>
    </row>
    <row r="7071" spans="7:16" x14ac:dyDescent="0.2">
      <c r="G7071" s="199"/>
      <c r="I7071" s="199"/>
      <c r="K7071" s="199"/>
      <c r="M7071" s="199"/>
      <c r="N7071" s="200"/>
      <c r="P7071" s="199"/>
    </row>
    <row r="7072" spans="7:16" x14ac:dyDescent="0.2">
      <c r="G7072" s="199"/>
      <c r="I7072" s="199"/>
      <c r="K7072" s="199"/>
      <c r="M7072" s="199"/>
      <c r="N7072" s="200"/>
      <c r="P7072" s="199"/>
    </row>
    <row r="7073" spans="7:16" x14ac:dyDescent="0.2">
      <c r="G7073" s="199"/>
      <c r="I7073" s="199"/>
      <c r="K7073" s="199"/>
      <c r="M7073" s="199"/>
      <c r="N7073" s="200"/>
      <c r="P7073" s="199"/>
    </row>
    <row r="7074" spans="7:16" x14ac:dyDescent="0.2">
      <c r="G7074" s="199"/>
      <c r="I7074" s="199"/>
      <c r="K7074" s="199"/>
      <c r="M7074" s="199"/>
      <c r="N7074" s="200"/>
      <c r="P7074" s="199"/>
    </row>
    <row r="7075" spans="7:16" x14ac:dyDescent="0.2">
      <c r="G7075" s="199"/>
      <c r="I7075" s="199"/>
      <c r="K7075" s="199"/>
      <c r="M7075" s="199"/>
      <c r="N7075" s="200"/>
      <c r="P7075" s="199"/>
    </row>
    <row r="7076" spans="7:16" x14ac:dyDescent="0.2">
      <c r="G7076" s="199"/>
      <c r="I7076" s="199"/>
      <c r="K7076" s="199"/>
      <c r="M7076" s="199"/>
      <c r="N7076" s="200"/>
      <c r="P7076" s="199"/>
    </row>
    <row r="7077" spans="7:16" x14ac:dyDescent="0.2">
      <c r="G7077" s="199"/>
      <c r="I7077" s="199"/>
      <c r="K7077" s="199"/>
      <c r="M7077" s="199"/>
      <c r="N7077" s="200"/>
      <c r="P7077" s="199"/>
    </row>
    <row r="7078" spans="7:16" x14ac:dyDescent="0.2">
      <c r="G7078" s="199"/>
      <c r="I7078" s="199"/>
      <c r="K7078" s="199"/>
      <c r="M7078" s="199"/>
      <c r="N7078" s="200"/>
      <c r="P7078" s="199"/>
    </row>
    <row r="7079" spans="7:16" x14ac:dyDescent="0.2">
      <c r="G7079" s="199"/>
      <c r="I7079" s="199"/>
      <c r="K7079" s="199"/>
      <c r="M7079" s="199"/>
      <c r="N7079" s="200"/>
      <c r="P7079" s="199"/>
    </row>
    <row r="7080" spans="7:16" x14ac:dyDescent="0.2">
      <c r="G7080" s="199"/>
      <c r="I7080" s="199"/>
      <c r="K7080" s="199"/>
      <c r="M7080" s="199"/>
      <c r="N7080" s="200"/>
      <c r="P7080" s="199"/>
    </row>
    <row r="7081" spans="7:16" x14ac:dyDescent="0.2">
      <c r="G7081" s="199"/>
      <c r="I7081" s="199"/>
      <c r="K7081" s="199"/>
      <c r="M7081" s="199"/>
      <c r="N7081" s="200"/>
      <c r="P7081" s="199"/>
    </row>
    <row r="7082" spans="7:16" x14ac:dyDescent="0.2">
      <c r="G7082" s="199"/>
      <c r="I7082" s="199"/>
      <c r="K7082" s="199"/>
      <c r="M7082" s="199"/>
      <c r="N7082" s="200"/>
      <c r="P7082" s="199"/>
    </row>
    <row r="7083" spans="7:16" x14ac:dyDescent="0.2">
      <c r="G7083" s="199"/>
      <c r="I7083" s="199"/>
      <c r="K7083" s="199"/>
      <c r="M7083" s="199"/>
      <c r="N7083" s="200"/>
      <c r="P7083" s="199"/>
    </row>
    <row r="7084" spans="7:16" x14ac:dyDescent="0.2">
      <c r="G7084" s="199"/>
      <c r="I7084" s="199"/>
      <c r="K7084" s="199"/>
      <c r="M7084" s="199"/>
      <c r="N7084" s="200"/>
      <c r="P7084" s="199"/>
    </row>
    <row r="7085" spans="7:16" x14ac:dyDescent="0.2">
      <c r="G7085" s="199"/>
      <c r="I7085" s="199"/>
      <c r="K7085" s="199"/>
      <c r="M7085" s="199"/>
      <c r="N7085" s="200"/>
      <c r="P7085" s="199"/>
    </row>
    <row r="7086" spans="7:16" x14ac:dyDescent="0.2">
      <c r="G7086" s="199"/>
      <c r="I7086" s="199"/>
      <c r="K7086" s="199"/>
      <c r="M7086" s="199"/>
      <c r="N7086" s="200"/>
      <c r="P7086" s="199"/>
    </row>
    <row r="7087" spans="7:16" x14ac:dyDescent="0.2">
      <c r="G7087" s="199"/>
      <c r="I7087" s="199"/>
      <c r="K7087" s="199"/>
      <c r="M7087" s="199"/>
      <c r="N7087" s="200"/>
      <c r="P7087" s="199"/>
    </row>
    <row r="7088" spans="7:16" x14ac:dyDescent="0.2">
      <c r="G7088" s="199"/>
      <c r="I7088" s="199"/>
      <c r="K7088" s="199"/>
      <c r="M7088" s="199"/>
      <c r="N7088" s="200"/>
      <c r="P7088" s="199"/>
    </row>
    <row r="7089" spans="7:16" x14ac:dyDescent="0.2">
      <c r="G7089" s="199"/>
      <c r="I7089" s="199"/>
      <c r="K7089" s="199"/>
      <c r="M7089" s="199"/>
      <c r="N7089" s="200"/>
      <c r="P7089" s="199"/>
    </row>
    <row r="7090" spans="7:16" x14ac:dyDescent="0.2">
      <c r="G7090" s="199"/>
      <c r="I7090" s="199"/>
      <c r="K7090" s="199"/>
      <c r="M7090" s="199"/>
      <c r="N7090" s="200"/>
      <c r="P7090" s="199"/>
    </row>
    <row r="7091" spans="7:16" x14ac:dyDescent="0.2">
      <c r="G7091" s="199"/>
      <c r="I7091" s="199"/>
      <c r="K7091" s="199"/>
      <c r="M7091" s="199"/>
      <c r="N7091" s="200"/>
      <c r="P7091" s="199"/>
    </row>
    <row r="7092" spans="7:16" x14ac:dyDescent="0.2">
      <c r="G7092" s="199"/>
      <c r="I7092" s="199"/>
      <c r="K7092" s="199"/>
      <c r="M7092" s="199"/>
      <c r="N7092" s="200"/>
      <c r="P7092" s="199"/>
    </row>
    <row r="7093" spans="7:16" x14ac:dyDescent="0.2">
      <c r="G7093" s="199"/>
      <c r="I7093" s="199"/>
      <c r="K7093" s="199"/>
      <c r="M7093" s="199"/>
      <c r="N7093" s="200"/>
      <c r="P7093" s="199"/>
    </row>
    <row r="7094" spans="7:16" x14ac:dyDescent="0.2">
      <c r="G7094" s="199"/>
      <c r="I7094" s="199"/>
      <c r="K7094" s="199"/>
      <c r="M7094" s="199"/>
      <c r="N7094" s="200"/>
      <c r="P7094" s="199"/>
    </row>
    <row r="7095" spans="7:16" x14ac:dyDescent="0.2">
      <c r="G7095" s="199"/>
      <c r="I7095" s="199"/>
      <c r="K7095" s="199"/>
      <c r="M7095" s="199"/>
      <c r="N7095" s="200"/>
      <c r="P7095" s="199"/>
    </row>
    <row r="7096" spans="7:16" x14ac:dyDescent="0.2">
      <c r="G7096" s="199"/>
      <c r="I7096" s="199"/>
      <c r="K7096" s="199"/>
      <c r="M7096" s="199"/>
      <c r="N7096" s="200"/>
      <c r="P7096" s="199"/>
    </row>
    <row r="7097" spans="7:16" x14ac:dyDescent="0.2">
      <c r="G7097" s="199"/>
      <c r="I7097" s="199"/>
      <c r="K7097" s="199"/>
      <c r="M7097" s="199"/>
      <c r="N7097" s="200"/>
      <c r="P7097" s="199"/>
    </row>
    <row r="7098" spans="7:16" x14ac:dyDescent="0.2">
      <c r="G7098" s="199"/>
      <c r="I7098" s="199"/>
      <c r="K7098" s="199"/>
      <c r="M7098" s="199"/>
      <c r="N7098" s="200"/>
      <c r="P7098" s="199"/>
    </row>
    <row r="7099" spans="7:16" x14ac:dyDescent="0.2">
      <c r="G7099" s="199"/>
      <c r="I7099" s="199"/>
      <c r="K7099" s="199"/>
      <c r="M7099" s="199"/>
      <c r="N7099" s="200"/>
      <c r="P7099" s="199"/>
    </row>
    <row r="7100" spans="7:16" x14ac:dyDescent="0.2">
      <c r="G7100" s="199"/>
      <c r="I7100" s="199"/>
      <c r="K7100" s="199"/>
      <c r="M7100" s="199"/>
      <c r="N7100" s="200"/>
      <c r="P7100" s="199"/>
    </row>
    <row r="7101" spans="7:16" x14ac:dyDescent="0.2">
      <c r="G7101" s="199"/>
      <c r="I7101" s="199"/>
      <c r="K7101" s="199"/>
      <c r="M7101" s="199"/>
      <c r="N7101" s="200"/>
      <c r="P7101" s="199"/>
    </row>
    <row r="7102" spans="7:16" x14ac:dyDescent="0.2">
      <c r="G7102" s="199"/>
      <c r="I7102" s="199"/>
      <c r="K7102" s="199"/>
      <c r="M7102" s="199"/>
      <c r="N7102" s="200"/>
      <c r="P7102" s="199"/>
    </row>
    <row r="7103" spans="7:16" x14ac:dyDescent="0.2">
      <c r="G7103" s="199"/>
      <c r="I7103" s="199"/>
      <c r="K7103" s="199"/>
      <c r="M7103" s="199"/>
      <c r="N7103" s="200"/>
      <c r="P7103" s="199"/>
    </row>
    <row r="7104" spans="7:16" x14ac:dyDescent="0.2">
      <c r="G7104" s="199"/>
      <c r="I7104" s="199"/>
      <c r="K7104" s="199"/>
      <c r="M7104" s="199"/>
      <c r="N7104" s="200"/>
      <c r="P7104" s="199"/>
    </row>
    <row r="7105" spans="7:16" x14ac:dyDescent="0.2">
      <c r="G7105" s="199"/>
      <c r="I7105" s="199"/>
      <c r="K7105" s="199"/>
      <c r="M7105" s="199"/>
      <c r="N7105" s="200"/>
      <c r="P7105" s="199"/>
    </row>
    <row r="7106" spans="7:16" x14ac:dyDescent="0.2">
      <c r="G7106" s="199"/>
      <c r="I7106" s="199"/>
      <c r="K7106" s="199"/>
      <c r="M7106" s="199"/>
      <c r="N7106" s="200"/>
      <c r="P7106" s="199"/>
    </row>
    <row r="7107" spans="7:16" x14ac:dyDescent="0.2">
      <c r="G7107" s="199"/>
      <c r="I7107" s="199"/>
      <c r="K7107" s="199"/>
      <c r="M7107" s="199"/>
      <c r="N7107" s="200"/>
      <c r="P7107" s="199"/>
    </row>
    <row r="7108" spans="7:16" x14ac:dyDescent="0.2">
      <c r="G7108" s="199"/>
      <c r="I7108" s="199"/>
      <c r="K7108" s="199"/>
      <c r="M7108" s="199"/>
      <c r="N7108" s="200"/>
      <c r="P7108" s="199"/>
    </row>
    <row r="7109" spans="7:16" x14ac:dyDescent="0.2">
      <c r="G7109" s="199"/>
      <c r="I7109" s="199"/>
      <c r="K7109" s="199"/>
      <c r="M7109" s="199"/>
      <c r="N7109" s="200"/>
      <c r="P7109" s="199"/>
    </row>
    <row r="7110" spans="7:16" x14ac:dyDescent="0.2">
      <c r="G7110" s="199"/>
      <c r="I7110" s="199"/>
      <c r="K7110" s="199"/>
      <c r="M7110" s="199"/>
      <c r="N7110" s="200"/>
      <c r="P7110" s="199"/>
    </row>
    <row r="7111" spans="7:16" x14ac:dyDescent="0.2">
      <c r="G7111" s="199"/>
      <c r="I7111" s="199"/>
      <c r="K7111" s="199"/>
      <c r="M7111" s="199"/>
      <c r="N7111" s="200"/>
      <c r="P7111" s="199"/>
    </row>
    <row r="7112" spans="7:16" x14ac:dyDescent="0.2">
      <c r="G7112" s="199"/>
      <c r="I7112" s="199"/>
      <c r="K7112" s="199"/>
      <c r="M7112" s="199"/>
      <c r="N7112" s="200"/>
      <c r="P7112" s="199"/>
    </row>
    <row r="7113" spans="7:16" x14ac:dyDescent="0.2">
      <c r="G7113" s="199"/>
      <c r="I7113" s="199"/>
      <c r="K7113" s="199"/>
      <c r="M7113" s="199"/>
      <c r="N7113" s="200"/>
      <c r="P7113" s="199"/>
    </row>
    <row r="7114" spans="7:16" x14ac:dyDescent="0.2">
      <c r="G7114" s="199"/>
      <c r="I7114" s="199"/>
      <c r="K7114" s="199"/>
      <c r="M7114" s="199"/>
      <c r="N7114" s="200"/>
      <c r="P7114" s="199"/>
    </row>
    <row r="7115" spans="7:16" x14ac:dyDescent="0.2">
      <c r="G7115" s="199"/>
      <c r="I7115" s="199"/>
      <c r="K7115" s="199"/>
      <c r="M7115" s="199"/>
      <c r="N7115" s="200"/>
      <c r="P7115" s="199"/>
    </row>
    <row r="7116" spans="7:16" x14ac:dyDescent="0.2">
      <c r="G7116" s="199"/>
      <c r="I7116" s="199"/>
      <c r="K7116" s="199"/>
      <c r="M7116" s="199"/>
      <c r="N7116" s="200"/>
      <c r="P7116" s="199"/>
    </row>
    <row r="7117" spans="7:16" x14ac:dyDescent="0.2">
      <c r="G7117" s="199"/>
      <c r="I7117" s="199"/>
      <c r="K7117" s="199"/>
      <c r="M7117" s="199"/>
      <c r="N7117" s="200"/>
      <c r="P7117" s="199"/>
    </row>
    <row r="7118" spans="7:16" x14ac:dyDescent="0.2">
      <c r="G7118" s="199"/>
      <c r="I7118" s="199"/>
      <c r="K7118" s="199"/>
      <c r="M7118" s="199"/>
      <c r="N7118" s="200"/>
      <c r="P7118" s="199"/>
    </row>
    <row r="7119" spans="7:16" x14ac:dyDescent="0.2">
      <c r="G7119" s="199"/>
      <c r="I7119" s="199"/>
      <c r="K7119" s="199"/>
      <c r="M7119" s="199"/>
      <c r="N7119" s="200"/>
      <c r="P7119" s="199"/>
    </row>
    <row r="7120" spans="7:16" x14ac:dyDescent="0.2">
      <c r="G7120" s="199"/>
      <c r="I7120" s="199"/>
      <c r="K7120" s="199"/>
      <c r="M7120" s="199"/>
      <c r="N7120" s="200"/>
      <c r="P7120" s="199"/>
    </row>
    <row r="7121" spans="7:16" x14ac:dyDescent="0.2">
      <c r="G7121" s="199"/>
      <c r="I7121" s="199"/>
      <c r="K7121" s="199"/>
      <c r="M7121" s="199"/>
      <c r="N7121" s="200"/>
      <c r="P7121" s="199"/>
    </row>
    <row r="7122" spans="7:16" x14ac:dyDescent="0.2">
      <c r="G7122" s="199"/>
      <c r="I7122" s="199"/>
      <c r="K7122" s="199"/>
      <c r="M7122" s="199"/>
      <c r="N7122" s="200"/>
      <c r="P7122" s="199"/>
    </row>
    <row r="7123" spans="7:16" x14ac:dyDescent="0.2">
      <c r="G7123" s="199"/>
      <c r="I7123" s="199"/>
      <c r="K7123" s="199"/>
      <c r="M7123" s="199"/>
      <c r="N7123" s="200"/>
      <c r="P7123" s="199"/>
    </row>
    <row r="7124" spans="7:16" x14ac:dyDescent="0.2">
      <c r="G7124" s="199"/>
      <c r="I7124" s="199"/>
      <c r="K7124" s="199"/>
      <c r="M7124" s="199"/>
      <c r="N7124" s="200"/>
      <c r="P7124" s="199"/>
    </row>
    <row r="7125" spans="7:16" x14ac:dyDescent="0.2">
      <c r="G7125" s="199"/>
      <c r="I7125" s="199"/>
      <c r="K7125" s="199"/>
      <c r="M7125" s="199"/>
      <c r="N7125" s="200"/>
      <c r="P7125" s="199"/>
    </row>
    <row r="7126" spans="7:16" x14ac:dyDescent="0.2">
      <c r="G7126" s="199"/>
      <c r="I7126" s="199"/>
      <c r="K7126" s="199"/>
      <c r="M7126" s="199"/>
      <c r="N7126" s="200"/>
      <c r="P7126" s="199"/>
    </row>
    <row r="7127" spans="7:16" x14ac:dyDescent="0.2">
      <c r="G7127" s="199"/>
      <c r="I7127" s="199"/>
      <c r="K7127" s="199"/>
      <c r="M7127" s="199"/>
      <c r="N7127" s="200"/>
      <c r="P7127" s="199"/>
    </row>
    <row r="7128" spans="7:16" x14ac:dyDescent="0.2">
      <c r="G7128" s="199"/>
      <c r="I7128" s="199"/>
      <c r="K7128" s="199"/>
      <c r="M7128" s="199"/>
      <c r="N7128" s="200"/>
      <c r="P7128" s="199"/>
    </row>
    <row r="7129" spans="7:16" x14ac:dyDescent="0.2">
      <c r="G7129" s="199"/>
      <c r="I7129" s="199"/>
      <c r="K7129" s="199"/>
      <c r="M7129" s="199"/>
      <c r="N7129" s="200"/>
      <c r="P7129" s="199"/>
    </row>
    <row r="7130" spans="7:16" x14ac:dyDescent="0.2">
      <c r="G7130" s="199"/>
      <c r="I7130" s="199"/>
      <c r="K7130" s="199"/>
      <c r="M7130" s="199"/>
      <c r="N7130" s="200"/>
      <c r="P7130" s="199"/>
    </row>
    <row r="7131" spans="7:16" x14ac:dyDescent="0.2">
      <c r="G7131" s="199"/>
      <c r="I7131" s="199"/>
      <c r="K7131" s="199"/>
      <c r="M7131" s="199"/>
      <c r="N7131" s="200"/>
      <c r="P7131" s="199"/>
    </row>
    <row r="7132" spans="7:16" x14ac:dyDescent="0.2">
      <c r="G7132" s="199"/>
      <c r="I7132" s="199"/>
      <c r="K7132" s="199"/>
      <c r="M7132" s="199"/>
      <c r="N7132" s="200"/>
      <c r="P7132" s="199"/>
    </row>
    <row r="7133" spans="7:16" x14ac:dyDescent="0.2">
      <c r="G7133" s="199"/>
      <c r="I7133" s="199"/>
      <c r="K7133" s="199"/>
      <c r="M7133" s="199"/>
      <c r="N7133" s="200"/>
      <c r="P7133" s="199"/>
    </row>
    <row r="7134" spans="7:16" x14ac:dyDescent="0.2">
      <c r="G7134" s="199"/>
      <c r="I7134" s="199"/>
      <c r="K7134" s="199"/>
      <c r="M7134" s="199"/>
      <c r="N7134" s="200"/>
      <c r="P7134" s="199"/>
    </row>
    <row r="7135" spans="7:16" x14ac:dyDescent="0.2">
      <c r="G7135" s="199"/>
      <c r="I7135" s="199"/>
      <c r="K7135" s="199"/>
      <c r="M7135" s="199"/>
      <c r="N7135" s="200"/>
      <c r="P7135" s="199"/>
    </row>
    <row r="7136" spans="7:16" x14ac:dyDescent="0.2">
      <c r="G7136" s="199"/>
      <c r="I7136" s="199"/>
      <c r="K7136" s="199"/>
      <c r="M7136" s="199"/>
      <c r="N7136" s="200"/>
      <c r="P7136" s="199"/>
    </row>
    <row r="7137" spans="7:16" x14ac:dyDescent="0.2">
      <c r="G7137" s="199"/>
      <c r="I7137" s="199"/>
      <c r="K7137" s="199"/>
      <c r="M7137" s="199"/>
      <c r="N7137" s="200"/>
      <c r="P7137" s="199"/>
    </row>
    <row r="7138" spans="7:16" x14ac:dyDescent="0.2">
      <c r="G7138" s="199"/>
      <c r="I7138" s="199"/>
      <c r="K7138" s="199"/>
      <c r="M7138" s="199"/>
      <c r="N7138" s="200"/>
      <c r="P7138" s="199"/>
    </row>
    <row r="7139" spans="7:16" x14ac:dyDescent="0.2">
      <c r="G7139" s="199"/>
      <c r="I7139" s="199"/>
      <c r="K7139" s="199"/>
      <c r="M7139" s="199"/>
      <c r="N7139" s="200"/>
      <c r="P7139" s="199"/>
    </row>
    <row r="7140" spans="7:16" x14ac:dyDescent="0.2">
      <c r="G7140" s="199"/>
      <c r="I7140" s="199"/>
      <c r="K7140" s="199"/>
      <c r="M7140" s="199"/>
      <c r="N7140" s="200"/>
      <c r="P7140" s="199"/>
    </row>
    <row r="7141" spans="7:16" x14ac:dyDescent="0.2">
      <c r="G7141" s="199"/>
      <c r="I7141" s="199"/>
      <c r="K7141" s="199"/>
      <c r="M7141" s="199"/>
      <c r="N7141" s="200"/>
      <c r="P7141" s="199"/>
    </row>
    <row r="7142" spans="7:16" x14ac:dyDescent="0.2">
      <c r="G7142" s="199"/>
      <c r="I7142" s="199"/>
      <c r="K7142" s="199"/>
      <c r="M7142" s="199"/>
      <c r="N7142" s="200"/>
      <c r="P7142" s="199"/>
    </row>
    <row r="7143" spans="7:16" x14ac:dyDescent="0.2">
      <c r="G7143" s="199"/>
      <c r="I7143" s="199"/>
      <c r="K7143" s="199"/>
      <c r="M7143" s="199"/>
      <c r="N7143" s="200"/>
      <c r="P7143" s="199"/>
    </row>
    <row r="7144" spans="7:16" x14ac:dyDescent="0.2">
      <c r="G7144" s="199"/>
      <c r="I7144" s="199"/>
      <c r="K7144" s="199"/>
      <c r="M7144" s="199"/>
      <c r="N7144" s="200"/>
      <c r="P7144" s="199"/>
    </row>
    <row r="7145" spans="7:16" x14ac:dyDescent="0.2">
      <c r="G7145" s="199"/>
      <c r="I7145" s="199"/>
      <c r="K7145" s="199"/>
      <c r="M7145" s="199"/>
      <c r="N7145" s="200"/>
      <c r="P7145" s="199"/>
    </row>
    <row r="7146" spans="7:16" x14ac:dyDescent="0.2">
      <c r="G7146" s="199"/>
      <c r="I7146" s="199"/>
      <c r="K7146" s="199"/>
      <c r="M7146" s="199"/>
      <c r="N7146" s="200"/>
      <c r="P7146" s="199"/>
    </row>
    <row r="7147" spans="7:16" x14ac:dyDescent="0.2">
      <c r="G7147" s="199"/>
      <c r="I7147" s="199"/>
      <c r="K7147" s="199"/>
      <c r="M7147" s="199"/>
      <c r="N7147" s="200"/>
      <c r="P7147" s="199"/>
    </row>
    <row r="7148" spans="7:16" x14ac:dyDescent="0.2">
      <c r="G7148" s="199"/>
      <c r="I7148" s="199"/>
      <c r="K7148" s="199"/>
      <c r="M7148" s="199"/>
      <c r="N7148" s="200"/>
      <c r="P7148" s="199"/>
    </row>
    <row r="7149" spans="7:16" x14ac:dyDescent="0.2">
      <c r="G7149" s="199"/>
      <c r="I7149" s="199"/>
      <c r="K7149" s="199"/>
      <c r="M7149" s="199"/>
      <c r="N7149" s="200"/>
      <c r="P7149" s="199"/>
    </row>
    <row r="7150" spans="7:16" x14ac:dyDescent="0.2">
      <c r="G7150" s="199"/>
      <c r="I7150" s="199"/>
      <c r="K7150" s="199"/>
      <c r="M7150" s="199"/>
      <c r="N7150" s="200"/>
      <c r="P7150" s="199"/>
    </row>
    <row r="7151" spans="7:16" x14ac:dyDescent="0.2">
      <c r="G7151" s="199"/>
      <c r="I7151" s="199"/>
      <c r="K7151" s="199"/>
      <c r="M7151" s="199"/>
      <c r="N7151" s="200"/>
      <c r="P7151" s="199"/>
    </row>
    <row r="7152" spans="7:16" x14ac:dyDescent="0.2">
      <c r="G7152" s="199"/>
      <c r="I7152" s="199"/>
      <c r="K7152" s="199"/>
      <c r="M7152" s="199"/>
      <c r="N7152" s="200"/>
      <c r="P7152" s="199"/>
    </row>
    <row r="7153" spans="7:16" x14ac:dyDescent="0.2">
      <c r="G7153" s="199"/>
      <c r="I7153" s="199"/>
      <c r="K7153" s="199"/>
      <c r="M7153" s="199"/>
      <c r="N7153" s="200"/>
      <c r="P7153" s="199"/>
    </row>
    <row r="7154" spans="7:16" x14ac:dyDescent="0.2">
      <c r="G7154" s="199"/>
      <c r="I7154" s="199"/>
      <c r="K7154" s="199"/>
      <c r="M7154" s="199"/>
      <c r="N7154" s="200"/>
      <c r="P7154" s="199"/>
    </row>
    <row r="7155" spans="7:16" x14ac:dyDescent="0.2">
      <c r="G7155" s="199"/>
      <c r="I7155" s="199"/>
      <c r="K7155" s="199"/>
      <c r="M7155" s="199"/>
      <c r="N7155" s="200"/>
      <c r="P7155" s="199"/>
    </row>
    <row r="7156" spans="7:16" x14ac:dyDescent="0.2">
      <c r="G7156" s="199"/>
      <c r="I7156" s="199"/>
      <c r="K7156" s="199"/>
      <c r="M7156" s="199"/>
      <c r="N7156" s="200"/>
      <c r="P7156" s="199"/>
    </row>
    <row r="7157" spans="7:16" x14ac:dyDescent="0.2">
      <c r="G7157" s="199"/>
      <c r="I7157" s="199"/>
      <c r="K7157" s="199"/>
      <c r="M7157" s="199"/>
      <c r="N7157" s="200"/>
      <c r="P7157" s="199"/>
    </row>
    <row r="7158" spans="7:16" x14ac:dyDescent="0.2">
      <c r="G7158" s="199"/>
      <c r="I7158" s="199"/>
      <c r="K7158" s="199"/>
      <c r="M7158" s="199"/>
      <c r="N7158" s="200"/>
      <c r="P7158" s="199"/>
    </row>
    <row r="7159" spans="7:16" x14ac:dyDescent="0.2">
      <c r="G7159" s="199"/>
      <c r="I7159" s="199"/>
      <c r="K7159" s="199"/>
      <c r="M7159" s="199"/>
      <c r="N7159" s="200"/>
      <c r="P7159" s="199"/>
    </row>
    <row r="7160" spans="7:16" x14ac:dyDescent="0.2">
      <c r="G7160" s="199"/>
      <c r="I7160" s="199"/>
      <c r="K7160" s="199"/>
      <c r="M7160" s="199"/>
      <c r="N7160" s="200"/>
      <c r="P7160" s="199"/>
    </row>
    <row r="7161" spans="7:16" x14ac:dyDescent="0.2">
      <c r="G7161" s="199"/>
      <c r="I7161" s="199"/>
      <c r="K7161" s="199"/>
      <c r="M7161" s="199"/>
      <c r="N7161" s="200"/>
      <c r="P7161" s="199"/>
    </row>
    <row r="7162" spans="7:16" x14ac:dyDescent="0.2">
      <c r="G7162" s="199"/>
      <c r="I7162" s="199"/>
      <c r="K7162" s="199"/>
      <c r="M7162" s="199"/>
      <c r="N7162" s="200"/>
      <c r="P7162" s="199"/>
    </row>
    <row r="7163" spans="7:16" x14ac:dyDescent="0.2">
      <c r="G7163" s="199"/>
      <c r="I7163" s="199"/>
      <c r="K7163" s="199"/>
      <c r="M7163" s="199"/>
      <c r="N7163" s="200"/>
      <c r="P7163" s="199"/>
    </row>
    <row r="7164" spans="7:16" x14ac:dyDescent="0.2">
      <c r="G7164" s="199"/>
      <c r="I7164" s="199"/>
      <c r="K7164" s="199"/>
      <c r="M7164" s="199"/>
      <c r="N7164" s="200"/>
      <c r="P7164" s="199"/>
    </row>
    <row r="7165" spans="7:16" x14ac:dyDescent="0.2">
      <c r="G7165" s="199"/>
      <c r="I7165" s="199"/>
      <c r="K7165" s="199"/>
      <c r="M7165" s="199"/>
      <c r="N7165" s="200"/>
      <c r="P7165" s="199"/>
    </row>
    <row r="7166" spans="7:16" x14ac:dyDescent="0.2">
      <c r="G7166" s="199"/>
      <c r="I7166" s="199"/>
      <c r="K7166" s="199"/>
      <c r="M7166" s="199"/>
      <c r="N7166" s="200"/>
      <c r="P7166" s="199"/>
    </row>
    <row r="7167" spans="7:16" x14ac:dyDescent="0.2">
      <c r="G7167" s="199"/>
      <c r="I7167" s="199"/>
      <c r="K7167" s="199"/>
      <c r="M7167" s="199"/>
      <c r="N7167" s="200"/>
      <c r="P7167" s="199"/>
    </row>
    <row r="7168" spans="7:16" x14ac:dyDescent="0.2">
      <c r="G7168" s="199"/>
      <c r="I7168" s="199"/>
      <c r="K7168" s="199"/>
      <c r="M7168" s="199"/>
      <c r="N7168" s="200"/>
      <c r="P7168" s="199"/>
    </row>
    <row r="7169" spans="7:16" x14ac:dyDescent="0.2">
      <c r="G7169" s="199"/>
      <c r="I7169" s="199"/>
      <c r="K7169" s="199"/>
      <c r="M7169" s="199"/>
      <c r="N7169" s="200"/>
      <c r="P7169" s="199"/>
    </row>
    <row r="7170" spans="7:16" x14ac:dyDescent="0.2">
      <c r="G7170" s="199"/>
      <c r="I7170" s="199"/>
      <c r="K7170" s="199"/>
      <c r="M7170" s="199"/>
      <c r="N7170" s="200"/>
      <c r="P7170" s="199"/>
    </row>
    <row r="7171" spans="7:16" x14ac:dyDescent="0.2">
      <c r="G7171" s="199"/>
      <c r="I7171" s="199"/>
      <c r="K7171" s="199"/>
      <c r="M7171" s="199"/>
      <c r="N7171" s="200"/>
      <c r="P7171" s="199"/>
    </row>
    <row r="7172" spans="7:16" x14ac:dyDescent="0.2">
      <c r="G7172" s="199"/>
      <c r="I7172" s="199"/>
      <c r="K7172" s="199"/>
      <c r="M7172" s="199"/>
      <c r="N7172" s="200"/>
      <c r="P7172" s="199"/>
    </row>
    <row r="7173" spans="7:16" x14ac:dyDescent="0.2">
      <c r="G7173" s="199"/>
      <c r="I7173" s="199"/>
      <c r="K7173" s="199"/>
      <c r="M7173" s="199"/>
      <c r="N7173" s="200"/>
      <c r="P7173" s="199"/>
    </row>
    <row r="7174" spans="7:16" x14ac:dyDescent="0.2">
      <c r="G7174" s="199"/>
      <c r="I7174" s="199"/>
      <c r="K7174" s="199"/>
      <c r="M7174" s="199"/>
      <c r="N7174" s="200"/>
      <c r="P7174" s="199"/>
    </row>
    <row r="7175" spans="7:16" x14ac:dyDescent="0.2">
      <c r="G7175" s="199"/>
      <c r="I7175" s="199"/>
      <c r="K7175" s="199"/>
      <c r="M7175" s="199"/>
      <c r="N7175" s="200"/>
      <c r="P7175" s="199"/>
    </row>
    <row r="7176" spans="7:16" x14ac:dyDescent="0.2">
      <c r="G7176" s="199"/>
      <c r="I7176" s="199"/>
      <c r="K7176" s="199"/>
      <c r="M7176" s="199"/>
      <c r="N7176" s="200"/>
      <c r="P7176" s="199"/>
    </row>
    <row r="7177" spans="7:16" x14ac:dyDescent="0.2">
      <c r="G7177" s="199"/>
      <c r="I7177" s="199"/>
      <c r="K7177" s="199"/>
      <c r="M7177" s="199"/>
      <c r="N7177" s="200"/>
      <c r="P7177" s="199"/>
    </row>
    <row r="7178" spans="7:16" x14ac:dyDescent="0.2">
      <c r="G7178" s="199"/>
      <c r="I7178" s="199"/>
      <c r="K7178" s="199"/>
      <c r="M7178" s="199"/>
      <c r="N7178" s="200"/>
      <c r="P7178" s="199"/>
    </row>
    <row r="7179" spans="7:16" x14ac:dyDescent="0.2">
      <c r="G7179" s="199"/>
      <c r="I7179" s="199"/>
      <c r="K7179" s="199"/>
      <c r="M7179" s="199"/>
      <c r="N7179" s="200"/>
      <c r="P7179" s="199"/>
    </row>
    <row r="7180" spans="7:16" x14ac:dyDescent="0.2">
      <c r="G7180" s="199"/>
      <c r="I7180" s="199"/>
      <c r="K7180" s="199"/>
      <c r="M7180" s="199"/>
      <c r="N7180" s="200"/>
      <c r="P7180" s="199"/>
    </row>
    <row r="7181" spans="7:16" x14ac:dyDescent="0.2">
      <c r="G7181" s="199"/>
      <c r="I7181" s="199"/>
      <c r="K7181" s="199"/>
      <c r="M7181" s="199"/>
      <c r="N7181" s="200"/>
      <c r="P7181" s="199"/>
    </row>
    <row r="7182" spans="7:16" x14ac:dyDescent="0.2">
      <c r="G7182" s="199"/>
      <c r="I7182" s="199"/>
      <c r="K7182" s="199"/>
      <c r="M7182" s="199"/>
      <c r="N7182" s="200"/>
      <c r="P7182" s="199"/>
    </row>
    <row r="7183" spans="7:16" x14ac:dyDescent="0.2">
      <c r="G7183" s="199"/>
      <c r="I7183" s="199"/>
      <c r="K7183" s="199"/>
      <c r="M7183" s="199"/>
      <c r="N7183" s="200"/>
      <c r="P7183" s="199"/>
    </row>
    <row r="7184" spans="7:16" x14ac:dyDescent="0.2">
      <c r="G7184" s="199"/>
      <c r="I7184" s="199"/>
      <c r="K7184" s="199"/>
      <c r="M7184" s="199"/>
      <c r="N7184" s="200"/>
      <c r="P7184" s="199"/>
    </row>
    <row r="7185" spans="7:16" x14ac:dyDescent="0.2">
      <c r="G7185" s="199"/>
      <c r="I7185" s="199"/>
      <c r="K7185" s="199"/>
      <c r="M7185" s="199"/>
      <c r="N7185" s="200"/>
      <c r="P7185" s="199"/>
    </row>
    <row r="7186" spans="7:16" x14ac:dyDescent="0.2">
      <c r="G7186" s="199"/>
      <c r="I7186" s="199"/>
      <c r="K7186" s="199"/>
      <c r="M7186" s="199"/>
      <c r="N7186" s="200"/>
      <c r="P7186" s="199"/>
    </row>
    <row r="7187" spans="7:16" x14ac:dyDescent="0.2">
      <c r="G7187" s="199"/>
      <c r="I7187" s="199"/>
      <c r="K7187" s="199"/>
      <c r="M7187" s="199"/>
      <c r="N7187" s="200"/>
      <c r="P7187" s="199"/>
    </row>
    <row r="7188" spans="7:16" x14ac:dyDescent="0.2">
      <c r="G7188" s="199"/>
      <c r="I7188" s="199"/>
      <c r="K7188" s="199"/>
      <c r="M7188" s="199"/>
      <c r="N7188" s="200"/>
      <c r="P7188" s="199"/>
    </row>
    <row r="7189" spans="7:16" x14ac:dyDescent="0.2">
      <c r="G7189" s="199"/>
      <c r="I7189" s="199"/>
      <c r="K7189" s="199"/>
      <c r="M7189" s="199"/>
      <c r="N7189" s="200"/>
      <c r="P7189" s="199"/>
    </row>
    <row r="7190" spans="7:16" x14ac:dyDescent="0.2">
      <c r="G7190" s="199"/>
      <c r="I7190" s="199"/>
      <c r="K7190" s="199"/>
      <c r="M7190" s="199"/>
      <c r="N7190" s="200"/>
      <c r="P7190" s="199"/>
    </row>
    <row r="7191" spans="7:16" x14ac:dyDescent="0.2">
      <c r="G7191" s="199"/>
      <c r="I7191" s="199"/>
      <c r="K7191" s="199"/>
      <c r="M7191" s="199"/>
      <c r="N7191" s="200"/>
      <c r="P7191" s="199"/>
    </row>
    <row r="7192" spans="7:16" x14ac:dyDescent="0.2">
      <c r="G7192" s="199"/>
      <c r="I7192" s="199"/>
      <c r="K7192" s="199"/>
      <c r="M7192" s="199"/>
      <c r="N7192" s="200"/>
      <c r="P7192" s="199"/>
    </row>
    <row r="7193" spans="7:16" x14ac:dyDescent="0.2">
      <c r="G7193" s="199"/>
      <c r="I7193" s="199"/>
      <c r="K7193" s="199"/>
      <c r="M7193" s="199"/>
      <c r="N7193" s="200"/>
      <c r="P7193" s="199"/>
    </row>
    <row r="7194" spans="7:16" x14ac:dyDescent="0.2">
      <c r="G7194" s="199"/>
      <c r="I7194" s="199"/>
      <c r="K7194" s="199"/>
      <c r="M7194" s="199"/>
      <c r="N7194" s="200"/>
      <c r="P7194" s="199"/>
    </row>
    <row r="7195" spans="7:16" x14ac:dyDescent="0.2">
      <c r="G7195" s="199"/>
      <c r="I7195" s="199"/>
      <c r="K7195" s="199"/>
      <c r="M7195" s="199"/>
      <c r="N7195" s="200"/>
      <c r="P7195" s="199"/>
    </row>
    <row r="7196" spans="7:16" x14ac:dyDescent="0.2">
      <c r="G7196" s="199"/>
      <c r="I7196" s="199"/>
      <c r="K7196" s="199"/>
      <c r="M7196" s="199"/>
      <c r="N7196" s="200"/>
      <c r="P7196" s="199"/>
    </row>
    <row r="7197" spans="7:16" x14ac:dyDescent="0.2">
      <c r="G7197" s="199"/>
      <c r="I7197" s="199"/>
      <c r="K7197" s="199"/>
      <c r="M7197" s="199"/>
      <c r="N7197" s="200"/>
      <c r="P7197" s="199"/>
    </row>
    <row r="7198" spans="7:16" x14ac:dyDescent="0.2">
      <c r="G7198" s="199"/>
      <c r="I7198" s="199"/>
      <c r="K7198" s="199"/>
      <c r="M7198" s="199"/>
      <c r="N7198" s="200"/>
      <c r="P7198" s="199"/>
    </row>
    <row r="7199" spans="7:16" x14ac:dyDescent="0.2">
      <c r="G7199" s="199"/>
      <c r="I7199" s="199"/>
      <c r="K7199" s="199"/>
      <c r="M7199" s="199"/>
      <c r="N7199" s="200"/>
      <c r="P7199" s="199"/>
    </row>
    <row r="7200" spans="7:16" x14ac:dyDescent="0.2">
      <c r="G7200" s="199"/>
      <c r="I7200" s="199"/>
      <c r="K7200" s="199"/>
      <c r="M7200" s="199"/>
      <c r="N7200" s="200"/>
      <c r="P7200" s="199"/>
    </row>
    <row r="7201" spans="7:16" x14ac:dyDescent="0.2">
      <c r="G7201" s="199"/>
      <c r="I7201" s="199"/>
      <c r="K7201" s="199"/>
      <c r="M7201" s="199"/>
      <c r="N7201" s="200"/>
      <c r="P7201" s="199"/>
    </row>
    <row r="7202" spans="7:16" x14ac:dyDescent="0.2">
      <c r="G7202" s="199"/>
      <c r="I7202" s="199"/>
      <c r="K7202" s="199"/>
      <c r="M7202" s="199"/>
      <c r="N7202" s="200"/>
      <c r="P7202" s="199"/>
    </row>
    <row r="7203" spans="7:16" x14ac:dyDescent="0.2">
      <c r="G7203" s="199"/>
      <c r="I7203" s="199"/>
      <c r="K7203" s="199"/>
      <c r="M7203" s="199"/>
      <c r="N7203" s="200"/>
      <c r="P7203" s="199"/>
    </row>
    <row r="7204" spans="7:16" x14ac:dyDescent="0.2">
      <c r="G7204" s="199"/>
      <c r="I7204" s="199"/>
      <c r="K7204" s="199"/>
      <c r="M7204" s="199"/>
      <c r="N7204" s="200"/>
      <c r="P7204" s="199"/>
    </row>
    <row r="7205" spans="7:16" x14ac:dyDescent="0.2">
      <c r="G7205" s="199"/>
      <c r="I7205" s="199"/>
      <c r="K7205" s="199"/>
      <c r="M7205" s="199"/>
      <c r="N7205" s="200"/>
      <c r="P7205" s="199"/>
    </row>
    <row r="7206" spans="7:16" x14ac:dyDescent="0.2">
      <c r="G7206" s="199"/>
      <c r="I7206" s="199"/>
      <c r="K7206" s="199"/>
      <c r="M7206" s="199"/>
      <c r="N7206" s="200"/>
      <c r="P7206" s="199"/>
    </row>
    <row r="7207" spans="7:16" x14ac:dyDescent="0.2">
      <c r="G7207" s="199"/>
      <c r="I7207" s="199"/>
      <c r="K7207" s="199"/>
      <c r="M7207" s="199"/>
      <c r="N7207" s="200"/>
      <c r="P7207" s="199"/>
    </row>
    <row r="7208" spans="7:16" x14ac:dyDescent="0.2">
      <c r="G7208" s="199"/>
      <c r="I7208" s="199"/>
      <c r="K7208" s="199"/>
      <c r="M7208" s="199"/>
      <c r="N7208" s="200"/>
      <c r="P7208" s="199"/>
    </row>
    <row r="7209" spans="7:16" x14ac:dyDescent="0.2">
      <c r="G7209" s="199"/>
      <c r="I7209" s="199"/>
      <c r="K7209" s="199"/>
      <c r="M7209" s="199"/>
      <c r="N7209" s="200"/>
      <c r="P7209" s="199"/>
    </row>
    <row r="7210" spans="7:16" x14ac:dyDescent="0.2">
      <c r="G7210" s="199"/>
      <c r="I7210" s="199"/>
      <c r="K7210" s="199"/>
      <c r="M7210" s="199"/>
      <c r="N7210" s="200"/>
      <c r="P7210" s="199"/>
    </row>
    <row r="7211" spans="7:16" x14ac:dyDescent="0.2">
      <c r="G7211" s="199"/>
      <c r="I7211" s="199"/>
      <c r="K7211" s="199"/>
      <c r="M7211" s="199"/>
      <c r="N7211" s="200"/>
      <c r="P7211" s="199"/>
    </row>
    <row r="7212" spans="7:16" x14ac:dyDescent="0.2">
      <c r="G7212" s="199"/>
      <c r="I7212" s="199"/>
      <c r="K7212" s="199"/>
      <c r="M7212" s="199"/>
      <c r="N7212" s="200"/>
      <c r="P7212" s="199"/>
    </row>
    <row r="7213" spans="7:16" x14ac:dyDescent="0.2">
      <c r="G7213" s="199"/>
      <c r="I7213" s="199"/>
      <c r="K7213" s="199"/>
      <c r="M7213" s="199"/>
      <c r="N7213" s="200"/>
      <c r="P7213" s="199"/>
    </row>
    <row r="7214" spans="7:16" x14ac:dyDescent="0.2">
      <c r="G7214" s="199"/>
      <c r="I7214" s="199"/>
      <c r="K7214" s="199"/>
      <c r="M7214" s="199"/>
      <c r="N7214" s="200"/>
      <c r="P7214" s="199"/>
    </row>
    <row r="7215" spans="7:16" x14ac:dyDescent="0.2">
      <c r="G7215" s="199"/>
      <c r="I7215" s="199"/>
      <c r="K7215" s="199"/>
      <c r="M7215" s="199"/>
      <c r="N7215" s="200"/>
      <c r="P7215" s="199"/>
    </row>
    <row r="7216" spans="7:16" x14ac:dyDescent="0.2">
      <c r="G7216" s="199"/>
      <c r="I7216" s="199"/>
      <c r="K7216" s="199"/>
      <c r="M7216" s="199"/>
      <c r="N7216" s="200"/>
      <c r="P7216" s="199"/>
    </row>
    <row r="7217" spans="7:16" x14ac:dyDescent="0.2">
      <c r="G7217" s="199"/>
      <c r="I7217" s="199"/>
      <c r="K7217" s="199"/>
      <c r="M7217" s="199"/>
      <c r="N7217" s="200"/>
      <c r="P7217" s="199"/>
    </row>
    <row r="7218" spans="7:16" x14ac:dyDescent="0.2">
      <c r="G7218" s="199"/>
      <c r="I7218" s="199"/>
      <c r="K7218" s="199"/>
      <c r="M7218" s="199"/>
      <c r="N7218" s="200"/>
      <c r="P7218" s="199"/>
    </row>
    <row r="7219" spans="7:16" x14ac:dyDescent="0.2">
      <c r="G7219" s="199"/>
      <c r="I7219" s="199"/>
      <c r="K7219" s="199"/>
      <c r="M7219" s="199"/>
      <c r="N7219" s="200"/>
      <c r="P7219" s="199"/>
    </row>
    <row r="7220" spans="7:16" x14ac:dyDescent="0.2">
      <c r="G7220" s="199"/>
      <c r="I7220" s="199"/>
      <c r="K7220" s="199"/>
      <c r="M7220" s="199"/>
      <c r="N7220" s="200"/>
      <c r="P7220" s="199"/>
    </row>
    <row r="7221" spans="7:16" x14ac:dyDescent="0.2">
      <c r="G7221" s="199"/>
      <c r="I7221" s="199"/>
      <c r="K7221" s="199"/>
      <c r="M7221" s="199"/>
      <c r="N7221" s="200"/>
      <c r="P7221" s="199"/>
    </row>
    <row r="7222" spans="7:16" x14ac:dyDescent="0.2">
      <c r="G7222" s="199"/>
      <c r="I7222" s="199"/>
      <c r="K7222" s="199"/>
      <c r="M7222" s="199"/>
      <c r="N7222" s="200"/>
      <c r="P7222" s="199"/>
    </row>
    <row r="7223" spans="7:16" x14ac:dyDescent="0.2">
      <c r="G7223" s="199"/>
      <c r="I7223" s="199"/>
      <c r="K7223" s="199"/>
      <c r="M7223" s="199"/>
      <c r="N7223" s="200"/>
      <c r="P7223" s="199"/>
    </row>
    <row r="7224" spans="7:16" x14ac:dyDescent="0.2">
      <c r="G7224" s="199"/>
      <c r="I7224" s="199"/>
      <c r="K7224" s="199"/>
      <c r="M7224" s="199"/>
      <c r="N7224" s="200"/>
      <c r="P7224" s="199"/>
    </row>
    <row r="7225" spans="7:16" x14ac:dyDescent="0.2">
      <c r="G7225" s="199"/>
      <c r="I7225" s="199"/>
      <c r="K7225" s="199"/>
      <c r="M7225" s="199"/>
      <c r="N7225" s="200"/>
      <c r="P7225" s="199"/>
    </row>
    <row r="7226" spans="7:16" x14ac:dyDescent="0.2">
      <c r="G7226" s="199"/>
      <c r="I7226" s="199"/>
      <c r="K7226" s="199"/>
      <c r="M7226" s="199"/>
      <c r="N7226" s="200"/>
      <c r="P7226" s="199"/>
    </row>
    <row r="7227" spans="7:16" x14ac:dyDescent="0.2">
      <c r="G7227" s="199"/>
      <c r="I7227" s="199"/>
      <c r="K7227" s="199"/>
      <c r="M7227" s="199"/>
      <c r="N7227" s="200"/>
      <c r="P7227" s="199"/>
    </row>
    <row r="7228" spans="7:16" x14ac:dyDescent="0.2">
      <c r="G7228" s="199"/>
      <c r="I7228" s="199"/>
      <c r="K7228" s="199"/>
      <c r="M7228" s="199"/>
      <c r="N7228" s="200"/>
      <c r="P7228" s="199"/>
    </row>
    <row r="7229" spans="7:16" x14ac:dyDescent="0.2">
      <c r="G7229" s="199"/>
      <c r="I7229" s="199"/>
      <c r="K7229" s="199"/>
      <c r="M7229" s="199"/>
      <c r="N7229" s="200"/>
      <c r="P7229" s="199"/>
    </row>
    <row r="7230" spans="7:16" x14ac:dyDescent="0.2">
      <c r="G7230" s="199"/>
      <c r="I7230" s="199"/>
      <c r="K7230" s="199"/>
      <c r="M7230" s="199"/>
      <c r="N7230" s="200"/>
      <c r="P7230" s="199"/>
    </row>
    <row r="7231" spans="7:16" x14ac:dyDescent="0.2">
      <c r="G7231" s="199"/>
      <c r="I7231" s="199"/>
      <c r="K7231" s="199"/>
      <c r="M7231" s="199"/>
      <c r="N7231" s="200"/>
      <c r="P7231" s="199"/>
    </row>
    <row r="7232" spans="7:16" x14ac:dyDescent="0.2">
      <c r="G7232" s="199"/>
      <c r="I7232" s="199"/>
      <c r="K7232" s="199"/>
      <c r="M7232" s="199"/>
      <c r="N7232" s="200"/>
      <c r="P7232" s="199"/>
    </row>
    <row r="7233" spans="7:16" x14ac:dyDescent="0.2">
      <c r="G7233" s="199"/>
      <c r="I7233" s="199"/>
      <c r="K7233" s="199"/>
      <c r="M7233" s="199"/>
      <c r="N7233" s="200"/>
      <c r="P7233" s="199"/>
    </row>
    <row r="7234" spans="7:16" x14ac:dyDescent="0.2">
      <c r="G7234" s="199"/>
      <c r="I7234" s="199"/>
      <c r="K7234" s="199"/>
      <c r="M7234" s="199"/>
      <c r="N7234" s="200"/>
      <c r="P7234" s="199"/>
    </row>
    <row r="7235" spans="7:16" x14ac:dyDescent="0.2">
      <c r="G7235" s="199"/>
      <c r="I7235" s="199"/>
      <c r="K7235" s="199"/>
      <c r="M7235" s="199"/>
      <c r="N7235" s="200"/>
      <c r="P7235" s="199"/>
    </row>
    <row r="7236" spans="7:16" x14ac:dyDescent="0.2">
      <c r="G7236" s="199"/>
      <c r="I7236" s="199"/>
      <c r="K7236" s="199"/>
      <c r="M7236" s="199"/>
      <c r="N7236" s="200"/>
      <c r="P7236" s="199"/>
    </row>
    <row r="7237" spans="7:16" x14ac:dyDescent="0.2">
      <c r="G7237" s="199"/>
      <c r="I7237" s="199"/>
      <c r="K7237" s="199"/>
      <c r="M7237" s="199"/>
      <c r="N7237" s="200"/>
      <c r="P7237" s="199"/>
    </row>
    <row r="7238" spans="7:16" x14ac:dyDescent="0.2">
      <c r="G7238" s="199"/>
      <c r="I7238" s="199"/>
      <c r="K7238" s="199"/>
      <c r="M7238" s="199"/>
      <c r="N7238" s="200"/>
      <c r="P7238" s="199"/>
    </row>
    <row r="7239" spans="7:16" x14ac:dyDescent="0.2">
      <c r="G7239" s="199"/>
      <c r="I7239" s="199"/>
      <c r="K7239" s="199"/>
      <c r="M7239" s="199"/>
      <c r="N7239" s="200"/>
      <c r="P7239" s="199"/>
    </row>
    <row r="7240" spans="7:16" x14ac:dyDescent="0.2">
      <c r="G7240" s="199"/>
      <c r="I7240" s="199"/>
      <c r="K7240" s="199"/>
      <c r="M7240" s="199"/>
      <c r="N7240" s="200"/>
      <c r="P7240" s="199"/>
    </row>
    <row r="7241" spans="7:16" x14ac:dyDescent="0.2">
      <c r="G7241" s="199"/>
      <c r="I7241" s="199"/>
      <c r="K7241" s="199"/>
      <c r="M7241" s="199"/>
      <c r="N7241" s="200"/>
      <c r="P7241" s="199"/>
    </row>
    <row r="7242" spans="7:16" x14ac:dyDescent="0.2">
      <c r="G7242" s="199"/>
      <c r="I7242" s="199"/>
      <c r="K7242" s="199"/>
      <c r="M7242" s="199"/>
      <c r="N7242" s="200"/>
      <c r="P7242" s="199"/>
    </row>
    <row r="7243" spans="7:16" x14ac:dyDescent="0.2">
      <c r="G7243" s="199"/>
      <c r="I7243" s="199"/>
      <c r="K7243" s="199"/>
      <c r="M7243" s="199"/>
      <c r="N7243" s="200"/>
      <c r="P7243" s="199"/>
    </row>
    <row r="7244" spans="7:16" x14ac:dyDescent="0.2">
      <c r="G7244" s="199"/>
      <c r="I7244" s="199"/>
      <c r="K7244" s="199"/>
      <c r="M7244" s="199"/>
      <c r="N7244" s="200"/>
      <c r="P7244" s="199"/>
    </row>
    <row r="7245" spans="7:16" x14ac:dyDescent="0.2">
      <c r="G7245" s="199"/>
      <c r="I7245" s="199"/>
      <c r="K7245" s="199"/>
      <c r="M7245" s="199"/>
      <c r="N7245" s="200"/>
      <c r="P7245" s="199"/>
    </row>
    <row r="7246" spans="7:16" x14ac:dyDescent="0.2">
      <c r="G7246" s="199"/>
      <c r="I7246" s="199"/>
      <c r="K7246" s="199"/>
      <c r="M7246" s="199"/>
      <c r="N7246" s="200"/>
      <c r="P7246" s="199"/>
    </row>
    <row r="7247" spans="7:16" x14ac:dyDescent="0.2">
      <c r="G7247" s="199"/>
      <c r="I7247" s="199"/>
      <c r="K7247" s="199"/>
      <c r="M7247" s="199"/>
      <c r="N7247" s="200"/>
      <c r="P7247" s="199"/>
    </row>
    <row r="7248" spans="7:16" x14ac:dyDescent="0.2">
      <c r="G7248" s="199"/>
      <c r="I7248" s="199"/>
      <c r="K7248" s="199"/>
      <c r="M7248" s="199"/>
      <c r="N7248" s="200"/>
      <c r="P7248" s="199"/>
    </row>
    <row r="7249" spans="7:16" x14ac:dyDescent="0.2">
      <c r="G7249" s="199"/>
      <c r="I7249" s="199"/>
      <c r="K7249" s="199"/>
      <c r="M7249" s="199"/>
      <c r="N7249" s="200"/>
      <c r="P7249" s="199"/>
    </row>
    <row r="7250" spans="7:16" x14ac:dyDescent="0.2">
      <c r="G7250" s="199"/>
      <c r="I7250" s="199"/>
      <c r="K7250" s="199"/>
      <c r="M7250" s="199"/>
      <c r="N7250" s="200"/>
      <c r="P7250" s="199"/>
    </row>
    <row r="7251" spans="7:16" x14ac:dyDescent="0.2">
      <c r="G7251" s="199"/>
      <c r="I7251" s="199"/>
      <c r="K7251" s="199"/>
      <c r="M7251" s="199"/>
      <c r="N7251" s="200"/>
      <c r="P7251" s="199"/>
    </row>
    <row r="7252" spans="7:16" x14ac:dyDescent="0.2">
      <c r="G7252" s="199"/>
      <c r="I7252" s="199"/>
      <c r="K7252" s="199"/>
      <c r="M7252" s="199"/>
      <c r="N7252" s="200"/>
      <c r="P7252" s="199"/>
    </row>
    <row r="7253" spans="7:16" x14ac:dyDescent="0.2">
      <c r="G7253" s="199"/>
      <c r="I7253" s="199"/>
      <c r="K7253" s="199"/>
      <c r="M7253" s="199"/>
      <c r="N7253" s="200"/>
      <c r="P7253" s="199"/>
    </row>
    <row r="7254" spans="7:16" x14ac:dyDescent="0.2">
      <c r="G7254" s="199"/>
      <c r="I7254" s="199"/>
      <c r="K7254" s="199"/>
      <c r="M7254" s="199"/>
      <c r="N7254" s="200"/>
      <c r="P7254" s="199"/>
    </row>
    <row r="7255" spans="7:16" x14ac:dyDescent="0.2">
      <c r="G7255" s="199"/>
      <c r="I7255" s="199"/>
      <c r="K7255" s="199"/>
      <c r="M7255" s="199"/>
      <c r="N7255" s="200"/>
      <c r="P7255" s="199"/>
    </row>
    <row r="7256" spans="7:16" x14ac:dyDescent="0.2">
      <c r="G7256" s="199"/>
      <c r="I7256" s="199"/>
      <c r="K7256" s="199"/>
      <c r="M7256" s="199"/>
      <c r="N7256" s="200"/>
      <c r="P7256" s="199"/>
    </row>
    <row r="7257" spans="7:16" x14ac:dyDescent="0.2">
      <c r="G7257" s="199"/>
      <c r="I7257" s="199"/>
      <c r="K7257" s="199"/>
      <c r="M7257" s="199"/>
      <c r="N7257" s="200"/>
      <c r="P7257" s="199"/>
    </row>
    <row r="7258" spans="7:16" x14ac:dyDescent="0.2">
      <c r="G7258" s="199"/>
      <c r="I7258" s="199"/>
      <c r="K7258" s="199"/>
      <c r="M7258" s="199"/>
      <c r="N7258" s="200"/>
      <c r="P7258" s="199"/>
    </row>
    <row r="7259" spans="7:16" x14ac:dyDescent="0.2">
      <c r="G7259" s="199"/>
      <c r="I7259" s="199"/>
      <c r="K7259" s="199"/>
      <c r="M7259" s="199"/>
      <c r="N7259" s="200"/>
      <c r="P7259" s="199"/>
    </row>
    <row r="7260" spans="7:16" x14ac:dyDescent="0.2">
      <c r="G7260" s="199"/>
      <c r="I7260" s="199"/>
      <c r="K7260" s="199"/>
      <c r="M7260" s="199"/>
      <c r="N7260" s="200"/>
      <c r="P7260" s="199"/>
    </row>
    <row r="7261" spans="7:16" x14ac:dyDescent="0.2">
      <c r="G7261" s="199"/>
      <c r="I7261" s="199"/>
      <c r="K7261" s="199"/>
      <c r="M7261" s="199"/>
      <c r="N7261" s="200"/>
      <c r="P7261" s="199"/>
    </row>
    <row r="7262" spans="7:16" x14ac:dyDescent="0.2">
      <c r="G7262" s="199"/>
      <c r="I7262" s="199"/>
      <c r="K7262" s="199"/>
      <c r="M7262" s="199"/>
      <c r="N7262" s="200"/>
      <c r="P7262" s="199"/>
    </row>
    <row r="7263" spans="7:16" x14ac:dyDescent="0.2">
      <c r="G7263" s="199"/>
      <c r="I7263" s="199"/>
      <c r="K7263" s="199"/>
      <c r="M7263" s="199"/>
      <c r="N7263" s="200"/>
      <c r="P7263" s="199"/>
    </row>
    <row r="7264" spans="7:16" x14ac:dyDescent="0.2">
      <c r="G7264" s="199"/>
      <c r="I7264" s="199"/>
      <c r="K7264" s="199"/>
      <c r="M7264" s="199"/>
      <c r="N7264" s="200"/>
      <c r="P7264" s="199"/>
    </row>
    <row r="7265" spans="7:16" x14ac:dyDescent="0.2">
      <c r="G7265" s="199"/>
      <c r="I7265" s="199"/>
      <c r="K7265" s="199"/>
      <c r="M7265" s="199"/>
      <c r="N7265" s="200"/>
      <c r="P7265" s="199"/>
    </row>
    <row r="7266" spans="7:16" x14ac:dyDescent="0.2">
      <c r="G7266" s="199"/>
      <c r="I7266" s="199"/>
      <c r="K7266" s="199"/>
      <c r="M7266" s="199"/>
      <c r="N7266" s="200"/>
      <c r="P7266" s="199"/>
    </row>
    <row r="7267" spans="7:16" x14ac:dyDescent="0.2">
      <c r="G7267" s="199"/>
      <c r="I7267" s="199"/>
      <c r="K7267" s="199"/>
      <c r="M7267" s="199"/>
      <c r="N7267" s="200"/>
      <c r="P7267" s="199"/>
    </row>
    <row r="7268" spans="7:16" x14ac:dyDescent="0.2">
      <c r="G7268" s="199"/>
      <c r="I7268" s="199"/>
      <c r="K7268" s="199"/>
      <c r="M7268" s="199"/>
      <c r="N7268" s="200"/>
      <c r="P7268" s="199"/>
    </row>
    <row r="7269" spans="7:16" x14ac:dyDescent="0.2">
      <c r="G7269" s="199"/>
      <c r="I7269" s="199"/>
      <c r="K7269" s="199"/>
      <c r="M7269" s="199"/>
      <c r="N7269" s="200"/>
      <c r="P7269" s="199"/>
    </row>
    <row r="7270" spans="7:16" x14ac:dyDescent="0.2">
      <c r="G7270" s="199"/>
      <c r="I7270" s="199"/>
      <c r="K7270" s="199"/>
      <c r="M7270" s="199"/>
      <c r="N7270" s="200"/>
      <c r="P7270" s="199"/>
    </row>
    <row r="7271" spans="7:16" x14ac:dyDescent="0.2">
      <c r="G7271" s="199"/>
      <c r="I7271" s="199"/>
      <c r="K7271" s="199"/>
      <c r="M7271" s="199"/>
      <c r="N7271" s="200"/>
      <c r="P7271" s="199"/>
    </row>
    <row r="7272" spans="7:16" x14ac:dyDescent="0.2">
      <c r="G7272" s="199"/>
      <c r="I7272" s="199"/>
      <c r="K7272" s="199"/>
      <c r="M7272" s="199"/>
      <c r="N7272" s="200"/>
      <c r="P7272" s="199"/>
    </row>
    <row r="7273" spans="7:16" x14ac:dyDescent="0.2">
      <c r="G7273" s="199"/>
      <c r="I7273" s="199"/>
      <c r="K7273" s="199"/>
      <c r="M7273" s="199"/>
      <c r="N7273" s="200"/>
      <c r="P7273" s="199"/>
    </row>
    <row r="7274" spans="7:16" x14ac:dyDescent="0.2">
      <c r="G7274" s="199"/>
      <c r="I7274" s="199"/>
      <c r="K7274" s="199"/>
      <c r="M7274" s="199"/>
      <c r="N7274" s="200"/>
      <c r="P7274" s="199"/>
    </row>
    <row r="7275" spans="7:16" x14ac:dyDescent="0.2">
      <c r="G7275" s="199"/>
      <c r="I7275" s="199"/>
      <c r="K7275" s="199"/>
      <c r="M7275" s="199"/>
      <c r="N7275" s="200"/>
      <c r="P7275" s="199"/>
    </row>
    <row r="7276" spans="7:16" x14ac:dyDescent="0.2">
      <c r="G7276" s="199"/>
      <c r="I7276" s="199"/>
      <c r="K7276" s="199"/>
      <c r="M7276" s="199"/>
      <c r="N7276" s="200"/>
      <c r="P7276" s="199"/>
    </row>
    <row r="7277" spans="7:16" x14ac:dyDescent="0.2">
      <c r="G7277" s="199"/>
      <c r="I7277" s="199"/>
      <c r="K7277" s="199"/>
      <c r="M7277" s="199"/>
      <c r="N7277" s="200"/>
      <c r="P7277" s="199"/>
    </row>
    <row r="7278" spans="7:16" x14ac:dyDescent="0.2">
      <c r="G7278" s="199"/>
      <c r="I7278" s="199"/>
      <c r="K7278" s="199"/>
      <c r="M7278" s="199"/>
      <c r="N7278" s="200"/>
      <c r="P7278" s="199"/>
    </row>
    <row r="7279" spans="7:16" x14ac:dyDescent="0.2">
      <c r="G7279" s="199"/>
      <c r="I7279" s="199"/>
      <c r="K7279" s="199"/>
      <c r="M7279" s="199"/>
      <c r="N7279" s="200"/>
      <c r="P7279" s="199"/>
    </row>
    <row r="7280" spans="7:16" x14ac:dyDescent="0.2">
      <c r="G7280" s="199"/>
      <c r="I7280" s="199"/>
      <c r="K7280" s="199"/>
      <c r="M7280" s="199"/>
      <c r="N7280" s="200"/>
      <c r="P7280" s="199"/>
    </row>
    <row r="7281" spans="7:16" x14ac:dyDescent="0.2">
      <c r="G7281" s="199"/>
      <c r="I7281" s="199"/>
      <c r="K7281" s="199"/>
      <c r="M7281" s="199"/>
      <c r="N7281" s="200"/>
      <c r="P7281" s="199"/>
    </row>
    <row r="7282" spans="7:16" x14ac:dyDescent="0.2">
      <c r="G7282" s="199"/>
      <c r="I7282" s="199"/>
      <c r="K7282" s="199"/>
      <c r="M7282" s="199"/>
      <c r="N7282" s="200"/>
      <c r="P7282" s="199"/>
    </row>
    <row r="7283" spans="7:16" x14ac:dyDescent="0.2">
      <c r="G7283" s="199"/>
      <c r="I7283" s="199"/>
      <c r="K7283" s="199"/>
      <c r="M7283" s="199"/>
      <c r="N7283" s="200"/>
      <c r="P7283" s="199"/>
    </row>
    <row r="7284" spans="7:16" x14ac:dyDescent="0.2">
      <c r="G7284" s="199"/>
      <c r="I7284" s="199"/>
      <c r="K7284" s="199"/>
      <c r="M7284" s="199"/>
      <c r="N7284" s="200"/>
      <c r="P7284" s="199"/>
    </row>
    <row r="7285" spans="7:16" x14ac:dyDescent="0.2">
      <c r="G7285" s="199"/>
      <c r="I7285" s="199"/>
      <c r="K7285" s="199"/>
      <c r="M7285" s="199"/>
      <c r="N7285" s="200"/>
      <c r="P7285" s="199"/>
    </row>
    <row r="7286" spans="7:16" x14ac:dyDescent="0.2">
      <c r="G7286" s="199"/>
      <c r="I7286" s="199"/>
      <c r="K7286" s="199"/>
      <c r="M7286" s="199"/>
      <c r="N7286" s="200"/>
      <c r="P7286" s="199"/>
    </row>
    <row r="7287" spans="7:16" x14ac:dyDescent="0.2">
      <c r="G7287" s="199"/>
      <c r="I7287" s="199"/>
      <c r="K7287" s="199"/>
      <c r="M7287" s="199"/>
      <c r="N7287" s="200"/>
      <c r="P7287" s="199"/>
    </row>
    <row r="7288" spans="7:16" x14ac:dyDescent="0.2">
      <c r="G7288" s="199"/>
      <c r="I7288" s="199"/>
      <c r="K7288" s="199"/>
      <c r="M7288" s="199"/>
      <c r="N7288" s="200"/>
      <c r="P7288" s="199"/>
    </row>
    <row r="7289" spans="7:16" x14ac:dyDescent="0.2">
      <c r="G7289" s="199"/>
      <c r="I7289" s="199"/>
      <c r="K7289" s="199"/>
      <c r="M7289" s="199"/>
      <c r="N7289" s="200"/>
      <c r="P7289" s="199"/>
    </row>
    <row r="7290" spans="7:16" x14ac:dyDescent="0.2">
      <c r="G7290" s="199"/>
      <c r="I7290" s="199"/>
      <c r="K7290" s="199"/>
      <c r="M7290" s="199"/>
      <c r="N7290" s="200"/>
      <c r="P7290" s="199"/>
    </row>
    <row r="7291" spans="7:16" x14ac:dyDescent="0.2">
      <c r="G7291" s="199"/>
      <c r="I7291" s="199"/>
      <c r="K7291" s="199"/>
      <c r="M7291" s="199"/>
      <c r="N7291" s="200"/>
      <c r="P7291" s="199"/>
    </row>
    <row r="7292" spans="7:16" x14ac:dyDescent="0.2">
      <c r="G7292" s="199"/>
      <c r="I7292" s="199"/>
      <c r="K7292" s="199"/>
      <c r="M7292" s="199"/>
      <c r="N7292" s="200"/>
      <c r="P7292" s="199"/>
    </row>
    <row r="7293" spans="7:16" x14ac:dyDescent="0.2">
      <c r="G7293" s="199"/>
      <c r="I7293" s="199"/>
      <c r="K7293" s="199"/>
      <c r="M7293" s="199"/>
      <c r="N7293" s="200"/>
      <c r="P7293" s="199"/>
    </row>
    <row r="7294" spans="7:16" x14ac:dyDescent="0.2">
      <c r="G7294" s="199"/>
      <c r="I7294" s="199"/>
      <c r="K7294" s="199"/>
      <c r="M7294" s="199"/>
      <c r="N7294" s="200"/>
      <c r="P7294" s="199"/>
    </row>
    <row r="7295" spans="7:16" x14ac:dyDescent="0.2">
      <c r="G7295" s="199"/>
      <c r="I7295" s="199"/>
      <c r="K7295" s="199"/>
      <c r="M7295" s="199"/>
      <c r="N7295" s="200"/>
      <c r="P7295" s="199"/>
    </row>
    <row r="7296" spans="7:16" x14ac:dyDescent="0.2">
      <c r="G7296" s="199"/>
      <c r="I7296" s="199"/>
      <c r="K7296" s="199"/>
      <c r="M7296" s="199"/>
      <c r="N7296" s="200"/>
      <c r="P7296" s="199"/>
    </row>
    <row r="7297" spans="7:16" x14ac:dyDescent="0.2">
      <c r="G7297" s="199"/>
      <c r="I7297" s="199"/>
      <c r="K7297" s="199"/>
      <c r="M7297" s="199"/>
      <c r="N7297" s="200"/>
      <c r="P7297" s="199"/>
    </row>
    <row r="7298" spans="7:16" x14ac:dyDescent="0.2">
      <c r="G7298" s="199"/>
      <c r="I7298" s="199"/>
      <c r="K7298" s="199"/>
      <c r="M7298" s="199"/>
      <c r="N7298" s="200"/>
      <c r="P7298" s="199"/>
    </row>
    <row r="7299" spans="7:16" x14ac:dyDescent="0.2">
      <c r="G7299" s="199"/>
      <c r="I7299" s="199"/>
      <c r="K7299" s="199"/>
      <c r="M7299" s="199"/>
      <c r="N7299" s="200"/>
      <c r="P7299" s="199"/>
    </row>
    <row r="7300" spans="7:16" x14ac:dyDescent="0.2">
      <c r="G7300" s="199"/>
      <c r="I7300" s="199"/>
      <c r="K7300" s="199"/>
      <c r="M7300" s="199"/>
      <c r="N7300" s="200"/>
      <c r="P7300" s="199"/>
    </row>
    <row r="7301" spans="7:16" x14ac:dyDescent="0.2">
      <c r="G7301" s="199"/>
      <c r="I7301" s="199"/>
      <c r="K7301" s="199"/>
      <c r="M7301" s="199"/>
      <c r="N7301" s="200"/>
      <c r="P7301" s="199"/>
    </row>
    <row r="7302" spans="7:16" x14ac:dyDescent="0.2">
      <c r="G7302" s="199"/>
      <c r="I7302" s="199"/>
      <c r="K7302" s="199"/>
      <c r="M7302" s="199"/>
      <c r="N7302" s="200"/>
      <c r="P7302" s="199"/>
    </row>
    <row r="7303" spans="7:16" x14ac:dyDescent="0.2">
      <c r="G7303" s="199"/>
      <c r="I7303" s="199"/>
      <c r="K7303" s="199"/>
      <c r="M7303" s="199"/>
      <c r="N7303" s="200"/>
      <c r="P7303" s="199"/>
    </row>
    <row r="7304" spans="7:16" x14ac:dyDescent="0.2">
      <c r="G7304" s="199"/>
      <c r="I7304" s="199"/>
      <c r="K7304" s="199"/>
      <c r="M7304" s="199"/>
      <c r="N7304" s="200"/>
      <c r="P7304" s="199"/>
    </row>
    <row r="7305" spans="7:16" x14ac:dyDescent="0.2">
      <c r="G7305" s="199"/>
      <c r="I7305" s="199"/>
      <c r="K7305" s="199"/>
      <c r="M7305" s="199"/>
      <c r="N7305" s="200"/>
      <c r="P7305" s="199"/>
    </row>
    <row r="7306" spans="7:16" x14ac:dyDescent="0.2">
      <c r="G7306" s="199"/>
      <c r="I7306" s="199"/>
      <c r="K7306" s="199"/>
      <c r="M7306" s="199"/>
      <c r="N7306" s="200"/>
      <c r="P7306" s="199"/>
    </row>
    <row r="7307" spans="7:16" x14ac:dyDescent="0.2">
      <c r="G7307" s="199"/>
      <c r="I7307" s="199"/>
      <c r="K7307" s="199"/>
      <c r="M7307" s="199"/>
      <c r="N7307" s="200"/>
      <c r="P7307" s="199"/>
    </row>
    <row r="7308" spans="7:16" x14ac:dyDescent="0.2">
      <c r="G7308" s="199"/>
      <c r="I7308" s="199"/>
      <c r="K7308" s="199"/>
      <c r="M7308" s="199"/>
      <c r="N7308" s="200"/>
      <c r="P7308" s="199"/>
    </row>
    <row r="7309" spans="7:16" x14ac:dyDescent="0.2">
      <c r="G7309" s="199"/>
      <c r="I7309" s="199"/>
      <c r="K7309" s="199"/>
      <c r="M7309" s="199"/>
      <c r="N7309" s="200"/>
      <c r="P7309" s="199"/>
    </row>
    <row r="7310" spans="7:16" x14ac:dyDescent="0.2">
      <c r="G7310" s="199"/>
      <c r="I7310" s="199"/>
      <c r="K7310" s="199"/>
      <c r="M7310" s="199"/>
      <c r="N7310" s="200"/>
      <c r="P7310" s="199"/>
    </row>
    <row r="7311" spans="7:16" x14ac:dyDescent="0.2">
      <c r="G7311" s="199"/>
      <c r="I7311" s="199"/>
      <c r="K7311" s="199"/>
      <c r="M7311" s="199"/>
      <c r="N7311" s="200"/>
      <c r="P7311" s="199"/>
    </row>
    <row r="7312" spans="7:16" x14ac:dyDescent="0.2">
      <c r="G7312" s="199"/>
      <c r="I7312" s="199"/>
      <c r="K7312" s="199"/>
      <c r="M7312" s="199"/>
      <c r="N7312" s="200"/>
      <c r="P7312" s="199"/>
    </row>
    <row r="7313" spans="7:16" x14ac:dyDescent="0.2">
      <c r="G7313" s="199"/>
      <c r="I7313" s="199"/>
      <c r="K7313" s="199"/>
      <c r="M7313" s="199"/>
      <c r="N7313" s="200"/>
      <c r="P7313" s="199"/>
    </row>
    <row r="7314" spans="7:16" x14ac:dyDescent="0.2">
      <c r="G7314" s="199"/>
      <c r="I7314" s="199"/>
      <c r="K7314" s="199"/>
      <c r="M7314" s="199"/>
      <c r="N7314" s="200"/>
      <c r="P7314" s="199"/>
    </row>
    <row r="7315" spans="7:16" x14ac:dyDescent="0.2">
      <c r="G7315" s="199"/>
      <c r="I7315" s="199"/>
      <c r="K7315" s="199"/>
      <c r="M7315" s="199"/>
      <c r="N7315" s="200"/>
      <c r="P7315" s="199"/>
    </row>
    <row r="7316" spans="7:16" x14ac:dyDescent="0.2">
      <c r="G7316" s="199"/>
      <c r="I7316" s="199"/>
      <c r="K7316" s="199"/>
      <c r="M7316" s="199"/>
      <c r="N7316" s="200"/>
      <c r="P7316" s="199"/>
    </row>
    <row r="7317" spans="7:16" x14ac:dyDescent="0.2">
      <c r="G7317" s="199"/>
      <c r="I7317" s="199"/>
      <c r="K7317" s="199"/>
      <c r="M7317" s="199"/>
      <c r="N7317" s="200"/>
      <c r="P7317" s="199"/>
    </row>
    <row r="7318" spans="7:16" x14ac:dyDescent="0.2">
      <c r="G7318" s="199"/>
      <c r="I7318" s="199"/>
      <c r="K7318" s="199"/>
      <c r="M7318" s="199"/>
      <c r="N7318" s="200"/>
      <c r="P7318" s="199"/>
    </row>
    <row r="7319" spans="7:16" x14ac:dyDescent="0.2">
      <c r="G7319" s="199"/>
      <c r="I7319" s="199"/>
      <c r="K7319" s="199"/>
      <c r="M7319" s="199"/>
      <c r="N7319" s="200"/>
      <c r="P7319" s="199"/>
    </row>
    <row r="7320" spans="7:16" x14ac:dyDescent="0.2">
      <c r="G7320" s="199"/>
      <c r="I7320" s="199"/>
      <c r="K7320" s="199"/>
      <c r="M7320" s="199"/>
      <c r="N7320" s="200"/>
      <c r="P7320" s="199"/>
    </row>
    <row r="7321" spans="7:16" x14ac:dyDescent="0.2">
      <c r="G7321" s="199"/>
      <c r="I7321" s="199"/>
      <c r="K7321" s="199"/>
      <c r="M7321" s="199"/>
      <c r="N7321" s="200"/>
      <c r="P7321" s="199"/>
    </row>
    <row r="7322" spans="7:16" x14ac:dyDescent="0.2">
      <c r="G7322" s="199"/>
      <c r="I7322" s="199"/>
      <c r="K7322" s="199"/>
      <c r="M7322" s="199"/>
      <c r="N7322" s="200"/>
      <c r="P7322" s="199"/>
    </row>
    <row r="7323" spans="7:16" x14ac:dyDescent="0.2">
      <c r="G7323" s="199"/>
      <c r="I7323" s="199"/>
      <c r="K7323" s="199"/>
      <c r="M7323" s="199"/>
      <c r="N7323" s="200"/>
      <c r="P7323" s="199"/>
    </row>
    <row r="7324" spans="7:16" x14ac:dyDescent="0.2">
      <c r="G7324" s="199"/>
      <c r="I7324" s="199"/>
      <c r="K7324" s="199"/>
      <c r="M7324" s="199"/>
      <c r="N7324" s="200"/>
      <c r="P7324" s="199"/>
    </row>
    <row r="7325" spans="7:16" x14ac:dyDescent="0.2">
      <c r="G7325" s="199"/>
      <c r="I7325" s="199"/>
      <c r="K7325" s="199"/>
      <c r="M7325" s="199"/>
      <c r="N7325" s="200"/>
      <c r="P7325" s="199"/>
    </row>
    <row r="7326" spans="7:16" x14ac:dyDescent="0.2">
      <c r="G7326" s="199"/>
      <c r="I7326" s="199"/>
      <c r="K7326" s="199"/>
      <c r="M7326" s="199"/>
      <c r="N7326" s="200"/>
      <c r="P7326" s="199"/>
    </row>
    <row r="7327" spans="7:16" x14ac:dyDescent="0.2">
      <c r="G7327" s="199"/>
      <c r="I7327" s="199"/>
      <c r="K7327" s="199"/>
      <c r="M7327" s="199"/>
      <c r="N7327" s="200"/>
      <c r="P7327" s="199"/>
    </row>
    <row r="7328" spans="7:16" x14ac:dyDescent="0.2">
      <c r="G7328" s="199"/>
      <c r="I7328" s="199"/>
      <c r="K7328" s="199"/>
      <c r="M7328" s="199"/>
      <c r="N7328" s="200"/>
      <c r="P7328" s="199"/>
    </row>
    <row r="7329" spans="7:16" x14ac:dyDescent="0.2">
      <c r="G7329" s="199"/>
      <c r="I7329" s="199"/>
      <c r="K7329" s="199"/>
      <c r="M7329" s="199"/>
      <c r="N7329" s="200"/>
      <c r="P7329" s="199"/>
    </row>
    <row r="7330" spans="7:16" x14ac:dyDescent="0.2">
      <c r="G7330" s="199"/>
      <c r="I7330" s="199"/>
      <c r="K7330" s="199"/>
      <c r="M7330" s="199"/>
      <c r="N7330" s="200"/>
      <c r="P7330" s="199"/>
    </row>
    <row r="7331" spans="7:16" x14ac:dyDescent="0.2">
      <c r="G7331" s="199"/>
      <c r="I7331" s="199"/>
      <c r="K7331" s="199"/>
      <c r="M7331" s="199"/>
      <c r="N7331" s="200"/>
      <c r="P7331" s="199"/>
    </row>
    <row r="7332" spans="7:16" x14ac:dyDescent="0.2">
      <c r="G7332" s="199"/>
      <c r="I7332" s="199"/>
      <c r="K7332" s="199"/>
      <c r="M7332" s="199"/>
      <c r="N7332" s="200"/>
      <c r="P7332" s="199"/>
    </row>
    <row r="7333" spans="7:16" x14ac:dyDescent="0.2">
      <c r="G7333" s="199"/>
      <c r="I7333" s="199"/>
      <c r="K7333" s="199"/>
      <c r="M7333" s="199"/>
      <c r="N7333" s="200"/>
      <c r="P7333" s="199"/>
    </row>
    <row r="7334" spans="7:16" x14ac:dyDescent="0.2">
      <c r="G7334" s="199"/>
      <c r="I7334" s="199"/>
      <c r="K7334" s="199"/>
      <c r="M7334" s="199"/>
      <c r="N7334" s="200"/>
      <c r="P7334" s="199"/>
    </row>
    <row r="7335" spans="7:16" x14ac:dyDescent="0.2">
      <c r="G7335" s="199"/>
      <c r="I7335" s="199"/>
      <c r="K7335" s="199"/>
      <c r="M7335" s="199"/>
      <c r="N7335" s="200"/>
      <c r="P7335" s="199"/>
    </row>
    <row r="7336" spans="7:16" x14ac:dyDescent="0.2">
      <c r="G7336" s="199"/>
      <c r="I7336" s="199"/>
      <c r="K7336" s="199"/>
      <c r="M7336" s="199"/>
      <c r="N7336" s="200"/>
      <c r="P7336" s="199"/>
    </row>
    <row r="7337" spans="7:16" x14ac:dyDescent="0.2">
      <c r="G7337" s="199"/>
      <c r="I7337" s="199"/>
      <c r="K7337" s="199"/>
      <c r="M7337" s="199"/>
      <c r="N7337" s="200"/>
      <c r="P7337" s="199"/>
    </row>
    <row r="7338" spans="7:16" x14ac:dyDescent="0.2">
      <c r="G7338" s="199"/>
      <c r="I7338" s="199"/>
      <c r="K7338" s="199"/>
      <c r="M7338" s="199"/>
      <c r="N7338" s="200"/>
      <c r="P7338" s="199"/>
    </row>
    <row r="7339" spans="7:16" x14ac:dyDescent="0.2">
      <c r="G7339" s="199"/>
      <c r="I7339" s="199"/>
      <c r="K7339" s="199"/>
      <c r="M7339" s="199"/>
      <c r="N7339" s="200"/>
      <c r="P7339" s="199"/>
    </row>
    <row r="7340" spans="7:16" x14ac:dyDescent="0.2">
      <c r="G7340" s="199"/>
      <c r="I7340" s="199"/>
      <c r="K7340" s="199"/>
      <c r="M7340" s="199"/>
      <c r="N7340" s="200"/>
      <c r="P7340" s="199"/>
    </row>
    <row r="7341" spans="7:16" x14ac:dyDescent="0.2">
      <c r="G7341" s="199"/>
      <c r="I7341" s="199"/>
      <c r="K7341" s="199"/>
      <c r="M7341" s="199"/>
      <c r="N7341" s="200"/>
      <c r="P7341" s="199"/>
    </row>
    <row r="7342" spans="7:16" x14ac:dyDescent="0.2">
      <c r="G7342" s="199"/>
      <c r="I7342" s="199"/>
      <c r="K7342" s="199"/>
      <c r="M7342" s="199"/>
      <c r="N7342" s="200"/>
      <c r="P7342" s="199"/>
    </row>
    <row r="7343" spans="7:16" x14ac:dyDescent="0.2">
      <c r="G7343" s="199"/>
      <c r="I7343" s="199"/>
      <c r="K7343" s="199"/>
      <c r="M7343" s="199"/>
      <c r="N7343" s="200"/>
      <c r="P7343" s="199"/>
    </row>
    <row r="7344" spans="7:16" x14ac:dyDescent="0.2">
      <c r="G7344" s="199"/>
      <c r="I7344" s="199"/>
      <c r="K7344" s="199"/>
      <c r="M7344" s="199"/>
      <c r="N7344" s="200"/>
      <c r="P7344" s="199"/>
    </row>
    <row r="7345" spans="7:16" x14ac:dyDescent="0.2">
      <c r="G7345" s="199"/>
      <c r="I7345" s="199"/>
      <c r="K7345" s="199"/>
      <c r="M7345" s="199"/>
      <c r="N7345" s="200"/>
      <c r="P7345" s="199"/>
    </row>
    <row r="7346" spans="7:16" x14ac:dyDescent="0.2">
      <c r="G7346" s="199"/>
      <c r="I7346" s="199"/>
      <c r="K7346" s="199"/>
      <c r="M7346" s="199"/>
      <c r="N7346" s="200"/>
      <c r="P7346" s="199"/>
    </row>
    <row r="7347" spans="7:16" x14ac:dyDescent="0.2">
      <c r="G7347" s="199"/>
      <c r="I7347" s="199"/>
      <c r="K7347" s="199"/>
      <c r="M7347" s="199"/>
      <c r="N7347" s="200"/>
      <c r="P7347" s="199"/>
    </row>
    <row r="7348" spans="7:16" x14ac:dyDescent="0.2">
      <c r="G7348" s="199"/>
      <c r="I7348" s="199"/>
      <c r="K7348" s="199"/>
      <c r="M7348" s="199"/>
      <c r="N7348" s="200"/>
      <c r="P7348" s="199"/>
    </row>
    <row r="7349" spans="7:16" x14ac:dyDescent="0.2">
      <c r="G7349" s="199"/>
      <c r="I7349" s="199"/>
      <c r="K7349" s="199"/>
      <c r="M7349" s="199"/>
      <c r="N7349" s="200"/>
      <c r="P7349" s="199"/>
    </row>
    <row r="7350" spans="7:16" x14ac:dyDescent="0.2">
      <c r="G7350" s="199"/>
      <c r="I7350" s="199"/>
      <c r="K7350" s="199"/>
      <c r="M7350" s="199"/>
      <c r="N7350" s="200"/>
      <c r="P7350" s="199"/>
    </row>
    <row r="7351" spans="7:16" x14ac:dyDescent="0.2">
      <c r="G7351" s="199"/>
      <c r="I7351" s="199"/>
      <c r="K7351" s="199"/>
      <c r="M7351" s="199"/>
      <c r="N7351" s="200"/>
      <c r="P7351" s="199"/>
    </row>
    <row r="7352" spans="7:16" x14ac:dyDescent="0.2">
      <c r="G7352" s="199"/>
      <c r="I7352" s="199"/>
      <c r="K7352" s="199"/>
      <c r="M7352" s="199"/>
      <c r="N7352" s="200"/>
      <c r="P7352" s="199"/>
    </row>
    <row r="7353" spans="7:16" x14ac:dyDescent="0.2">
      <c r="G7353" s="199"/>
      <c r="I7353" s="199"/>
      <c r="K7353" s="199"/>
      <c r="M7353" s="199"/>
      <c r="N7353" s="200"/>
      <c r="P7353" s="199"/>
    </row>
    <row r="7354" spans="7:16" x14ac:dyDescent="0.2">
      <c r="G7354" s="199"/>
      <c r="I7354" s="199"/>
      <c r="K7354" s="199"/>
      <c r="M7354" s="199"/>
      <c r="N7354" s="200"/>
      <c r="P7354" s="199"/>
    </row>
    <row r="7355" spans="7:16" x14ac:dyDescent="0.2">
      <c r="G7355" s="199"/>
      <c r="I7355" s="199"/>
      <c r="K7355" s="199"/>
      <c r="M7355" s="199"/>
      <c r="N7355" s="200"/>
      <c r="P7355" s="199"/>
    </row>
    <row r="7356" spans="7:16" x14ac:dyDescent="0.2">
      <c r="G7356" s="199"/>
      <c r="I7356" s="199"/>
      <c r="K7356" s="199"/>
      <c r="M7356" s="199"/>
      <c r="N7356" s="200"/>
      <c r="P7356" s="199"/>
    </row>
    <row r="7357" spans="7:16" x14ac:dyDescent="0.2">
      <c r="G7357" s="199"/>
      <c r="I7357" s="199"/>
      <c r="K7357" s="199"/>
      <c r="M7357" s="199"/>
      <c r="N7357" s="200"/>
      <c r="P7357" s="199"/>
    </row>
    <row r="7358" spans="7:16" x14ac:dyDescent="0.2">
      <c r="G7358" s="199"/>
      <c r="I7358" s="199"/>
      <c r="K7358" s="199"/>
      <c r="M7358" s="199"/>
      <c r="N7358" s="200"/>
      <c r="P7358" s="199"/>
    </row>
    <row r="7359" spans="7:16" x14ac:dyDescent="0.2">
      <c r="G7359" s="199"/>
      <c r="I7359" s="199"/>
      <c r="K7359" s="199"/>
      <c r="M7359" s="199"/>
      <c r="N7359" s="200"/>
      <c r="P7359" s="199"/>
    </row>
    <row r="7360" spans="7:16" x14ac:dyDescent="0.2">
      <c r="G7360" s="199"/>
      <c r="I7360" s="199"/>
      <c r="K7360" s="199"/>
      <c r="M7360" s="199"/>
      <c r="N7360" s="200"/>
      <c r="P7360" s="199"/>
    </row>
    <row r="7361" spans="7:16" x14ac:dyDescent="0.2">
      <c r="G7361" s="199"/>
      <c r="I7361" s="199"/>
      <c r="K7361" s="199"/>
      <c r="M7361" s="199"/>
      <c r="N7361" s="200"/>
      <c r="P7361" s="199"/>
    </row>
    <row r="7362" spans="7:16" x14ac:dyDescent="0.2">
      <c r="G7362" s="199"/>
      <c r="I7362" s="199"/>
      <c r="K7362" s="199"/>
      <c r="M7362" s="199"/>
      <c r="N7362" s="200"/>
      <c r="P7362" s="199"/>
    </row>
    <row r="7363" spans="7:16" x14ac:dyDescent="0.2">
      <c r="G7363" s="199"/>
      <c r="I7363" s="199"/>
      <c r="K7363" s="199"/>
      <c r="M7363" s="199"/>
      <c r="N7363" s="200"/>
      <c r="P7363" s="199"/>
    </row>
    <row r="7364" spans="7:16" x14ac:dyDescent="0.2">
      <c r="G7364" s="199"/>
      <c r="I7364" s="199"/>
      <c r="K7364" s="199"/>
      <c r="M7364" s="199"/>
      <c r="N7364" s="200"/>
      <c r="P7364" s="199"/>
    </row>
    <row r="7365" spans="7:16" x14ac:dyDescent="0.2">
      <c r="G7365" s="199"/>
      <c r="I7365" s="199"/>
      <c r="K7365" s="199"/>
      <c r="M7365" s="199"/>
      <c r="N7365" s="200"/>
      <c r="P7365" s="199"/>
    </row>
    <row r="7366" spans="7:16" x14ac:dyDescent="0.2">
      <c r="G7366" s="199"/>
      <c r="I7366" s="199"/>
      <c r="K7366" s="199"/>
      <c r="M7366" s="199"/>
      <c r="N7366" s="200"/>
      <c r="P7366" s="199"/>
    </row>
    <row r="7367" spans="7:16" x14ac:dyDescent="0.2">
      <c r="G7367" s="199"/>
      <c r="I7367" s="199"/>
      <c r="K7367" s="199"/>
      <c r="M7367" s="199"/>
      <c r="N7367" s="200"/>
      <c r="P7367" s="199"/>
    </row>
    <row r="7368" spans="7:16" x14ac:dyDescent="0.2">
      <c r="G7368" s="199"/>
      <c r="I7368" s="199"/>
      <c r="K7368" s="199"/>
      <c r="M7368" s="199"/>
      <c r="N7368" s="200"/>
      <c r="P7368" s="199"/>
    </row>
    <row r="7369" spans="7:16" x14ac:dyDescent="0.2">
      <c r="G7369" s="199"/>
      <c r="I7369" s="199"/>
      <c r="K7369" s="199"/>
      <c r="M7369" s="199"/>
      <c r="N7369" s="200"/>
      <c r="P7369" s="199"/>
    </row>
    <row r="7370" spans="7:16" x14ac:dyDescent="0.2">
      <c r="G7370" s="199"/>
      <c r="I7370" s="199"/>
      <c r="K7370" s="199"/>
      <c r="M7370" s="199"/>
      <c r="N7370" s="200"/>
      <c r="P7370" s="199"/>
    </row>
    <row r="7371" spans="7:16" x14ac:dyDescent="0.2">
      <c r="G7371" s="199"/>
      <c r="I7371" s="199"/>
      <c r="K7371" s="199"/>
      <c r="M7371" s="199"/>
      <c r="N7371" s="200"/>
      <c r="P7371" s="199"/>
    </row>
    <row r="7372" spans="7:16" x14ac:dyDescent="0.2">
      <c r="G7372" s="199"/>
      <c r="I7372" s="199"/>
      <c r="K7372" s="199"/>
      <c r="M7372" s="199"/>
      <c r="N7372" s="200"/>
      <c r="P7372" s="199"/>
    </row>
    <row r="7373" spans="7:16" x14ac:dyDescent="0.2">
      <c r="G7373" s="199"/>
      <c r="I7373" s="199"/>
      <c r="K7373" s="199"/>
      <c r="M7373" s="199"/>
      <c r="N7373" s="200"/>
      <c r="P7373" s="199"/>
    </row>
    <row r="7374" spans="7:16" x14ac:dyDescent="0.2">
      <c r="G7374" s="199"/>
      <c r="I7374" s="199"/>
      <c r="K7374" s="199"/>
      <c r="M7374" s="199"/>
      <c r="N7374" s="200"/>
      <c r="P7374" s="199"/>
    </row>
    <row r="7375" spans="7:16" x14ac:dyDescent="0.2">
      <c r="G7375" s="199"/>
      <c r="I7375" s="199"/>
      <c r="K7375" s="199"/>
      <c r="M7375" s="199"/>
      <c r="N7375" s="200"/>
      <c r="P7375" s="199"/>
    </row>
    <row r="7376" spans="7:16" x14ac:dyDescent="0.2">
      <c r="G7376" s="199"/>
      <c r="I7376" s="199"/>
      <c r="K7376" s="199"/>
      <c r="M7376" s="199"/>
      <c r="N7376" s="200"/>
      <c r="P7376" s="199"/>
    </row>
    <row r="7377" spans="7:16" x14ac:dyDescent="0.2">
      <c r="G7377" s="199"/>
      <c r="I7377" s="199"/>
      <c r="K7377" s="199"/>
      <c r="M7377" s="199"/>
      <c r="N7377" s="200"/>
      <c r="P7377" s="199"/>
    </row>
    <row r="7378" spans="7:16" x14ac:dyDescent="0.2">
      <c r="G7378" s="199"/>
      <c r="I7378" s="199"/>
      <c r="K7378" s="199"/>
      <c r="M7378" s="199"/>
      <c r="N7378" s="200"/>
      <c r="P7378" s="199"/>
    </row>
    <row r="7379" spans="7:16" x14ac:dyDescent="0.2">
      <c r="G7379" s="199"/>
      <c r="I7379" s="199"/>
      <c r="K7379" s="199"/>
      <c r="M7379" s="199"/>
      <c r="N7379" s="200"/>
      <c r="P7379" s="199"/>
    </row>
    <row r="7380" spans="7:16" x14ac:dyDescent="0.2">
      <c r="G7380" s="199"/>
      <c r="I7380" s="199"/>
      <c r="K7380" s="199"/>
      <c r="M7380" s="199"/>
      <c r="N7380" s="200"/>
      <c r="P7380" s="199"/>
    </row>
    <row r="7381" spans="7:16" x14ac:dyDescent="0.2">
      <c r="G7381" s="199"/>
      <c r="I7381" s="199"/>
      <c r="K7381" s="199"/>
      <c r="M7381" s="199"/>
      <c r="N7381" s="200"/>
      <c r="P7381" s="199"/>
    </row>
    <row r="7382" spans="7:16" x14ac:dyDescent="0.2">
      <c r="G7382" s="199"/>
      <c r="I7382" s="199"/>
      <c r="K7382" s="199"/>
      <c r="M7382" s="199"/>
      <c r="N7382" s="200"/>
      <c r="P7382" s="199"/>
    </row>
    <row r="7383" spans="7:16" x14ac:dyDescent="0.2">
      <c r="G7383" s="199"/>
      <c r="I7383" s="199"/>
      <c r="K7383" s="199"/>
      <c r="M7383" s="199"/>
      <c r="N7383" s="200"/>
      <c r="P7383" s="199"/>
    </row>
    <row r="7384" spans="7:16" x14ac:dyDescent="0.2">
      <c r="G7384" s="199"/>
      <c r="I7384" s="199"/>
      <c r="K7384" s="199"/>
      <c r="M7384" s="199"/>
      <c r="N7384" s="200"/>
      <c r="P7384" s="199"/>
    </row>
    <row r="7385" spans="7:16" x14ac:dyDescent="0.2">
      <c r="G7385" s="199"/>
      <c r="I7385" s="199"/>
      <c r="K7385" s="199"/>
      <c r="M7385" s="199"/>
      <c r="N7385" s="200"/>
      <c r="P7385" s="199"/>
    </row>
    <row r="7386" spans="7:16" x14ac:dyDescent="0.2">
      <c r="G7386" s="199"/>
      <c r="I7386" s="199"/>
      <c r="K7386" s="199"/>
      <c r="M7386" s="199"/>
      <c r="N7386" s="200"/>
      <c r="P7386" s="199"/>
    </row>
    <row r="7387" spans="7:16" x14ac:dyDescent="0.2">
      <c r="G7387" s="199"/>
      <c r="I7387" s="199"/>
      <c r="K7387" s="199"/>
      <c r="M7387" s="199"/>
      <c r="N7387" s="200"/>
      <c r="P7387" s="199"/>
    </row>
    <row r="7388" spans="7:16" x14ac:dyDescent="0.2">
      <c r="G7388" s="199"/>
      <c r="I7388" s="199"/>
      <c r="K7388" s="199"/>
      <c r="M7388" s="199"/>
      <c r="N7388" s="200"/>
      <c r="P7388" s="199"/>
    </row>
    <row r="7389" spans="7:16" x14ac:dyDescent="0.2">
      <c r="G7389" s="199"/>
      <c r="I7389" s="199"/>
      <c r="K7389" s="199"/>
      <c r="M7389" s="199"/>
      <c r="N7389" s="200"/>
      <c r="P7389" s="199"/>
    </row>
    <row r="7390" spans="7:16" x14ac:dyDescent="0.2">
      <c r="G7390" s="199"/>
      <c r="I7390" s="199"/>
      <c r="K7390" s="199"/>
      <c r="M7390" s="199"/>
      <c r="N7390" s="200"/>
      <c r="P7390" s="199"/>
    </row>
    <row r="7391" spans="7:16" x14ac:dyDescent="0.2">
      <c r="G7391" s="199"/>
      <c r="I7391" s="199"/>
      <c r="K7391" s="199"/>
      <c r="M7391" s="199"/>
      <c r="N7391" s="200"/>
      <c r="P7391" s="199"/>
    </row>
    <row r="7392" spans="7:16" x14ac:dyDescent="0.2">
      <c r="G7392" s="199"/>
      <c r="I7392" s="199"/>
      <c r="K7392" s="199"/>
      <c r="M7392" s="199"/>
      <c r="N7392" s="200"/>
      <c r="P7392" s="199"/>
    </row>
    <row r="7393" spans="7:16" x14ac:dyDescent="0.2">
      <c r="G7393" s="199"/>
      <c r="I7393" s="199"/>
      <c r="K7393" s="199"/>
      <c r="M7393" s="199"/>
      <c r="N7393" s="200"/>
      <c r="P7393" s="199"/>
    </row>
    <row r="7394" spans="7:16" x14ac:dyDescent="0.2">
      <c r="G7394" s="199"/>
      <c r="I7394" s="199"/>
      <c r="K7394" s="199"/>
      <c r="M7394" s="199"/>
      <c r="N7394" s="200"/>
      <c r="P7394" s="199"/>
    </row>
    <row r="7395" spans="7:16" x14ac:dyDescent="0.2">
      <c r="G7395" s="199"/>
      <c r="I7395" s="199"/>
      <c r="K7395" s="199"/>
      <c r="M7395" s="199"/>
      <c r="N7395" s="200"/>
      <c r="P7395" s="199"/>
    </row>
    <row r="7396" spans="7:16" x14ac:dyDescent="0.2">
      <c r="G7396" s="199"/>
      <c r="I7396" s="199"/>
      <c r="K7396" s="199"/>
      <c r="M7396" s="199"/>
      <c r="N7396" s="200"/>
      <c r="P7396" s="199"/>
    </row>
    <row r="7397" spans="7:16" x14ac:dyDescent="0.2">
      <c r="G7397" s="199"/>
      <c r="I7397" s="199"/>
      <c r="K7397" s="199"/>
      <c r="M7397" s="199"/>
      <c r="N7397" s="200"/>
      <c r="P7397" s="199"/>
    </row>
    <row r="7398" spans="7:16" x14ac:dyDescent="0.2">
      <c r="G7398" s="199"/>
      <c r="I7398" s="199"/>
      <c r="K7398" s="199"/>
      <c r="M7398" s="199"/>
      <c r="N7398" s="200"/>
      <c r="P7398" s="199"/>
    </row>
    <row r="7399" spans="7:16" x14ac:dyDescent="0.2">
      <c r="G7399" s="199"/>
      <c r="I7399" s="199"/>
      <c r="K7399" s="199"/>
      <c r="M7399" s="199"/>
      <c r="N7399" s="200"/>
      <c r="P7399" s="199"/>
    </row>
    <row r="7400" spans="7:16" x14ac:dyDescent="0.2">
      <c r="G7400" s="199"/>
      <c r="I7400" s="199"/>
      <c r="K7400" s="199"/>
      <c r="M7400" s="199"/>
      <c r="N7400" s="200"/>
      <c r="P7400" s="199"/>
    </row>
    <row r="7401" spans="7:16" x14ac:dyDescent="0.2">
      <c r="G7401" s="199"/>
      <c r="I7401" s="199"/>
      <c r="K7401" s="199"/>
      <c r="M7401" s="199"/>
      <c r="N7401" s="200"/>
      <c r="P7401" s="199"/>
    </row>
    <row r="7402" spans="7:16" x14ac:dyDescent="0.2">
      <c r="G7402" s="199"/>
      <c r="I7402" s="199"/>
      <c r="K7402" s="199"/>
      <c r="M7402" s="199"/>
      <c r="N7402" s="200"/>
      <c r="P7402" s="199"/>
    </row>
    <row r="7403" spans="7:16" x14ac:dyDescent="0.2">
      <c r="G7403" s="199"/>
      <c r="I7403" s="199"/>
      <c r="K7403" s="199"/>
      <c r="M7403" s="199"/>
      <c r="N7403" s="200"/>
      <c r="P7403" s="199"/>
    </row>
    <row r="7404" spans="7:16" x14ac:dyDescent="0.2">
      <c r="G7404" s="199"/>
      <c r="I7404" s="199"/>
      <c r="K7404" s="199"/>
      <c r="M7404" s="199"/>
      <c r="N7404" s="200"/>
      <c r="P7404" s="199"/>
    </row>
    <row r="7405" spans="7:16" x14ac:dyDescent="0.2">
      <c r="G7405" s="199"/>
      <c r="I7405" s="199"/>
      <c r="K7405" s="199"/>
      <c r="M7405" s="199"/>
      <c r="N7405" s="200"/>
      <c r="P7405" s="199"/>
    </row>
    <row r="7406" spans="7:16" x14ac:dyDescent="0.2">
      <c r="G7406" s="199"/>
      <c r="I7406" s="199"/>
      <c r="K7406" s="199"/>
      <c r="M7406" s="199"/>
      <c r="N7406" s="200"/>
      <c r="P7406" s="199"/>
    </row>
    <row r="7407" spans="7:16" x14ac:dyDescent="0.2">
      <c r="G7407" s="199"/>
      <c r="I7407" s="199"/>
      <c r="K7407" s="199"/>
      <c r="M7407" s="199"/>
      <c r="N7407" s="200"/>
      <c r="P7407" s="199"/>
    </row>
    <row r="7408" spans="7:16" x14ac:dyDescent="0.2">
      <c r="G7408" s="199"/>
      <c r="I7408" s="199"/>
      <c r="K7408" s="199"/>
      <c r="M7408" s="199"/>
      <c r="N7408" s="200"/>
      <c r="P7408" s="199"/>
    </row>
    <row r="7409" spans="7:16" x14ac:dyDescent="0.2">
      <c r="G7409" s="199"/>
      <c r="I7409" s="199"/>
      <c r="K7409" s="199"/>
      <c r="M7409" s="199"/>
      <c r="N7409" s="200"/>
      <c r="P7409" s="199"/>
    </row>
    <row r="7410" spans="7:16" x14ac:dyDescent="0.2">
      <c r="G7410" s="199"/>
      <c r="I7410" s="199"/>
      <c r="K7410" s="199"/>
      <c r="M7410" s="199"/>
      <c r="N7410" s="200"/>
      <c r="P7410" s="199"/>
    </row>
    <row r="7411" spans="7:16" x14ac:dyDescent="0.2">
      <c r="G7411" s="199"/>
      <c r="I7411" s="199"/>
      <c r="K7411" s="199"/>
      <c r="M7411" s="199"/>
      <c r="N7411" s="200"/>
      <c r="P7411" s="199"/>
    </row>
    <row r="7412" spans="7:16" x14ac:dyDescent="0.2">
      <c r="G7412" s="199"/>
      <c r="I7412" s="199"/>
      <c r="K7412" s="199"/>
      <c r="M7412" s="199"/>
      <c r="N7412" s="200"/>
      <c r="P7412" s="199"/>
    </row>
    <row r="7413" spans="7:16" x14ac:dyDescent="0.2">
      <c r="G7413" s="199"/>
      <c r="I7413" s="199"/>
      <c r="K7413" s="199"/>
      <c r="M7413" s="199"/>
      <c r="N7413" s="200"/>
      <c r="P7413" s="199"/>
    </row>
    <row r="7414" spans="7:16" x14ac:dyDescent="0.2">
      <c r="G7414" s="199"/>
      <c r="I7414" s="199"/>
      <c r="K7414" s="199"/>
      <c r="M7414" s="199"/>
      <c r="N7414" s="200"/>
      <c r="P7414" s="199"/>
    </row>
    <row r="7415" spans="7:16" x14ac:dyDescent="0.2">
      <c r="G7415" s="199"/>
      <c r="I7415" s="199"/>
      <c r="K7415" s="199"/>
      <c r="M7415" s="199"/>
      <c r="N7415" s="200"/>
      <c r="P7415" s="199"/>
    </row>
    <row r="7416" spans="7:16" x14ac:dyDescent="0.2">
      <c r="G7416" s="199"/>
      <c r="I7416" s="199"/>
      <c r="K7416" s="199"/>
      <c r="M7416" s="199"/>
      <c r="N7416" s="200"/>
      <c r="P7416" s="199"/>
    </row>
    <row r="7417" spans="7:16" x14ac:dyDescent="0.2">
      <c r="G7417" s="199"/>
      <c r="I7417" s="199"/>
      <c r="K7417" s="199"/>
      <c r="M7417" s="199"/>
      <c r="N7417" s="200"/>
      <c r="P7417" s="199"/>
    </row>
    <row r="7418" spans="7:16" x14ac:dyDescent="0.2">
      <c r="G7418" s="199"/>
      <c r="I7418" s="199"/>
      <c r="K7418" s="199"/>
      <c r="M7418" s="199"/>
      <c r="N7418" s="200"/>
      <c r="P7418" s="199"/>
    </row>
    <row r="7419" spans="7:16" x14ac:dyDescent="0.2">
      <c r="G7419" s="199"/>
      <c r="I7419" s="199"/>
      <c r="K7419" s="199"/>
      <c r="M7419" s="199"/>
      <c r="N7419" s="200"/>
      <c r="P7419" s="199"/>
    </row>
    <row r="7420" spans="7:16" x14ac:dyDescent="0.2">
      <c r="G7420" s="199"/>
      <c r="I7420" s="199"/>
      <c r="K7420" s="199"/>
      <c r="M7420" s="199"/>
      <c r="N7420" s="200"/>
      <c r="P7420" s="199"/>
    </row>
    <row r="7421" spans="7:16" x14ac:dyDescent="0.2">
      <c r="G7421" s="199"/>
      <c r="I7421" s="199"/>
      <c r="K7421" s="199"/>
      <c r="M7421" s="199"/>
      <c r="N7421" s="200"/>
      <c r="P7421" s="199"/>
    </row>
    <row r="7422" spans="7:16" x14ac:dyDescent="0.2">
      <c r="G7422" s="199"/>
      <c r="I7422" s="199"/>
      <c r="K7422" s="199"/>
      <c r="M7422" s="199"/>
      <c r="N7422" s="200"/>
      <c r="P7422" s="199"/>
    </row>
    <row r="7423" spans="7:16" x14ac:dyDescent="0.2">
      <c r="G7423" s="199"/>
      <c r="I7423" s="199"/>
      <c r="K7423" s="199"/>
      <c r="M7423" s="199"/>
      <c r="N7423" s="200"/>
      <c r="P7423" s="199"/>
    </row>
    <row r="7424" spans="7:16" x14ac:dyDescent="0.2">
      <c r="G7424" s="199"/>
      <c r="I7424" s="199"/>
      <c r="K7424" s="199"/>
      <c r="M7424" s="199"/>
      <c r="N7424" s="200"/>
      <c r="P7424" s="199"/>
    </row>
    <row r="7425" spans="7:16" x14ac:dyDescent="0.2">
      <c r="G7425" s="199"/>
      <c r="I7425" s="199"/>
      <c r="K7425" s="199"/>
      <c r="M7425" s="199"/>
      <c r="N7425" s="200"/>
      <c r="P7425" s="199"/>
    </row>
    <row r="7426" spans="7:16" x14ac:dyDescent="0.2">
      <c r="G7426" s="199"/>
      <c r="I7426" s="199"/>
      <c r="K7426" s="199"/>
      <c r="M7426" s="199"/>
      <c r="N7426" s="200"/>
      <c r="P7426" s="199"/>
    </row>
    <row r="7427" spans="7:16" x14ac:dyDescent="0.2">
      <c r="G7427" s="199"/>
      <c r="I7427" s="199"/>
      <c r="K7427" s="199"/>
      <c r="M7427" s="199"/>
      <c r="N7427" s="200"/>
      <c r="P7427" s="199"/>
    </row>
    <row r="7428" spans="7:16" x14ac:dyDescent="0.2">
      <c r="G7428" s="199"/>
      <c r="I7428" s="199"/>
      <c r="K7428" s="199"/>
      <c r="M7428" s="199"/>
      <c r="N7428" s="200"/>
      <c r="P7428" s="199"/>
    </row>
    <row r="7429" spans="7:16" x14ac:dyDescent="0.2">
      <c r="G7429" s="199"/>
      <c r="I7429" s="199"/>
      <c r="K7429" s="199"/>
      <c r="M7429" s="199"/>
      <c r="N7429" s="200"/>
      <c r="P7429" s="199"/>
    </row>
    <row r="7430" spans="7:16" x14ac:dyDescent="0.2">
      <c r="G7430" s="199"/>
      <c r="I7430" s="199"/>
      <c r="K7430" s="199"/>
      <c r="M7430" s="199"/>
      <c r="N7430" s="200"/>
      <c r="P7430" s="199"/>
    </row>
    <row r="7431" spans="7:16" x14ac:dyDescent="0.2">
      <c r="G7431" s="199"/>
      <c r="I7431" s="199"/>
      <c r="K7431" s="199"/>
      <c r="M7431" s="199"/>
      <c r="N7431" s="200"/>
      <c r="P7431" s="199"/>
    </row>
    <row r="7432" spans="7:16" x14ac:dyDescent="0.2">
      <c r="G7432" s="199"/>
      <c r="I7432" s="199"/>
      <c r="K7432" s="199"/>
      <c r="M7432" s="199"/>
      <c r="N7432" s="200"/>
      <c r="P7432" s="199"/>
    </row>
    <row r="7433" spans="7:16" x14ac:dyDescent="0.2">
      <c r="G7433" s="199"/>
      <c r="I7433" s="199"/>
      <c r="K7433" s="199"/>
      <c r="M7433" s="199"/>
      <c r="N7433" s="200"/>
      <c r="P7433" s="199"/>
    </row>
    <row r="7434" spans="7:16" x14ac:dyDescent="0.2">
      <c r="G7434" s="199"/>
      <c r="I7434" s="199"/>
      <c r="K7434" s="199"/>
      <c r="M7434" s="199"/>
      <c r="N7434" s="200"/>
      <c r="P7434" s="199"/>
    </row>
    <row r="7435" spans="7:16" x14ac:dyDescent="0.2">
      <c r="G7435" s="199"/>
      <c r="I7435" s="199"/>
      <c r="K7435" s="199"/>
      <c r="M7435" s="199"/>
      <c r="N7435" s="200"/>
      <c r="P7435" s="199"/>
    </row>
    <row r="7436" spans="7:16" x14ac:dyDescent="0.2">
      <c r="G7436" s="199"/>
      <c r="I7436" s="199"/>
      <c r="K7436" s="199"/>
      <c r="M7436" s="199"/>
      <c r="N7436" s="200"/>
      <c r="P7436" s="199"/>
    </row>
    <row r="7437" spans="7:16" x14ac:dyDescent="0.2">
      <c r="G7437" s="199"/>
      <c r="I7437" s="199"/>
      <c r="K7437" s="199"/>
      <c r="M7437" s="199"/>
      <c r="N7437" s="200"/>
      <c r="P7437" s="199"/>
    </row>
    <row r="7438" spans="7:16" x14ac:dyDescent="0.2">
      <c r="G7438" s="199"/>
      <c r="I7438" s="199"/>
      <c r="K7438" s="199"/>
      <c r="M7438" s="199"/>
      <c r="N7438" s="200"/>
      <c r="P7438" s="199"/>
    </row>
    <row r="7439" spans="7:16" x14ac:dyDescent="0.2">
      <c r="G7439" s="199"/>
      <c r="I7439" s="199"/>
      <c r="K7439" s="199"/>
      <c r="M7439" s="199"/>
      <c r="N7439" s="200"/>
      <c r="P7439" s="199"/>
    </row>
    <row r="7440" spans="7:16" x14ac:dyDescent="0.2">
      <c r="G7440" s="199"/>
      <c r="I7440" s="199"/>
      <c r="K7440" s="199"/>
      <c r="M7440" s="199"/>
      <c r="N7440" s="200"/>
      <c r="P7440" s="199"/>
    </row>
    <row r="7441" spans="7:16" x14ac:dyDescent="0.2">
      <c r="G7441" s="199"/>
      <c r="I7441" s="199"/>
      <c r="K7441" s="199"/>
      <c r="M7441" s="199"/>
      <c r="N7441" s="200"/>
      <c r="P7441" s="199"/>
    </row>
    <row r="7442" spans="7:16" x14ac:dyDescent="0.2">
      <c r="G7442" s="199"/>
      <c r="I7442" s="199"/>
      <c r="K7442" s="199"/>
      <c r="M7442" s="199"/>
      <c r="N7442" s="200"/>
      <c r="P7442" s="199"/>
    </row>
    <row r="7443" spans="7:16" x14ac:dyDescent="0.2">
      <c r="G7443" s="199"/>
      <c r="I7443" s="199"/>
      <c r="K7443" s="199"/>
      <c r="M7443" s="199"/>
      <c r="N7443" s="200"/>
      <c r="P7443" s="199"/>
    </row>
    <row r="7444" spans="7:16" x14ac:dyDescent="0.2">
      <c r="G7444" s="199"/>
      <c r="I7444" s="199"/>
      <c r="K7444" s="199"/>
      <c r="M7444" s="199"/>
      <c r="N7444" s="200"/>
      <c r="P7444" s="199"/>
    </row>
    <row r="7445" spans="7:16" x14ac:dyDescent="0.2">
      <c r="G7445" s="199"/>
      <c r="I7445" s="199"/>
      <c r="K7445" s="199"/>
      <c r="M7445" s="199"/>
      <c r="N7445" s="200"/>
      <c r="P7445" s="199"/>
    </row>
    <row r="7446" spans="7:16" x14ac:dyDescent="0.2">
      <c r="G7446" s="199"/>
      <c r="I7446" s="199"/>
      <c r="K7446" s="199"/>
      <c r="M7446" s="199"/>
      <c r="N7446" s="200"/>
      <c r="P7446" s="199"/>
    </row>
    <row r="7447" spans="7:16" x14ac:dyDescent="0.2">
      <c r="G7447" s="199"/>
      <c r="I7447" s="199"/>
      <c r="K7447" s="199"/>
      <c r="M7447" s="199"/>
      <c r="N7447" s="200"/>
      <c r="P7447" s="199"/>
    </row>
    <row r="7448" spans="7:16" x14ac:dyDescent="0.2">
      <c r="G7448" s="199"/>
      <c r="I7448" s="199"/>
      <c r="K7448" s="199"/>
      <c r="M7448" s="199"/>
      <c r="N7448" s="200"/>
      <c r="P7448" s="199"/>
    </row>
    <row r="7449" spans="7:16" x14ac:dyDescent="0.2">
      <c r="G7449" s="199"/>
      <c r="I7449" s="199"/>
      <c r="K7449" s="199"/>
      <c r="M7449" s="199"/>
      <c r="N7449" s="200"/>
      <c r="P7449" s="199"/>
    </row>
    <row r="7450" spans="7:16" x14ac:dyDescent="0.2">
      <c r="G7450" s="199"/>
      <c r="I7450" s="199"/>
      <c r="K7450" s="199"/>
      <c r="M7450" s="199"/>
      <c r="N7450" s="200"/>
      <c r="P7450" s="199"/>
    </row>
    <row r="7451" spans="7:16" x14ac:dyDescent="0.2">
      <c r="G7451" s="199"/>
      <c r="I7451" s="199"/>
      <c r="K7451" s="199"/>
      <c r="M7451" s="199"/>
      <c r="N7451" s="200"/>
      <c r="P7451" s="199"/>
    </row>
    <row r="7452" spans="7:16" x14ac:dyDescent="0.2">
      <c r="G7452" s="199"/>
      <c r="I7452" s="199"/>
      <c r="K7452" s="199"/>
      <c r="M7452" s="199"/>
      <c r="N7452" s="200"/>
      <c r="P7452" s="199"/>
    </row>
    <row r="7453" spans="7:16" x14ac:dyDescent="0.2">
      <c r="G7453" s="199"/>
      <c r="I7453" s="199"/>
      <c r="K7453" s="199"/>
      <c r="M7453" s="199"/>
      <c r="N7453" s="200"/>
      <c r="P7453" s="199"/>
    </row>
    <row r="7454" spans="7:16" x14ac:dyDescent="0.2">
      <c r="G7454" s="199"/>
      <c r="I7454" s="199"/>
      <c r="K7454" s="199"/>
      <c r="M7454" s="199"/>
      <c r="N7454" s="200"/>
      <c r="P7454" s="199"/>
    </row>
    <row r="7455" spans="7:16" x14ac:dyDescent="0.2">
      <c r="G7455" s="199"/>
      <c r="I7455" s="199"/>
      <c r="K7455" s="199"/>
      <c r="M7455" s="199"/>
      <c r="N7455" s="200"/>
      <c r="P7455" s="199"/>
    </row>
    <row r="7456" spans="7:16" x14ac:dyDescent="0.2">
      <c r="G7456" s="199"/>
      <c r="I7456" s="199"/>
      <c r="K7456" s="199"/>
      <c r="M7456" s="199"/>
      <c r="N7456" s="200"/>
      <c r="P7456" s="199"/>
    </row>
    <row r="7457" spans="7:16" x14ac:dyDescent="0.2">
      <c r="G7457" s="199"/>
      <c r="I7457" s="199"/>
      <c r="K7457" s="199"/>
      <c r="M7457" s="199"/>
      <c r="N7457" s="200"/>
      <c r="P7457" s="199"/>
    </row>
    <row r="7458" spans="7:16" x14ac:dyDescent="0.2">
      <c r="G7458" s="199"/>
      <c r="I7458" s="199"/>
      <c r="K7458" s="199"/>
      <c r="M7458" s="199"/>
      <c r="N7458" s="200"/>
      <c r="P7458" s="199"/>
    </row>
    <row r="7459" spans="7:16" x14ac:dyDescent="0.2">
      <c r="G7459" s="199"/>
      <c r="I7459" s="199"/>
      <c r="K7459" s="199"/>
      <c r="M7459" s="199"/>
      <c r="N7459" s="200"/>
      <c r="P7459" s="199"/>
    </row>
    <row r="7460" spans="7:16" x14ac:dyDescent="0.2">
      <c r="G7460" s="199"/>
      <c r="I7460" s="199"/>
      <c r="K7460" s="199"/>
      <c r="M7460" s="199"/>
      <c r="N7460" s="200"/>
      <c r="P7460" s="199"/>
    </row>
    <row r="7461" spans="7:16" x14ac:dyDescent="0.2">
      <c r="G7461" s="199"/>
      <c r="I7461" s="199"/>
      <c r="K7461" s="199"/>
      <c r="M7461" s="199"/>
      <c r="N7461" s="200"/>
      <c r="P7461" s="199"/>
    </row>
    <row r="7462" spans="7:16" x14ac:dyDescent="0.2">
      <c r="G7462" s="199"/>
      <c r="I7462" s="199"/>
      <c r="K7462" s="199"/>
      <c r="M7462" s="199"/>
      <c r="N7462" s="200"/>
      <c r="P7462" s="199"/>
    </row>
    <row r="7463" spans="7:16" x14ac:dyDescent="0.2">
      <c r="G7463" s="199"/>
      <c r="I7463" s="199"/>
      <c r="K7463" s="199"/>
      <c r="M7463" s="199"/>
      <c r="N7463" s="200"/>
      <c r="P7463" s="199"/>
    </row>
    <row r="7464" spans="7:16" x14ac:dyDescent="0.2">
      <c r="G7464" s="199"/>
      <c r="I7464" s="199"/>
      <c r="K7464" s="199"/>
      <c r="M7464" s="199"/>
      <c r="N7464" s="200"/>
      <c r="P7464" s="199"/>
    </row>
    <row r="7465" spans="7:16" x14ac:dyDescent="0.2">
      <c r="G7465" s="199"/>
      <c r="I7465" s="199"/>
      <c r="K7465" s="199"/>
      <c r="M7465" s="199"/>
      <c r="N7465" s="200"/>
      <c r="P7465" s="199"/>
    </row>
    <row r="7466" spans="7:16" x14ac:dyDescent="0.2">
      <c r="G7466" s="199"/>
      <c r="I7466" s="199"/>
      <c r="K7466" s="199"/>
      <c r="M7466" s="199"/>
      <c r="N7466" s="200"/>
      <c r="P7466" s="199"/>
    </row>
    <row r="7467" spans="7:16" x14ac:dyDescent="0.2">
      <c r="G7467" s="199"/>
      <c r="I7467" s="199"/>
      <c r="K7467" s="199"/>
      <c r="M7467" s="199"/>
      <c r="N7467" s="200"/>
      <c r="P7467" s="199"/>
    </row>
    <row r="7468" spans="7:16" x14ac:dyDescent="0.2">
      <c r="G7468" s="199"/>
      <c r="I7468" s="199"/>
      <c r="K7468" s="199"/>
      <c r="M7468" s="199"/>
      <c r="N7468" s="200"/>
      <c r="P7468" s="199"/>
    </row>
    <row r="7469" spans="7:16" x14ac:dyDescent="0.2">
      <c r="G7469" s="199"/>
      <c r="I7469" s="199"/>
      <c r="K7469" s="199"/>
      <c r="M7469" s="199"/>
      <c r="N7469" s="200"/>
      <c r="P7469" s="199"/>
    </row>
    <row r="7470" spans="7:16" x14ac:dyDescent="0.2">
      <c r="G7470" s="199"/>
      <c r="I7470" s="199"/>
      <c r="K7470" s="199"/>
      <c r="M7470" s="199"/>
      <c r="N7470" s="200"/>
      <c r="P7470" s="199"/>
    </row>
    <row r="7471" spans="7:16" x14ac:dyDescent="0.2">
      <c r="G7471" s="199"/>
      <c r="I7471" s="199"/>
      <c r="K7471" s="199"/>
      <c r="M7471" s="199"/>
      <c r="N7471" s="200"/>
      <c r="P7471" s="199"/>
    </row>
    <row r="7472" spans="7:16" x14ac:dyDescent="0.2">
      <c r="G7472" s="199"/>
      <c r="I7472" s="199"/>
      <c r="K7472" s="199"/>
      <c r="M7472" s="199"/>
      <c r="N7472" s="200"/>
      <c r="P7472" s="199"/>
    </row>
    <row r="7473" spans="7:16" x14ac:dyDescent="0.2">
      <c r="G7473" s="199"/>
      <c r="I7473" s="199"/>
      <c r="K7473" s="199"/>
      <c r="M7473" s="199"/>
      <c r="N7473" s="200"/>
      <c r="P7473" s="199"/>
    </row>
    <row r="7474" spans="7:16" x14ac:dyDescent="0.2">
      <c r="G7474" s="199"/>
      <c r="I7474" s="199"/>
      <c r="K7474" s="199"/>
      <c r="M7474" s="199"/>
      <c r="N7474" s="200"/>
      <c r="P7474" s="199"/>
    </row>
    <row r="7475" spans="7:16" x14ac:dyDescent="0.2">
      <c r="G7475" s="199"/>
      <c r="I7475" s="199"/>
      <c r="K7475" s="199"/>
      <c r="M7475" s="199"/>
      <c r="N7475" s="200"/>
      <c r="P7475" s="199"/>
    </row>
    <row r="7476" spans="7:16" x14ac:dyDescent="0.2">
      <c r="G7476" s="199"/>
      <c r="I7476" s="199"/>
      <c r="K7476" s="199"/>
      <c r="M7476" s="199"/>
      <c r="N7476" s="200"/>
      <c r="P7476" s="199"/>
    </row>
    <row r="7477" spans="7:16" x14ac:dyDescent="0.2">
      <c r="G7477" s="199"/>
      <c r="I7477" s="199"/>
      <c r="K7477" s="199"/>
      <c r="M7477" s="199"/>
      <c r="N7477" s="200"/>
      <c r="P7477" s="199"/>
    </row>
    <row r="7478" spans="7:16" x14ac:dyDescent="0.2">
      <c r="G7478" s="199"/>
      <c r="I7478" s="199"/>
      <c r="K7478" s="199"/>
      <c r="M7478" s="199"/>
      <c r="N7478" s="200"/>
      <c r="P7478" s="199"/>
    </row>
    <row r="7479" spans="7:16" x14ac:dyDescent="0.2">
      <c r="G7479" s="199"/>
      <c r="I7479" s="199"/>
      <c r="K7479" s="199"/>
      <c r="M7479" s="199"/>
      <c r="N7479" s="200"/>
      <c r="P7479" s="199"/>
    </row>
    <row r="7480" spans="7:16" x14ac:dyDescent="0.2">
      <c r="G7480" s="199"/>
      <c r="I7480" s="199"/>
      <c r="K7480" s="199"/>
      <c r="M7480" s="199"/>
      <c r="N7480" s="200"/>
      <c r="P7480" s="199"/>
    </row>
    <row r="7481" spans="7:16" x14ac:dyDescent="0.2">
      <c r="G7481" s="199"/>
      <c r="I7481" s="199"/>
      <c r="K7481" s="199"/>
      <c r="M7481" s="199"/>
      <c r="N7481" s="200"/>
      <c r="P7481" s="199"/>
    </row>
    <row r="7482" spans="7:16" x14ac:dyDescent="0.2">
      <c r="G7482" s="199"/>
      <c r="I7482" s="199"/>
      <c r="K7482" s="199"/>
      <c r="M7482" s="199"/>
      <c r="N7482" s="200"/>
      <c r="P7482" s="199"/>
    </row>
    <row r="7483" spans="7:16" x14ac:dyDescent="0.2">
      <c r="G7483" s="199"/>
      <c r="I7483" s="199"/>
      <c r="K7483" s="199"/>
      <c r="M7483" s="199"/>
      <c r="N7483" s="200"/>
      <c r="P7483" s="199"/>
    </row>
    <row r="7484" spans="7:16" x14ac:dyDescent="0.2">
      <c r="G7484" s="199"/>
      <c r="I7484" s="199"/>
      <c r="K7484" s="199"/>
      <c r="M7484" s="199"/>
      <c r="N7484" s="200"/>
      <c r="P7484" s="199"/>
    </row>
    <row r="7485" spans="7:16" x14ac:dyDescent="0.2">
      <c r="G7485" s="199"/>
      <c r="I7485" s="199"/>
      <c r="K7485" s="199"/>
      <c r="M7485" s="199"/>
      <c r="N7485" s="200"/>
      <c r="P7485" s="199"/>
    </row>
    <row r="7486" spans="7:16" x14ac:dyDescent="0.2">
      <c r="G7486" s="199"/>
      <c r="I7486" s="199"/>
      <c r="K7486" s="199"/>
      <c r="M7486" s="199"/>
      <c r="N7486" s="200"/>
      <c r="P7486" s="199"/>
    </row>
    <row r="7487" spans="7:16" x14ac:dyDescent="0.2">
      <c r="G7487" s="199"/>
      <c r="I7487" s="199"/>
      <c r="K7487" s="199"/>
      <c r="M7487" s="199"/>
      <c r="N7487" s="200"/>
      <c r="P7487" s="199"/>
    </row>
    <row r="7488" spans="7:16" x14ac:dyDescent="0.2">
      <c r="G7488" s="199"/>
      <c r="I7488" s="199"/>
      <c r="K7488" s="199"/>
      <c r="M7488" s="199"/>
      <c r="N7488" s="200"/>
      <c r="P7488" s="199"/>
    </row>
    <row r="7489" spans="7:16" x14ac:dyDescent="0.2">
      <c r="G7489" s="199"/>
      <c r="I7489" s="199"/>
      <c r="K7489" s="199"/>
      <c r="M7489" s="199"/>
      <c r="N7489" s="200"/>
      <c r="P7489" s="199"/>
    </row>
    <row r="7490" spans="7:16" x14ac:dyDescent="0.2">
      <c r="G7490" s="199"/>
      <c r="I7490" s="199"/>
      <c r="K7490" s="199"/>
      <c r="M7490" s="199"/>
      <c r="N7490" s="200"/>
      <c r="P7490" s="199"/>
    </row>
    <row r="7491" spans="7:16" x14ac:dyDescent="0.2">
      <c r="G7491" s="199"/>
      <c r="I7491" s="199"/>
      <c r="K7491" s="199"/>
      <c r="M7491" s="199"/>
      <c r="N7491" s="200"/>
      <c r="P7491" s="199"/>
    </row>
    <row r="7492" spans="7:16" x14ac:dyDescent="0.2">
      <c r="G7492" s="199"/>
      <c r="I7492" s="199"/>
      <c r="K7492" s="199"/>
      <c r="M7492" s="199"/>
      <c r="N7492" s="200"/>
      <c r="P7492" s="199"/>
    </row>
    <row r="7493" spans="7:16" x14ac:dyDescent="0.2">
      <c r="G7493" s="199"/>
      <c r="I7493" s="199"/>
      <c r="K7493" s="199"/>
      <c r="M7493" s="199"/>
      <c r="N7493" s="200"/>
      <c r="P7493" s="199"/>
    </row>
    <row r="7494" spans="7:16" x14ac:dyDescent="0.2">
      <c r="G7494" s="199"/>
      <c r="I7494" s="199"/>
      <c r="K7494" s="199"/>
      <c r="M7494" s="199"/>
      <c r="N7494" s="200"/>
      <c r="P7494" s="199"/>
    </row>
    <row r="7495" spans="7:16" x14ac:dyDescent="0.2">
      <c r="G7495" s="199"/>
      <c r="I7495" s="199"/>
      <c r="K7495" s="199"/>
      <c r="M7495" s="199"/>
      <c r="N7495" s="200"/>
      <c r="P7495" s="199"/>
    </row>
    <row r="7496" spans="7:16" x14ac:dyDescent="0.2">
      <c r="G7496" s="199"/>
      <c r="I7496" s="199"/>
      <c r="K7496" s="199"/>
      <c r="M7496" s="199"/>
      <c r="N7496" s="200"/>
      <c r="P7496" s="199"/>
    </row>
    <row r="7497" spans="7:16" x14ac:dyDescent="0.2">
      <c r="G7497" s="199"/>
      <c r="I7497" s="199"/>
      <c r="K7497" s="199"/>
      <c r="M7497" s="199"/>
      <c r="N7497" s="200"/>
      <c r="P7497" s="199"/>
    </row>
    <row r="7498" spans="7:16" x14ac:dyDescent="0.2">
      <c r="G7498" s="199"/>
      <c r="I7498" s="199"/>
      <c r="K7498" s="199"/>
      <c r="M7498" s="199"/>
      <c r="N7498" s="200"/>
      <c r="P7498" s="199"/>
    </row>
    <row r="7499" spans="7:16" x14ac:dyDescent="0.2">
      <c r="G7499" s="199"/>
      <c r="I7499" s="199"/>
      <c r="K7499" s="199"/>
      <c r="M7499" s="199"/>
      <c r="N7499" s="200"/>
      <c r="P7499" s="199"/>
    </row>
    <row r="7500" spans="7:16" x14ac:dyDescent="0.2">
      <c r="G7500" s="199"/>
      <c r="I7500" s="199"/>
      <c r="K7500" s="199"/>
      <c r="M7500" s="199"/>
      <c r="N7500" s="200"/>
      <c r="P7500" s="199"/>
    </row>
    <row r="7501" spans="7:16" x14ac:dyDescent="0.2">
      <c r="G7501" s="199"/>
      <c r="I7501" s="199"/>
      <c r="K7501" s="199"/>
      <c r="M7501" s="199"/>
      <c r="N7501" s="200"/>
      <c r="P7501" s="199"/>
    </row>
    <row r="7502" spans="7:16" x14ac:dyDescent="0.2">
      <c r="G7502" s="199"/>
      <c r="I7502" s="199"/>
      <c r="K7502" s="199"/>
      <c r="M7502" s="199"/>
      <c r="N7502" s="200"/>
      <c r="P7502" s="199"/>
    </row>
    <row r="7503" spans="7:16" x14ac:dyDescent="0.2">
      <c r="G7503" s="199"/>
      <c r="I7503" s="199"/>
      <c r="K7503" s="199"/>
      <c r="M7503" s="199"/>
      <c r="N7503" s="200"/>
      <c r="P7503" s="199"/>
    </row>
    <row r="7504" spans="7:16" x14ac:dyDescent="0.2">
      <c r="G7504" s="199"/>
      <c r="I7504" s="199"/>
      <c r="K7504" s="199"/>
      <c r="M7504" s="199"/>
      <c r="N7504" s="200"/>
      <c r="P7504" s="199"/>
    </row>
    <row r="7505" spans="7:16" x14ac:dyDescent="0.2">
      <c r="G7505" s="199"/>
      <c r="I7505" s="199"/>
      <c r="K7505" s="199"/>
      <c r="M7505" s="199"/>
      <c r="N7505" s="200"/>
      <c r="P7505" s="199"/>
    </row>
    <row r="7506" spans="7:16" x14ac:dyDescent="0.2">
      <c r="G7506" s="199"/>
      <c r="I7506" s="199"/>
      <c r="K7506" s="199"/>
      <c r="M7506" s="199"/>
      <c r="N7506" s="200"/>
      <c r="P7506" s="199"/>
    </row>
    <row r="7507" spans="7:16" x14ac:dyDescent="0.2">
      <c r="G7507" s="199"/>
      <c r="I7507" s="199"/>
      <c r="K7507" s="199"/>
      <c r="M7507" s="199"/>
      <c r="N7507" s="200"/>
      <c r="P7507" s="199"/>
    </row>
    <row r="7508" spans="7:16" x14ac:dyDescent="0.2">
      <c r="G7508" s="199"/>
      <c r="I7508" s="199"/>
      <c r="K7508" s="199"/>
      <c r="M7508" s="199"/>
      <c r="N7508" s="200"/>
      <c r="P7508" s="199"/>
    </row>
    <row r="7509" spans="7:16" x14ac:dyDescent="0.2">
      <c r="G7509" s="199"/>
      <c r="I7509" s="199"/>
      <c r="K7509" s="199"/>
      <c r="M7509" s="199"/>
      <c r="N7509" s="200"/>
      <c r="P7509" s="199"/>
    </row>
    <row r="7510" spans="7:16" x14ac:dyDescent="0.2">
      <c r="G7510" s="199"/>
      <c r="I7510" s="199"/>
      <c r="K7510" s="199"/>
      <c r="M7510" s="199"/>
      <c r="N7510" s="200"/>
      <c r="P7510" s="199"/>
    </row>
    <row r="7511" spans="7:16" x14ac:dyDescent="0.2">
      <c r="G7511" s="199"/>
      <c r="I7511" s="199"/>
      <c r="K7511" s="199"/>
      <c r="M7511" s="199"/>
      <c r="N7511" s="200"/>
      <c r="P7511" s="199"/>
    </row>
    <row r="7512" spans="7:16" x14ac:dyDescent="0.2">
      <c r="G7512" s="199"/>
      <c r="I7512" s="199"/>
      <c r="K7512" s="199"/>
      <c r="M7512" s="199"/>
      <c r="N7512" s="200"/>
      <c r="P7512" s="199"/>
    </row>
    <row r="7513" spans="7:16" x14ac:dyDescent="0.2">
      <c r="G7513" s="199"/>
      <c r="I7513" s="199"/>
      <c r="K7513" s="199"/>
      <c r="M7513" s="199"/>
      <c r="N7513" s="200"/>
      <c r="P7513" s="199"/>
    </row>
    <row r="7514" spans="7:16" x14ac:dyDescent="0.2">
      <c r="G7514" s="199"/>
      <c r="I7514" s="199"/>
      <c r="K7514" s="199"/>
      <c r="M7514" s="199"/>
      <c r="N7514" s="200"/>
      <c r="P7514" s="199"/>
    </row>
    <row r="7515" spans="7:16" x14ac:dyDescent="0.2">
      <c r="G7515" s="199"/>
      <c r="I7515" s="199"/>
      <c r="K7515" s="199"/>
      <c r="M7515" s="199"/>
      <c r="N7515" s="200"/>
      <c r="P7515" s="199"/>
    </row>
    <row r="7516" spans="7:16" x14ac:dyDescent="0.2">
      <c r="G7516" s="199"/>
      <c r="I7516" s="199"/>
      <c r="K7516" s="199"/>
      <c r="M7516" s="199"/>
      <c r="N7516" s="200"/>
      <c r="P7516" s="199"/>
    </row>
    <row r="7517" spans="7:16" x14ac:dyDescent="0.2">
      <c r="G7517" s="199"/>
      <c r="I7517" s="199"/>
      <c r="K7517" s="199"/>
      <c r="M7517" s="199"/>
      <c r="N7517" s="200"/>
      <c r="P7517" s="199"/>
    </row>
    <row r="7518" spans="7:16" x14ac:dyDescent="0.2">
      <c r="G7518" s="199"/>
      <c r="I7518" s="199"/>
      <c r="K7518" s="199"/>
      <c r="M7518" s="199"/>
      <c r="N7518" s="200"/>
      <c r="P7518" s="199"/>
    </row>
    <row r="7519" spans="7:16" x14ac:dyDescent="0.2">
      <c r="G7519" s="199"/>
      <c r="I7519" s="199"/>
      <c r="K7519" s="199"/>
      <c r="M7519" s="199"/>
      <c r="N7519" s="200"/>
      <c r="P7519" s="199"/>
    </row>
    <row r="7520" spans="7:16" x14ac:dyDescent="0.2">
      <c r="G7520" s="199"/>
      <c r="I7520" s="199"/>
      <c r="K7520" s="199"/>
      <c r="M7520" s="199"/>
      <c r="N7520" s="200"/>
      <c r="P7520" s="199"/>
    </row>
    <row r="7521" spans="7:16" x14ac:dyDescent="0.2">
      <c r="G7521" s="199"/>
      <c r="I7521" s="199"/>
      <c r="K7521" s="199"/>
      <c r="M7521" s="199"/>
      <c r="N7521" s="200"/>
      <c r="P7521" s="199"/>
    </row>
    <row r="7522" spans="7:16" x14ac:dyDescent="0.2">
      <c r="G7522" s="199"/>
      <c r="I7522" s="199"/>
      <c r="K7522" s="199"/>
      <c r="M7522" s="199"/>
      <c r="N7522" s="200"/>
      <c r="P7522" s="199"/>
    </row>
    <row r="7523" spans="7:16" x14ac:dyDescent="0.2">
      <c r="G7523" s="199"/>
      <c r="I7523" s="199"/>
      <c r="K7523" s="199"/>
      <c r="M7523" s="199"/>
      <c r="N7523" s="200"/>
      <c r="P7523" s="199"/>
    </row>
    <row r="7524" spans="7:16" x14ac:dyDescent="0.2">
      <c r="G7524" s="199"/>
      <c r="I7524" s="199"/>
      <c r="K7524" s="199"/>
      <c r="M7524" s="199"/>
      <c r="N7524" s="200"/>
      <c r="P7524" s="199"/>
    </row>
    <row r="7525" spans="7:16" x14ac:dyDescent="0.2">
      <c r="G7525" s="199"/>
      <c r="I7525" s="199"/>
      <c r="K7525" s="199"/>
      <c r="M7525" s="199"/>
      <c r="N7525" s="200"/>
      <c r="P7525" s="199"/>
    </row>
    <row r="7526" spans="7:16" x14ac:dyDescent="0.2">
      <c r="G7526" s="199"/>
      <c r="I7526" s="199"/>
      <c r="K7526" s="199"/>
      <c r="M7526" s="199"/>
      <c r="N7526" s="200"/>
      <c r="P7526" s="199"/>
    </row>
    <row r="7527" spans="7:16" x14ac:dyDescent="0.2">
      <c r="G7527" s="199"/>
      <c r="I7527" s="199"/>
      <c r="K7527" s="199"/>
      <c r="M7527" s="199"/>
      <c r="N7527" s="200"/>
      <c r="P7527" s="199"/>
    </row>
    <row r="7528" spans="7:16" x14ac:dyDescent="0.2">
      <c r="G7528" s="199"/>
      <c r="I7528" s="199"/>
      <c r="K7528" s="199"/>
      <c r="M7528" s="199"/>
      <c r="N7528" s="200"/>
      <c r="P7528" s="199"/>
    </row>
    <row r="7529" spans="7:16" x14ac:dyDescent="0.2">
      <c r="G7529" s="199"/>
      <c r="I7529" s="199"/>
      <c r="K7529" s="199"/>
      <c r="M7529" s="199"/>
      <c r="N7529" s="200"/>
      <c r="P7529" s="199"/>
    </row>
    <row r="7530" spans="7:16" x14ac:dyDescent="0.2">
      <c r="G7530" s="199"/>
      <c r="I7530" s="199"/>
      <c r="K7530" s="199"/>
      <c r="M7530" s="199"/>
      <c r="N7530" s="200"/>
      <c r="P7530" s="199"/>
    </row>
    <row r="7531" spans="7:16" x14ac:dyDescent="0.2">
      <c r="G7531" s="199"/>
      <c r="I7531" s="199"/>
      <c r="K7531" s="199"/>
      <c r="M7531" s="199"/>
      <c r="N7531" s="200"/>
      <c r="P7531" s="199"/>
    </row>
    <row r="7532" spans="7:16" x14ac:dyDescent="0.2">
      <c r="G7532" s="199"/>
      <c r="I7532" s="199"/>
      <c r="K7532" s="199"/>
      <c r="M7532" s="199"/>
      <c r="N7532" s="200"/>
      <c r="P7532" s="199"/>
    </row>
    <row r="7533" spans="7:16" x14ac:dyDescent="0.2">
      <c r="G7533" s="199"/>
      <c r="I7533" s="199"/>
      <c r="K7533" s="199"/>
      <c r="M7533" s="199"/>
      <c r="N7533" s="200"/>
      <c r="P7533" s="199"/>
    </row>
    <row r="7534" spans="7:16" x14ac:dyDescent="0.2">
      <c r="G7534" s="199"/>
      <c r="I7534" s="199"/>
      <c r="K7534" s="199"/>
      <c r="M7534" s="199"/>
      <c r="N7534" s="200"/>
      <c r="P7534" s="199"/>
    </row>
    <row r="7535" spans="7:16" x14ac:dyDescent="0.2">
      <c r="G7535" s="199"/>
      <c r="I7535" s="199"/>
      <c r="K7535" s="199"/>
      <c r="M7535" s="199"/>
      <c r="N7535" s="200"/>
      <c r="P7535" s="199"/>
    </row>
    <row r="7536" spans="7:16" x14ac:dyDescent="0.2">
      <c r="G7536" s="199"/>
      <c r="I7536" s="199"/>
      <c r="K7536" s="199"/>
      <c r="M7536" s="199"/>
      <c r="N7536" s="200"/>
      <c r="P7536" s="199"/>
    </row>
    <row r="7537" spans="7:16" x14ac:dyDescent="0.2">
      <c r="G7537" s="199"/>
      <c r="I7537" s="199"/>
      <c r="K7537" s="199"/>
      <c r="M7537" s="199"/>
      <c r="N7537" s="200"/>
      <c r="P7537" s="199"/>
    </row>
    <row r="7538" spans="7:16" x14ac:dyDescent="0.2">
      <c r="G7538" s="199"/>
      <c r="I7538" s="199"/>
      <c r="K7538" s="199"/>
      <c r="M7538" s="199"/>
      <c r="N7538" s="200"/>
      <c r="P7538" s="199"/>
    </row>
    <row r="7539" spans="7:16" x14ac:dyDescent="0.2">
      <c r="G7539" s="199"/>
      <c r="I7539" s="199"/>
      <c r="K7539" s="199"/>
      <c r="M7539" s="199"/>
      <c r="N7539" s="200"/>
      <c r="P7539" s="199"/>
    </row>
    <row r="7540" spans="7:16" x14ac:dyDescent="0.2">
      <c r="G7540" s="199"/>
      <c r="I7540" s="199"/>
      <c r="K7540" s="199"/>
      <c r="M7540" s="199"/>
      <c r="N7540" s="200"/>
      <c r="P7540" s="199"/>
    </row>
    <row r="7541" spans="7:16" x14ac:dyDescent="0.2">
      <c r="G7541" s="199"/>
      <c r="I7541" s="199"/>
      <c r="K7541" s="199"/>
      <c r="M7541" s="199"/>
      <c r="N7541" s="200"/>
      <c r="P7541" s="199"/>
    </row>
    <row r="7542" spans="7:16" x14ac:dyDescent="0.2">
      <c r="G7542" s="199"/>
      <c r="I7542" s="199"/>
      <c r="K7542" s="199"/>
      <c r="M7542" s="199"/>
      <c r="N7542" s="200"/>
      <c r="P7542" s="199"/>
    </row>
    <row r="7543" spans="7:16" x14ac:dyDescent="0.2">
      <c r="G7543" s="199"/>
      <c r="I7543" s="199"/>
      <c r="K7543" s="199"/>
      <c r="M7543" s="199"/>
      <c r="N7543" s="200"/>
      <c r="P7543" s="199"/>
    </row>
    <row r="7544" spans="7:16" x14ac:dyDescent="0.2">
      <c r="G7544" s="199"/>
      <c r="I7544" s="199"/>
      <c r="K7544" s="199"/>
      <c r="M7544" s="199"/>
      <c r="N7544" s="200"/>
      <c r="P7544" s="199"/>
    </row>
    <row r="7545" spans="7:16" x14ac:dyDescent="0.2">
      <c r="G7545" s="199"/>
      <c r="I7545" s="199"/>
      <c r="K7545" s="199"/>
      <c r="M7545" s="199"/>
      <c r="N7545" s="200"/>
      <c r="P7545" s="199"/>
    </row>
    <row r="7546" spans="7:16" x14ac:dyDescent="0.2">
      <c r="G7546" s="199"/>
      <c r="I7546" s="199"/>
      <c r="K7546" s="199"/>
      <c r="M7546" s="199"/>
      <c r="N7546" s="200"/>
      <c r="P7546" s="199"/>
    </row>
    <row r="7547" spans="7:16" x14ac:dyDescent="0.2">
      <c r="G7547" s="199"/>
      <c r="I7547" s="199"/>
      <c r="K7547" s="199"/>
      <c r="M7547" s="199"/>
      <c r="N7547" s="200"/>
      <c r="P7547" s="199"/>
    </row>
    <row r="7548" spans="7:16" x14ac:dyDescent="0.2">
      <c r="G7548" s="199"/>
      <c r="I7548" s="199"/>
      <c r="K7548" s="199"/>
      <c r="M7548" s="199"/>
      <c r="N7548" s="200"/>
      <c r="P7548" s="199"/>
    </row>
    <row r="7549" spans="7:16" x14ac:dyDescent="0.2">
      <c r="G7549" s="199"/>
      <c r="I7549" s="199"/>
      <c r="K7549" s="199"/>
      <c r="M7549" s="199"/>
      <c r="N7549" s="200"/>
      <c r="P7549" s="199"/>
    </row>
    <row r="7550" spans="7:16" x14ac:dyDescent="0.2">
      <c r="G7550" s="199"/>
      <c r="I7550" s="199"/>
      <c r="K7550" s="199"/>
      <c r="M7550" s="199"/>
      <c r="N7550" s="200"/>
      <c r="P7550" s="199"/>
    </row>
    <row r="7551" spans="7:16" x14ac:dyDescent="0.2">
      <c r="G7551" s="199"/>
      <c r="I7551" s="199"/>
      <c r="K7551" s="199"/>
      <c r="M7551" s="199"/>
      <c r="N7551" s="200"/>
      <c r="P7551" s="199"/>
    </row>
    <row r="7552" spans="7:16" x14ac:dyDescent="0.2">
      <c r="G7552" s="199"/>
      <c r="I7552" s="199"/>
      <c r="K7552" s="199"/>
      <c r="M7552" s="199"/>
      <c r="N7552" s="200"/>
      <c r="P7552" s="199"/>
    </row>
    <row r="7553" spans="7:16" x14ac:dyDescent="0.2">
      <c r="G7553" s="199"/>
      <c r="I7553" s="199"/>
      <c r="K7553" s="199"/>
      <c r="M7553" s="199"/>
      <c r="N7553" s="200"/>
      <c r="P7553" s="199"/>
    </row>
    <row r="7554" spans="7:16" x14ac:dyDescent="0.2">
      <c r="G7554" s="199"/>
      <c r="I7554" s="199"/>
      <c r="K7554" s="199"/>
      <c r="M7554" s="199"/>
      <c r="N7554" s="200"/>
      <c r="P7554" s="199"/>
    </row>
    <row r="7555" spans="7:16" x14ac:dyDescent="0.2">
      <c r="G7555" s="199"/>
      <c r="I7555" s="199"/>
      <c r="K7555" s="199"/>
      <c r="M7555" s="199"/>
      <c r="N7555" s="200"/>
      <c r="P7555" s="199"/>
    </row>
    <row r="7556" spans="7:16" x14ac:dyDescent="0.2">
      <c r="G7556" s="199"/>
      <c r="I7556" s="199"/>
      <c r="K7556" s="199"/>
      <c r="M7556" s="199"/>
      <c r="N7556" s="200"/>
      <c r="P7556" s="199"/>
    </row>
    <row r="7557" spans="7:16" x14ac:dyDescent="0.2">
      <c r="G7557" s="199"/>
      <c r="I7557" s="199"/>
      <c r="K7557" s="199"/>
      <c r="M7557" s="199"/>
      <c r="N7557" s="200"/>
      <c r="P7557" s="199"/>
    </row>
    <row r="7558" spans="7:16" x14ac:dyDescent="0.2">
      <c r="G7558" s="199"/>
      <c r="I7558" s="199"/>
      <c r="K7558" s="199"/>
      <c r="M7558" s="199"/>
      <c r="N7558" s="200"/>
      <c r="P7558" s="199"/>
    </row>
    <row r="7559" spans="7:16" x14ac:dyDescent="0.2">
      <c r="G7559" s="199"/>
      <c r="I7559" s="199"/>
      <c r="K7559" s="199"/>
      <c r="M7559" s="199"/>
      <c r="N7559" s="200"/>
      <c r="P7559" s="199"/>
    </row>
    <row r="7560" spans="7:16" x14ac:dyDescent="0.2">
      <c r="G7560" s="199"/>
      <c r="I7560" s="199"/>
      <c r="K7560" s="199"/>
      <c r="M7560" s="199"/>
      <c r="N7560" s="200"/>
      <c r="P7560" s="199"/>
    </row>
    <row r="7561" spans="7:16" x14ac:dyDescent="0.2">
      <c r="G7561" s="199"/>
      <c r="I7561" s="199"/>
      <c r="K7561" s="199"/>
      <c r="M7561" s="199"/>
      <c r="N7561" s="200"/>
      <c r="P7561" s="199"/>
    </row>
    <row r="7562" spans="7:16" x14ac:dyDescent="0.2">
      <c r="G7562" s="199"/>
      <c r="I7562" s="199"/>
      <c r="K7562" s="199"/>
      <c r="M7562" s="199"/>
      <c r="N7562" s="200"/>
      <c r="P7562" s="199"/>
    </row>
    <row r="7563" spans="7:16" x14ac:dyDescent="0.2">
      <c r="G7563" s="199"/>
      <c r="I7563" s="199"/>
      <c r="K7563" s="199"/>
      <c r="M7563" s="199"/>
      <c r="N7563" s="200"/>
      <c r="P7563" s="199"/>
    </row>
    <row r="7564" spans="7:16" x14ac:dyDescent="0.2">
      <c r="G7564" s="199"/>
      <c r="I7564" s="199"/>
      <c r="K7564" s="199"/>
      <c r="M7564" s="199"/>
      <c r="N7564" s="200"/>
      <c r="P7564" s="199"/>
    </row>
    <row r="7565" spans="7:16" x14ac:dyDescent="0.2">
      <c r="G7565" s="199"/>
      <c r="I7565" s="199"/>
      <c r="K7565" s="199"/>
      <c r="M7565" s="199"/>
      <c r="N7565" s="200"/>
      <c r="P7565" s="199"/>
    </row>
    <row r="7566" spans="7:16" x14ac:dyDescent="0.2">
      <c r="G7566" s="199"/>
      <c r="I7566" s="199"/>
      <c r="K7566" s="199"/>
      <c r="M7566" s="199"/>
      <c r="N7566" s="200"/>
      <c r="P7566" s="199"/>
    </row>
    <row r="7567" spans="7:16" x14ac:dyDescent="0.2">
      <c r="G7567" s="199"/>
      <c r="I7567" s="199"/>
      <c r="K7567" s="199"/>
      <c r="M7567" s="199"/>
      <c r="N7567" s="200"/>
      <c r="P7567" s="199"/>
    </row>
    <row r="7568" spans="7:16" x14ac:dyDescent="0.2">
      <c r="G7568" s="199"/>
      <c r="I7568" s="199"/>
      <c r="K7568" s="199"/>
      <c r="M7568" s="199"/>
      <c r="N7568" s="200"/>
      <c r="P7568" s="199"/>
    </row>
    <row r="7569" spans="7:16" x14ac:dyDescent="0.2">
      <c r="G7569" s="199"/>
      <c r="I7569" s="199"/>
      <c r="K7569" s="199"/>
      <c r="M7569" s="199"/>
      <c r="N7569" s="200"/>
      <c r="P7569" s="199"/>
    </row>
    <row r="7570" spans="7:16" x14ac:dyDescent="0.2">
      <c r="G7570" s="199"/>
      <c r="I7570" s="199"/>
      <c r="K7570" s="199"/>
      <c r="M7570" s="199"/>
      <c r="N7570" s="200"/>
      <c r="P7570" s="199"/>
    </row>
    <row r="7571" spans="7:16" x14ac:dyDescent="0.2">
      <c r="G7571" s="199"/>
      <c r="I7571" s="199"/>
      <c r="K7571" s="199"/>
      <c r="M7571" s="199"/>
      <c r="N7571" s="200"/>
      <c r="P7571" s="199"/>
    </row>
    <row r="7572" spans="7:16" x14ac:dyDescent="0.2">
      <c r="G7572" s="199"/>
      <c r="I7572" s="199"/>
      <c r="K7572" s="199"/>
      <c r="M7572" s="199"/>
      <c r="N7572" s="200"/>
      <c r="P7572" s="199"/>
    </row>
    <row r="7573" spans="7:16" x14ac:dyDescent="0.2">
      <c r="G7573" s="199"/>
      <c r="I7573" s="199"/>
      <c r="K7573" s="199"/>
      <c r="M7573" s="199"/>
      <c r="N7573" s="200"/>
      <c r="P7573" s="199"/>
    </row>
    <row r="7574" spans="7:16" x14ac:dyDescent="0.2">
      <c r="G7574" s="199"/>
      <c r="I7574" s="199"/>
      <c r="K7574" s="199"/>
      <c r="M7574" s="199"/>
      <c r="N7574" s="200"/>
      <c r="P7574" s="199"/>
    </row>
    <row r="7575" spans="7:16" x14ac:dyDescent="0.2">
      <c r="G7575" s="199"/>
      <c r="I7575" s="199"/>
      <c r="K7575" s="199"/>
      <c r="M7575" s="199"/>
      <c r="N7575" s="200"/>
      <c r="P7575" s="199"/>
    </row>
    <row r="7576" spans="7:16" x14ac:dyDescent="0.2">
      <c r="G7576" s="199"/>
      <c r="I7576" s="199"/>
      <c r="K7576" s="199"/>
      <c r="M7576" s="199"/>
      <c r="N7576" s="200"/>
      <c r="P7576" s="199"/>
    </row>
    <row r="7577" spans="7:16" x14ac:dyDescent="0.2">
      <c r="G7577" s="199"/>
      <c r="I7577" s="199"/>
      <c r="K7577" s="199"/>
      <c r="M7577" s="199"/>
      <c r="N7577" s="200"/>
      <c r="P7577" s="199"/>
    </row>
    <row r="7578" spans="7:16" x14ac:dyDescent="0.2">
      <c r="G7578" s="199"/>
      <c r="I7578" s="199"/>
      <c r="K7578" s="199"/>
      <c r="M7578" s="199"/>
      <c r="N7578" s="200"/>
      <c r="P7578" s="199"/>
    </row>
    <row r="7579" spans="7:16" x14ac:dyDescent="0.2">
      <c r="G7579" s="199"/>
      <c r="I7579" s="199"/>
      <c r="K7579" s="199"/>
      <c r="M7579" s="199"/>
      <c r="N7579" s="200"/>
      <c r="P7579" s="199"/>
    </row>
    <row r="7580" spans="7:16" x14ac:dyDescent="0.2">
      <c r="G7580" s="199"/>
      <c r="I7580" s="199"/>
      <c r="K7580" s="199"/>
      <c r="M7580" s="199"/>
      <c r="N7580" s="200"/>
      <c r="P7580" s="199"/>
    </row>
    <row r="7581" spans="7:16" x14ac:dyDescent="0.2">
      <c r="G7581" s="199"/>
      <c r="I7581" s="199"/>
      <c r="K7581" s="199"/>
      <c r="M7581" s="199"/>
      <c r="N7581" s="200"/>
      <c r="P7581" s="199"/>
    </row>
    <row r="7582" spans="7:16" x14ac:dyDescent="0.2">
      <c r="G7582" s="199"/>
      <c r="I7582" s="199"/>
      <c r="K7582" s="199"/>
      <c r="M7582" s="199"/>
      <c r="N7582" s="200"/>
      <c r="P7582" s="199"/>
    </row>
    <row r="7583" spans="7:16" x14ac:dyDescent="0.2">
      <c r="G7583" s="199"/>
      <c r="I7583" s="199"/>
      <c r="K7583" s="199"/>
      <c r="M7583" s="199"/>
      <c r="N7583" s="200"/>
      <c r="P7583" s="199"/>
    </row>
    <row r="7584" spans="7:16" x14ac:dyDescent="0.2">
      <c r="G7584" s="199"/>
      <c r="I7584" s="199"/>
      <c r="K7584" s="199"/>
      <c r="M7584" s="199"/>
      <c r="N7584" s="200"/>
      <c r="P7584" s="199"/>
    </row>
    <row r="7585" spans="7:16" x14ac:dyDescent="0.2">
      <c r="G7585" s="199"/>
      <c r="I7585" s="199"/>
      <c r="K7585" s="199"/>
      <c r="M7585" s="199"/>
      <c r="N7585" s="200"/>
      <c r="P7585" s="199"/>
    </row>
    <row r="7586" spans="7:16" x14ac:dyDescent="0.2">
      <c r="G7586" s="199"/>
      <c r="I7586" s="199"/>
      <c r="K7586" s="199"/>
      <c r="M7586" s="199"/>
      <c r="N7586" s="200"/>
      <c r="P7586" s="199"/>
    </row>
    <row r="7587" spans="7:16" x14ac:dyDescent="0.2">
      <c r="G7587" s="199"/>
      <c r="I7587" s="199"/>
      <c r="K7587" s="199"/>
      <c r="M7587" s="199"/>
      <c r="N7587" s="200"/>
      <c r="P7587" s="199"/>
    </row>
    <row r="7588" spans="7:16" x14ac:dyDescent="0.2">
      <c r="G7588" s="199"/>
      <c r="I7588" s="199"/>
      <c r="K7588" s="199"/>
      <c r="M7588" s="199"/>
      <c r="N7588" s="200"/>
      <c r="P7588" s="199"/>
    </row>
    <row r="7589" spans="7:16" x14ac:dyDescent="0.2">
      <c r="G7589" s="199"/>
      <c r="I7589" s="199"/>
      <c r="K7589" s="199"/>
      <c r="M7589" s="199"/>
      <c r="N7589" s="200"/>
      <c r="P7589" s="199"/>
    </row>
    <row r="7590" spans="7:16" x14ac:dyDescent="0.2">
      <c r="G7590" s="199"/>
      <c r="I7590" s="199"/>
      <c r="K7590" s="199"/>
      <c r="M7590" s="199"/>
      <c r="N7590" s="200"/>
      <c r="P7590" s="199"/>
    </row>
    <row r="7591" spans="7:16" x14ac:dyDescent="0.2">
      <c r="G7591" s="199"/>
      <c r="I7591" s="199"/>
      <c r="K7591" s="199"/>
      <c r="M7591" s="199"/>
      <c r="N7591" s="200"/>
      <c r="P7591" s="199"/>
    </row>
    <row r="7592" spans="7:16" x14ac:dyDescent="0.2">
      <c r="G7592" s="199"/>
      <c r="I7592" s="199"/>
      <c r="K7592" s="199"/>
      <c r="M7592" s="199"/>
      <c r="N7592" s="200"/>
      <c r="P7592" s="199"/>
    </row>
    <row r="7593" spans="7:16" x14ac:dyDescent="0.2">
      <c r="G7593" s="199"/>
      <c r="I7593" s="199"/>
      <c r="K7593" s="199"/>
      <c r="M7593" s="199"/>
      <c r="N7593" s="200"/>
      <c r="P7593" s="199"/>
    </row>
    <row r="7594" spans="7:16" x14ac:dyDescent="0.2">
      <c r="G7594" s="199"/>
      <c r="I7594" s="199"/>
      <c r="K7594" s="199"/>
      <c r="M7594" s="199"/>
      <c r="N7594" s="200"/>
      <c r="P7594" s="199"/>
    </row>
    <row r="7595" spans="7:16" x14ac:dyDescent="0.2">
      <c r="G7595" s="199"/>
      <c r="I7595" s="199"/>
      <c r="K7595" s="199"/>
      <c r="M7595" s="199"/>
      <c r="N7595" s="200"/>
      <c r="P7595" s="199"/>
    </row>
    <row r="7596" spans="7:16" x14ac:dyDescent="0.2">
      <c r="G7596" s="199"/>
      <c r="I7596" s="199"/>
      <c r="K7596" s="199"/>
      <c r="M7596" s="199"/>
      <c r="N7596" s="200"/>
      <c r="P7596" s="199"/>
    </row>
    <row r="7597" spans="7:16" x14ac:dyDescent="0.2">
      <c r="G7597" s="199"/>
      <c r="I7597" s="199"/>
      <c r="K7597" s="199"/>
      <c r="M7597" s="199"/>
      <c r="N7597" s="200"/>
      <c r="P7597" s="199"/>
    </row>
    <row r="7598" spans="7:16" x14ac:dyDescent="0.2">
      <c r="G7598" s="199"/>
      <c r="I7598" s="199"/>
      <c r="K7598" s="199"/>
      <c r="M7598" s="199"/>
      <c r="N7598" s="200"/>
      <c r="P7598" s="199"/>
    </row>
    <row r="7599" spans="7:16" x14ac:dyDescent="0.2">
      <c r="G7599" s="199"/>
      <c r="I7599" s="199"/>
      <c r="K7599" s="199"/>
      <c r="M7599" s="199"/>
      <c r="N7599" s="200"/>
      <c r="P7599" s="199"/>
    </row>
    <row r="7600" spans="7:16" x14ac:dyDescent="0.2">
      <c r="G7600" s="199"/>
      <c r="I7600" s="199"/>
      <c r="K7600" s="199"/>
      <c r="M7600" s="199"/>
      <c r="N7600" s="200"/>
      <c r="P7600" s="199"/>
    </row>
    <row r="7601" spans="7:16" x14ac:dyDescent="0.2">
      <c r="G7601" s="199"/>
      <c r="I7601" s="199"/>
      <c r="K7601" s="199"/>
      <c r="M7601" s="199"/>
      <c r="N7601" s="200"/>
      <c r="P7601" s="199"/>
    </row>
    <row r="7602" spans="7:16" x14ac:dyDescent="0.2">
      <c r="G7602" s="199"/>
      <c r="I7602" s="199"/>
      <c r="K7602" s="199"/>
      <c r="M7602" s="199"/>
      <c r="N7602" s="200"/>
      <c r="P7602" s="199"/>
    </row>
    <row r="7603" spans="7:16" x14ac:dyDescent="0.2">
      <c r="G7603" s="199"/>
      <c r="I7603" s="199"/>
      <c r="K7603" s="199"/>
      <c r="M7603" s="199"/>
      <c r="N7603" s="200"/>
      <c r="P7603" s="199"/>
    </row>
    <row r="7604" spans="7:16" x14ac:dyDescent="0.2">
      <c r="G7604" s="199"/>
      <c r="I7604" s="199"/>
      <c r="K7604" s="199"/>
      <c r="M7604" s="199"/>
      <c r="N7604" s="200"/>
      <c r="P7604" s="199"/>
    </row>
    <row r="7605" spans="7:16" x14ac:dyDescent="0.2">
      <c r="G7605" s="199"/>
      <c r="I7605" s="199"/>
      <c r="K7605" s="199"/>
      <c r="M7605" s="199"/>
      <c r="N7605" s="200"/>
      <c r="P7605" s="199"/>
    </row>
    <row r="7606" spans="7:16" x14ac:dyDescent="0.2">
      <c r="G7606" s="199"/>
      <c r="I7606" s="199"/>
      <c r="K7606" s="199"/>
      <c r="M7606" s="199"/>
      <c r="N7606" s="200"/>
      <c r="P7606" s="199"/>
    </row>
    <row r="7607" spans="7:16" x14ac:dyDescent="0.2">
      <c r="G7607" s="199"/>
      <c r="I7607" s="199"/>
      <c r="K7607" s="199"/>
      <c r="M7607" s="199"/>
      <c r="N7607" s="200"/>
      <c r="P7607" s="199"/>
    </row>
    <row r="7608" spans="7:16" x14ac:dyDescent="0.2">
      <c r="G7608" s="199"/>
      <c r="I7608" s="199"/>
      <c r="K7608" s="199"/>
      <c r="M7608" s="199"/>
      <c r="N7608" s="200"/>
      <c r="P7608" s="199"/>
    </row>
    <row r="7609" spans="7:16" x14ac:dyDescent="0.2">
      <c r="G7609" s="199"/>
      <c r="I7609" s="199"/>
      <c r="K7609" s="199"/>
      <c r="M7609" s="199"/>
      <c r="N7609" s="200"/>
      <c r="P7609" s="199"/>
    </row>
    <row r="7610" spans="7:16" x14ac:dyDescent="0.2">
      <c r="G7610" s="199"/>
      <c r="I7610" s="199"/>
      <c r="K7610" s="199"/>
      <c r="M7610" s="199"/>
      <c r="N7610" s="200"/>
      <c r="P7610" s="199"/>
    </row>
    <row r="7611" spans="7:16" x14ac:dyDescent="0.2">
      <c r="G7611" s="199"/>
      <c r="I7611" s="199"/>
      <c r="K7611" s="199"/>
      <c r="M7611" s="199"/>
      <c r="N7611" s="200"/>
      <c r="P7611" s="199"/>
    </row>
    <row r="7612" spans="7:16" x14ac:dyDescent="0.2">
      <c r="G7612" s="199"/>
      <c r="I7612" s="199"/>
      <c r="K7612" s="199"/>
      <c r="M7612" s="199"/>
      <c r="N7612" s="200"/>
      <c r="P7612" s="199"/>
    </row>
    <row r="7613" spans="7:16" x14ac:dyDescent="0.2">
      <c r="G7613" s="199"/>
      <c r="I7613" s="199"/>
      <c r="K7613" s="199"/>
      <c r="M7613" s="199"/>
      <c r="N7613" s="200"/>
      <c r="P7613" s="199"/>
    </row>
    <row r="7614" spans="7:16" x14ac:dyDescent="0.2">
      <c r="G7614" s="199"/>
      <c r="I7614" s="199"/>
      <c r="K7614" s="199"/>
      <c r="M7614" s="199"/>
      <c r="N7614" s="200"/>
      <c r="P7614" s="199"/>
    </row>
    <row r="7615" spans="7:16" x14ac:dyDescent="0.2">
      <c r="G7615" s="199"/>
      <c r="I7615" s="199"/>
      <c r="K7615" s="199"/>
      <c r="M7615" s="199"/>
      <c r="N7615" s="200"/>
      <c r="P7615" s="199"/>
    </row>
    <row r="7616" spans="7:16" x14ac:dyDescent="0.2">
      <c r="G7616" s="199"/>
      <c r="I7616" s="199"/>
      <c r="K7616" s="199"/>
      <c r="M7616" s="199"/>
      <c r="N7616" s="200"/>
      <c r="P7616" s="199"/>
    </row>
    <row r="7617" spans="7:16" x14ac:dyDescent="0.2">
      <c r="G7617" s="199"/>
      <c r="I7617" s="199"/>
      <c r="K7617" s="199"/>
      <c r="M7617" s="199"/>
      <c r="N7617" s="200"/>
      <c r="P7617" s="199"/>
    </row>
    <row r="7618" spans="7:16" x14ac:dyDescent="0.2">
      <c r="G7618" s="199"/>
      <c r="I7618" s="199"/>
      <c r="K7618" s="199"/>
      <c r="M7618" s="199"/>
      <c r="N7618" s="200"/>
      <c r="P7618" s="199"/>
    </row>
    <row r="7619" spans="7:16" x14ac:dyDescent="0.2">
      <c r="G7619" s="199"/>
      <c r="I7619" s="199"/>
      <c r="K7619" s="199"/>
      <c r="M7619" s="199"/>
      <c r="N7619" s="200"/>
      <c r="P7619" s="199"/>
    </row>
    <row r="7620" spans="7:16" x14ac:dyDescent="0.2">
      <c r="G7620" s="199"/>
      <c r="I7620" s="199"/>
      <c r="K7620" s="199"/>
      <c r="M7620" s="199"/>
      <c r="N7620" s="200"/>
      <c r="P7620" s="199"/>
    </row>
    <row r="7621" spans="7:16" x14ac:dyDescent="0.2">
      <c r="G7621" s="199"/>
      <c r="I7621" s="199"/>
      <c r="K7621" s="199"/>
      <c r="M7621" s="199"/>
      <c r="N7621" s="200"/>
      <c r="P7621" s="199"/>
    </row>
    <row r="7622" spans="7:16" x14ac:dyDescent="0.2">
      <c r="G7622" s="199"/>
      <c r="I7622" s="199"/>
      <c r="K7622" s="199"/>
      <c r="M7622" s="199"/>
      <c r="N7622" s="200"/>
      <c r="P7622" s="199"/>
    </row>
    <row r="7623" spans="7:16" x14ac:dyDescent="0.2">
      <c r="G7623" s="199"/>
      <c r="I7623" s="199"/>
      <c r="K7623" s="199"/>
      <c r="M7623" s="199"/>
      <c r="N7623" s="200"/>
      <c r="P7623" s="199"/>
    </row>
    <row r="7624" spans="7:16" x14ac:dyDescent="0.2">
      <c r="G7624" s="199"/>
      <c r="I7624" s="199"/>
      <c r="K7624" s="199"/>
      <c r="M7624" s="199"/>
      <c r="N7624" s="200"/>
      <c r="P7624" s="199"/>
    </row>
    <row r="7625" spans="7:16" x14ac:dyDescent="0.2">
      <c r="G7625" s="199"/>
      <c r="I7625" s="199"/>
      <c r="K7625" s="199"/>
      <c r="M7625" s="199"/>
      <c r="N7625" s="200"/>
      <c r="P7625" s="199"/>
    </row>
    <row r="7626" spans="7:16" x14ac:dyDescent="0.2">
      <c r="G7626" s="199"/>
      <c r="I7626" s="199"/>
      <c r="K7626" s="199"/>
      <c r="M7626" s="199"/>
      <c r="N7626" s="200"/>
      <c r="P7626" s="199"/>
    </row>
    <row r="7627" spans="7:16" x14ac:dyDescent="0.2">
      <c r="G7627" s="199"/>
      <c r="I7627" s="199"/>
      <c r="K7627" s="199"/>
      <c r="M7627" s="199"/>
      <c r="N7627" s="200"/>
      <c r="P7627" s="199"/>
    </row>
    <row r="7628" spans="7:16" x14ac:dyDescent="0.2">
      <c r="G7628" s="199"/>
      <c r="I7628" s="199"/>
      <c r="K7628" s="199"/>
      <c r="M7628" s="199"/>
      <c r="N7628" s="200"/>
      <c r="P7628" s="199"/>
    </row>
    <row r="7629" spans="7:16" x14ac:dyDescent="0.2">
      <c r="G7629" s="199"/>
      <c r="I7629" s="199"/>
      <c r="K7629" s="199"/>
      <c r="M7629" s="199"/>
      <c r="N7629" s="200"/>
      <c r="P7629" s="199"/>
    </row>
    <row r="7630" spans="7:16" x14ac:dyDescent="0.2">
      <c r="G7630" s="199"/>
      <c r="I7630" s="199"/>
      <c r="K7630" s="199"/>
      <c r="M7630" s="199"/>
      <c r="N7630" s="200"/>
      <c r="P7630" s="199"/>
    </row>
    <row r="7631" spans="7:16" x14ac:dyDescent="0.2">
      <c r="G7631" s="199"/>
      <c r="I7631" s="199"/>
      <c r="K7631" s="199"/>
      <c r="M7631" s="199"/>
      <c r="N7631" s="200"/>
      <c r="P7631" s="199"/>
    </row>
    <row r="7632" spans="7:16" x14ac:dyDescent="0.2">
      <c r="G7632" s="199"/>
      <c r="I7632" s="199"/>
      <c r="K7632" s="199"/>
      <c r="M7632" s="199"/>
      <c r="N7632" s="200"/>
      <c r="P7632" s="199"/>
    </row>
    <row r="7633" spans="7:16" x14ac:dyDescent="0.2">
      <c r="G7633" s="199"/>
      <c r="I7633" s="199"/>
      <c r="K7633" s="199"/>
      <c r="M7633" s="199"/>
      <c r="N7633" s="200"/>
      <c r="P7633" s="199"/>
    </row>
    <row r="7634" spans="7:16" x14ac:dyDescent="0.2">
      <c r="G7634" s="199"/>
      <c r="I7634" s="199"/>
      <c r="K7634" s="199"/>
      <c r="M7634" s="199"/>
      <c r="N7634" s="200"/>
      <c r="P7634" s="199"/>
    </row>
    <row r="7635" spans="7:16" x14ac:dyDescent="0.2">
      <c r="G7635" s="199"/>
      <c r="I7635" s="199"/>
      <c r="K7635" s="199"/>
      <c r="M7635" s="199"/>
      <c r="N7635" s="200"/>
      <c r="P7635" s="199"/>
    </row>
    <row r="7636" spans="7:16" x14ac:dyDescent="0.2">
      <c r="G7636" s="199"/>
      <c r="I7636" s="199"/>
      <c r="K7636" s="199"/>
      <c r="M7636" s="199"/>
      <c r="N7636" s="200"/>
      <c r="P7636" s="199"/>
    </row>
    <row r="7637" spans="7:16" x14ac:dyDescent="0.2">
      <c r="G7637" s="199"/>
      <c r="I7637" s="199"/>
      <c r="K7637" s="199"/>
      <c r="M7637" s="199"/>
      <c r="N7637" s="200"/>
      <c r="P7637" s="199"/>
    </row>
    <row r="7638" spans="7:16" x14ac:dyDescent="0.2">
      <c r="G7638" s="199"/>
      <c r="I7638" s="199"/>
      <c r="K7638" s="199"/>
      <c r="M7638" s="199"/>
      <c r="N7638" s="200"/>
      <c r="P7638" s="199"/>
    </row>
    <row r="7639" spans="7:16" x14ac:dyDescent="0.2">
      <c r="G7639" s="199"/>
      <c r="I7639" s="199"/>
      <c r="K7639" s="199"/>
      <c r="M7639" s="199"/>
      <c r="N7639" s="200"/>
      <c r="P7639" s="199"/>
    </row>
    <row r="7640" spans="7:16" x14ac:dyDescent="0.2">
      <c r="G7640" s="199"/>
      <c r="I7640" s="199"/>
      <c r="K7640" s="199"/>
      <c r="M7640" s="199"/>
      <c r="N7640" s="200"/>
      <c r="P7640" s="199"/>
    </row>
    <row r="7641" spans="7:16" x14ac:dyDescent="0.2">
      <c r="G7641" s="199"/>
      <c r="I7641" s="199"/>
      <c r="K7641" s="199"/>
      <c r="M7641" s="199"/>
      <c r="N7641" s="200"/>
      <c r="P7641" s="199"/>
    </row>
    <row r="7642" spans="7:16" x14ac:dyDescent="0.2">
      <c r="G7642" s="199"/>
      <c r="I7642" s="199"/>
      <c r="K7642" s="199"/>
      <c r="M7642" s="199"/>
      <c r="N7642" s="200"/>
      <c r="P7642" s="199"/>
    </row>
    <row r="7643" spans="7:16" x14ac:dyDescent="0.2">
      <c r="G7643" s="199"/>
      <c r="I7643" s="199"/>
      <c r="K7643" s="199"/>
      <c r="M7643" s="199"/>
      <c r="N7643" s="200"/>
      <c r="P7643" s="199"/>
    </row>
    <row r="7644" spans="7:16" x14ac:dyDescent="0.2">
      <c r="G7644" s="199"/>
      <c r="I7644" s="199"/>
      <c r="K7644" s="199"/>
      <c r="M7644" s="199"/>
      <c r="N7644" s="200"/>
      <c r="P7644" s="199"/>
    </row>
    <row r="7645" spans="7:16" x14ac:dyDescent="0.2">
      <c r="G7645" s="199"/>
      <c r="I7645" s="199"/>
      <c r="K7645" s="199"/>
      <c r="M7645" s="199"/>
      <c r="N7645" s="200"/>
      <c r="P7645" s="199"/>
    </row>
    <row r="7646" spans="7:16" x14ac:dyDescent="0.2">
      <c r="G7646" s="199"/>
      <c r="I7646" s="199"/>
      <c r="K7646" s="199"/>
      <c r="M7646" s="199"/>
      <c r="N7646" s="200"/>
      <c r="P7646" s="199"/>
    </row>
    <row r="7647" spans="7:16" x14ac:dyDescent="0.2">
      <c r="G7647" s="199"/>
      <c r="I7647" s="199"/>
      <c r="K7647" s="199"/>
      <c r="M7647" s="199"/>
      <c r="N7647" s="200"/>
      <c r="P7647" s="199"/>
    </row>
    <row r="7648" spans="7:16" x14ac:dyDescent="0.2">
      <c r="G7648" s="199"/>
      <c r="I7648" s="199"/>
      <c r="K7648" s="199"/>
      <c r="M7648" s="199"/>
      <c r="N7648" s="200"/>
      <c r="P7648" s="199"/>
    </row>
    <row r="7649" spans="7:16" x14ac:dyDescent="0.2">
      <c r="G7649" s="199"/>
      <c r="I7649" s="199"/>
      <c r="K7649" s="199"/>
      <c r="M7649" s="199"/>
      <c r="N7649" s="200"/>
      <c r="P7649" s="199"/>
    </row>
    <row r="7650" spans="7:16" x14ac:dyDescent="0.2">
      <c r="G7650" s="199"/>
      <c r="I7650" s="199"/>
      <c r="K7650" s="199"/>
      <c r="M7650" s="199"/>
      <c r="N7650" s="200"/>
      <c r="P7650" s="199"/>
    </row>
    <row r="7651" spans="7:16" x14ac:dyDescent="0.2">
      <c r="G7651" s="199"/>
      <c r="I7651" s="199"/>
      <c r="K7651" s="199"/>
      <c r="M7651" s="199"/>
      <c r="N7651" s="200"/>
      <c r="P7651" s="199"/>
    </row>
    <row r="7652" spans="7:16" x14ac:dyDescent="0.2">
      <c r="G7652" s="199"/>
      <c r="I7652" s="199"/>
      <c r="K7652" s="199"/>
      <c r="M7652" s="199"/>
      <c r="N7652" s="200"/>
      <c r="P7652" s="199"/>
    </row>
    <row r="7653" spans="7:16" x14ac:dyDescent="0.2">
      <c r="G7653" s="199"/>
      <c r="I7653" s="199"/>
      <c r="K7653" s="199"/>
      <c r="M7653" s="199"/>
      <c r="N7653" s="200"/>
      <c r="P7653" s="199"/>
    </row>
    <row r="7654" spans="7:16" x14ac:dyDescent="0.2">
      <c r="G7654" s="199"/>
      <c r="I7654" s="199"/>
      <c r="K7654" s="199"/>
      <c r="M7654" s="199"/>
      <c r="N7654" s="200"/>
      <c r="P7654" s="199"/>
    </row>
    <row r="7655" spans="7:16" x14ac:dyDescent="0.2">
      <c r="G7655" s="199"/>
      <c r="I7655" s="199"/>
      <c r="K7655" s="199"/>
      <c r="M7655" s="199"/>
      <c r="N7655" s="200"/>
      <c r="P7655" s="199"/>
    </row>
    <row r="7656" spans="7:16" x14ac:dyDescent="0.2">
      <c r="G7656" s="199"/>
      <c r="I7656" s="199"/>
      <c r="K7656" s="199"/>
      <c r="M7656" s="199"/>
      <c r="N7656" s="200"/>
      <c r="P7656" s="199"/>
    </row>
    <row r="7657" spans="7:16" x14ac:dyDescent="0.2">
      <c r="G7657" s="199"/>
      <c r="I7657" s="199"/>
      <c r="K7657" s="199"/>
      <c r="M7657" s="199"/>
      <c r="N7657" s="200"/>
      <c r="P7657" s="199"/>
    </row>
    <row r="7658" spans="7:16" x14ac:dyDescent="0.2">
      <c r="G7658" s="199"/>
      <c r="I7658" s="199"/>
      <c r="K7658" s="199"/>
      <c r="M7658" s="199"/>
      <c r="N7658" s="200"/>
      <c r="P7658" s="199"/>
    </row>
    <row r="7659" spans="7:16" x14ac:dyDescent="0.2">
      <c r="G7659" s="199"/>
      <c r="I7659" s="199"/>
      <c r="K7659" s="199"/>
      <c r="M7659" s="199"/>
      <c r="N7659" s="200"/>
      <c r="P7659" s="199"/>
    </row>
    <row r="7660" spans="7:16" x14ac:dyDescent="0.2">
      <c r="G7660" s="199"/>
      <c r="I7660" s="199"/>
      <c r="K7660" s="199"/>
      <c r="M7660" s="199"/>
      <c r="N7660" s="200"/>
      <c r="P7660" s="199"/>
    </row>
    <row r="7661" spans="7:16" x14ac:dyDescent="0.2">
      <c r="G7661" s="199"/>
      <c r="I7661" s="199"/>
      <c r="K7661" s="199"/>
      <c r="M7661" s="199"/>
      <c r="N7661" s="200"/>
      <c r="P7661" s="199"/>
    </row>
    <row r="7662" spans="7:16" x14ac:dyDescent="0.2">
      <c r="G7662" s="199"/>
      <c r="I7662" s="199"/>
      <c r="K7662" s="199"/>
      <c r="M7662" s="199"/>
      <c r="N7662" s="200"/>
      <c r="P7662" s="199"/>
    </row>
    <row r="7663" spans="7:16" x14ac:dyDescent="0.2">
      <c r="G7663" s="199"/>
      <c r="I7663" s="199"/>
      <c r="K7663" s="199"/>
      <c r="M7663" s="199"/>
      <c r="N7663" s="200"/>
      <c r="P7663" s="199"/>
    </row>
    <row r="7664" spans="7:16" x14ac:dyDescent="0.2">
      <c r="G7664" s="199"/>
      <c r="I7664" s="199"/>
      <c r="K7664" s="199"/>
      <c r="M7664" s="199"/>
      <c r="N7664" s="200"/>
      <c r="P7664" s="199"/>
    </row>
    <row r="7665" spans="7:16" x14ac:dyDescent="0.2">
      <c r="G7665" s="199"/>
      <c r="I7665" s="199"/>
      <c r="K7665" s="199"/>
      <c r="M7665" s="199"/>
      <c r="N7665" s="200"/>
      <c r="P7665" s="199"/>
    </row>
    <row r="7666" spans="7:16" x14ac:dyDescent="0.2">
      <c r="G7666" s="199"/>
      <c r="I7666" s="199"/>
      <c r="K7666" s="199"/>
      <c r="M7666" s="199"/>
      <c r="N7666" s="200"/>
      <c r="P7666" s="199"/>
    </row>
    <row r="7667" spans="7:16" x14ac:dyDescent="0.2">
      <c r="G7667" s="199"/>
      <c r="I7667" s="199"/>
      <c r="K7667" s="199"/>
      <c r="M7667" s="199"/>
      <c r="N7667" s="200"/>
      <c r="P7667" s="199"/>
    </row>
    <row r="7668" spans="7:16" x14ac:dyDescent="0.2">
      <c r="G7668" s="199"/>
      <c r="I7668" s="199"/>
      <c r="K7668" s="199"/>
      <c r="M7668" s="199"/>
      <c r="N7668" s="200"/>
      <c r="P7668" s="199"/>
    </row>
    <row r="7669" spans="7:16" x14ac:dyDescent="0.2">
      <c r="G7669" s="199"/>
      <c r="I7669" s="199"/>
      <c r="K7669" s="199"/>
      <c r="M7669" s="199"/>
      <c r="N7669" s="200"/>
      <c r="P7669" s="199"/>
    </row>
    <row r="7670" spans="7:16" x14ac:dyDescent="0.2">
      <c r="G7670" s="199"/>
      <c r="I7670" s="199"/>
      <c r="K7670" s="199"/>
      <c r="M7670" s="199"/>
      <c r="N7670" s="200"/>
      <c r="P7670" s="199"/>
    </row>
    <row r="7671" spans="7:16" x14ac:dyDescent="0.2">
      <c r="G7671" s="199"/>
      <c r="I7671" s="199"/>
      <c r="K7671" s="199"/>
      <c r="M7671" s="199"/>
      <c r="N7671" s="200"/>
      <c r="P7671" s="199"/>
    </row>
    <row r="7672" spans="7:16" x14ac:dyDescent="0.2">
      <c r="G7672" s="199"/>
      <c r="I7672" s="199"/>
      <c r="K7672" s="199"/>
      <c r="M7672" s="199"/>
      <c r="N7672" s="200"/>
      <c r="P7672" s="199"/>
    </row>
    <row r="7673" spans="7:16" x14ac:dyDescent="0.2">
      <c r="G7673" s="199"/>
      <c r="I7673" s="199"/>
      <c r="K7673" s="199"/>
      <c r="M7673" s="199"/>
      <c r="N7673" s="200"/>
      <c r="P7673" s="199"/>
    </row>
    <row r="7674" spans="7:16" x14ac:dyDescent="0.2">
      <c r="G7674" s="199"/>
      <c r="I7674" s="199"/>
      <c r="K7674" s="199"/>
      <c r="M7674" s="199"/>
      <c r="N7674" s="200"/>
      <c r="P7674" s="199"/>
    </row>
    <row r="7675" spans="7:16" x14ac:dyDescent="0.2">
      <c r="G7675" s="199"/>
      <c r="I7675" s="199"/>
      <c r="K7675" s="199"/>
      <c r="M7675" s="199"/>
      <c r="N7675" s="200"/>
      <c r="P7675" s="199"/>
    </row>
    <row r="7676" spans="7:16" x14ac:dyDescent="0.2">
      <c r="G7676" s="199"/>
      <c r="I7676" s="199"/>
      <c r="K7676" s="199"/>
      <c r="M7676" s="199"/>
      <c r="N7676" s="200"/>
      <c r="P7676" s="199"/>
    </row>
    <row r="7677" spans="7:16" x14ac:dyDescent="0.2">
      <c r="G7677" s="199"/>
      <c r="I7677" s="199"/>
      <c r="K7677" s="199"/>
      <c r="M7677" s="199"/>
      <c r="N7677" s="200"/>
      <c r="P7677" s="199"/>
    </row>
    <row r="7678" spans="7:16" x14ac:dyDescent="0.2">
      <c r="G7678" s="199"/>
      <c r="I7678" s="199"/>
      <c r="K7678" s="199"/>
      <c r="M7678" s="199"/>
      <c r="N7678" s="200"/>
      <c r="P7678" s="199"/>
    </row>
    <row r="7679" spans="7:16" x14ac:dyDescent="0.2">
      <c r="G7679" s="199"/>
      <c r="I7679" s="199"/>
      <c r="K7679" s="199"/>
      <c r="M7679" s="199"/>
      <c r="N7679" s="200"/>
      <c r="P7679" s="199"/>
    </row>
    <row r="7680" spans="7:16" x14ac:dyDescent="0.2">
      <c r="G7680" s="199"/>
      <c r="I7680" s="199"/>
      <c r="K7680" s="199"/>
      <c r="M7680" s="199"/>
      <c r="N7680" s="200"/>
      <c r="P7680" s="199"/>
    </row>
    <row r="7681" spans="7:16" x14ac:dyDescent="0.2">
      <c r="G7681" s="199"/>
      <c r="I7681" s="199"/>
      <c r="K7681" s="199"/>
      <c r="M7681" s="199"/>
      <c r="N7681" s="200"/>
      <c r="P7681" s="199"/>
    </row>
    <row r="7682" spans="7:16" x14ac:dyDescent="0.2">
      <c r="G7682" s="199"/>
      <c r="I7682" s="199"/>
      <c r="K7682" s="199"/>
      <c r="M7682" s="199"/>
      <c r="N7682" s="200"/>
      <c r="P7682" s="199"/>
    </row>
    <row r="7683" spans="7:16" x14ac:dyDescent="0.2">
      <c r="G7683" s="199"/>
      <c r="I7683" s="199"/>
      <c r="K7683" s="199"/>
      <c r="M7683" s="199"/>
      <c r="N7683" s="200"/>
      <c r="P7683" s="199"/>
    </row>
    <row r="7684" spans="7:16" x14ac:dyDescent="0.2">
      <c r="G7684" s="199"/>
      <c r="I7684" s="199"/>
      <c r="K7684" s="199"/>
      <c r="M7684" s="199"/>
      <c r="N7684" s="200"/>
      <c r="P7684" s="199"/>
    </row>
    <row r="7685" spans="7:16" x14ac:dyDescent="0.2">
      <c r="G7685" s="199"/>
      <c r="I7685" s="199"/>
      <c r="K7685" s="199"/>
      <c r="M7685" s="199"/>
      <c r="N7685" s="200"/>
      <c r="P7685" s="199"/>
    </row>
    <row r="7686" spans="7:16" x14ac:dyDescent="0.2">
      <c r="G7686" s="199"/>
      <c r="I7686" s="199"/>
      <c r="K7686" s="199"/>
      <c r="M7686" s="199"/>
      <c r="N7686" s="200"/>
      <c r="P7686" s="199"/>
    </row>
    <row r="7687" spans="7:16" x14ac:dyDescent="0.2">
      <c r="G7687" s="199"/>
      <c r="I7687" s="199"/>
      <c r="K7687" s="199"/>
      <c r="M7687" s="199"/>
      <c r="N7687" s="200"/>
      <c r="P7687" s="199"/>
    </row>
    <row r="7688" spans="7:16" x14ac:dyDescent="0.2">
      <c r="G7688" s="199"/>
      <c r="I7688" s="199"/>
      <c r="K7688" s="199"/>
      <c r="M7688" s="199"/>
      <c r="N7688" s="200"/>
      <c r="P7688" s="199"/>
    </row>
    <row r="7689" spans="7:16" x14ac:dyDescent="0.2">
      <c r="G7689" s="199"/>
      <c r="I7689" s="199"/>
      <c r="K7689" s="199"/>
      <c r="M7689" s="199"/>
      <c r="N7689" s="200"/>
      <c r="P7689" s="199"/>
    </row>
    <row r="7690" spans="7:16" x14ac:dyDescent="0.2">
      <c r="G7690" s="199"/>
      <c r="I7690" s="199"/>
      <c r="K7690" s="199"/>
      <c r="M7690" s="199"/>
      <c r="N7690" s="200"/>
      <c r="P7690" s="199"/>
    </row>
    <row r="7691" spans="7:16" x14ac:dyDescent="0.2">
      <c r="G7691" s="199"/>
      <c r="I7691" s="199"/>
      <c r="K7691" s="199"/>
      <c r="M7691" s="199"/>
      <c r="N7691" s="200"/>
      <c r="P7691" s="199"/>
    </row>
    <row r="7692" spans="7:16" x14ac:dyDescent="0.2">
      <c r="G7692" s="199"/>
      <c r="I7692" s="199"/>
      <c r="K7692" s="199"/>
      <c r="M7692" s="199"/>
      <c r="N7692" s="200"/>
      <c r="P7692" s="199"/>
    </row>
    <row r="7693" spans="7:16" x14ac:dyDescent="0.2">
      <c r="G7693" s="199"/>
      <c r="I7693" s="199"/>
      <c r="K7693" s="199"/>
      <c r="M7693" s="199"/>
      <c r="N7693" s="200"/>
      <c r="P7693" s="199"/>
    </row>
    <row r="7694" spans="7:16" x14ac:dyDescent="0.2">
      <c r="G7694" s="199"/>
      <c r="I7694" s="199"/>
      <c r="K7694" s="199"/>
      <c r="M7694" s="199"/>
      <c r="N7694" s="200"/>
      <c r="P7694" s="199"/>
    </row>
    <row r="7695" spans="7:16" x14ac:dyDescent="0.2">
      <c r="G7695" s="199"/>
      <c r="I7695" s="199"/>
      <c r="K7695" s="199"/>
      <c r="M7695" s="199"/>
      <c r="N7695" s="200"/>
      <c r="P7695" s="199"/>
    </row>
    <row r="7696" spans="7:16" x14ac:dyDescent="0.2">
      <c r="G7696" s="199"/>
      <c r="I7696" s="199"/>
      <c r="K7696" s="199"/>
      <c r="M7696" s="199"/>
      <c r="N7696" s="200"/>
      <c r="P7696" s="199"/>
    </row>
    <row r="7697" spans="7:16" x14ac:dyDescent="0.2">
      <c r="G7697" s="199"/>
      <c r="I7697" s="199"/>
      <c r="K7697" s="199"/>
      <c r="M7697" s="199"/>
      <c r="N7697" s="200"/>
      <c r="P7697" s="199"/>
    </row>
    <row r="7698" spans="7:16" x14ac:dyDescent="0.2">
      <c r="G7698" s="199"/>
      <c r="I7698" s="199"/>
      <c r="K7698" s="199"/>
      <c r="M7698" s="199"/>
      <c r="N7698" s="200"/>
      <c r="P7698" s="199"/>
    </row>
    <row r="7699" spans="7:16" x14ac:dyDescent="0.2">
      <c r="G7699" s="199"/>
      <c r="I7699" s="199"/>
      <c r="K7699" s="199"/>
      <c r="M7699" s="199"/>
      <c r="N7699" s="200"/>
      <c r="P7699" s="199"/>
    </row>
    <row r="7700" spans="7:16" x14ac:dyDescent="0.2">
      <c r="G7700" s="199"/>
      <c r="I7700" s="199"/>
      <c r="K7700" s="199"/>
      <c r="M7700" s="199"/>
      <c r="N7700" s="200"/>
      <c r="P7700" s="199"/>
    </row>
    <row r="7701" spans="7:16" x14ac:dyDescent="0.2">
      <c r="G7701" s="199"/>
      <c r="I7701" s="199"/>
      <c r="K7701" s="199"/>
      <c r="M7701" s="199"/>
      <c r="N7701" s="200"/>
      <c r="P7701" s="199"/>
    </row>
    <row r="7702" spans="7:16" x14ac:dyDescent="0.2">
      <c r="G7702" s="199"/>
      <c r="I7702" s="199"/>
      <c r="K7702" s="199"/>
      <c r="M7702" s="199"/>
      <c r="N7702" s="200"/>
      <c r="P7702" s="199"/>
    </row>
    <row r="7703" spans="7:16" x14ac:dyDescent="0.2">
      <c r="G7703" s="199"/>
      <c r="I7703" s="199"/>
      <c r="K7703" s="199"/>
      <c r="M7703" s="199"/>
      <c r="N7703" s="200"/>
      <c r="P7703" s="199"/>
    </row>
    <row r="7704" spans="7:16" x14ac:dyDescent="0.2">
      <c r="G7704" s="199"/>
      <c r="I7704" s="199"/>
      <c r="K7704" s="199"/>
      <c r="M7704" s="199"/>
      <c r="N7704" s="200"/>
      <c r="P7704" s="199"/>
    </row>
    <row r="7705" spans="7:16" x14ac:dyDescent="0.2">
      <c r="G7705" s="199"/>
      <c r="I7705" s="199"/>
      <c r="K7705" s="199"/>
      <c r="M7705" s="199"/>
      <c r="N7705" s="200"/>
      <c r="P7705" s="199"/>
    </row>
    <row r="7706" spans="7:16" x14ac:dyDescent="0.2">
      <c r="G7706" s="199"/>
      <c r="I7706" s="199"/>
      <c r="K7706" s="199"/>
      <c r="M7706" s="199"/>
      <c r="N7706" s="200"/>
      <c r="P7706" s="199"/>
    </row>
    <row r="7707" spans="7:16" x14ac:dyDescent="0.2">
      <c r="G7707" s="199"/>
      <c r="I7707" s="199"/>
      <c r="K7707" s="199"/>
      <c r="M7707" s="199"/>
      <c r="N7707" s="200"/>
      <c r="P7707" s="199"/>
    </row>
    <row r="7708" spans="7:16" x14ac:dyDescent="0.2">
      <c r="G7708" s="199"/>
      <c r="I7708" s="199"/>
      <c r="K7708" s="199"/>
      <c r="M7708" s="199"/>
      <c r="N7708" s="200"/>
      <c r="P7708" s="199"/>
    </row>
    <row r="7709" spans="7:16" x14ac:dyDescent="0.2">
      <c r="G7709" s="199"/>
      <c r="I7709" s="199"/>
      <c r="K7709" s="199"/>
      <c r="M7709" s="199"/>
      <c r="N7709" s="200"/>
      <c r="P7709" s="199"/>
    </row>
    <row r="7710" spans="7:16" x14ac:dyDescent="0.2">
      <c r="G7710" s="199"/>
      <c r="I7710" s="199"/>
      <c r="K7710" s="199"/>
      <c r="M7710" s="199"/>
      <c r="N7710" s="200"/>
      <c r="P7710" s="199"/>
    </row>
    <row r="7711" spans="7:16" x14ac:dyDescent="0.2">
      <c r="G7711" s="199"/>
      <c r="I7711" s="199"/>
      <c r="K7711" s="199"/>
      <c r="M7711" s="199"/>
      <c r="N7711" s="200"/>
      <c r="P7711" s="199"/>
    </row>
    <row r="7712" spans="7:16" x14ac:dyDescent="0.2">
      <c r="G7712" s="199"/>
      <c r="I7712" s="199"/>
      <c r="K7712" s="199"/>
      <c r="M7712" s="199"/>
      <c r="N7712" s="200"/>
      <c r="P7712" s="199"/>
    </row>
    <row r="7713" spans="7:16" x14ac:dyDescent="0.2">
      <c r="G7713" s="199"/>
      <c r="I7713" s="199"/>
      <c r="K7713" s="199"/>
      <c r="M7713" s="199"/>
      <c r="N7713" s="200"/>
      <c r="P7713" s="199"/>
    </row>
    <row r="7714" spans="7:16" x14ac:dyDescent="0.2">
      <c r="G7714" s="199"/>
      <c r="I7714" s="199"/>
      <c r="K7714" s="199"/>
      <c r="M7714" s="199"/>
      <c r="N7714" s="200"/>
      <c r="P7714" s="199"/>
    </row>
    <row r="7715" spans="7:16" x14ac:dyDescent="0.2">
      <c r="G7715" s="199"/>
      <c r="I7715" s="199"/>
      <c r="K7715" s="199"/>
      <c r="M7715" s="199"/>
      <c r="N7715" s="200"/>
      <c r="P7715" s="199"/>
    </row>
    <row r="7716" spans="7:16" x14ac:dyDescent="0.2">
      <c r="G7716" s="199"/>
      <c r="I7716" s="199"/>
      <c r="K7716" s="199"/>
      <c r="M7716" s="199"/>
      <c r="N7716" s="200"/>
      <c r="P7716" s="199"/>
    </row>
    <row r="7717" spans="7:16" x14ac:dyDescent="0.2">
      <c r="G7717" s="199"/>
      <c r="I7717" s="199"/>
      <c r="K7717" s="199"/>
      <c r="M7717" s="199"/>
      <c r="N7717" s="200"/>
      <c r="P7717" s="199"/>
    </row>
    <row r="7718" spans="7:16" x14ac:dyDescent="0.2">
      <c r="G7718" s="199"/>
      <c r="I7718" s="199"/>
      <c r="K7718" s="199"/>
      <c r="M7718" s="199"/>
      <c r="N7718" s="200"/>
      <c r="P7718" s="199"/>
    </row>
    <row r="7719" spans="7:16" x14ac:dyDescent="0.2">
      <c r="G7719" s="199"/>
      <c r="I7719" s="199"/>
      <c r="K7719" s="199"/>
      <c r="M7719" s="199"/>
      <c r="N7719" s="200"/>
      <c r="P7719" s="199"/>
    </row>
    <row r="7720" spans="7:16" x14ac:dyDescent="0.2">
      <c r="G7720" s="199"/>
      <c r="I7720" s="199"/>
      <c r="K7720" s="199"/>
      <c r="M7720" s="199"/>
      <c r="N7720" s="200"/>
      <c r="P7720" s="199"/>
    </row>
    <row r="7721" spans="7:16" x14ac:dyDescent="0.2">
      <c r="G7721" s="199"/>
      <c r="I7721" s="199"/>
      <c r="K7721" s="199"/>
      <c r="M7721" s="199"/>
      <c r="N7721" s="200"/>
      <c r="P7721" s="199"/>
    </row>
    <row r="7722" spans="7:16" x14ac:dyDescent="0.2">
      <c r="G7722" s="199"/>
      <c r="I7722" s="199"/>
      <c r="K7722" s="199"/>
      <c r="M7722" s="199"/>
      <c r="N7722" s="200"/>
      <c r="P7722" s="199"/>
    </row>
    <row r="7723" spans="7:16" x14ac:dyDescent="0.2">
      <c r="G7723" s="199"/>
      <c r="I7723" s="199"/>
      <c r="K7723" s="199"/>
      <c r="M7723" s="199"/>
      <c r="N7723" s="200"/>
      <c r="P7723" s="199"/>
    </row>
    <row r="7724" spans="7:16" x14ac:dyDescent="0.2">
      <c r="G7724" s="199"/>
      <c r="I7724" s="199"/>
      <c r="K7724" s="199"/>
      <c r="M7724" s="199"/>
      <c r="N7724" s="200"/>
      <c r="P7724" s="199"/>
    </row>
    <row r="7725" spans="7:16" x14ac:dyDescent="0.2">
      <c r="G7725" s="199"/>
      <c r="I7725" s="199"/>
      <c r="K7725" s="199"/>
      <c r="M7725" s="199"/>
      <c r="N7725" s="200"/>
      <c r="P7725" s="199"/>
    </row>
    <row r="7726" spans="7:16" x14ac:dyDescent="0.2">
      <c r="G7726" s="199"/>
      <c r="I7726" s="199"/>
      <c r="K7726" s="199"/>
      <c r="M7726" s="199"/>
      <c r="N7726" s="200"/>
      <c r="P7726" s="199"/>
    </row>
    <row r="7727" spans="7:16" x14ac:dyDescent="0.2">
      <c r="G7727" s="199"/>
      <c r="I7727" s="199"/>
      <c r="K7727" s="199"/>
      <c r="M7727" s="199"/>
      <c r="N7727" s="200"/>
      <c r="P7727" s="199"/>
    </row>
    <row r="7728" spans="7:16" x14ac:dyDescent="0.2">
      <c r="G7728" s="199"/>
      <c r="I7728" s="199"/>
      <c r="K7728" s="199"/>
      <c r="M7728" s="199"/>
      <c r="N7728" s="200"/>
      <c r="P7728" s="199"/>
    </row>
    <row r="7729" spans="7:16" x14ac:dyDescent="0.2">
      <c r="G7729" s="199"/>
      <c r="I7729" s="199"/>
      <c r="K7729" s="199"/>
      <c r="M7729" s="199"/>
      <c r="N7729" s="200"/>
      <c r="P7729" s="199"/>
    </row>
    <row r="7730" spans="7:16" x14ac:dyDescent="0.2">
      <c r="G7730" s="199"/>
      <c r="I7730" s="199"/>
      <c r="K7730" s="199"/>
      <c r="M7730" s="199"/>
      <c r="N7730" s="200"/>
      <c r="P7730" s="199"/>
    </row>
    <row r="7731" spans="7:16" x14ac:dyDescent="0.2">
      <c r="G7731" s="199"/>
      <c r="I7731" s="199"/>
      <c r="K7731" s="199"/>
      <c r="M7731" s="199"/>
      <c r="N7731" s="200"/>
      <c r="P7731" s="199"/>
    </row>
    <row r="7732" spans="7:16" x14ac:dyDescent="0.2">
      <c r="G7732" s="199"/>
      <c r="I7732" s="199"/>
      <c r="K7732" s="199"/>
      <c r="M7732" s="199"/>
      <c r="N7732" s="200"/>
      <c r="P7732" s="199"/>
    </row>
    <row r="7733" spans="7:16" x14ac:dyDescent="0.2">
      <c r="G7733" s="199"/>
      <c r="I7733" s="199"/>
      <c r="K7733" s="199"/>
      <c r="M7733" s="199"/>
      <c r="N7733" s="200"/>
      <c r="P7733" s="199"/>
    </row>
    <row r="7734" spans="7:16" x14ac:dyDescent="0.2">
      <c r="G7734" s="199"/>
      <c r="I7734" s="199"/>
      <c r="K7734" s="199"/>
      <c r="M7734" s="199"/>
      <c r="N7734" s="200"/>
      <c r="P7734" s="199"/>
    </row>
    <row r="7735" spans="7:16" x14ac:dyDescent="0.2">
      <c r="G7735" s="199"/>
      <c r="I7735" s="199"/>
      <c r="K7735" s="199"/>
      <c r="M7735" s="199"/>
      <c r="N7735" s="200"/>
      <c r="P7735" s="199"/>
    </row>
    <row r="7736" spans="7:16" x14ac:dyDescent="0.2">
      <c r="G7736" s="199"/>
      <c r="I7736" s="199"/>
      <c r="K7736" s="199"/>
      <c r="M7736" s="199"/>
      <c r="N7736" s="200"/>
      <c r="P7736" s="199"/>
    </row>
    <row r="7737" spans="7:16" x14ac:dyDescent="0.2">
      <c r="G7737" s="199"/>
      <c r="I7737" s="199"/>
      <c r="K7737" s="199"/>
      <c r="M7737" s="199"/>
      <c r="N7737" s="200"/>
      <c r="P7737" s="199"/>
    </row>
    <row r="7738" spans="7:16" x14ac:dyDescent="0.2">
      <c r="G7738" s="199"/>
      <c r="I7738" s="199"/>
      <c r="K7738" s="199"/>
      <c r="M7738" s="199"/>
      <c r="N7738" s="200"/>
      <c r="P7738" s="199"/>
    </row>
    <row r="7739" spans="7:16" x14ac:dyDescent="0.2">
      <c r="G7739" s="199"/>
      <c r="I7739" s="199"/>
      <c r="K7739" s="199"/>
      <c r="M7739" s="199"/>
      <c r="N7739" s="200"/>
      <c r="P7739" s="199"/>
    </row>
    <row r="7740" spans="7:16" x14ac:dyDescent="0.2">
      <c r="G7740" s="199"/>
      <c r="I7740" s="199"/>
      <c r="K7740" s="199"/>
      <c r="M7740" s="199"/>
      <c r="N7740" s="200"/>
      <c r="P7740" s="199"/>
    </row>
    <row r="7741" spans="7:16" x14ac:dyDescent="0.2">
      <c r="G7741" s="199"/>
      <c r="I7741" s="199"/>
      <c r="K7741" s="199"/>
      <c r="M7741" s="199"/>
      <c r="N7741" s="200"/>
      <c r="P7741" s="199"/>
    </row>
    <row r="7742" spans="7:16" x14ac:dyDescent="0.2">
      <c r="G7742" s="199"/>
      <c r="I7742" s="199"/>
      <c r="K7742" s="199"/>
      <c r="M7742" s="199"/>
      <c r="N7742" s="200"/>
      <c r="P7742" s="199"/>
    </row>
    <row r="7743" spans="7:16" x14ac:dyDescent="0.2">
      <c r="G7743" s="199"/>
      <c r="I7743" s="199"/>
      <c r="K7743" s="199"/>
      <c r="M7743" s="199"/>
      <c r="N7743" s="200"/>
      <c r="P7743" s="199"/>
    </row>
    <row r="7744" spans="7:16" x14ac:dyDescent="0.2">
      <c r="G7744" s="199"/>
      <c r="I7744" s="199"/>
      <c r="K7744" s="199"/>
      <c r="M7744" s="199"/>
      <c r="N7744" s="200"/>
      <c r="P7744" s="199"/>
    </row>
    <row r="7745" spans="7:16" x14ac:dyDescent="0.2">
      <c r="G7745" s="199"/>
      <c r="I7745" s="199"/>
      <c r="K7745" s="199"/>
      <c r="M7745" s="199"/>
      <c r="N7745" s="200"/>
      <c r="P7745" s="199"/>
    </row>
    <row r="7746" spans="7:16" x14ac:dyDescent="0.2">
      <c r="G7746" s="199"/>
      <c r="I7746" s="199"/>
      <c r="K7746" s="199"/>
      <c r="M7746" s="199"/>
      <c r="N7746" s="200"/>
      <c r="P7746" s="199"/>
    </row>
    <row r="7747" spans="7:16" x14ac:dyDescent="0.2">
      <c r="G7747" s="199"/>
      <c r="I7747" s="199"/>
      <c r="K7747" s="199"/>
      <c r="M7747" s="199"/>
      <c r="N7747" s="200"/>
      <c r="P7747" s="199"/>
    </row>
    <row r="7748" spans="7:16" x14ac:dyDescent="0.2">
      <c r="G7748" s="199"/>
      <c r="I7748" s="199"/>
      <c r="K7748" s="199"/>
      <c r="M7748" s="199"/>
      <c r="N7748" s="200"/>
      <c r="P7748" s="199"/>
    </row>
    <row r="7749" spans="7:16" x14ac:dyDescent="0.2">
      <c r="G7749" s="199"/>
      <c r="I7749" s="199"/>
      <c r="K7749" s="199"/>
      <c r="M7749" s="199"/>
      <c r="N7749" s="200"/>
      <c r="P7749" s="199"/>
    </row>
    <row r="7750" spans="7:16" x14ac:dyDescent="0.2">
      <c r="G7750" s="199"/>
      <c r="I7750" s="199"/>
      <c r="K7750" s="199"/>
      <c r="M7750" s="199"/>
      <c r="N7750" s="200"/>
      <c r="P7750" s="199"/>
    </row>
    <row r="7751" spans="7:16" x14ac:dyDescent="0.2">
      <c r="G7751" s="199"/>
      <c r="I7751" s="199"/>
      <c r="K7751" s="199"/>
      <c r="M7751" s="199"/>
      <c r="N7751" s="200"/>
      <c r="P7751" s="199"/>
    </row>
    <row r="7752" spans="7:16" x14ac:dyDescent="0.2">
      <c r="G7752" s="199"/>
      <c r="I7752" s="199"/>
      <c r="K7752" s="199"/>
      <c r="M7752" s="199"/>
      <c r="N7752" s="200"/>
      <c r="P7752" s="199"/>
    </row>
    <row r="7753" spans="7:16" x14ac:dyDescent="0.2">
      <c r="G7753" s="199"/>
      <c r="I7753" s="199"/>
      <c r="K7753" s="199"/>
      <c r="M7753" s="199"/>
      <c r="N7753" s="200"/>
      <c r="P7753" s="199"/>
    </row>
    <row r="7754" spans="7:16" x14ac:dyDescent="0.2">
      <c r="G7754" s="199"/>
      <c r="I7754" s="199"/>
      <c r="K7754" s="199"/>
      <c r="M7754" s="199"/>
      <c r="N7754" s="200"/>
      <c r="P7754" s="199"/>
    </row>
    <row r="7755" spans="7:16" x14ac:dyDescent="0.2">
      <c r="G7755" s="199"/>
      <c r="I7755" s="199"/>
      <c r="K7755" s="199"/>
      <c r="M7755" s="199"/>
      <c r="N7755" s="200"/>
      <c r="P7755" s="199"/>
    </row>
    <row r="7756" spans="7:16" x14ac:dyDescent="0.2">
      <c r="G7756" s="199"/>
      <c r="I7756" s="199"/>
      <c r="K7756" s="199"/>
      <c r="M7756" s="199"/>
      <c r="N7756" s="200"/>
      <c r="P7756" s="199"/>
    </row>
    <row r="7757" spans="7:16" x14ac:dyDescent="0.2">
      <c r="G7757" s="199"/>
      <c r="I7757" s="199"/>
      <c r="K7757" s="199"/>
      <c r="M7757" s="199"/>
      <c r="N7757" s="200"/>
      <c r="P7757" s="199"/>
    </row>
    <row r="7758" spans="7:16" x14ac:dyDescent="0.2">
      <c r="G7758" s="199"/>
      <c r="I7758" s="199"/>
      <c r="K7758" s="199"/>
      <c r="M7758" s="199"/>
      <c r="N7758" s="200"/>
      <c r="P7758" s="199"/>
    </row>
    <row r="7759" spans="7:16" x14ac:dyDescent="0.2">
      <c r="G7759" s="199"/>
      <c r="I7759" s="199"/>
      <c r="K7759" s="199"/>
      <c r="M7759" s="199"/>
      <c r="N7759" s="200"/>
      <c r="P7759" s="199"/>
    </row>
    <row r="7760" spans="7:16" x14ac:dyDescent="0.2">
      <c r="G7760" s="199"/>
      <c r="I7760" s="199"/>
      <c r="K7760" s="199"/>
      <c r="M7760" s="199"/>
      <c r="N7760" s="200"/>
      <c r="P7760" s="199"/>
    </row>
    <row r="7761" spans="7:16" x14ac:dyDescent="0.2">
      <c r="G7761" s="199"/>
      <c r="I7761" s="199"/>
      <c r="K7761" s="199"/>
      <c r="M7761" s="199"/>
      <c r="N7761" s="200"/>
      <c r="P7761" s="199"/>
    </row>
    <row r="7762" spans="7:16" x14ac:dyDescent="0.2">
      <c r="G7762" s="199"/>
      <c r="I7762" s="199"/>
      <c r="K7762" s="199"/>
      <c r="M7762" s="199"/>
      <c r="N7762" s="200"/>
      <c r="P7762" s="199"/>
    </row>
    <row r="7763" spans="7:16" x14ac:dyDescent="0.2">
      <c r="G7763" s="199"/>
      <c r="I7763" s="199"/>
      <c r="K7763" s="199"/>
      <c r="M7763" s="199"/>
      <c r="N7763" s="200"/>
      <c r="P7763" s="199"/>
    </row>
    <row r="7764" spans="7:16" x14ac:dyDescent="0.2">
      <c r="G7764" s="199"/>
      <c r="I7764" s="199"/>
      <c r="K7764" s="199"/>
      <c r="M7764" s="199"/>
      <c r="N7764" s="200"/>
      <c r="P7764" s="199"/>
    </row>
    <row r="7765" spans="7:16" x14ac:dyDescent="0.2">
      <c r="G7765" s="199"/>
      <c r="I7765" s="199"/>
      <c r="K7765" s="199"/>
      <c r="M7765" s="199"/>
      <c r="N7765" s="200"/>
      <c r="P7765" s="199"/>
    </row>
    <row r="7766" spans="7:16" x14ac:dyDescent="0.2">
      <c r="G7766" s="199"/>
      <c r="I7766" s="199"/>
      <c r="K7766" s="199"/>
      <c r="M7766" s="199"/>
      <c r="N7766" s="200"/>
      <c r="P7766" s="199"/>
    </row>
    <row r="7767" spans="7:16" x14ac:dyDescent="0.2">
      <c r="G7767" s="199"/>
      <c r="I7767" s="199"/>
      <c r="K7767" s="199"/>
      <c r="M7767" s="199"/>
      <c r="N7767" s="200"/>
      <c r="P7767" s="199"/>
    </row>
    <row r="7768" spans="7:16" x14ac:dyDescent="0.2">
      <c r="G7768" s="199"/>
      <c r="I7768" s="199"/>
      <c r="K7768" s="199"/>
      <c r="M7768" s="199"/>
      <c r="N7768" s="200"/>
      <c r="P7768" s="199"/>
    </row>
    <row r="7769" spans="7:16" x14ac:dyDescent="0.2">
      <c r="G7769" s="199"/>
      <c r="I7769" s="199"/>
      <c r="K7769" s="199"/>
      <c r="M7769" s="199"/>
      <c r="N7769" s="200"/>
      <c r="P7769" s="199"/>
    </row>
    <row r="7770" spans="7:16" x14ac:dyDescent="0.2">
      <c r="G7770" s="199"/>
      <c r="I7770" s="199"/>
      <c r="K7770" s="199"/>
      <c r="M7770" s="199"/>
      <c r="N7770" s="200"/>
      <c r="P7770" s="199"/>
    </row>
    <row r="7771" spans="7:16" x14ac:dyDescent="0.2">
      <c r="G7771" s="199"/>
      <c r="I7771" s="199"/>
      <c r="K7771" s="199"/>
      <c r="M7771" s="199"/>
      <c r="N7771" s="200"/>
      <c r="P7771" s="199"/>
    </row>
    <row r="7772" spans="7:16" x14ac:dyDescent="0.2">
      <c r="G7772" s="199"/>
      <c r="I7772" s="199"/>
      <c r="K7772" s="199"/>
      <c r="M7772" s="199"/>
      <c r="N7772" s="200"/>
      <c r="P7772" s="199"/>
    </row>
    <row r="7773" spans="7:16" x14ac:dyDescent="0.2">
      <c r="G7773" s="199"/>
      <c r="I7773" s="199"/>
      <c r="K7773" s="199"/>
      <c r="M7773" s="199"/>
      <c r="N7773" s="200"/>
      <c r="P7773" s="199"/>
    </row>
    <row r="7774" spans="7:16" x14ac:dyDescent="0.2">
      <c r="G7774" s="199"/>
      <c r="I7774" s="199"/>
      <c r="K7774" s="199"/>
      <c r="M7774" s="199"/>
      <c r="N7774" s="200"/>
      <c r="P7774" s="199"/>
    </row>
    <row r="7775" spans="7:16" x14ac:dyDescent="0.2">
      <c r="G7775" s="199"/>
      <c r="I7775" s="199"/>
      <c r="K7775" s="199"/>
      <c r="M7775" s="199"/>
      <c r="N7775" s="200"/>
      <c r="P7775" s="199"/>
    </row>
    <row r="7776" spans="7:16" x14ac:dyDescent="0.2">
      <c r="G7776" s="199"/>
      <c r="I7776" s="199"/>
      <c r="K7776" s="199"/>
      <c r="M7776" s="199"/>
      <c r="N7776" s="200"/>
      <c r="P7776" s="199"/>
    </row>
    <row r="7777" spans="7:16" x14ac:dyDescent="0.2">
      <c r="G7777" s="199"/>
      <c r="I7777" s="199"/>
      <c r="K7777" s="199"/>
      <c r="M7777" s="199"/>
      <c r="N7777" s="200"/>
      <c r="P7777" s="199"/>
    </row>
    <row r="7778" spans="7:16" x14ac:dyDescent="0.2">
      <c r="G7778" s="199"/>
      <c r="I7778" s="199"/>
      <c r="K7778" s="199"/>
      <c r="M7778" s="199"/>
      <c r="N7778" s="200"/>
      <c r="P7778" s="199"/>
    </row>
    <row r="7779" spans="7:16" x14ac:dyDescent="0.2">
      <c r="G7779" s="199"/>
      <c r="I7779" s="199"/>
      <c r="K7779" s="199"/>
      <c r="M7779" s="199"/>
      <c r="N7779" s="200"/>
      <c r="P7779" s="199"/>
    </row>
    <row r="7780" spans="7:16" x14ac:dyDescent="0.2">
      <c r="G7780" s="199"/>
      <c r="I7780" s="199"/>
      <c r="K7780" s="199"/>
      <c r="M7780" s="199"/>
      <c r="N7780" s="200"/>
      <c r="P7780" s="199"/>
    </row>
    <row r="7781" spans="7:16" x14ac:dyDescent="0.2">
      <c r="G7781" s="199"/>
      <c r="I7781" s="199"/>
      <c r="K7781" s="199"/>
      <c r="M7781" s="199"/>
      <c r="N7781" s="200"/>
      <c r="P7781" s="199"/>
    </row>
    <row r="7782" spans="7:16" x14ac:dyDescent="0.2">
      <c r="G7782" s="199"/>
      <c r="I7782" s="199"/>
      <c r="K7782" s="199"/>
      <c r="M7782" s="199"/>
      <c r="N7782" s="200"/>
      <c r="P7782" s="199"/>
    </row>
    <row r="7783" spans="7:16" x14ac:dyDescent="0.2">
      <c r="G7783" s="199"/>
      <c r="I7783" s="199"/>
      <c r="K7783" s="199"/>
      <c r="M7783" s="199"/>
      <c r="N7783" s="200"/>
      <c r="P7783" s="199"/>
    </row>
    <row r="7784" spans="7:16" x14ac:dyDescent="0.2">
      <c r="G7784" s="199"/>
      <c r="I7784" s="199"/>
      <c r="K7784" s="199"/>
      <c r="M7784" s="199"/>
      <c r="N7784" s="200"/>
      <c r="P7784" s="199"/>
    </row>
    <row r="7785" spans="7:16" x14ac:dyDescent="0.2">
      <c r="G7785" s="199"/>
      <c r="I7785" s="199"/>
      <c r="K7785" s="199"/>
      <c r="M7785" s="199"/>
      <c r="N7785" s="200"/>
      <c r="P7785" s="199"/>
    </row>
    <row r="7786" spans="7:16" x14ac:dyDescent="0.2">
      <c r="G7786" s="199"/>
      <c r="I7786" s="199"/>
      <c r="K7786" s="199"/>
      <c r="M7786" s="199"/>
      <c r="N7786" s="200"/>
      <c r="P7786" s="199"/>
    </row>
    <row r="7787" spans="7:16" x14ac:dyDescent="0.2">
      <c r="G7787" s="199"/>
      <c r="I7787" s="199"/>
      <c r="K7787" s="199"/>
      <c r="M7787" s="199"/>
      <c r="N7787" s="200"/>
      <c r="P7787" s="199"/>
    </row>
    <row r="7788" spans="7:16" x14ac:dyDescent="0.2">
      <c r="G7788" s="199"/>
      <c r="I7788" s="199"/>
      <c r="K7788" s="199"/>
      <c r="M7788" s="199"/>
      <c r="N7788" s="200"/>
      <c r="P7788" s="199"/>
    </row>
    <row r="7789" spans="7:16" x14ac:dyDescent="0.2">
      <c r="G7789" s="199"/>
      <c r="I7789" s="199"/>
      <c r="K7789" s="199"/>
      <c r="M7789" s="199"/>
      <c r="N7789" s="200"/>
      <c r="P7789" s="199"/>
    </row>
    <row r="7790" spans="7:16" x14ac:dyDescent="0.2">
      <c r="G7790" s="199"/>
      <c r="I7790" s="199"/>
      <c r="K7790" s="199"/>
      <c r="M7790" s="199"/>
      <c r="N7790" s="200"/>
      <c r="P7790" s="199"/>
    </row>
    <row r="7791" spans="7:16" x14ac:dyDescent="0.2">
      <c r="G7791" s="199"/>
      <c r="I7791" s="199"/>
      <c r="K7791" s="199"/>
      <c r="M7791" s="199"/>
      <c r="N7791" s="200"/>
      <c r="P7791" s="199"/>
    </row>
    <row r="7792" spans="7:16" x14ac:dyDescent="0.2">
      <c r="G7792" s="199"/>
      <c r="I7792" s="199"/>
      <c r="K7792" s="199"/>
      <c r="M7792" s="199"/>
      <c r="N7792" s="200"/>
      <c r="P7792" s="199"/>
    </row>
    <row r="7793" spans="7:16" x14ac:dyDescent="0.2">
      <c r="G7793" s="199"/>
      <c r="I7793" s="199"/>
      <c r="K7793" s="199"/>
      <c r="M7793" s="199"/>
      <c r="N7793" s="200"/>
      <c r="P7793" s="199"/>
    </row>
    <row r="7794" spans="7:16" x14ac:dyDescent="0.2">
      <c r="G7794" s="199"/>
      <c r="I7794" s="199"/>
      <c r="K7794" s="199"/>
      <c r="M7794" s="199"/>
      <c r="N7794" s="200"/>
      <c r="P7794" s="199"/>
    </row>
    <row r="7795" spans="7:16" x14ac:dyDescent="0.2">
      <c r="G7795" s="199"/>
      <c r="I7795" s="199"/>
      <c r="K7795" s="199"/>
      <c r="M7795" s="199"/>
      <c r="N7795" s="200"/>
      <c r="P7795" s="199"/>
    </row>
    <row r="7796" spans="7:16" x14ac:dyDescent="0.2">
      <c r="G7796" s="199"/>
      <c r="I7796" s="199"/>
      <c r="K7796" s="199"/>
      <c r="M7796" s="199"/>
      <c r="N7796" s="200"/>
      <c r="P7796" s="199"/>
    </row>
    <row r="7797" spans="7:16" x14ac:dyDescent="0.2">
      <c r="G7797" s="199"/>
      <c r="I7797" s="199"/>
      <c r="K7797" s="199"/>
      <c r="M7797" s="199"/>
      <c r="N7797" s="200"/>
      <c r="P7797" s="199"/>
    </row>
    <row r="7798" spans="7:16" x14ac:dyDescent="0.2">
      <c r="G7798" s="199"/>
      <c r="I7798" s="199"/>
      <c r="K7798" s="199"/>
      <c r="M7798" s="199"/>
      <c r="N7798" s="200"/>
      <c r="P7798" s="199"/>
    </row>
    <row r="7799" spans="7:16" x14ac:dyDescent="0.2">
      <c r="G7799" s="199"/>
      <c r="I7799" s="199"/>
      <c r="K7799" s="199"/>
      <c r="M7799" s="199"/>
      <c r="N7799" s="200"/>
      <c r="P7799" s="199"/>
    </row>
    <row r="7800" spans="7:16" x14ac:dyDescent="0.2">
      <c r="G7800" s="199"/>
      <c r="I7800" s="199"/>
      <c r="K7800" s="199"/>
      <c r="M7800" s="199"/>
      <c r="N7800" s="200"/>
      <c r="P7800" s="199"/>
    </row>
    <row r="7801" spans="7:16" x14ac:dyDescent="0.2">
      <c r="G7801" s="199"/>
      <c r="I7801" s="199"/>
      <c r="K7801" s="199"/>
      <c r="M7801" s="199"/>
      <c r="N7801" s="200"/>
      <c r="P7801" s="199"/>
    </row>
    <row r="7802" spans="7:16" x14ac:dyDescent="0.2">
      <c r="G7802" s="199"/>
      <c r="I7802" s="199"/>
      <c r="K7802" s="199"/>
      <c r="M7802" s="199"/>
      <c r="N7802" s="200"/>
      <c r="P7802" s="199"/>
    </row>
    <row r="7803" spans="7:16" x14ac:dyDescent="0.2">
      <c r="G7803" s="199"/>
      <c r="I7803" s="199"/>
      <c r="K7803" s="199"/>
      <c r="M7803" s="199"/>
      <c r="N7803" s="200"/>
      <c r="P7803" s="199"/>
    </row>
    <row r="7804" spans="7:16" x14ac:dyDescent="0.2">
      <c r="G7804" s="199"/>
      <c r="I7804" s="199"/>
      <c r="K7804" s="199"/>
      <c r="M7804" s="199"/>
      <c r="N7804" s="200"/>
      <c r="P7804" s="199"/>
    </row>
    <row r="7805" spans="7:16" x14ac:dyDescent="0.2">
      <c r="G7805" s="199"/>
      <c r="I7805" s="199"/>
      <c r="K7805" s="199"/>
      <c r="M7805" s="199"/>
      <c r="N7805" s="200"/>
      <c r="P7805" s="199"/>
    </row>
    <row r="7806" spans="7:16" x14ac:dyDescent="0.2">
      <c r="G7806" s="199"/>
      <c r="I7806" s="199"/>
      <c r="K7806" s="199"/>
      <c r="M7806" s="199"/>
      <c r="N7806" s="200"/>
      <c r="P7806" s="199"/>
    </row>
    <row r="7807" spans="7:16" x14ac:dyDescent="0.2">
      <c r="G7807" s="199"/>
      <c r="I7807" s="199"/>
      <c r="K7807" s="199"/>
      <c r="M7807" s="199"/>
      <c r="N7807" s="200"/>
      <c r="P7807" s="199"/>
    </row>
    <row r="7808" spans="7:16" x14ac:dyDescent="0.2">
      <c r="G7808" s="199"/>
      <c r="I7808" s="199"/>
      <c r="K7808" s="199"/>
      <c r="M7808" s="199"/>
      <c r="N7808" s="200"/>
      <c r="P7808" s="199"/>
    </row>
    <row r="7809" spans="7:16" x14ac:dyDescent="0.2">
      <c r="G7809" s="199"/>
      <c r="I7809" s="199"/>
      <c r="K7809" s="199"/>
      <c r="M7809" s="199"/>
      <c r="N7809" s="200"/>
      <c r="P7809" s="199"/>
    </row>
    <row r="7810" spans="7:16" x14ac:dyDescent="0.2">
      <c r="G7810" s="199"/>
      <c r="I7810" s="199"/>
      <c r="K7810" s="199"/>
      <c r="M7810" s="199"/>
      <c r="N7810" s="200"/>
      <c r="P7810" s="199"/>
    </row>
    <row r="7811" spans="7:16" x14ac:dyDescent="0.2">
      <c r="G7811" s="199"/>
      <c r="I7811" s="199"/>
      <c r="K7811" s="199"/>
      <c r="M7811" s="199"/>
      <c r="N7811" s="200"/>
      <c r="P7811" s="199"/>
    </row>
    <row r="7812" spans="7:16" x14ac:dyDescent="0.2">
      <c r="G7812" s="199"/>
      <c r="I7812" s="199"/>
      <c r="K7812" s="199"/>
      <c r="M7812" s="199"/>
      <c r="N7812" s="200"/>
      <c r="P7812" s="199"/>
    </row>
    <row r="7813" spans="7:16" x14ac:dyDescent="0.2">
      <c r="G7813" s="199"/>
      <c r="I7813" s="199"/>
      <c r="K7813" s="199"/>
      <c r="M7813" s="199"/>
      <c r="N7813" s="200"/>
      <c r="P7813" s="199"/>
    </row>
    <row r="7814" spans="7:16" x14ac:dyDescent="0.2">
      <c r="G7814" s="199"/>
      <c r="I7814" s="199"/>
      <c r="K7814" s="199"/>
      <c r="M7814" s="199"/>
      <c r="N7814" s="200"/>
      <c r="P7814" s="199"/>
    </row>
    <row r="7815" spans="7:16" x14ac:dyDescent="0.2">
      <c r="G7815" s="199"/>
      <c r="I7815" s="199"/>
      <c r="K7815" s="199"/>
      <c r="M7815" s="199"/>
      <c r="N7815" s="200"/>
      <c r="P7815" s="199"/>
    </row>
    <row r="7816" spans="7:16" x14ac:dyDescent="0.2">
      <c r="G7816" s="199"/>
      <c r="I7816" s="199"/>
      <c r="K7816" s="199"/>
      <c r="M7816" s="199"/>
      <c r="N7816" s="200"/>
      <c r="P7816" s="199"/>
    </row>
    <row r="7817" spans="7:16" x14ac:dyDescent="0.2">
      <c r="G7817" s="199"/>
      <c r="I7817" s="199"/>
      <c r="K7817" s="199"/>
      <c r="M7817" s="199"/>
      <c r="N7817" s="200"/>
      <c r="P7817" s="199"/>
    </row>
    <row r="7818" spans="7:16" x14ac:dyDescent="0.2">
      <c r="G7818" s="199"/>
      <c r="I7818" s="199"/>
      <c r="K7818" s="199"/>
      <c r="M7818" s="199"/>
      <c r="N7818" s="200"/>
      <c r="P7818" s="199"/>
    </row>
    <row r="7819" spans="7:16" x14ac:dyDescent="0.2">
      <c r="G7819" s="199"/>
      <c r="I7819" s="199"/>
      <c r="K7819" s="199"/>
      <c r="M7819" s="199"/>
      <c r="N7819" s="200"/>
      <c r="P7819" s="199"/>
    </row>
    <row r="7820" spans="7:16" x14ac:dyDescent="0.2">
      <c r="G7820" s="199"/>
      <c r="I7820" s="199"/>
      <c r="K7820" s="199"/>
      <c r="M7820" s="199"/>
      <c r="N7820" s="200"/>
      <c r="P7820" s="199"/>
    </row>
    <row r="7821" spans="7:16" x14ac:dyDescent="0.2">
      <c r="G7821" s="199"/>
      <c r="I7821" s="199"/>
      <c r="K7821" s="199"/>
      <c r="M7821" s="199"/>
      <c r="N7821" s="200"/>
      <c r="P7821" s="199"/>
    </row>
    <row r="7822" spans="7:16" x14ac:dyDescent="0.2">
      <c r="G7822" s="199"/>
      <c r="I7822" s="199"/>
      <c r="K7822" s="199"/>
      <c r="M7822" s="199"/>
      <c r="N7822" s="200"/>
      <c r="P7822" s="199"/>
    </row>
    <row r="7823" spans="7:16" x14ac:dyDescent="0.2">
      <c r="G7823" s="199"/>
      <c r="I7823" s="199"/>
      <c r="K7823" s="199"/>
      <c r="M7823" s="199"/>
      <c r="N7823" s="200"/>
      <c r="P7823" s="199"/>
    </row>
    <row r="7824" spans="7:16" x14ac:dyDescent="0.2">
      <c r="G7824" s="199"/>
      <c r="I7824" s="199"/>
      <c r="K7824" s="199"/>
      <c r="M7824" s="199"/>
      <c r="N7824" s="200"/>
      <c r="P7824" s="199"/>
    </row>
    <row r="7825" spans="7:16" x14ac:dyDescent="0.2">
      <c r="G7825" s="199"/>
      <c r="I7825" s="199"/>
      <c r="K7825" s="199"/>
      <c r="M7825" s="199"/>
      <c r="N7825" s="200"/>
      <c r="P7825" s="199"/>
    </row>
    <row r="7826" spans="7:16" x14ac:dyDescent="0.2">
      <c r="G7826" s="199"/>
      <c r="I7826" s="199"/>
      <c r="K7826" s="199"/>
      <c r="M7826" s="199"/>
      <c r="N7826" s="200"/>
      <c r="P7826" s="199"/>
    </row>
    <row r="7827" spans="7:16" x14ac:dyDescent="0.2">
      <c r="G7827" s="199"/>
      <c r="I7827" s="199"/>
      <c r="K7827" s="199"/>
      <c r="M7827" s="199"/>
      <c r="N7827" s="200"/>
      <c r="P7827" s="199"/>
    </row>
    <row r="7828" spans="7:16" x14ac:dyDescent="0.2">
      <c r="G7828" s="199"/>
      <c r="I7828" s="199"/>
      <c r="K7828" s="199"/>
      <c r="M7828" s="199"/>
      <c r="N7828" s="200"/>
      <c r="P7828" s="199"/>
    </row>
    <row r="7829" spans="7:16" x14ac:dyDescent="0.2">
      <c r="G7829" s="199"/>
      <c r="I7829" s="199"/>
      <c r="K7829" s="199"/>
      <c r="M7829" s="199"/>
      <c r="N7829" s="200"/>
      <c r="P7829" s="199"/>
    </row>
    <row r="7830" spans="7:16" x14ac:dyDescent="0.2">
      <c r="G7830" s="199"/>
      <c r="I7830" s="199"/>
      <c r="K7830" s="199"/>
      <c r="M7830" s="199"/>
      <c r="N7830" s="200"/>
      <c r="P7830" s="199"/>
    </row>
    <row r="7831" spans="7:16" x14ac:dyDescent="0.2">
      <c r="G7831" s="199"/>
      <c r="I7831" s="199"/>
      <c r="K7831" s="199"/>
      <c r="M7831" s="199"/>
      <c r="N7831" s="200"/>
      <c r="P7831" s="199"/>
    </row>
    <row r="7832" spans="7:16" x14ac:dyDescent="0.2">
      <c r="G7832" s="199"/>
      <c r="I7832" s="199"/>
      <c r="K7832" s="199"/>
      <c r="M7832" s="199"/>
      <c r="N7832" s="200"/>
      <c r="P7832" s="199"/>
    </row>
    <row r="7833" spans="7:16" x14ac:dyDescent="0.2">
      <c r="G7833" s="199"/>
      <c r="I7833" s="199"/>
      <c r="K7833" s="199"/>
      <c r="M7833" s="199"/>
      <c r="N7833" s="200"/>
      <c r="P7833" s="199"/>
    </row>
    <row r="7834" spans="7:16" x14ac:dyDescent="0.2">
      <c r="G7834" s="199"/>
      <c r="I7834" s="199"/>
      <c r="K7834" s="199"/>
      <c r="M7834" s="199"/>
      <c r="N7834" s="200"/>
      <c r="P7834" s="199"/>
    </row>
    <row r="7835" spans="7:16" x14ac:dyDescent="0.2">
      <c r="G7835" s="199"/>
      <c r="I7835" s="199"/>
      <c r="K7835" s="199"/>
      <c r="M7835" s="199"/>
      <c r="N7835" s="200"/>
      <c r="P7835" s="199"/>
    </row>
    <row r="7836" spans="7:16" x14ac:dyDescent="0.2">
      <c r="G7836" s="199"/>
      <c r="I7836" s="199"/>
      <c r="K7836" s="199"/>
      <c r="M7836" s="199"/>
      <c r="N7836" s="200"/>
      <c r="P7836" s="199"/>
    </row>
    <row r="7837" spans="7:16" x14ac:dyDescent="0.2">
      <c r="G7837" s="199"/>
      <c r="I7837" s="199"/>
      <c r="K7837" s="199"/>
      <c r="M7837" s="199"/>
      <c r="N7837" s="200"/>
      <c r="P7837" s="199"/>
    </row>
    <row r="7838" spans="7:16" x14ac:dyDescent="0.2">
      <c r="G7838" s="199"/>
      <c r="I7838" s="199"/>
      <c r="K7838" s="199"/>
      <c r="M7838" s="199"/>
      <c r="N7838" s="200"/>
      <c r="P7838" s="199"/>
    </row>
    <row r="7839" spans="7:16" x14ac:dyDescent="0.2">
      <c r="G7839" s="199"/>
      <c r="I7839" s="199"/>
      <c r="K7839" s="199"/>
      <c r="M7839" s="199"/>
      <c r="N7839" s="200"/>
      <c r="P7839" s="199"/>
    </row>
    <row r="7840" spans="7:16" x14ac:dyDescent="0.2">
      <c r="G7840" s="199"/>
      <c r="I7840" s="199"/>
      <c r="K7840" s="199"/>
      <c r="M7840" s="199"/>
      <c r="N7840" s="200"/>
      <c r="P7840" s="199"/>
    </row>
    <row r="7841" spans="7:16" x14ac:dyDescent="0.2">
      <c r="G7841" s="199"/>
      <c r="I7841" s="199"/>
      <c r="K7841" s="199"/>
      <c r="M7841" s="199"/>
      <c r="N7841" s="200"/>
      <c r="P7841" s="199"/>
    </row>
    <row r="7842" spans="7:16" x14ac:dyDescent="0.2">
      <c r="G7842" s="199"/>
      <c r="I7842" s="199"/>
      <c r="K7842" s="199"/>
      <c r="M7842" s="199"/>
      <c r="N7842" s="200"/>
      <c r="P7842" s="199"/>
    </row>
    <row r="7843" spans="7:16" x14ac:dyDescent="0.2">
      <c r="G7843" s="199"/>
      <c r="I7843" s="199"/>
      <c r="K7843" s="199"/>
      <c r="M7843" s="199"/>
      <c r="N7843" s="200"/>
      <c r="P7843" s="199"/>
    </row>
    <row r="7844" spans="7:16" x14ac:dyDescent="0.2">
      <c r="G7844" s="199"/>
      <c r="I7844" s="199"/>
      <c r="K7844" s="199"/>
      <c r="M7844" s="199"/>
      <c r="N7844" s="200"/>
      <c r="P7844" s="199"/>
    </row>
    <row r="7845" spans="7:16" x14ac:dyDescent="0.2">
      <c r="G7845" s="199"/>
      <c r="I7845" s="199"/>
      <c r="K7845" s="199"/>
      <c r="M7845" s="199"/>
      <c r="N7845" s="200"/>
      <c r="P7845" s="199"/>
    </row>
    <row r="7846" spans="7:16" x14ac:dyDescent="0.2">
      <c r="G7846" s="199"/>
      <c r="I7846" s="199"/>
      <c r="K7846" s="199"/>
      <c r="M7846" s="199"/>
      <c r="N7846" s="200"/>
      <c r="P7846" s="199"/>
    </row>
    <row r="7847" spans="7:16" x14ac:dyDescent="0.2">
      <c r="G7847" s="199"/>
      <c r="I7847" s="199"/>
      <c r="K7847" s="199"/>
      <c r="M7847" s="199"/>
      <c r="N7847" s="200"/>
      <c r="P7847" s="199"/>
    </row>
    <row r="7848" spans="7:16" x14ac:dyDescent="0.2">
      <c r="G7848" s="199"/>
      <c r="I7848" s="199"/>
      <c r="K7848" s="199"/>
      <c r="M7848" s="199"/>
      <c r="N7848" s="200"/>
      <c r="P7848" s="199"/>
    </row>
    <row r="7849" spans="7:16" x14ac:dyDescent="0.2">
      <c r="G7849" s="199"/>
      <c r="I7849" s="199"/>
      <c r="K7849" s="199"/>
      <c r="M7849" s="199"/>
      <c r="N7849" s="200"/>
      <c r="P7849" s="199"/>
    </row>
    <row r="7850" spans="7:16" x14ac:dyDescent="0.2">
      <c r="G7850" s="199"/>
      <c r="I7850" s="199"/>
      <c r="K7850" s="199"/>
      <c r="M7850" s="199"/>
      <c r="N7850" s="200"/>
      <c r="P7850" s="199"/>
    </row>
    <row r="7851" spans="7:16" x14ac:dyDescent="0.2">
      <c r="G7851" s="199"/>
      <c r="I7851" s="199"/>
      <c r="K7851" s="199"/>
      <c r="M7851" s="199"/>
      <c r="N7851" s="200"/>
      <c r="P7851" s="199"/>
    </row>
    <row r="7852" spans="7:16" x14ac:dyDescent="0.2">
      <c r="G7852" s="199"/>
      <c r="I7852" s="199"/>
      <c r="K7852" s="199"/>
      <c r="M7852" s="199"/>
      <c r="N7852" s="200"/>
      <c r="P7852" s="199"/>
    </row>
    <row r="7853" spans="7:16" x14ac:dyDescent="0.2">
      <c r="G7853" s="199"/>
      <c r="I7853" s="199"/>
      <c r="K7853" s="199"/>
      <c r="M7853" s="199"/>
      <c r="N7853" s="200"/>
      <c r="P7853" s="199"/>
    </row>
    <row r="7854" spans="7:16" x14ac:dyDescent="0.2">
      <c r="G7854" s="199"/>
      <c r="I7854" s="199"/>
      <c r="K7854" s="199"/>
      <c r="M7854" s="199"/>
      <c r="N7854" s="200"/>
      <c r="P7854" s="199"/>
    </row>
    <row r="7855" spans="7:16" x14ac:dyDescent="0.2">
      <c r="G7855" s="199"/>
      <c r="I7855" s="199"/>
      <c r="K7855" s="199"/>
      <c r="M7855" s="199"/>
      <c r="N7855" s="200"/>
      <c r="P7855" s="199"/>
    </row>
    <row r="7856" spans="7:16" x14ac:dyDescent="0.2">
      <c r="G7856" s="199"/>
      <c r="I7856" s="199"/>
      <c r="K7856" s="199"/>
      <c r="M7856" s="199"/>
      <c r="N7856" s="200"/>
      <c r="P7856" s="199"/>
    </row>
    <row r="7857" spans="7:16" x14ac:dyDescent="0.2">
      <c r="G7857" s="199"/>
      <c r="I7857" s="199"/>
      <c r="K7857" s="199"/>
      <c r="M7857" s="199"/>
      <c r="N7857" s="200"/>
      <c r="P7857" s="199"/>
    </row>
    <row r="7858" spans="7:16" x14ac:dyDescent="0.2">
      <c r="G7858" s="199"/>
      <c r="I7858" s="199"/>
      <c r="K7858" s="199"/>
      <c r="M7858" s="199"/>
      <c r="N7858" s="200"/>
      <c r="P7858" s="199"/>
    </row>
    <row r="7859" spans="7:16" x14ac:dyDescent="0.2">
      <c r="G7859" s="199"/>
      <c r="I7859" s="199"/>
      <c r="K7859" s="199"/>
      <c r="M7859" s="199"/>
      <c r="N7859" s="200"/>
      <c r="P7859" s="199"/>
    </row>
    <row r="7860" spans="7:16" x14ac:dyDescent="0.2">
      <c r="G7860" s="199"/>
      <c r="I7860" s="199"/>
      <c r="K7860" s="199"/>
      <c r="M7860" s="199"/>
      <c r="N7860" s="200"/>
      <c r="P7860" s="199"/>
    </row>
    <row r="7861" spans="7:16" x14ac:dyDescent="0.2">
      <c r="G7861" s="199"/>
      <c r="I7861" s="199"/>
      <c r="K7861" s="199"/>
      <c r="M7861" s="199"/>
      <c r="N7861" s="200"/>
      <c r="P7861" s="199"/>
    </row>
    <row r="7862" spans="7:16" x14ac:dyDescent="0.2">
      <c r="G7862" s="199"/>
      <c r="I7862" s="199"/>
      <c r="K7862" s="199"/>
      <c r="M7862" s="199"/>
      <c r="N7862" s="200"/>
      <c r="P7862" s="199"/>
    </row>
    <row r="7863" spans="7:16" x14ac:dyDescent="0.2">
      <c r="G7863" s="199"/>
      <c r="I7863" s="199"/>
      <c r="K7863" s="199"/>
      <c r="M7863" s="199"/>
      <c r="N7863" s="200"/>
      <c r="P7863" s="199"/>
    </row>
    <row r="7864" spans="7:16" x14ac:dyDescent="0.2">
      <c r="G7864" s="199"/>
      <c r="I7864" s="199"/>
      <c r="K7864" s="199"/>
      <c r="M7864" s="199"/>
      <c r="N7864" s="200"/>
      <c r="P7864" s="199"/>
    </row>
    <row r="7865" spans="7:16" x14ac:dyDescent="0.2">
      <c r="G7865" s="199"/>
      <c r="I7865" s="199"/>
      <c r="K7865" s="199"/>
      <c r="M7865" s="199"/>
      <c r="N7865" s="200"/>
      <c r="P7865" s="199"/>
    </row>
    <row r="7866" spans="7:16" x14ac:dyDescent="0.2">
      <c r="G7866" s="199"/>
      <c r="I7866" s="199"/>
      <c r="K7866" s="199"/>
      <c r="M7866" s="199"/>
      <c r="N7866" s="200"/>
      <c r="P7866" s="199"/>
    </row>
    <row r="7867" spans="7:16" x14ac:dyDescent="0.2">
      <c r="G7867" s="199"/>
      <c r="I7867" s="199"/>
      <c r="K7867" s="199"/>
      <c r="M7867" s="199"/>
      <c r="N7867" s="200"/>
      <c r="P7867" s="199"/>
    </row>
    <row r="7868" spans="7:16" x14ac:dyDescent="0.2">
      <c r="G7868" s="199"/>
      <c r="I7868" s="199"/>
      <c r="K7868" s="199"/>
      <c r="M7868" s="199"/>
      <c r="N7868" s="200"/>
      <c r="P7868" s="199"/>
    </row>
    <row r="7869" spans="7:16" x14ac:dyDescent="0.2">
      <c r="G7869" s="199"/>
      <c r="I7869" s="199"/>
      <c r="K7869" s="199"/>
      <c r="M7869" s="199"/>
      <c r="N7869" s="200"/>
      <c r="P7869" s="199"/>
    </row>
    <row r="7870" spans="7:16" x14ac:dyDescent="0.2">
      <c r="G7870" s="199"/>
      <c r="I7870" s="199"/>
      <c r="K7870" s="199"/>
      <c r="M7870" s="199"/>
      <c r="N7870" s="200"/>
      <c r="P7870" s="199"/>
    </row>
    <row r="7871" spans="7:16" x14ac:dyDescent="0.2">
      <c r="G7871" s="199"/>
      <c r="I7871" s="199"/>
      <c r="K7871" s="199"/>
      <c r="M7871" s="199"/>
      <c r="N7871" s="200"/>
      <c r="P7871" s="199"/>
    </row>
    <row r="7872" spans="7:16" x14ac:dyDescent="0.2">
      <c r="G7872" s="199"/>
      <c r="I7872" s="199"/>
      <c r="K7872" s="199"/>
      <c r="M7872" s="199"/>
      <c r="N7872" s="200"/>
      <c r="P7872" s="199"/>
    </row>
    <row r="7873" spans="7:16" x14ac:dyDescent="0.2">
      <c r="G7873" s="199"/>
      <c r="I7873" s="199"/>
      <c r="K7873" s="199"/>
      <c r="M7873" s="199"/>
      <c r="N7873" s="200"/>
      <c r="P7873" s="199"/>
    </row>
    <row r="7874" spans="7:16" x14ac:dyDescent="0.2">
      <c r="G7874" s="199"/>
      <c r="I7874" s="199"/>
      <c r="K7874" s="199"/>
      <c r="M7874" s="199"/>
      <c r="N7874" s="200"/>
      <c r="P7874" s="199"/>
    </row>
    <row r="7875" spans="7:16" x14ac:dyDescent="0.2">
      <c r="G7875" s="199"/>
      <c r="I7875" s="199"/>
      <c r="K7875" s="199"/>
      <c r="M7875" s="199"/>
      <c r="N7875" s="200"/>
      <c r="P7875" s="199"/>
    </row>
    <row r="7876" spans="7:16" x14ac:dyDescent="0.2">
      <c r="G7876" s="199"/>
      <c r="I7876" s="199"/>
      <c r="K7876" s="199"/>
      <c r="M7876" s="199"/>
      <c r="N7876" s="200"/>
      <c r="P7876" s="199"/>
    </row>
    <row r="7877" spans="7:16" x14ac:dyDescent="0.2">
      <c r="G7877" s="199"/>
      <c r="I7877" s="199"/>
      <c r="K7877" s="199"/>
      <c r="M7877" s="199"/>
      <c r="N7877" s="200"/>
      <c r="P7877" s="199"/>
    </row>
    <row r="7878" spans="7:16" x14ac:dyDescent="0.2">
      <c r="G7878" s="199"/>
      <c r="I7878" s="199"/>
      <c r="K7878" s="199"/>
      <c r="M7878" s="199"/>
      <c r="N7878" s="200"/>
      <c r="P7878" s="199"/>
    </row>
    <row r="7879" spans="7:16" x14ac:dyDescent="0.2">
      <c r="G7879" s="199"/>
      <c r="I7879" s="199"/>
      <c r="K7879" s="199"/>
      <c r="M7879" s="199"/>
      <c r="N7879" s="200"/>
      <c r="P7879" s="199"/>
    </row>
    <row r="7880" spans="7:16" x14ac:dyDescent="0.2">
      <c r="G7880" s="199"/>
      <c r="I7880" s="199"/>
      <c r="K7880" s="199"/>
      <c r="M7880" s="199"/>
      <c r="N7880" s="200"/>
      <c r="P7880" s="199"/>
    </row>
    <row r="7881" spans="7:16" x14ac:dyDescent="0.2">
      <c r="G7881" s="199"/>
      <c r="I7881" s="199"/>
      <c r="K7881" s="199"/>
      <c r="M7881" s="199"/>
      <c r="N7881" s="200"/>
      <c r="P7881" s="199"/>
    </row>
    <row r="7882" spans="7:16" x14ac:dyDescent="0.2">
      <c r="G7882" s="199"/>
      <c r="I7882" s="199"/>
      <c r="K7882" s="199"/>
      <c r="M7882" s="199"/>
      <c r="N7882" s="200"/>
      <c r="P7882" s="199"/>
    </row>
    <row r="7883" spans="7:16" x14ac:dyDescent="0.2">
      <c r="G7883" s="199"/>
      <c r="I7883" s="199"/>
      <c r="K7883" s="199"/>
      <c r="M7883" s="199"/>
      <c r="N7883" s="200"/>
      <c r="P7883" s="199"/>
    </row>
    <row r="7884" spans="7:16" x14ac:dyDescent="0.2">
      <c r="G7884" s="199"/>
      <c r="I7884" s="199"/>
      <c r="K7884" s="199"/>
      <c r="M7884" s="199"/>
      <c r="N7884" s="200"/>
      <c r="P7884" s="199"/>
    </row>
    <row r="7885" spans="7:16" x14ac:dyDescent="0.2">
      <c r="G7885" s="199"/>
      <c r="I7885" s="199"/>
      <c r="K7885" s="199"/>
      <c r="M7885" s="199"/>
      <c r="N7885" s="200"/>
      <c r="P7885" s="199"/>
    </row>
    <row r="7886" spans="7:16" x14ac:dyDescent="0.2">
      <c r="G7886" s="199"/>
      <c r="I7886" s="199"/>
      <c r="K7886" s="199"/>
      <c r="M7886" s="199"/>
      <c r="N7886" s="200"/>
      <c r="P7886" s="199"/>
    </row>
    <row r="7887" spans="7:16" x14ac:dyDescent="0.2">
      <c r="G7887" s="199"/>
      <c r="I7887" s="199"/>
      <c r="K7887" s="199"/>
      <c r="M7887" s="199"/>
      <c r="N7887" s="200"/>
      <c r="P7887" s="199"/>
    </row>
    <row r="7888" spans="7:16" x14ac:dyDescent="0.2">
      <c r="G7888" s="199"/>
      <c r="I7888" s="199"/>
      <c r="K7888" s="199"/>
      <c r="M7888" s="199"/>
      <c r="N7888" s="200"/>
      <c r="P7888" s="199"/>
    </row>
    <row r="7889" spans="7:16" x14ac:dyDescent="0.2">
      <c r="G7889" s="199"/>
      <c r="I7889" s="199"/>
      <c r="K7889" s="199"/>
      <c r="M7889" s="199"/>
      <c r="N7889" s="200"/>
      <c r="P7889" s="199"/>
    </row>
    <row r="7890" spans="7:16" x14ac:dyDescent="0.2">
      <c r="G7890" s="199"/>
      <c r="I7890" s="199"/>
      <c r="K7890" s="199"/>
      <c r="M7890" s="199"/>
      <c r="N7890" s="200"/>
      <c r="P7890" s="199"/>
    </row>
    <row r="7891" spans="7:16" x14ac:dyDescent="0.2">
      <c r="G7891" s="199"/>
      <c r="I7891" s="199"/>
      <c r="K7891" s="199"/>
      <c r="M7891" s="199"/>
      <c r="N7891" s="200"/>
      <c r="P7891" s="199"/>
    </row>
    <row r="7892" spans="7:16" x14ac:dyDescent="0.2">
      <c r="G7892" s="199"/>
      <c r="I7892" s="199"/>
      <c r="K7892" s="199"/>
      <c r="M7892" s="199"/>
      <c r="N7892" s="200"/>
      <c r="P7892" s="199"/>
    </row>
    <row r="7893" spans="7:16" x14ac:dyDescent="0.2">
      <c r="G7893" s="199"/>
      <c r="I7893" s="199"/>
      <c r="K7893" s="199"/>
      <c r="M7893" s="199"/>
      <c r="N7893" s="200"/>
      <c r="P7893" s="199"/>
    </row>
    <row r="7894" spans="7:16" x14ac:dyDescent="0.2">
      <c r="G7894" s="199"/>
      <c r="I7894" s="199"/>
      <c r="K7894" s="199"/>
      <c r="M7894" s="199"/>
      <c r="N7894" s="200"/>
      <c r="P7894" s="199"/>
    </row>
    <row r="7895" spans="7:16" x14ac:dyDescent="0.2">
      <c r="G7895" s="199"/>
      <c r="I7895" s="199"/>
      <c r="K7895" s="199"/>
      <c r="M7895" s="199"/>
      <c r="N7895" s="200"/>
      <c r="P7895" s="199"/>
    </row>
    <row r="7896" spans="7:16" x14ac:dyDescent="0.2">
      <c r="G7896" s="199"/>
      <c r="I7896" s="199"/>
      <c r="K7896" s="199"/>
      <c r="M7896" s="199"/>
      <c r="N7896" s="200"/>
      <c r="P7896" s="199"/>
    </row>
    <row r="7897" spans="7:16" x14ac:dyDescent="0.2">
      <c r="G7897" s="199"/>
      <c r="I7897" s="199"/>
      <c r="K7897" s="199"/>
      <c r="M7897" s="199"/>
      <c r="N7897" s="200"/>
      <c r="P7897" s="199"/>
    </row>
    <row r="7898" spans="7:16" x14ac:dyDescent="0.2">
      <c r="G7898" s="199"/>
      <c r="I7898" s="199"/>
      <c r="K7898" s="199"/>
      <c r="M7898" s="199"/>
      <c r="N7898" s="200"/>
      <c r="P7898" s="199"/>
    </row>
    <row r="7899" spans="7:16" x14ac:dyDescent="0.2">
      <c r="G7899" s="199"/>
      <c r="I7899" s="199"/>
      <c r="K7899" s="199"/>
      <c r="M7899" s="199"/>
      <c r="N7899" s="200"/>
      <c r="P7899" s="199"/>
    </row>
    <row r="7900" spans="7:16" x14ac:dyDescent="0.2">
      <c r="G7900" s="199"/>
      <c r="I7900" s="199"/>
      <c r="K7900" s="199"/>
      <c r="M7900" s="199"/>
      <c r="N7900" s="200"/>
      <c r="P7900" s="199"/>
    </row>
    <row r="7901" spans="7:16" x14ac:dyDescent="0.2">
      <c r="G7901" s="199"/>
      <c r="I7901" s="199"/>
      <c r="K7901" s="199"/>
      <c r="M7901" s="199"/>
      <c r="N7901" s="200"/>
      <c r="P7901" s="199"/>
    </row>
    <row r="7902" spans="7:16" x14ac:dyDescent="0.2">
      <c r="G7902" s="199"/>
      <c r="I7902" s="199"/>
      <c r="K7902" s="199"/>
      <c r="M7902" s="199"/>
      <c r="N7902" s="200"/>
      <c r="P7902" s="199"/>
    </row>
    <row r="7903" spans="7:16" x14ac:dyDescent="0.2">
      <c r="G7903" s="199"/>
      <c r="I7903" s="199"/>
      <c r="K7903" s="199"/>
      <c r="M7903" s="199"/>
      <c r="N7903" s="200"/>
      <c r="P7903" s="199"/>
    </row>
    <row r="7904" spans="7:16" x14ac:dyDescent="0.2">
      <c r="G7904" s="199"/>
      <c r="I7904" s="199"/>
      <c r="K7904" s="199"/>
      <c r="M7904" s="199"/>
      <c r="N7904" s="200"/>
      <c r="P7904" s="199"/>
    </row>
    <row r="7905" spans="7:16" x14ac:dyDescent="0.2">
      <c r="G7905" s="199"/>
      <c r="I7905" s="199"/>
      <c r="K7905" s="199"/>
      <c r="M7905" s="199"/>
      <c r="N7905" s="200"/>
      <c r="P7905" s="199"/>
    </row>
    <row r="7906" spans="7:16" x14ac:dyDescent="0.2">
      <c r="G7906" s="199"/>
      <c r="I7906" s="199"/>
      <c r="K7906" s="199"/>
      <c r="M7906" s="199"/>
      <c r="N7906" s="200"/>
      <c r="P7906" s="199"/>
    </row>
    <row r="7907" spans="7:16" x14ac:dyDescent="0.2">
      <c r="G7907" s="199"/>
      <c r="I7907" s="199"/>
      <c r="K7907" s="199"/>
      <c r="M7907" s="199"/>
      <c r="N7907" s="200"/>
      <c r="P7907" s="199"/>
    </row>
    <row r="7908" spans="7:16" x14ac:dyDescent="0.2">
      <c r="G7908" s="199"/>
      <c r="I7908" s="199"/>
      <c r="K7908" s="199"/>
      <c r="M7908" s="199"/>
      <c r="N7908" s="200"/>
      <c r="P7908" s="199"/>
    </row>
    <row r="7909" spans="7:16" x14ac:dyDescent="0.2">
      <c r="G7909" s="199"/>
      <c r="I7909" s="199"/>
      <c r="K7909" s="199"/>
      <c r="M7909" s="199"/>
      <c r="N7909" s="200"/>
      <c r="P7909" s="199"/>
    </row>
    <row r="7910" spans="7:16" x14ac:dyDescent="0.2">
      <c r="G7910" s="199"/>
      <c r="I7910" s="199"/>
      <c r="K7910" s="199"/>
      <c r="M7910" s="199"/>
      <c r="N7910" s="200"/>
      <c r="P7910" s="199"/>
    </row>
    <row r="7911" spans="7:16" x14ac:dyDescent="0.2">
      <c r="G7911" s="199"/>
      <c r="I7911" s="199"/>
      <c r="K7911" s="199"/>
      <c r="M7911" s="199"/>
      <c r="N7911" s="200"/>
      <c r="P7911" s="199"/>
    </row>
    <row r="7912" spans="7:16" x14ac:dyDescent="0.2">
      <c r="G7912" s="199"/>
      <c r="I7912" s="199"/>
      <c r="K7912" s="199"/>
      <c r="M7912" s="199"/>
      <c r="N7912" s="200"/>
      <c r="P7912" s="199"/>
    </row>
    <row r="7913" spans="7:16" x14ac:dyDescent="0.2">
      <c r="G7913" s="199"/>
      <c r="I7913" s="199"/>
      <c r="K7913" s="199"/>
      <c r="M7913" s="199"/>
      <c r="N7913" s="200"/>
      <c r="P7913" s="199"/>
    </row>
    <row r="7914" spans="7:16" x14ac:dyDescent="0.2">
      <c r="G7914" s="199"/>
      <c r="I7914" s="199"/>
      <c r="K7914" s="199"/>
      <c r="M7914" s="199"/>
      <c r="N7914" s="200"/>
      <c r="P7914" s="199"/>
    </row>
    <row r="7915" spans="7:16" x14ac:dyDescent="0.2">
      <c r="G7915" s="199"/>
      <c r="I7915" s="199"/>
      <c r="K7915" s="199"/>
      <c r="M7915" s="199"/>
      <c r="N7915" s="200"/>
      <c r="P7915" s="199"/>
    </row>
    <row r="7916" spans="7:16" x14ac:dyDescent="0.2">
      <c r="G7916" s="199"/>
      <c r="I7916" s="199"/>
      <c r="K7916" s="199"/>
      <c r="M7916" s="199"/>
      <c r="N7916" s="200"/>
      <c r="P7916" s="199"/>
    </row>
    <row r="7917" spans="7:16" x14ac:dyDescent="0.2">
      <c r="G7917" s="199"/>
      <c r="I7917" s="199"/>
      <c r="K7917" s="199"/>
      <c r="M7917" s="199"/>
      <c r="N7917" s="200"/>
      <c r="P7917" s="199"/>
    </row>
    <row r="7918" spans="7:16" x14ac:dyDescent="0.2">
      <c r="G7918" s="199"/>
      <c r="I7918" s="199"/>
      <c r="K7918" s="199"/>
      <c r="M7918" s="199"/>
      <c r="N7918" s="200"/>
      <c r="P7918" s="199"/>
    </row>
    <row r="7919" spans="7:16" x14ac:dyDescent="0.2">
      <c r="G7919" s="199"/>
      <c r="I7919" s="199"/>
      <c r="K7919" s="199"/>
      <c r="M7919" s="199"/>
      <c r="N7919" s="200"/>
      <c r="P7919" s="199"/>
    </row>
    <row r="7920" spans="7:16" x14ac:dyDescent="0.2">
      <c r="G7920" s="199"/>
      <c r="I7920" s="199"/>
      <c r="K7920" s="199"/>
      <c r="M7920" s="199"/>
      <c r="N7920" s="200"/>
      <c r="P7920" s="199"/>
    </row>
    <row r="7921" spans="7:16" x14ac:dyDescent="0.2">
      <c r="G7921" s="199"/>
      <c r="I7921" s="199"/>
      <c r="K7921" s="199"/>
      <c r="M7921" s="199"/>
      <c r="N7921" s="200"/>
      <c r="P7921" s="199"/>
    </row>
    <row r="7922" spans="7:16" x14ac:dyDescent="0.2">
      <c r="G7922" s="199"/>
      <c r="I7922" s="199"/>
      <c r="K7922" s="199"/>
      <c r="M7922" s="199"/>
      <c r="N7922" s="200"/>
      <c r="P7922" s="199"/>
    </row>
    <row r="7923" spans="7:16" x14ac:dyDescent="0.2">
      <c r="G7923" s="199"/>
      <c r="I7923" s="199"/>
      <c r="K7923" s="199"/>
      <c r="M7923" s="199"/>
      <c r="N7923" s="200"/>
      <c r="P7923" s="199"/>
    </row>
    <row r="7924" spans="7:16" x14ac:dyDescent="0.2">
      <c r="G7924" s="199"/>
      <c r="I7924" s="199"/>
      <c r="K7924" s="199"/>
      <c r="M7924" s="199"/>
      <c r="N7924" s="200"/>
      <c r="P7924" s="199"/>
    </row>
    <row r="7925" spans="7:16" x14ac:dyDescent="0.2">
      <c r="G7925" s="199"/>
      <c r="I7925" s="199"/>
      <c r="K7925" s="199"/>
      <c r="M7925" s="199"/>
      <c r="N7925" s="200"/>
      <c r="P7925" s="199"/>
    </row>
    <row r="7926" spans="7:16" x14ac:dyDescent="0.2">
      <c r="G7926" s="199"/>
      <c r="I7926" s="199"/>
      <c r="K7926" s="199"/>
      <c r="M7926" s="199"/>
      <c r="N7926" s="200"/>
      <c r="P7926" s="199"/>
    </row>
    <row r="7927" spans="7:16" x14ac:dyDescent="0.2">
      <c r="G7927" s="199"/>
      <c r="I7927" s="199"/>
      <c r="K7927" s="199"/>
      <c r="M7927" s="199"/>
      <c r="N7927" s="200"/>
      <c r="P7927" s="199"/>
    </row>
    <row r="7928" spans="7:16" x14ac:dyDescent="0.2">
      <c r="G7928" s="199"/>
      <c r="I7928" s="199"/>
      <c r="K7928" s="199"/>
      <c r="M7928" s="199"/>
      <c r="N7928" s="200"/>
      <c r="P7928" s="199"/>
    </row>
    <row r="7929" spans="7:16" x14ac:dyDescent="0.2">
      <c r="G7929" s="199"/>
      <c r="I7929" s="199"/>
      <c r="K7929" s="199"/>
      <c r="M7929" s="199"/>
      <c r="N7929" s="200"/>
      <c r="P7929" s="199"/>
    </row>
    <row r="7930" spans="7:16" x14ac:dyDescent="0.2">
      <c r="G7930" s="199"/>
      <c r="I7930" s="199"/>
      <c r="K7930" s="199"/>
      <c r="M7930" s="199"/>
      <c r="N7930" s="200"/>
      <c r="P7930" s="199"/>
    </row>
    <row r="7931" spans="7:16" x14ac:dyDescent="0.2">
      <c r="G7931" s="199"/>
      <c r="I7931" s="199"/>
      <c r="K7931" s="199"/>
      <c r="M7931" s="199"/>
      <c r="N7931" s="200"/>
      <c r="P7931" s="199"/>
    </row>
    <row r="7932" spans="7:16" x14ac:dyDescent="0.2">
      <c r="G7932" s="199"/>
      <c r="I7932" s="199"/>
      <c r="K7932" s="199"/>
      <c r="M7932" s="199"/>
      <c r="N7932" s="200"/>
      <c r="P7932" s="199"/>
    </row>
    <row r="7933" spans="7:16" x14ac:dyDescent="0.2">
      <c r="G7933" s="199"/>
      <c r="I7933" s="199"/>
      <c r="K7933" s="199"/>
      <c r="M7933" s="199"/>
      <c r="N7933" s="200"/>
      <c r="P7933" s="199"/>
    </row>
    <row r="7934" spans="7:16" x14ac:dyDescent="0.2">
      <c r="G7934" s="199"/>
      <c r="I7934" s="199"/>
      <c r="K7934" s="199"/>
      <c r="M7934" s="199"/>
      <c r="N7934" s="200"/>
      <c r="P7934" s="199"/>
    </row>
    <row r="7935" spans="7:16" x14ac:dyDescent="0.2">
      <c r="G7935" s="199"/>
      <c r="I7935" s="199"/>
      <c r="K7935" s="199"/>
      <c r="M7935" s="199"/>
      <c r="N7935" s="200"/>
      <c r="P7935" s="199"/>
    </row>
    <row r="7936" spans="7:16" x14ac:dyDescent="0.2">
      <c r="G7936" s="199"/>
      <c r="I7936" s="199"/>
      <c r="K7936" s="199"/>
      <c r="M7936" s="199"/>
      <c r="N7936" s="200"/>
      <c r="P7936" s="199"/>
    </row>
    <row r="7937" spans="7:16" x14ac:dyDescent="0.2">
      <c r="G7937" s="199"/>
      <c r="I7937" s="199"/>
      <c r="K7937" s="199"/>
      <c r="M7937" s="199"/>
      <c r="N7937" s="200"/>
      <c r="P7937" s="199"/>
    </row>
    <row r="7938" spans="7:16" x14ac:dyDescent="0.2">
      <c r="G7938" s="199"/>
      <c r="I7938" s="199"/>
      <c r="K7938" s="199"/>
      <c r="M7938" s="199"/>
      <c r="N7938" s="200"/>
      <c r="P7938" s="199"/>
    </row>
    <row r="7939" spans="7:16" x14ac:dyDescent="0.2">
      <c r="G7939" s="199"/>
      <c r="I7939" s="199"/>
      <c r="K7939" s="199"/>
      <c r="M7939" s="199"/>
      <c r="N7939" s="200"/>
      <c r="P7939" s="199"/>
    </row>
    <row r="7940" spans="7:16" x14ac:dyDescent="0.2">
      <c r="G7940" s="199"/>
      <c r="I7940" s="199"/>
      <c r="K7940" s="199"/>
      <c r="M7940" s="199"/>
      <c r="N7940" s="200"/>
      <c r="P7940" s="199"/>
    </row>
    <row r="7941" spans="7:16" x14ac:dyDescent="0.2">
      <c r="G7941" s="199"/>
      <c r="I7941" s="199"/>
      <c r="K7941" s="199"/>
      <c r="M7941" s="199"/>
      <c r="N7941" s="200"/>
      <c r="P7941" s="199"/>
    </row>
    <row r="7942" spans="7:16" x14ac:dyDescent="0.2">
      <c r="G7942" s="199"/>
      <c r="I7942" s="199"/>
      <c r="K7942" s="199"/>
      <c r="M7942" s="199"/>
      <c r="N7942" s="200"/>
      <c r="P7942" s="199"/>
    </row>
    <row r="7943" spans="7:16" x14ac:dyDescent="0.2">
      <c r="G7943" s="199"/>
      <c r="I7943" s="199"/>
      <c r="K7943" s="199"/>
      <c r="M7943" s="199"/>
      <c r="N7943" s="200"/>
      <c r="P7943" s="199"/>
    </row>
    <row r="7944" spans="7:16" x14ac:dyDescent="0.2">
      <c r="G7944" s="199"/>
      <c r="I7944" s="199"/>
      <c r="K7944" s="199"/>
      <c r="M7944" s="199"/>
      <c r="N7944" s="200"/>
      <c r="P7944" s="199"/>
    </row>
    <row r="7945" spans="7:16" x14ac:dyDescent="0.2">
      <c r="G7945" s="199"/>
      <c r="I7945" s="199"/>
      <c r="K7945" s="199"/>
      <c r="M7945" s="199"/>
      <c r="N7945" s="200"/>
      <c r="P7945" s="199"/>
    </row>
    <row r="7946" spans="7:16" x14ac:dyDescent="0.2">
      <c r="G7946" s="199"/>
      <c r="I7946" s="199"/>
      <c r="K7946" s="199"/>
      <c r="M7946" s="199"/>
      <c r="N7946" s="200"/>
      <c r="P7946" s="199"/>
    </row>
    <row r="7947" spans="7:16" x14ac:dyDescent="0.2">
      <c r="G7947" s="199"/>
      <c r="I7947" s="199"/>
      <c r="K7947" s="199"/>
      <c r="M7947" s="199"/>
      <c r="N7947" s="200"/>
      <c r="P7947" s="199"/>
    </row>
    <row r="7948" spans="7:16" x14ac:dyDescent="0.2">
      <c r="G7948" s="199"/>
      <c r="I7948" s="199"/>
      <c r="K7948" s="199"/>
      <c r="M7948" s="199"/>
      <c r="N7948" s="200"/>
      <c r="P7948" s="199"/>
    </row>
    <row r="7949" spans="7:16" x14ac:dyDescent="0.2">
      <c r="G7949" s="199"/>
      <c r="I7949" s="199"/>
      <c r="K7949" s="199"/>
      <c r="M7949" s="199"/>
      <c r="N7949" s="200"/>
      <c r="P7949" s="199"/>
    </row>
    <row r="7950" spans="7:16" x14ac:dyDescent="0.2">
      <c r="G7950" s="199"/>
      <c r="I7950" s="199"/>
      <c r="K7950" s="199"/>
      <c r="M7950" s="199"/>
      <c r="N7950" s="200"/>
      <c r="P7950" s="199"/>
    </row>
    <row r="7951" spans="7:16" x14ac:dyDescent="0.2">
      <c r="G7951" s="199"/>
      <c r="I7951" s="199"/>
      <c r="K7951" s="199"/>
      <c r="M7951" s="199"/>
      <c r="N7951" s="200"/>
      <c r="P7951" s="199"/>
    </row>
    <row r="7952" spans="7:16" x14ac:dyDescent="0.2">
      <c r="G7952" s="199"/>
      <c r="I7952" s="199"/>
      <c r="K7952" s="199"/>
      <c r="M7952" s="199"/>
      <c r="N7952" s="200"/>
      <c r="P7952" s="199"/>
    </row>
    <row r="7953" spans="7:16" x14ac:dyDescent="0.2">
      <c r="G7953" s="199"/>
      <c r="I7953" s="199"/>
      <c r="K7953" s="199"/>
      <c r="M7953" s="199"/>
      <c r="N7953" s="200"/>
      <c r="P7953" s="199"/>
    </row>
    <row r="7954" spans="7:16" x14ac:dyDescent="0.2">
      <c r="G7954" s="199"/>
      <c r="I7954" s="199"/>
      <c r="K7954" s="199"/>
      <c r="M7954" s="199"/>
      <c r="N7954" s="200"/>
      <c r="P7954" s="199"/>
    </row>
    <row r="7955" spans="7:16" x14ac:dyDescent="0.2">
      <c r="G7955" s="199"/>
      <c r="I7955" s="199"/>
      <c r="K7955" s="199"/>
      <c r="M7955" s="199"/>
      <c r="N7955" s="200"/>
      <c r="P7955" s="199"/>
    </row>
    <row r="7956" spans="7:16" x14ac:dyDescent="0.2">
      <c r="G7956" s="199"/>
      <c r="I7956" s="199"/>
      <c r="K7956" s="199"/>
      <c r="M7956" s="199"/>
      <c r="N7956" s="200"/>
      <c r="P7956" s="199"/>
    </row>
    <row r="7957" spans="7:16" x14ac:dyDescent="0.2">
      <c r="G7957" s="199"/>
      <c r="I7957" s="199"/>
      <c r="K7957" s="199"/>
      <c r="M7957" s="199"/>
      <c r="N7957" s="200"/>
      <c r="P7957" s="199"/>
    </row>
    <row r="7958" spans="7:16" x14ac:dyDescent="0.2">
      <c r="G7958" s="199"/>
      <c r="I7958" s="199"/>
      <c r="K7958" s="199"/>
      <c r="M7958" s="199"/>
      <c r="N7958" s="200"/>
      <c r="P7958" s="199"/>
    </row>
    <row r="7959" spans="7:16" x14ac:dyDescent="0.2">
      <c r="G7959" s="199"/>
      <c r="I7959" s="199"/>
      <c r="K7959" s="199"/>
      <c r="M7959" s="199"/>
      <c r="N7959" s="200"/>
      <c r="P7959" s="199"/>
    </row>
    <row r="7960" spans="7:16" x14ac:dyDescent="0.2">
      <c r="G7960" s="199"/>
      <c r="I7960" s="199"/>
      <c r="K7960" s="199"/>
      <c r="M7960" s="199"/>
      <c r="N7960" s="200"/>
      <c r="P7960" s="199"/>
    </row>
    <row r="7961" spans="7:16" x14ac:dyDescent="0.2">
      <c r="G7961" s="199"/>
      <c r="I7961" s="199"/>
      <c r="K7961" s="199"/>
      <c r="M7961" s="199"/>
      <c r="N7961" s="200"/>
      <c r="P7961" s="199"/>
    </row>
    <row r="7962" spans="7:16" x14ac:dyDescent="0.2">
      <c r="G7962" s="199"/>
      <c r="I7962" s="199"/>
      <c r="K7962" s="199"/>
      <c r="M7962" s="199"/>
      <c r="N7962" s="200"/>
      <c r="P7962" s="199"/>
    </row>
    <row r="7963" spans="7:16" x14ac:dyDescent="0.2">
      <c r="G7963" s="199"/>
      <c r="I7963" s="199"/>
      <c r="K7963" s="199"/>
      <c r="M7963" s="199"/>
      <c r="N7963" s="200"/>
      <c r="P7963" s="199"/>
    </row>
    <row r="7964" spans="7:16" x14ac:dyDescent="0.2">
      <c r="G7964" s="199"/>
      <c r="I7964" s="199"/>
      <c r="K7964" s="199"/>
      <c r="M7964" s="199"/>
      <c r="N7964" s="200"/>
      <c r="P7964" s="199"/>
    </row>
    <row r="7965" spans="7:16" x14ac:dyDescent="0.2">
      <c r="G7965" s="199"/>
      <c r="I7965" s="199"/>
      <c r="K7965" s="199"/>
      <c r="M7965" s="199"/>
      <c r="N7965" s="200"/>
      <c r="P7965" s="199"/>
    </row>
    <row r="7966" spans="7:16" x14ac:dyDescent="0.2">
      <c r="G7966" s="199"/>
      <c r="I7966" s="199"/>
      <c r="K7966" s="199"/>
      <c r="M7966" s="199"/>
      <c r="N7966" s="200"/>
      <c r="P7966" s="199"/>
    </row>
    <row r="7967" spans="7:16" x14ac:dyDescent="0.2">
      <c r="G7967" s="199"/>
      <c r="I7967" s="199"/>
      <c r="K7967" s="199"/>
      <c r="M7967" s="199"/>
      <c r="N7967" s="200"/>
      <c r="P7967" s="199"/>
    </row>
    <row r="7968" spans="7:16" x14ac:dyDescent="0.2">
      <c r="G7968" s="199"/>
      <c r="I7968" s="199"/>
      <c r="K7968" s="199"/>
      <c r="M7968" s="199"/>
      <c r="N7968" s="200"/>
      <c r="P7968" s="199"/>
    </row>
    <row r="7969" spans="7:16" x14ac:dyDescent="0.2">
      <c r="G7969" s="199"/>
      <c r="I7969" s="199"/>
      <c r="K7969" s="199"/>
      <c r="M7969" s="199"/>
      <c r="N7969" s="200"/>
      <c r="P7969" s="199"/>
    </row>
    <row r="7970" spans="7:16" x14ac:dyDescent="0.2">
      <c r="G7970" s="199"/>
      <c r="I7970" s="199"/>
      <c r="K7970" s="199"/>
      <c r="M7970" s="199"/>
      <c r="N7970" s="200"/>
      <c r="P7970" s="199"/>
    </row>
    <row r="7971" spans="7:16" x14ac:dyDescent="0.2">
      <c r="G7971" s="199"/>
      <c r="I7971" s="199"/>
      <c r="K7971" s="199"/>
      <c r="M7971" s="199"/>
      <c r="N7971" s="200"/>
      <c r="P7971" s="199"/>
    </row>
    <row r="7972" spans="7:16" x14ac:dyDescent="0.2">
      <c r="G7972" s="199"/>
      <c r="I7972" s="199"/>
      <c r="K7972" s="199"/>
      <c r="M7972" s="199"/>
      <c r="N7972" s="200"/>
      <c r="P7972" s="199"/>
    </row>
    <row r="7973" spans="7:16" x14ac:dyDescent="0.2">
      <c r="G7973" s="199"/>
      <c r="I7973" s="199"/>
      <c r="K7973" s="199"/>
      <c r="M7973" s="199"/>
      <c r="N7973" s="200"/>
      <c r="P7973" s="199"/>
    </row>
    <row r="7974" spans="7:16" x14ac:dyDescent="0.2">
      <c r="G7974" s="199"/>
      <c r="I7974" s="199"/>
      <c r="K7974" s="199"/>
      <c r="M7974" s="199"/>
      <c r="N7974" s="200"/>
      <c r="P7974" s="199"/>
    </row>
    <row r="7975" spans="7:16" x14ac:dyDescent="0.2">
      <c r="G7975" s="199"/>
      <c r="I7975" s="199"/>
      <c r="K7975" s="199"/>
      <c r="M7975" s="199"/>
      <c r="N7975" s="200"/>
      <c r="P7975" s="199"/>
    </row>
    <row r="7976" spans="7:16" x14ac:dyDescent="0.2">
      <c r="G7976" s="199"/>
      <c r="I7976" s="199"/>
      <c r="K7976" s="199"/>
      <c r="M7976" s="199"/>
      <c r="N7976" s="200"/>
      <c r="P7976" s="199"/>
    </row>
    <row r="7977" spans="7:16" x14ac:dyDescent="0.2">
      <c r="G7977" s="199"/>
      <c r="I7977" s="199"/>
      <c r="K7977" s="199"/>
      <c r="M7977" s="199"/>
      <c r="N7977" s="200"/>
      <c r="P7977" s="199"/>
    </row>
    <row r="7978" spans="7:16" x14ac:dyDescent="0.2">
      <c r="G7978" s="199"/>
      <c r="I7978" s="199"/>
      <c r="K7978" s="199"/>
      <c r="M7978" s="199"/>
      <c r="N7978" s="200"/>
      <c r="P7978" s="199"/>
    </row>
    <row r="7979" spans="7:16" x14ac:dyDescent="0.2">
      <c r="G7979" s="199"/>
      <c r="I7979" s="199"/>
      <c r="K7979" s="199"/>
      <c r="M7979" s="199"/>
      <c r="N7979" s="200"/>
      <c r="P7979" s="199"/>
    </row>
    <row r="7980" spans="7:16" x14ac:dyDescent="0.2">
      <c r="G7980" s="199"/>
      <c r="I7980" s="199"/>
      <c r="K7980" s="199"/>
      <c r="M7980" s="199"/>
      <c r="N7980" s="200"/>
      <c r="P7980" s="199"/>
    </row>
    <row r="7981" spans="7:16" x14ac:dyDescent="0.2">
      <c r="G7981" s="199"/>
      <c r="I7981" s="199"/>
      <c r="K7981" s="199"/>
      <c r="M7981" s="199"/>
      <c r="N7981" s="200"/>
      <c r="P7981" s="199"/>
    </row>
    <row r="7982" spans="7:16" x14ac:dyDescent="0.2">
      <c r="G7982" s="199"/>
      <c r="I7982" s="199"/>
      <c r="K7982" s="199"/>
      <c r="M7982" s="199"/>
      <c r="N7982" s="200"/>
      <c r="P7982" s="199"/>
    </row>
    <row r="7983" spans="7:16" x14ac:dyDescent="0.2">
      <c r="G7983" s="199"/>
      <c r="I7983" s="199"/>
      <c r="K7983" s="199"/>
      <c r="M7983" s="199"/>
      <c r="N7983" s="200"/>
      <c r="P7983" s="199"/>
    </row>
    <row r="7984" spans="7:16" x14ac:dyDescent="0.2">
      <c r="G7984" s="199"/>
      <c r="I7984" s="199"/>
      <c r="K7984" s="199"/>
      <c r="M7984" s="199"/>
      <c r="N7984" s="200"/>
      <c r="P7984" s="199"/>
    </row>
    <row r="7985" spans="7:16" x14ac:dyDescent="0.2">
      <c r="G7985" s="199"/>
      <c r="I7985" s="199"/>
      <c r="K7985" s="199"/>
      <c r="M7985" s="199"/>
      <c r="N7985" s="200"/>
      <c r="P7985" s="199"/>
    </row>
    <row r="7986" spans="7:16" x14ac:dyDescent="0.2">
      <c r="G7986" s="199"/>
      <c r="I7986" s="199"/>
      <c r="K7986" s="199"/>
      <c r="M7986" s="199"/>
      <c r="N7986" s="200"/>
      <c r="P7986" s="199"/>
    </row>
    <row r="7987" spans="7:16" x14ac:dyDescent="0.2">
      <c r="G7987" s="199"/>
      <c r="I7987" s="199"/>
      <c r="K7987" s="199"/>
      <c r="M7987" s="199"/>
      <c r="N7987" s="200"/>
      <c r="P7987" s="199"/>
    </row>
    <row r="7988" spans="7:16" x14ac:dyDescent="0.2">
      <c r="G7988" s="199"/>
      <c r="I7988" s="199"/>
      <c r="K7988" s="199"/>
      <c r="M7988" s="199"/>
      <c r="N7988" s="200"/>
      <c r="P7988" s="199"/>
    </row>
    <row r="7989" spans="7:16" x14ac:dyDescent="0.2">
      <c r="G7989" s="199"/>
      <c r="I7989" s="199"/>
      <c r="K7989" s="199"/>
      <c r="M7989" s="199"/>
      <c r="N7989" s="200"/>
      <c r="P7989" s="199"/>
    </row>
    <row r="7990" spans="7:16" x14ac:dyDescent="0.2">
      <c r="G7990" s="199"/>
      <c r="I7990" s="199"/>
      <c r="K7990" s="199"/>
      <c r="M7990" s="199"/>
      <c r="N7990" s="200"/>
      <c r="P7990" s="199"/>
    </row>
    <row r="7991" spans="7:16" x14ac:dyDescent="0.2">
      <c r="G7991" s="199"/>
      <c r="I7991" s="199"/>
      <c r="K7991" s="199"/>
      <c r="M7991" s="199"/>
      <c r="N7991" s="200"/>
      <c r="P7991" s="199"/>
    </row>
    <row r="7992" spans="7:16" x14ac:dyDescent="0.2">
      <c r="G7992" s="199"/>
      <c r="I7992" s="199"/>
      <c r="K7992" s="199"/>
      <c r="M7992" s="199"/>
      <c r="N7992" s="200"/>
      <c r="P7992" s="199"/>
    </row>
    <row r="7993" spans="7:16" x14ac:dyDescent="0.2">
      <c r="G7993" s="199"/>
      <c r="I7993" s="199"/>
      <c r="K7993" s="199"/>
      <c r="M7993" s="199"/>
      <c r="N7993" s="200"/>
      <c r="P7993" s="199"/>
    </row>
    <row r="7994" spans="7:16" x14ac:dyDescent="0.2">
      <c r="G7994" s="199"/>
      <c r="I7994" s="199"/>
      <c r="K7994" s="199"/>
      <c r="M7994" s="199"/>
      <c r="N7994" s="200"/>
      <c r="P7994" s="199"/>
    </row>
    <row r="7995" spans="7:16" x14ac:dyDescent="0.2">
      <c r="G7995" s="199"/>
      <c r="I7995" s="199"/>
      <c r="K7995" s="199"/>
      <c r="M7995" s="199"/>
      <c r="N7995" s="200"/>
      <c r="P7995" s="199"/>
    </row>
    <row r="7996" spans="7:16" x14ac:dyDescent="0.2">
      <c r="G7996" s="199"/>
      <c r="I7996" s="199"/>
      <c r="K7996" s="199"/>
      <c r="M7996" s="199"/>
      <c r="N7996" s="200"/>
      <c r="P7996" s="199"/>
    </row>
    <row r="7997" spans="7:16" x14ac:dyDescent="0.2">
      <c r="G7997" s="199"/>
      <c r="I7997" s="199"/>
      <c r="K7997" s="199"/>
      <c r="M7997" s="199"/>
      <c r="N7997" s="200"/>
      <c r="P7997" s="199"/>
    </row>
    <row r="7998" spans="7:16" x14ac:dyDescent="0.2">
      <c r="G7998" s="199"/>
      <c r="I7998" s="199"/>
      <c r="K7998" s="199"/>
      <c r="M7998" s="199"/>
      <c r="N7998" s="200"/>
      <c r="P7998" s="199"/>
    </row>
    <row r="7999" spans="7:16" x14ac:dyDescent="0.2">
      <c r="G7999" s="199"/>
      <c r="I7999" s="199"/>
      <c r="K7999" s="199"/>
      <c r="M7999" s="199"/>
      <c r="N7999" s="200"/>
      <c r="P7999" s="199"/>
    </row>
    <row r="8000" spans="7:16" x14ac:dyDescent="0.2">
      <c r="G8000" s="199"/>
      <c r="I8000" s="199"/>
      <c r="K8000" s="199"/>
      <c r="M8000" s="199"/>
      <c r="N8000" s="200"/>
      <c r="P8000" s="199"/>
    </row>
    <row r="8001" spans="7:16" x14ac:dyDescent="0.2">
      <c r="G8001" s="199"/>
      <c r="I8001" s="199"/>
      <c r="K8001" s="199"/>
      <c r="M8001" s="199"/>
      <c r="N8001" s="200"/>
      <c r="P8001" s="199"/>
    </row>
    <row r="8002" spans="7:16" x14ac:dyDescent="0.2">
      <c r="G8002" s="199"/>
      <c r="I8002" s="199"/>
      <c r="K8002" s="199"/>
      <c r="M8002" s="199"/>
      <c r="N8002" s="200"/>
      <c r="P8002" s="199"/>
    </row>
    <row r="8003" spans="7:16" x14ac:dyDescent="0.2">
      <c r="G8003" s="199"/>
      <c r="I8003" s="199"/>
      <c r="K8003" s="199"/>
      <c r="M8003" s="199"/>
      <c r="N8003" s="200"/>
      <c r="P8003" s="199"/>
    </row>
    <row r="8004" spans="7:16" x14ac:dyDescent="0.2">
      <c r="G8004" s="199"/>
      <c r="I8004" s="199"/>
      <c r="K8004" s="199"/>
      <c r="M8004" s="199"/>
      <c r="N8004" s="200"/>
      <c r="P8004" s="199"/>
    </row>
    <row r="8005" spans="7:16" x14ac:dyDescent="0.2">
      <c r="G8005" s="199"/>
      <c r="I8005" s="199"/>
      <c r="K8005" s="199"/>
      <c r="M8005" s="199"/>
      <c r="N8005" s="200"/>
      <c r="P8005" s="199"/>
    </row>
    <row r="8006" spans="7:16" x14ac:dyDescent="0.2">
      <c r="G8006" s="199"/>
      <c r="I8006" s="199"/>
      <c r="K8006" s="199"/>
      <c r="M8006" s="199"/>
      <c r="N8006" s="200"/>
      <c r="P8006" s="199"/>
    </row>
    <row r="8007" spans="7:16" x14ac:dyDescent="0.2">
      <c r="G8007" s="199"/>
      <c r="I8007" s="199"/>
      <c r="K8007" s="199"/>
      <c r="M8007" s="199"/>
      <c r="N8007" s="200"/>
      <c r="P8007" s="199"/>
    </row>
    <row r="8008" spans="7:16" x14ac:dyDescent="0.2">
      <c r="G8008" s="199"/>
      <c r="I8008" s="199"/>
      <c r="K8008" s="199"/>
      <c r="M8008" s="199"/>
      <c r="N8008" s="200"/>
      <c r="P8008" s="199"/>
    </row>
    <row r="8009" spans="7:16" x14ac:dyDescent="0.2">
      <c r="G8009" s="199"/>
      <c r="I8009" s="199"/>
      <c r="K8009" s="199"/>
      <c r="M8009" s="199"/>
      <c r="N8009" s="200"/>
      <c r="P8009" s="199"/>
    </row>
    <row r="8010" spans="7:16" x14ac:dyDescent="0.2">
      <c r="G8010" s="199"/>
      <c r="I8010" s="199"/>
      <c r="K8010" s="199"/>
      <c r="M8010" s="199"/>
      <c r="N8010" s="200"/>
      <c r="P8010" s="199"/>
    </row>
    <row r="8011" spans="7:16" x14ac:dyDescent="0.2">
      <c r="G8011" s="199"/>
      <c r="I8011" s="199"/>
      <c r="K8011" s="199"/>
      <c r="M8011" s="199"/>
      <c r="N8011" s="200"/>
      <c r="P8011" s="199"/>
    </row>
    <row r="8012" spans="7:16" x14ac:dyDescent="0.2">
      <c r="G8012" s="199"/>
      <c r="I8012" s="199"/>
      <c r="K8012" s="199"/>
      <c r="M8012" s="199"/>
      <c r="N8012" s="200"/>
      <c r="P8012" s="199"/>
    </row>
    <row r="8013" spans="7:16" x14ac:dyDescent="0.2">
      <c r="G8013" s="199"/>
      <c r="I8013" s="199"/>
      <c r="K8013" s="199"/>
      <c r="M8013" s="199"/>
      <c r="N8013" s="200"/>
      <c r="P8013" s="199"/>
    </row>
    <row r="8014" spans="7:16" x14ac:dyDescent="0.2">
      <c r="G8014" s="199"/>
      <c r="I8014" s="199"/>
      <c r="K8014" s="199"/>
      <c r="M8014" s="199"/>
      <c r="N8014" s="200"/>
      <c r="P8014" s="199"/>
    </row>
    <row r="8015" spans="7:16" x14ac:dyDescent="0.2">
      <c r="G8015" s="199"/>
      <c r="I8015" s="199"/>
      <c r="K8015" s="199"/>
      <c r="M8015" s="199"/>
      <c r="N8015" s="200"/>
      <c r="P8015" s="199"/>
    </row>
    <row r="8016" spans="7:16" x14ac:dyDescent="0.2">
      <c r="G8016" s="199"/>
      <c r="I8016" s="199"/>
      <c r="K8016" s="199"/>
      <c r="M8016" s="199"/>
      <c r="N8016" s="200"/>
      <c r="P8016" s="199"/>
    </row>
    <row r="8017" spans="7:16" x14ac:dyDescent="0.2">
      <c r="G8017" s="199"/>
      <c r="I8017" s="199"/>
      <c r="K8017" s="199"/>
      <c r="M8017" s="199"/>
      <c r="N8017" s="200"/>
      <c r="P8017" s="199"/>
    </row>
    <row r="8018" spans="7:16" x14ac:dyDescent="0.2">
      <c r="G8018" s="199"/>
      <c r="I8018" s="199"/>
      <c r="K8018" s="199"/>
      <c r="M8018" s="199"/>
      <c r="N8018" s="200"/>
      <c r="P8018" s="199"/>
    </row>
    <row r="8019" spans="7:16" x14ac:dyDescent="0.2">
      <c r="G8019" s="199"/>
      <c r="I8019" s="199"/>
      <c r="K8019" s="199"/>
      <c r="M8019" s="199"/>
      <c r="N8019" s="200"/>
      <c r="P8019" s="199"/>
    </row>
    <row r="8020" spans="7:16" x14ac:dyDescent="0.2">
      <c r="G8020" s="199"/>
      <c r="I8020" s="199"/>
      <c r="K8020" s="199"/>
      <c r="M8020" s="199"/>
      <c r="N8020" s="200"/>
      <c r="P8020" s="199"/>
    </row>
    <row r="8021" spans="7:16" x14ac:dyDescent="0.2">
      <c r="G8021" s="199"/>
      <c r="I8021" s="199"/>
      <c r="K8021" s="199"/>
      <c r="M8021" s="199"/>
      <c r="N8021" s="200"/>
      <c r="P8021" s="199"/>
    </row>
    <row r="8022" spans="7:16" x14ac:dyDescent="0.2">
      <c r="G8022" s="199"/>
      <c r="I8022" s="199"/>
      <c r="K8022" s="199"/>
      <c r="M8022" s="199"/>
      <c r="N8022" s="200"/>
      <c r="P8022" s="199"/>
    </row>
    <row r="8023" spans="7:16" x14ac:dyDescent="0.2">
      <c r="G8023" s="199"/>
      <c r="I8023" s="199"/>
      <c r="K8023" s="199"/>
      <c r="M8023" s="199"/>
      <c r="N8023" s="200"/>
      <c r="P8023" s="199"/>
    </row>
    <row r="8024" spans="7:16" x14ac:dyDescent="0.2">
      <c r="G8024" s="199"/>
      <c r="I8024" s="199"/>
      <c r="K8024" s="199"/>
      <c r="M8024" s="199"/>
      <c r="N8024" s="200"/>
      <c r="P8024" s="199"/>
    </row>
    <row r="8025" spans="7:16" x14ac:dyDescent="0.2">
      <c r="G8025" s="199"/>
      <c r="I8025" s="199"/>
      <c r="K8025" s="199"/>
      <c r="M8025" s="199"/>
      <c r="N8025" s="200"/>
      <c r="P8025" s="199"/>
    </row>
    <row r="8026" spans="7:16" x14ac:dyDescent="0.2">
      <c r="G8026" s="199"/>
      <c r="I8026" s="199"/>
      <c r="K8026" s="199"/>
      <c r="M8026" s="199"/>
      <c r="N8026" s="200"/>
      <c r="P8026" s="199"/>
    </row>
    <row r="8027" spans="7:16" x14ac:dyDescent="0.2">
      <c r="G8027" s="199"/>
      <c r="I8027" s="199"/>
      <c r="K8027" s="199"/>
      <c r="M8027" s="199"/>
      <c r="N8027" s="200"/>
      <c r="P8027" s="199"/>
    </row>
    <row r="8028" spans="7:16" x14ac:dyDescent="0.2">
      <c r="G8028" s="199"/>
      <c r="I8028" s="199"/>
      <c r="K8028" s="199"/>
      <c r="M8028" s="199"/>
      <c r="N8028" s="200"/>
      <c r="P8028" s="199"/>
    </row>
    <row r="8029" spans="7:16" x14ac:dyDescent="0.2">
      <c r="G8029" s="199"/>
      <c r="I8029" s="199"/>
      <c r="K8029" s="199"/>
      <c r="M8029" s="199"/>
      <c r="N8029" s="200"/>
      <c r="P8029" s="199"/>
    </row>
    <row r="8030" spans="7:16" x14ac:dyDescent="0.2">
      <c r="G8030" s="199"/>
      <c r="I8030" s="199"/>
      <c r="K8030" s="199"/>
      <c r="M8030" s="199"/>
      <c r="N8030" s="200"/>
      <c r="P8030" s="199"/>
    </row>
    <row r="8031" spans="7:16" x14ac:dyDescent="0.2">
      <c r="G8031" s="199"/>
      <c r="I8031" s="199"/>
      <c r="K8031" s="199"/>
      <c r="M8031" s="199"/>
      <c r="N8031" s="200"/>
      <c r="P8031" s="199"/>
    </row>
    <row r="8032" spans="7:16" x14ac:dyDescent="0.2">
      <c r="G8032" s="199"/>
      <c r="I8032" s="199"/>
      <c r="K8032" s="199"/>
      <c r="M8032" s="199"/>
      <c r="N8032" s="200"/>
      <c r="P8032" s="199"/>
    </row>
    <row r="8033" spans="7:16" x14ac:dyDescent="0.2">
      <c r="G8033" s="199"/>
      <c r="I8033" s="199"/>
      <c r="K8033" s="199"/>
      <c r="M8033" s="199"/>
      <c r="N8033" s="200"/>
      <c r="P8033" s="199"/>
    </row>
    <row r="8034" spans="7:16" x14ac:dyDescent="0.2">
      <c r="G8034" s="199"/>
      <c r="I8034" s="199"/>
      <c r="K8034" s="199"/>
      <c r="M8034" s="199"/>
      <c r="N8034" s="200"/>
      <c r="P8034" s="199"/>
    </row>
    <row r="8035" spans="7:16" x14ac:dyDescent="0.2">
      <c r="G8035" s="199"/>
      <c r="I8035" s="199"/>
      <c r="K8035" s="199"/>
      <c r="M8035" s="199"/>
      <c r="N8035" s="200"/>
      <c r="P8035" s="199"/>
    </row>
    <row r="8036" spans="7:16" x14ac:dyDescent="0.2">
      <c r="G8036" s="199"/>
      <c r="I8036" s="199"/>
      <c r="K8036" s="199"/>
      <c r="M8036" s="199"/>
      <c r="N8036" s="200"/>
      <c r="P8036" s="199"/>
    </row>
    <row r="8037" spans="7:16" x14ac:dyDescent="0.2">
      <c r="G8037" s="199"/>
      <c r="I8037" s="199"/>
      <c r="K8037" s="199"/>
      <c r="M8037" s="199"/>
      <c r="N8037" s="200"/>
      <c r="P8037" s="199"/>
    </row>
    <row r="8038" spans="7:16" x14ac:dyDescent="0.2">
      <c r="G8038" s="199"/>
      <c r="I8038" s="199"/>
      <c r="K8038" s="199"/>
      <c r="M8038" s="199"/>
      <c r="N8038" s="200"/>
      <c r="P8038" s="199"/>
    </row>
    <row r="8039" spans="7:16" x14ac:dyDescent="0.2">
      <c r="G8039" s="199"/>
      <c r="I8039" s="199"/>
      <c r="K8039" s="199"/>
      <c r="M8039" s="199"/>
      <c r="N8039" s="200"/>
      <c r="P8039" s="199"/>
    </row>
    <row r="8040" spans="7:16" x14ac:dyDescent="0.2">
      <c r="G8040" s="199"/>
      <c r="I8040" s="199"/>
      <c r="K8040" s="199"/>
      <c r="M8040" s="199"/>
      <c r="N8040" s="200"/>
      <c r="P8040" s="199"/>
    </row>
    <row r="8041" spans="7:16" x14ac:dyDescent="0.2">
      <c r="G8041" s="199"/>
      <c r="I8041" s="199"/>
      <c r="K8041" s="199"/>
      <c r="M8041" s="199"/>
      <c r="N8041" s="200"/>
      <c r="P8041" s="199"/>
    </row>
    <row r="8042" spans="7:16" x14ac:dyDescent="0.2">
      <c r="G8042" s="199"/>
      <c r="I8042" s="199"/>
      <c r="K8042" s="199"/>
      <c r="M8042" s="199"/>
      <c r="N8042" s="200"/>
      <c r="P8042" s="199"/>
    </row>
    <row r="8043" spans="7:16" x14ac:dyDescent="0.2">
      <c r="G8043" s="199"/>
      <c r="I8043" s="199"/>
      <c r="K8043" s="199"/>
      <c r="M8043" s="199"/>
      <c r="N8043" s="200"/>
      <c r="P8043" s="199"/>
    </row>
    <row r="8044" spans="7:16" x14ac:dyDescent="0.2">
      <c r="G8044" s="199"/>
      <c r="I8044" s="199"/>
      <c r="K8044" s="199"/>
      <c r="M8044" s="199"/>
      <c r="N8044" s="200"/>
      <c r="P8044" s="199"/>
    </row>
    <row r="8045" spans="7:16" x14ac:dyDescent="0.2">
      <c r="G8045" s="199"/>
      <c r="I8045" s="199"/>
      <c r="K8045" s="199"/>
      <c r="M8045" s="199"/>
      <c r="N8045" s="200"/>
      <c r="P8045" s="199"/>
    </row>
    <row r="8046" spans="7:16" x14ac:dyDescent="0.2">
      <c r="G8046" s="199"/>
      <c r="I8046" s="199"/>
      <c r="K8046" s="199"/>
      <c r="M8046" s="199"/>
      <c r="N8046" s="200"/>
      <c r="P8046" s="199"/>
    </row>
    <row r="8047" spans="7:16" x14ac:dyDescent="0.2">
      <c r="G8047" s="199"/>
      <c r="I8047" s="199"/>
      <c r="K8047" s="199"/>
      <c r="M8047" s="199"/>
      <c r="N8047" s="200"/>
      <c r="P8047" s="199"/>
    </row>
    <row r="8048" spans="7:16" x14ac:dyDescent="0.2">
      <c r="G8048" s="199"/>
      <c r="I8048" s="199"/>
      <c r="K8048" s="199"/>
      <c r="M8048" s="199"/>
      <c r="N8048" s="200"/>
      <c r="P8048" s="199"/>
    </row>
    <row r="8049" spans="7:16" x14ac:dyDescent="0.2">
      <c r="G8049" s="199"/>
      <c r="I8049" s="199"/>
      <c r="K8049" s="199"/>
      <c r="M8049" s="199"/>
      <c r="N8049" s="200"/>
      <c r="P8049" s="199"/>
    </row>
    <row r="8050" spans="7:16" x14ac:dyDescent="0.2">
      <c r="G8050" s="199"/>
      <c r="I8050" s="199"/>
      <c r="K8050" s="199"/>
      <c r="M8050" s="199"/>
      <c r="N8050" s="200"/>
      <c r="P8050" s="199"/>
    </row>
    <row r="8051" spans="7:16" x14ac:dyDescent="0.2">
      <c r="G8051" s="199"/>
      <c r="I8051" s="199"/>
      <c r="K8051" s="199"/>
      <c r="M8051" s="199"/>
      <c r="N8051" s="200"/>
      <c r="P8051" s="199"/>
    </row>
    <row r="8052" spans="7:16" x14ac:dyDescent="0.2">
      <c r="G8052" s="199"/>
      <c r="I8052" s="199"/>
      <c r="K8052" s="199"/>
      <c r="M8052" s="199"/>
      <c r="N8052" s="200"/>
      <c r="P8052" s="199"/>
    </row>
    <row r="8053" spans="7:16" x14ac:dyDescent="0.2">
      <c r="G8053" s="199"/>
      <c r="I8053" s="199"/>
      <c r="K8053" s="199"/>
      <c r="M8053" s="199"/>
      <c r="N8053" s="200"/>
      <c r="P8053" s="199"/>
    </row>
    <row r="8054" spans="7:16" x14ac:dyDescent="0.2">
      <c r="G8054" s="199"/>
      <c r="I8054" s="199"/>
      <c r="K8054" s="199"/>
      <c r="M8054" s="199"/>
      <c r="N8054" s="200"/>
      <c r="P8054" s="199"/>
    </row>
    <row r="8055" spans="7:16" x14ac:dyDescent="0.2">
      <c r="G8055" s="199"/>
      <c r="I8055" s="199"/>
      <c r="K8055" s="199"/>
      <c r="M8055" s="199"/>
      <c r="N8055" s="200"/>
      <c r="P8055" s="199"/>
    </row>
    <row r="8056" spans="7:16" x14ac:dyDescent="0.2">
      <c r="G8056" s="199"/>
      <c r="I8056" s="199"/>
      <c r="K8056" s="199"/>
      <c r="M8056" s="199"/>
      <c r="N8056" s="200"/>
      <c r="P8056" s="199"/>
    </row>
    <row r="8057" spans="7:16" x14ac:dyDescent="0.2">
      <c r="G8057" s="199"/>
      <c r="I8057" s="199"/>
      <c r="K8057" s="199"/>
      <c r="M8057" s="199"/>
      <c r="N8057" s="200"/>
      <c r="P8057" s="199"/>
    </row>
    <row r="8058" spans="7:16" x14ac:dyDescent="0.2">
      <c r="G8058" s="199"/>
      <c r="I8058" s="199"/>
      <c r="K8058" s="199"/>
      <c r="M8058" s="199"/>
      <c r="N8058" s="200"/>
      <c r="P8058" s="199"/>
    </row>
    <row r="8059" spans="7:16" x14ac:dyDescent="0.2">
      <c r="G8059" s="199"/>
      <c r="I8059" s="199"/>
      <c r="K8059" s="199"/>
      <c r="M8059" s="199"/>
      <c r="N8059" s="200"/>
      <c r="P8059" s="199"/>
    </row>
    <row r="8060" spans="7:16" x14ac:dyDescent="0.2">
      <c r="G8060" s="199"/>
      <c r="I8060" s="199"/>
      <c r="K8060" s="199"/>
      <c r="M8060" s="199"/>
      <c r="N8060" s="200"/>
      <c r="P8060" s="199"/>
    </row>
    <row r="8061" spans="7:16" x14ac:dyDescent="0.2">
      <c r="G8061" s="199"/>
      <c r="I8061" s="199"/>
      <c r="K8061" s="199"/>
      <c r="M8061" s="199"/>
      <c r="N8061" s="200"/>
      <c r="P8061" s="199"/>
    </row>
    <row r="8062" spans="7:16" x14ac:dyDescent="0.2">
      <c r="G8062" s="199"/>
      <c r="I8062" s="199"/>
      <c r="K8062" s="199"/>
      <c r="M8062" s="199"/>
      <c r="N8062" s="200"/>
      <c r="P8062" s="199"/>
    </row>
    <row r="8063" spans="7:16" x14ac:dyDescent="0.2">
      <c r="G8063" s="199"/>
      <c r="I8063" s="199"/>
      <c r="K8063" s="199"/>
      <c r="M8063" s="199"/>
      <c r="N8063" s="200"/>
      <c r="P8063" s="199"/>
    </row>
    <row r="8064" spans="7:16" x14ac:dyDescent="0.2">
      <c r="G8064" s="199"/>
      <c r="I8064" s="199"/>
      <c r="K8064" s="199"/>
      <c r="M8064" s="199"/>
      <c r="N8064" s="200"/>
      <c r="P8064" s="199"/>
    </row>
    <row r="8065" spans="7:16" x14ac:dyDescent="0.2">
      <c r="G8065" s="199"/>
      <c r="I8065" s="199"/>
      <c r="K8065" s="199"/>
      <c r="M8065" s="199"/>
      <c r="N8065" s="200"/>
      <c r="P8065" s="199"/>
    </row>
    <row r="8066" spans="7:16" x14ac:dyDescent="0.2">
      <c r="G8066" s="199"/>
      <c r="I8066" s="199"/>
      <c r="K8066" s="199"/>
      <c r="M8066" s="199"/>
      <c r="N8066" s="200"/>
      <c r="P8066" s="199"/>
    </row>
    <row r="8067" spans="7:16" x14ac:dyDescent="0.2">
      <c r="G8067" s="199"/>
      <c r="I8067" s="199"/>
      <c r="K8067" s="199"/>
      <c r="M8067" s="199"/>
      <c r="N8067" s="200"/>
      <c r="P8067" s="199"/>
    </row>
    <row r="8068" spans="7:16" x14ac:dyDescent="0.2">
      <c r="G8068" s="199"/>
      <c r="I8068" s="199"/>
      <c r="K8068" s="199"/>
      <c r="M8068" s="199"/>
      <c r="N8068" s="200"/>
      <c r="P8068" s="199"/>
    </row>
    <row r="8069" spans="7:16" x14ac:dyDescent="0.2">
      <c r="G8069" s="199"/>
      <c r="I8069" s="199"/>
      <c r="K8069" s="199"/>
      <c r="M8069" s="199"/>
      <c r="N8069" s="200"/>
      <c r="P8069" s="199"/>
    </row>
    <row r="8070" spans="7:16" x14ac:dyDescent="0.2">
      <c r="G8070" s="199"/>
      <c r="I8070" s="199"/>
      <c r="K8070" s="199"/>
      <c r="M8070" s="199"/>
      <c r="N8070" s="200"/>
      <c r="P8070" s="199"/>
    </row>
    <row r="8071" spans="7:16" x14ac:dyDescent="0.2">
      <c r="G8071" s="199"/>
      <c r="I8071" s="199"/>
      <c r="K8071" s="199"/>
      <c r="M8071" s="199"/>
      <c r="N8071" s="200"/>
      <c r="P8071" s="199"/>
    </row>
    <row r="8072" spans="7:16" x14ac:dyDescent="0.2">
      <c r="G8072" s="199"/>
      <c r="I8072" s="199"/>
      <c r="K8072" s="199"/>
      <c r="M8072" s="199"/>
      <c r="N8072" s="200"/>
      <c r="P8072" s="199"/>
    </row>
    <row r="8073" spans="7:16" x14ac:dyDescent="0.2">
      <c r="G8073" s="199"/>
      <c r="I8073" s="199"/>
      <c r="K8073" s="199"/>
      <c r="M8073" s="199"/>
      <c r="N8073" s="200"/>
      <c r="P8073" s="199"/>
    </row>
    <row r="8074" spans="7:16" x14ac:dyDescent="0.2">
      <c r="G8074" s="199"/>
      <c r="I8074" s="199"/>
      <c r="K8074" s="199"/>
      <c r="M8074" s="199"/>
      <c r="N8074" s="200"/>
      <c r="P8074" s="199"/>
    </row>
    <row r="8075" spans="7:16" x14ac:dyDescent="0.2">
      <c r="G8075" s="199"/>
      <c r="I8075" s="199"/>
      <c r="K8075" s="199"/>
      <c r="M8075" s="199"/>
      <c r="N8075" s="200"/>
      <c r="P8075" s="199"/>
    </row>
    <row r="8076" spans="7:16" x14ac:dyDescent="0.2">
      <c r="G8076" s="199"/>
      <c r="I8076" s="199"/>
      <c r="K8076" s="199"/>
      <c r="M8076" s="199"/>
      <c r="N8076" s="200"/>
      <c r="P8076" s="199"/>
    </row>
    <row r="8077" spans="7:16" x14ac:dyDescent="0.2">
      <c r="G8077" s="199"/>
      <c r="I8077" s="199"/>
      <c r="K8077" s="199"/>
      <c r="M8077" s="199"/>
      <c r="N8077" s="200"/>
      <c r="P8077" s="199"/>
    </row>
    <row r="8078" spans="7:16" x14ac:dyDescent="0.2">
      <c r="G8078" s="199"/>
      <c r="I8078" s="199"/>
      <c r="K8078" s="199"/>
      <c r="M8078" s="199"/>
      <c r="N8078" s="200"/>
      <c r="P8078" s="199"/>
    </row>
    <row r="8079" spans="7:16" x14ac:dyDescent="0.2">
      <c r="G8079" s="199"/>
      <c r="I8079" s="199"/>
      <c r="K8079" s="199"/>
      <c r="M8079" s="199"/>
      <c r="N8079" s="200"/>
      <c r="P8079" s="199"/>
    </row>
    <row r="8080" spans="7:16" x14ac:dyDescent="0.2">
      <c r="G8080" s="199"/>
      <c r="I8080" s="199"/>
      <c r="K8080" s="199"/>
      <c r="M8080" s="199"/>
      <c r="N8080" s="200"/>
      <c r="P8080" s="199"/>
    </row>
    <row r="8081" spans="7:16" x14ac:dyDescent="0.2">
      <c r="G8081" s="199"/>
      <c r="I8081" s="199"/>
      <c r="K8081" s="199"/>
      <c r="M8081" s="199"/>
      <c r="N8081" s="200"/>
      <c r="P8081" s="199"/>
    </row>
    <row r="8082" spans="7:16" x14ac:dyDescent="0.2">
      <c r="G8082" s="199"/>
      <c r="I8082" s="199"/>
      <c r="K8082" s="199"/>
      <c r="M8082" s="199"/>
      <c r="N8082" s="200"/>
      <c r="P8082" s="199"/>
    </row>
    <row r="8083" spans="7:16" x14ac:dyDescent="0.2">
      <c r="G8083" s="199"/>
      <c r="I8083" s="199"/>
      <c r="K8083" s="199"/>
      <c r="M8083" s="199"/>
      <c r="N8083" s="200"/>
      <c r="P8083" s="199"/>
    </row>
    <row r="8084" spans="7:16" x14ac:dyDescent="0.2">
      <c r="G8084" s="199"/>
      <c r="I8084" s="199"/>
      <c r="K8084" s="199"/>
      <c r="M8084" s="199"/>
      <c r="N8084" s="200"/>
      <c r="P8084" s="199"/>
    </row>
    <row r="8085" spans="7:16" x14ac:dyDescent="0.2">
      <c r="G8085" s="199"/>
      <c r="I8085" s="199"/>
      <c r="K8085" s="199"/>
      <c r="M8085" s="199"/>
      <c r="N8085" s="200"/>
      <c r="P8085" s="199"/>
    </row>
    <row r="8086" spans="7:16" x14ac:dyDescent="0.2">
      <c r="G8086" s="199"/>
      <c r="I8086" s="199"/>
      <c r="K8086" s="199"/>
      <c r="M8086" s="199"/>
      <c r="N8086" s="200"/>
      <c r="P8086" s="199"/>
    </row>
    <row r="8087" spans="7:16" x14ac:dyDescent="0.2">
      <c r="G8087" s="199"/>
      <c r="I8087" s="199"/>
      <c r="K8087" s="199"/>
      <c r="M8087" s="199"/>
      <c r="N8087" s="200"/>
      <c r="P8087" s="199"/>
    </row>
    <row r="8088" spans="7:16" x14ac:dyDescent="0.2">
      <c r="G8088" s="199"/>
      <c r="I8088" s="199"/>
      <c r="K8088" s="199"/>
      <c r="M8088" s="199"/>
      <c r="N8088" s="200"/>
      <c r="P8088" s="199"/>
    </row>
    <row r="8089" spans="7:16" x14ac:dyDescent="0.2">
      <c r="G8089" s="199"/>
      <c r="I8089" s="199"/>
      <c r="K8089" s="199"/>
      <c r="M8089" s="199"/>
      <c r="N8089" s="200"/>
      <c r="P8089" s="199"/>
    </row>
    <row r="8090" spans="7:16" x14ac:dyDescent="0.2">
      <c r="G8090" s="199"/>
      <c r="I8090" s="199"/>
      <c r="K8090" s="199"/>
      <c r="M8090" s="199"/>
      <c r="N8090" s="200"/>
      <c r="P8090" s="199"/>
    </row>
    <row r="8091" spans="7:16" x14ac:dyDescent="0.2">
      <c r="G8091" s="199"/>
      <c r="I8091" s="199"/>
      <c r="K8091" s="199"/>
      <c r="M8091" s="199"/>
      <c r="N8091" s="200"/>
      <c r="P8091" s="199"/>
    </row>
    <row r="8092" spans="7:16" x14ac:dyDescent="0.2">
      <c r="G8092" s="199"/>
      <c r="I8092" s="199"/>
      <c r="K8092" s="199"/>
      <c r="M8092" s="199"/>
      <c r="N8092" s="200"/>
      <c r="P8092" s="199"/>
    </row>
    <row r="8093" spans="7:16" x14ac:dyDescent="0.2">
      <c r="G8093" s="199"/>
      <c r="I8093" s="199"/>
      <c r="K8093" s="199"/>
      <c r="M8093" s="199"/>
      <c r="N8093" s="200"/>
      <c r="P8093" s="199"/>
    </row>
    <row r="8094" spans="7:16" x14ac:dyDescent="0.2">
      <c r="G8094" s="199"/>
      <c r="I8094" s="199"/>
      <c r="K8094" s="199"/>
      <c r="M8094" s="199"/>
      <c r="N8094" s="200"/>
      <c r="P8094" s="199"/>
    </row>
    <row r="8095" spans="7:16" x14ac:dyDescent="0.2">
      <c r="G8095" s="199"/>
      <c r="I8095" s="199"/>
      <c r="K8095" s="199"/>
      <c r="M8095" s="199"/>
      <c r="N8095" s="200"/>
      <c r="P8095" s="199"/>
    </row>
    <row r="8096" spans="7:16" x14ac:dyDescent="0.2">
      <c r="G8096" s="199"/>
      <c r="I8096" s="199"/>
      <c r="K8096" s="199"/>
      <c r="M8096" s="199"/>
      <c r="N8096" s="200"/>
      <c r="P8096" s="199"/>
    </row>
    <row r="8097" spans="7:16" x14ac:dyDescent="0.2">
      <c r="G8097" s="199"/>
      <c r="I8097" s="199"/>
      <c r="K8097" s="199"/>
      <c r="M8097" s="199"/>
      <c r="N8097" s="200"/>
      <c r="P8097" s="199"/>
    </row>
    <row r="8098" spans="7:16" x14ac:dyDescent="0.2">
      <c r="G8098" s="199"/>
      <c r="I8098" s="199"/>
      <c r="K8098" s="199"/>
      <c r="M8098" s="199"/>
      <c r="N8098" s="200"/>
      <c r="P8098" s="199"/>
    </row>
    <row r="8099" spans="7:16" x14ac:dyDescent="0.2">
      <c r="G8099" s="199"/>
      <c r="I8099" s="199"/>
      <c r="K8099" s="199"/>
      <c r="M8099" s="199"/>
      <c r="N8099" s="200"/>
      <c r="P8099" s="199"/>
    </row>
    <row r="8100" spans="7:16" x14ac:dyDescent="0.2">
      <c r="G8100" s="199"/>
      <c r="I8100" s="199"/>
      <c r="K8100" s="199"/>
      <c r="M8100" s="199"/>
      <c r="N8100" s="200"/>
      <c r="P8100" s="199"/>
    </row>
    <row r="8101" spans="7:16" x14ac:dyDescent="0.2">
      <c r="G8101" s="199"/>
      <c r="I8101" s="199"/>
      <c r="K8101" s="199"/>
      <c r="M8101" s="199"/>
      <c r="N8101" s="200"/>
      <c r="P8101" s="199"/>
    </row>
    <row r="8102" spans="7:16" x14ac:dyDescent="0.2">
      <c r="G8102" s="199"/>
      <c r="I8102" s="199"/>
      <c r="K8102" s="199"/>
      <c r="M8102" s="199"/>
      <c r="N8102" s="200"/>
      <c r="P8102" s="199"/>
    </row>
    <row r="8103" spans="7:16" x14ac:dyDescent="0.2">
      <c r="G8103" s="199"/>
      <c r="I8103" s="199"/>
      <c r="K8103" s="199"/>
      <c r="M8103" s="199"/>
      <c r="N8103" s="200"/>
      <c r="P8103" s="199"/>
    </row>
    <row r="8104" spans="7:16" x14ac:dyDescent="0.2">
      <c r="G8104" s="199"/>
      <c r="I8104" s="199"/>
      <c r="K8104" s="199"/>
      <c r="M8104" s="199"/>
      <c r="N8104" s="200"/>
      <c r="P8104" s="199"/>
    </row>
    <row r="8105" spans="7:16" x14ac:dyDescent="0.2">
      <c r="G8105" s="199"/>
      <c r="I8105" s="199"/>
      <c r="K8105" s="199"/>
      <c r="M8105" s="199"/>
      <c r="N8105" s="200"/>
      <c r="P8105" s="199"/>
    </row>
    <row r="8106" spans="7:16" x14ac:dyDescent="0.2">
      <c r="G8106" s="199"/>
      <c r="I8106" s="199"/>
      <c r="K8106" s="199"/>
      <c r="M8106" s="199"/>
      <c r="N8106" s="200"/>
      <c r="P8106" s="199"/>
    </row>
    <row r="8107" spans="7:16" x14ac:dyDescent="0.2">
      <c r="G8107" s="199"/>
      <c r="I8107" s="199"/>
      <c r="K8107" s="199"/>
      <c r="M8107" s="199"/>
      <c r="N8107" s="200"/>
      <c r="P8107" s="199"/>
    </row>
    <row r="8108" spans="7:16" x14ac:dyDescent="0.2">
      <c r="G8108" s="199"/>
      <c r="I8108" s="199"/>
      <c r="K8108" s="199"/>
      <c r="M8108" s="199"/>
      <c r="N8108" s="200"/>
      <c r="P8108" s="199"/>
    </row>
    <row r="8109" spans="7:16" x14ac:dyDescent="0.2">
      <c r="G8109" s="199"/>
      <c r="I8109" s="199"/>
      <c r="K8109" s="199"/>
      <c r="M8109" s="199"/>
      <c r="N8109" s="200"/>
      <c r="P8109" s="199"/>
    </row>
    <row r="8110" spans="7:16" x14ac:dyDescent="0.2">
      <c r="G8110" s="199"/>
      <c r="I8110" s="199"/>
      <c r="K8110" s="199"/>
      <c r="M8110" s="199"/>
      <c r="N8110" s="200"/>
      <c r="P8110" s="199"/>
    </row>
    <row r="8111" spans="7:16" x14ac:dyDescent="0.2">
      <c r="G8111" s="199"/>
      <c r="I8111" s="199"/>
      <c r="K8111" s="199"/>
      <c r="M8111" s="199"/>
      <c r="N8111" s="200"/>
      <c r="P8111" s="199"/>
    </row>
    <row r="8112" spans="7:16" x14ac:dyDescent="0.2">
      <c r="G8112" s="199"/>
      <c r="I8112" s="199"/>
      <c r="K8112" s="199"/>
      <c r="M8112" s="199"/>
      <c r="N8112" s="200"/>
      <c r="P8112" s="199"/>
    </row>
    <row r="8113" spans="7:16" x14ac:dyDescent="0.2">
      <c r="G8113" s="199"/>
      <c r="I8113" s="199"/>
      <c r="K8113" s="199"/>
      <c r="M8113" s="199"/>
      <c r="N8113" s="200"/>
      <c r="P8113" s="199"/>
    </row>
    <row r="8114" spans="7:16" x14ac:dyDescent="0.2">
      <c r="G8114" s="199"/>
      <c r="I8114" s="199"/>
      <c r="K8114" s="199"/>
      <c r="M8114" s="199"/>
      <c r="N8114" s="200"/>
      <c r="P8114" s="199"/>
    </row>
    <row r="8115" spans="7:16" x14ac:dyDescent="0.2">
      <c r="G8115" s="199"/>
      <c r="I8115" s="199"/>
      <c r="K8115" s="199"/>
      <c r="M8115" s="199"/>
      <c r="N8115" s="200"/>
      <c r="P8115" s="199"/>
    </row>
    <row r="8116" spans="7:16" x14ac:dyDescent="0.2">
      <c r="G8116" s="199"/>
      <c r="I8116" s="199"/>
      <c r="K8116" s="199"/>
      <c r="M8116" s="199"/>
      <c r="N8116" s="200"/>
      <c r="P8116" s="199"/>
    </row>
    <row r="8117" spans="7:16" x14ac:dyDescent="0.2">
      <c r="G8117" s="199"/>
      <c r="I8117" s="199"/>
      <c r="K8117" s="199"/>
      <c r="M8117" s="199"/>
      <c r="N8117" s="200"/>
      <c r="P8117" s="199"/>
    </row>
    <row r="8118" spans="7:16" x14ac:dyDescent="0.2">
      <c r="G8118" s="199"/>
      <c r="I8118" s="199"/>
      <c r="K8118" s="199"/>
      <c r="M8118" s="199"/>
      <c r="N8118" s="200"/>
      <c r="P8118" s="199"/>
    </row>
    <row r="8119" spans="7:16" x14ac:dyDescent="0.2">
      <c r="G8119" s="199"/>
      <c r="I8119" s="199"/>
      <c r="K8119" s="199"/>
      <c r="M8119" s="199"/>
      <c r="N8119" s="200"/>
      <c r="P8119" s="199"/>
    </row>
    <row r="8120" spans="7:16" x14ac:dyDescent="0.2">
      <c r="G8120" s="199"/>
      <c r="I8120" s="199"/>
      <c r="K8120" s="199"/>
      <c r="M8120" s="199"/>
      <c r="N8120" s="200"/>
      <c r="P8120" s="199"/>
    </row>
    <row r="8121" spans="7:16" x14ac:dyDescent="0.2">
      <c r="G8121" s="199"/>
      <c r="I8121" s="199"/>
      <c r="K8121" s="199"/>
      <c r="M8121" s="199"/>
      <c r="N8121" s="200"/>
      <c r="P8121" s="199"/>
    </row>
    <row r="8122" spans="7:16" x14ac:dyDescent="0.2">
      <c r="G8122" s="199"/>
      <c r="I8122" s="199"/>
      <c r="K8122" s="199"/>
      <c r="M8122" s="199"/>
      <c r="N8122" s="200"/>
      <c r="P8122" s="199"/>
    </row>
    <row r="8123" spans="7:16" x14ac:dyDescent="0.2">
      <c r="G8123" s="199"/>
      <c r="I8123" s="199"/>
      <c r="K8123" s="199"/>
      <c r="M8123" s="199"/>
      <c r="N8123" s="200"/>
      <c r="P8123" s="199"/>
    </row>
    <row r="8124" spans="7:16" x14ac:dyDescent="0.2">
      <c r="G8124" s="199"/>
      <c r="I8124" s="199"/>
      <c r="K8124" s="199"/>
      <c r="M8124" s="199"/>
      <c r="N8124" s="200"/>
      <c r="P8124" s="199"/>
    </row>
    <row r="8125" spans="7:16" x14ac:dyDescent="0.2">
      <c r="G8125" s="199"/>
      <c r="I8125" s="199"/>
      <c r="K8125" s="199"/>
      <c r="M8125" s="199"/>
      <c r="N8125" s="200"/>
      <c r="P8125" s="199"/>
    </row>
    <row r="8126" spans="7:16" x14ac:dyDescent="0.2">
      <c r="G8126" s="199"/>
      <c r="I8126" s="199"/>
      <c r="K8126" s="199"/>
      <c r="M8126" s="199"/>
      <c r="N8126" s="200"/>
      <c r="P8126" s="199"/>
    </row>
    <row r="8127" spans="7:16" x14ac:dyDescent="0.2">
      <c r="G8127" s="199"/>
      <c r="I8127" s="199"/>
      <c r="K8127" s="199"/>
      <c r="M8127" s="199"/>
      <c r="N8127" s="200"/>
      <c r="P8127" s="199"/>
    </row>
    <row r="8128" spans="7:16" x14ac:dyDescent="0.2">
      <c r="G8128" s="199"/>
      <c r="I8128" s="199"/>
      <c r="K8128" s="199"/>
      <c r="M8128" s="199"/>
      <c r="N8128" s="200"/>
      <c r="P8128" s="199"/>
    </row>
    <row r="8129" spans="7:16" x14ac:dyDescent="0.2">
      <c r="G8129" s="199"/>
      <c r="I8129" s="199"/>
      <c r="K8129" s="199"/>
      <c r="M8129" s="199"/>
      <c r="N8129" s="200"/>
      <c r="P8129" s="199"/>
    </row>
    <row r="8130" spans="7:16" x14ac:dyDescent="0.2">
      <c r="G8130" s="199"/>
      <c r="I8130" s="199"/>
      <c r="K8130" s="199"/>
      <c r="M8130" s="199"/>
      <c r="N8130" s="200"/>
      <c r="P8130" s="199"/>
    </row>
    <row r="8131" spans="7:16" x14ac:dyDescent="0.2">
      <c r="G8131" s="199"/>
      <c r="I8131" s="199"/>
      <c r="K8131" s="199"/>
      <c r="M8131" s="199"/>
      <c r="N8131" s="200"/>
      <c r="P8131" s="199"/>
    </row>
    <row r="8132" spans="7:16" x14ac:dyDescent="0.2">
      <c r="G8132" s="199"/>
      <c r="I8132" s="199"/>
      <c r="K8132" s="199"/>
      <c r="M8132" s="199"/>
      <c r="N8132" s="200"/>
      <c r="P8132" s="199"/>
    </row>
    <row r="8133" spans="7:16" x14ac:dyDescent="0.2">
      <c r="G8133" s="199"/>
      <c r="I8133" s="199"/>
      <c r="K8133" s="199"/>
      <c r="M8133" s="199"/>
      <c r="N8133" s="200"/>
      <c r="P8133" s="199"/>
    </row>
    <row r="8134" spans="7:16" x14ac:dyDescent="0.2">
      <c r="G8134" s="199"/>
      <c r="I8134" s="199"/>
      <c r="K8134" s="199"/>
      <c r="M8134" s="199"/>
      <c r="N8134" s="200"/>
      <c r="P8134" s="199"/>
    </row>
    <row r="8135" spans="7:16" x14ac:dyDescent="0.2">
      <c r="G8135" s="199"/>
      <c r="I8135" s="199"/>
      <c r="K8135" s="199"/>
      <c r="M8135" s="199"/>
      <c r="N8135" s="200"/>
      <c r="P8135" s="199"/>
    </row>
    <row r="8136" spans="7:16" x14ac:dyDescent="0.2">
      <c r="G8136" s="199"/>
      <c r="I8136" s="199"/>
      <c r="K8136" s="199"/>
      <c r="M8136" s="199"/>
      <c r="N8136" s="200"/>
      <c r="P8136" s="199"/>
    </row>
    <row r="8137" spans="7:16" x14ac:dyDescent="0.2">
      <c r="G8137" s="199"/>
      <c r="I8137" s="199"/>
      <c r="K8137" s="199"/>
      <c r="M8137" s="199"/>
      <c r="N8137" s="200"/>
      <c r="P8137" s="199"/>
    </row>
    <row r="8138" spans="7:16" x14ac:dyDescent="0.2">
      <c r="G8138" s="199"/>
      <c r="I8138" s="199"/>
      <c r="K8138" s="199"/>
      <c r="M8138" s="199"/>
      <c r="N8138" s="200"/>
      <c r="P8138" s="199"/>
    </row>
    <row r="8139" spans="7:16" x14ac:dyDescent="0.2">
      <c r="G8139" s="199"/>
      <c r="I8139" s="199"/>
      <c r="K8139" s="199"/>
      <c r="M8139" s="199"/>
      <c r="N8139" s="200"/>
      <c r="P8139" s="199"/>
    </row>
    <row r="8140" spans="7:16" x14ac:dyDescent="0.2">
      <c r="G8140" s="199"/>
      <c r="I8140" s="199"/>
      <c r="K8140" s="199"/>
      <c r="M8140" s="199"/>
      <c r="N8140" s="200"/>
      <c r="P8140" s="199"/>
    </row>
    <row r="8141" spans="7:16" x14ac:dyDescent="0.2">
      <c r="G8141" s="199"/>
      <c r="I8141" s="199"/>
      <c r="K8141" s="199"/>
      <c r="M8141" s="199"/>
      <c r="N8141" s="200"/>
      <c r="P8141" s="199"/>
    </row>
    <row r="8142" spans="7:16" x14ac:dyDescent="0.2">
      <c r="G8142" s="199"/>
      <c r="I8142" s="199"/>
      <c r="K8142" s="199"/>
      <c r="M8142" s="199"/>
      <c r="N8142" s="200"/>
      <c r="P8142" s="199"/>
    </row>
    <row r="8143" spans="7:16" x14ac:dyDescent="0.2">
      <c r="G8143" s="199"/>
      <c r="I8143" s="199"/>
      <c r="K8143" s="199"/>
      <c r="M8143" s="199"/>
      <c r="N8143" s="200"/>
      <c r="P8143" s="199"/>
    </row>
    <row r="8144" spans="7:16" x14ac:dyDescent="0.2">
      <c r="G8144" s="199"/>
      <c r="I8144" s="199"/>
      <c r="K8144" s="199"/>
      <c r="M8144" s="199"/>
      <c r="N8144" s="200"/>
      <c r="P8144" s="199"/>
    </row>
    <row r="8145" spans="7:16" x14ac:dyDescent="0.2">
      <c r="G8145" s="199"/>
      <c r="I8145" s="199"/>
      <c r="K8145" s="199"/>
      <c r="M8145" s="199"/>
      <c r="N8145" s="200"/>
      <c r="P8145" s="199"/>
    </row>
    <row r="8146" spans="7:16" x14ac:dyDescent="0.2">
      <c r="G8146" s="199"/>
      <c r="I8146" s="199"/>
      <c r="K8146" s="199"/>
      <c r="M8146" s="199"/>
      <c r="N8146" s="200"/>
      <c r="P8146" s="199"/>
    </row>
    <row r="8147" spans="7:16" x14ac:dyDescent="0.2">
      <c r="G8147" s="199"/>
      <c r="I8147" s="199"/>
      <c r="K8147" s="199"/>
      <c r="M8147" s="199"/>
      <c r="N8147" s="200"/>
      <c r="P8147" s="199"/>
    </row>
    <row r="8148" spans="7:16" x14ac:dyDescent="0.2">
      <c r="G8148" s="199"/>
      <c r="I8148" s="199"/>
      <c r="K8148" s="199"/>
      <c r="M8148" s="199"/>
      <c r="N8148" s="200"/>
      <c r="P8148" s="199"/>
    </row>
    <row r="8149" spans="7:16" x14ac:dyDescent="0.2">
      <c r="G8149" s="199"/>
      <c r="I8149" s="199"/>
      <c r="K8149" s="199"/>
      <c r="M8149" s="199"/>
      <c r="N8149" s="200"/>
      <c r="P8149" s="199"/>
    </row>
    <row r="8150" spans="7:16" x14ac:dyDescent="0.2">
      <c r="G8150" s="199"/>
      <c r="I8150" s="199"/>
      <c r="K8150" s="199"/>
      <c r="M8150" s="199"/>
      <c r="N8150" s="200"/>
      <c r="P8150" s="199"/>
    </row>
    <row r="8151" spans="7:16" x14ac:dyDescent="0.2">
      <c r="G8151" s="199"/>
      <c r="I8151" s="199"/>
      <c r="K8151" s="199"/>
      <c r="M8151" s="199"/>
      <c r="N8151" s="200"/>
      <c r="P8151" s="199"/>
    </row>
    <row r="8152" spans="7:16" x14ac:dyDescent="0.2">
      <c r="G8152" s="199"/>
      <c r="I8152" s="199"/>
      <c r="K8152" s="199"/>
      <c r="M8152" s="199"/>
      <c r="N8152" s="200"/>
      <c r="P8152" s="199"/>
    </row>
    <row r="8153" spans="7:16" x14ac:dyDescent="0.2">
      <c r="G8153" s="199"/>
      <c r="I8153" s="199"/>
      <c r="K8153" s="199"/>
      <c r="M8153" s="199"/>
      <c r="N8153" s="200"/>
      <c r="P8153" s="199"/>
    </row>
    <row r="8154" spans="7:16" x14ac:dyDescent="0.2">
      <c r="G8154" s="199"/>
      <c r="I8154" s="199"/>
      <c r="K8154" s="199"/>
      <c r="M8154" s="199"/>
      <c r="N8154" s="200"/>
      <c r="P8154" s="199"/>
    </row>
    <row r="8155" spans="7:16" x14ac:dyDescent="0.2">
      <c r="G8155" s="199"/>
      <c r="I8155" s="199"/>
      <c r="K8155" s="199"/>
      <c r="M8155" s="199"/>
      <c r="N8155" s="200"/>
      <c r="P8155" s="199"/>
    </row>
    <row r="8156" spans="7:16" x14ac:dyDescent="0.2">
      <c r="G8156" s="199"/>
      <c r="I8156" s="199"/>
      <c r="K8156" s="199"/>
      <c r="M8156" s="199"/>
      <c r="N8156" s="200"/>
      <c r="P8156" s="199"/>
    </row>
    <row r="8157" spans="7:16" x14ac:dyDescent="0.2">
      <c r="G8157" s="199"/>
      <c r="I8157" s="199"/>
      <c r="K8157" s="199"/>
      <c r="M8157" s="199"/>
      <c r="N8157" s="200"/>
      <c r="P8157" s="199"/>
    </row>
    <row r="8158" spans="7:16" x14ac:dyDescent="0.2">
      <c r="G8158" s="199"/>
      <c r="I8158" s="199"/>
      <c r="K8158" s="199"/>
      <c r="M8158" s="199"/>
      <c r="N8158" s="200"/>
      <c r="P8158" s="199"/>
    </row>
    <row r="8159" spans="7:16" x14ac:dyDescent="0.2">
      <c r="G8159" s="199"/>
      <c r="I8159" s="199"/>
      <c r="K8159" s="199"/>
      <c r="M8159" s="199"/>
      <c r="N8159" s="200"/>
      <c r="P8159" s="199"/>
    </row>
    <row r="8160" spans="7:16" x14ac:dyDescent="0.2">
      <c r="G8160" s="199"/>
      <c r="I8160" s="199"/>
      <c r="K8160" s="199"/>
      <c r="M8160" s="199"/>
      <c r="N8160" s="200"/>
      <c r="P8160" s="199"/>
    </row>
    <row r="8161" spans="7:16" x14ac:dyDescent="0.2">
      <c r="G8161" s="199"/>
      <c r="I8161" s="199"/>
      <c r="K8161" s="199"/>
      <c r="M8161" s="199"/>
      <c r="N8161" s="200"/>
      <c r="P8161" s="199"/>
    </row>
    <row r="8162" spans="7:16" x14ac:dyDescent="0.2">
      <c r="G8162" s="199"/>
      <c r="I8162" s="199"/>
      <c r="K8162" s="199"/>
      <c r="M8162" s="199"/>
      <c r="N8162" s="200"/>
      <c r="P8162" s="199"/>
    </row>
    <row r="8163" spans="7:16" x14ac:dyDescent="0.2">
      <c r="G8163" s="199"/>
      <c r="I8163" s="199"/>
      <c r="K8163" s="199"/>
      <c r="M8163" s="199"/>
      <c r="N8163" s="200"/>
      <c r="P8163" s="199"/>
    </row>
    <row r="8164" spans="7:16" x14ac:dyDescent="0.2">
      <c r="G8164" s="199"/>
      <c r="I8164" s="199"/>
      <c r="K8164" s="199"/>
      <c r="M8164" s="199"/>
      <c r="N8164" s="200"/>
      <c r="P8164" s="199"/>
    </row>
    <row r="8165" spans="7:16" x14ac:dyDescent="0.2">
      <c r="G8165" s="199"/>
      <c r="I8165" s="199"/>
      <c r="K8165" s="199"/>
      <c r="M8165" s="199"/>
      <c r="N8165" s="200"/>
      <c r="P8165" s="199"/>
    </row>
    <row r="8166" spans="7:16" x14ac:dyDescent="0.2">
      <c r="G8166" s="199"/>
      <c r="I8166" s="199"/>
      <c r="K8166" s="199"/>
      <c r="M8166" s="199"/>
      <c r="N8166" s="200"/>
      <c r="P8166" s="199"/>
    </row>
    <row r="8167" spans="7:16" x14ac:dyDescent="0.2">
      <c r="G8167" s="199"/>
      <c r="I8167" s="199"/>
      <c r="K8167" s="199"/>
      <c r="M8167" s="199"/>
      <c r="N8167" s="200"/>
      <c r="P8167" s="199"/>
    </row>
    <row r="8168" spans="7:16" x14ac:dyDescent="0.2">
      <c r="G8168" s="199"/>
      <c r="I8168" s="199"/>
      <c r="K8168" s="199"/>
      <c r="M8168" s="199"/>
      <c r="N8168" s="200"/>
      <c r="P8168" s="199"/>
    </row>
    <row r="8169" spans="7:16" x14ac:dyDescent="0.2">
      <c r="G8169" s="199"/>
      <c r="I8169" s="199"/>
      <c r="K8169" s="199"/>
      <c r="M8169" s="199"/>
      <c r="N8169" s="200"/>
      <c r="P8169" s="199"/>
    </row>
    <row r="8170" spans="7:16" x14ac:dyDescent="0.2">
      <c r="G8170" s="199"/>
      <c r="I8170" s="199"/>
      <c r="K8170" s="199"/>
      <c r="M8170" s="199"/>
      <c r="N8170" s="200"/>
      <c r="P8170" s="199"/>
    </row>
    <row r="8171" spans="7:16" x14ac:dyDescent="0.2">
      <c r="G8171" s="199"/>
      <c r="I8171" s="199"/>
      <c r="K8171" s="199"/>
      <c r="M8171" s="199"/>
      <c r="N8171" s="200"/>
      <c r="P8171" s="199"/>
    </row>
    <row r="8172" spans="7:16" x14ac:dyDescent="0.2">
      <c r="G8172" s="199"/>
      <c r="I8172" s="199"/>
      <c r="K8172" s="199"/>
      <c r="M8172" s="199"/>
      <c r="N8172" s="200"/>
      <c r="P8172" s="199"/>
    </row>
    <row r="8173" spans="7:16" x14ac:dyDescent="0.2">
      <c r="G8173" s="199"/>
      <c r="I8173" s="199"/>
      <c r="K8173" s="199"/>
      <c r="M8173" s="199"/>
      <c r="N8173" s="200"/>
      <c r="P8173" s="199"/>
    </row>
    <row r="8174" spans="7:16" x14ac:dyDescent="0.2">
      <c r="G8174" s="199"/>
      <c r="I8174" s="199"/>
      <c r="K8174" s="199"/>
      <c r="M8174" s="199"/>
      <c r="N8174" s="200"/>
      <c r="P8174" s="199"/>
    </row>
    <row r="8175" spans="7:16" x14ac:dyDescent="0.2">
      <c r="G8175" s="199"/>
      <c r="I8175" s="199"/>
      <c r="K8175" s="199"/>
      <c r="M8175" s="199"/>
      <c r="N8175" s="200"/>
      <c r="P8175" s="199"/>
    </row>
    <row r="8176" spans="7:16" x14ac:dyDescent="0.2">
      <c r="G8176" s="199"/>
      <c r="I8176" s="199"/>
      <c r="K8176" s="199"/>
      <c r="M8176" s="199"/>
      <c r="N8176" s="200"/>
      <c r="P8176" s="199"/>
    </row>
    <row r="8177" spans="7:16" x14ac:dyDescent="0.2">
      <c r="G8177" s="199"/>
      <c r="I8177" s="199"/>
      <c r="K8177" s="199"/>
      <c r="M8177" s="199"/>
      <c r="N8177" s="200"/>
      <c r="P8177" s="199"/>
    </row>
    <row r="8178" spans="7:16" x14ac:dyDescent="0.2">
      <c r="G8178" s="199"/>
      <c r="I8178" s="199"/>
      <c r="K8178" s="199"/>
      <c r="M8178" s="199"/>
      <c r="N8178" s="200"/>
      <c r="P8178" s="199"/>
    </row>
    <row r="8179" spans="7:16" x14ac:dyDescent="0.2">
      <c r="G8179" s="199"/>
      <c r="I8179" s="199"/>
      <c r="K8179" s="199"/>
      <c r="M8179" s="199"/>
      <c r="N8179" s="200"/>
      <c r="P8179" s="199"/>
    </row>
    <row r="8180" spans="7:16" x14ac:dyDescent="0.2">
      <c r="G8180" s="199"/>
      <c r="I8180" s="199"/>
      <c r="K8180" s="199"/>
      <c r="M8180" s="199"/>
      <c r="N8180" s="200"/>
      <c r="P8180" s="199"/>
    </row>
    <row r="8181" spans="7:16" x14ac:dyDescent="0.2">
      <c r="G8181" s="199"/>
      <c r="I8181" s="199"/>
      <c r="K8181" s="199"/>
      <c r="M8181" s="199"/>
      <c r="N8181" s="200"/>
      <c r="P8181" s="199"/>
    </row>
    <row r="8182" spans="7:16" x14ac:dyDescent="0.2">
      <c r="G8182" s="199"/>
      <c r="I8182" s="199"/>
      <c r="K8182" s="199"/>
      <c r="M8182" s="199"/>
      <c r="N8182" s="200"/>
      <c r="P8182" s="199"/>
    </row>
    <row r="8183" spans="7:16" x14ac:dyDescent="0.2">
      <c r="G8183" s="199"/>
      <c r="I8183" s="199"/>
      <c r="K8183" s="199"/>
      <c r="M8183" s="199"/>
      <c r="N8183" s="200"/>
      <c r="P8183" s="199"/>
    </row>
    <row r="8184" spans="7:16" x14ac:dyDescent="0.2">
      <c r="G8184" s="199"/>
      <c r="I8184" s="199"/>
      <c r="K8184" s="199"/>
      <c r="M8184" s="199"/>
      <c r="N8184" s="200"/>
      <c r="P8184" s="199"/>
    </row>
    <row r="8185" spans="7:16" x14ac:dyDescent="0.2">
      <c r="G8185" s="199"/>
      <c r="I8185" s="199"/>
      <c r="K8185" s="199"/>
      <c r="M8185" s="199"/>
      <c r="N8185" s="200"/>
      <c r="P8185" s="199"/>
    </row>
    <row r="8186" spans="7:16" x14ac:dyDescent="0.2">
      <c r="G8186" s="199"/>
      <c r="I8186" s="199"/>
      <c r="K8186" s="199"/>
      <c r="M8186" s="199"/>
      <c r="N8186" s="200"/>
      <c r="P8186" s="199"/>
    </row>
    <row r="8187" spans="7:16" x14ac:dyDescent="0.2">
      <c r="G8187" s="199"/>
      <c r="I8187" s="199"/>
      <c r="K8187" s="199"/>
      <c r="M8187" s="199"/>
      <c r="N8187" s="200"/>
      <c r="P8187" s="199"/>
    </row>
    <row r="8188" spans="7:16" x14ac:dyDescent="0.2">
      <c r="G8188" s="199"/>
      <c r="I8188" s="199"/>
      <c r="K8188" s="199"/>
      <c r="M8188" s="199"/>
      <c r="N8188" s="200"/>
      <c r="P8188" s="199"/>
    </row>
    <row r="8189" spans="7:16" x14ac:dyDescent="0.2">
      <c r="G8189" s="199"/>
      <c r="I8189" s="199"/>
      <c r="K8189" s="199"/>
      <c r="M8189" s="199"/>
      <c r="N8189" s="200"/>
      <c r="P8189" s="199"/>
    </row>
    <row r="8190" spans="7:16" x14ac:dyDescent="0.2">
      <c r="G8190" s="199"/>
      <c r="I8190" s="199"/>
      <c r="K8190" s="199"/>
      <c r="M8190" s="199"/>
      <c r="N8190" s="200"/>
      <c r="P8190" s="199"/>
    </row>
    <row r="8191" spans="7:16" x14ac:dyDescent="0.2">
      <c r="G8191" s="199"/>
      <c r="I8191" s="199"/>
      <c r="K8191" s="199"/>
      <c r="M8191" s="199"/>
      <c r="N8191" s="200"/>
      <c r="P8191" s="199"/>
    </row>
    <row r="8192" spans="7:16" x14ac:dyDescent="0.2">
      <c r="G8192" s="199"/>
      <c r="I8192" s="199"/>
      <c r="K8192" s="199"/>
      <c r="M8192" s="199"/>
      <c r="N8192" s="200"/>
      <c r="P8192" s="199"/>
    </row>
    <row r="8193" spans="7:16" x14ac:dyDescent="0.2">
      <c r="G8193" s="199"/>
      <c r="I8193" s="199"/>
      <c r="K8193" s="199"/>
      <c r="M8193" s="199"/>
      <c r="N8193" s="200"/>
      <c r="P8193" s="199"/>
    </row>
    <row r="8194" spans="7:16" x14ac:dyDescent="0.2">
      <c r="G8194" s="199"/>
      <c r="I8194" s="199"/>
      <c r="K8194" s="199"/>
      <c r="M8194" s="199"/>
      <c r="N8194" s="200"/>
      <c r="P8194" s="199"/>
    </row>
    <row r="8195" spans="7:16" x14ac:dyDescent="0.2">
      <c r="G8195" s="199"/>
      <c r="I8195" s="199"/>
      <c r="K8195" s="199"/>
      <c r="M8195" s="199"/>
      <c r="N8195" s="200"/>
      <c r="P8195" s="199"/>
    </row>
    <row r="8196" spans="7:16" x14ac:dyDescent="0.2">
      <c r="G8196" s="199"/>
      <c r="I8196" s="199"/>
      <c r="K8196" s="199"/>
      <c r="M8196" s="199"/>
      <c r="N8196" s="200"/>
      <c r="P8196" s="199"/>
    </row>
    <row r="8197" spans="7:16" x14ac:dyDescent="0.2">
      <c r="G8197" s="199"/>
      <c r="I8197" s="199"/>
      <c r="K8197" s="199"/>
      <c r="M8197" s="199"/>
      <c r="N8197" s="200"/>
      <c r="P8197" s="199"/>
    </row>
    <row r="8198" spans="7:16" x14ac:dyDescent="0.2">
      <c r="G8198" s="199"/>
      <c r="I8198" s="199"/>
      <c r="K8198" s="199"/>
      <c r="M8198" s="199"/>
      <c r="N8198" s="200"/>
      <c r="P8198" s="199"/>
    </row>
    <row r="8199" spans="7:16" x14ac:dyDescent="0.2">
      <c r="G8199" s="199"/>
      <c r="I8199" s="199"/>
      <c r="K8199" s="199"/>
      <c r="M8199" s="199"/>
      <c r="N8199" s="200"/>
      <c r="P8199" s="199"/>
    </row>
    <row r="8200" spans="7:16" x14ac:dyDescent="0.2">
      <c r="G8200" s="199"/>
      <c r="I8200" s="199"/>
      <c r="K8200" s="199"/>
      <c r="M8200" s="199"/>
      <c r="N8200" s="200"/>
      <c r="P8200" s="199"/>
    </row>
    <row r="8201" spans="7:16" x14ac:dyDescent="0.2">
      <c r="G8201" s="199"/>
      <c r="I8201" s="199"/>
      <c r="K8201" s="199"/>
      <c r="M8201" s="199"/>
      <c r="N8201" s="200"/>
      <c r="P8201" s="199"/>
    </row>
    <row r="8202" spans="7:16" x14ac:dyDescent="0.2">
      <c r="G8202" s="199"/>
      <c r="I8202" s="199"/>
      <c r="K8202" s="199"/>
      <c r="M8202" s="199"/>
      <c r="N8202" s="200"/>
      <c r="P8202" s="199"/>
    </row>
    <row r="8203" spans="7:16" x14ac:dyDescent="0.2">
      <c r="G8203" s="199"/>
      <c r="I8203" s="199"/>
      <c r="K8203" s="199"/>
      <c r="M8203" s="199"/>
      <c r="N8203" s="200"/>
      <c r="P8203" s="199"/>
    </row>
    <row r="8204" spans="7:16" x14ac:dyDescent="0.2">
      <c r="G8204" s="199"/>
      <c r="I8204" s="199"/>
      <c r="K8204" s="199"/>
      <c r="M8204" s="199"/>
      <c r="N8204" s="200"/>
      <c r="P8204" s="199"/>
    </row>
    <row r="8205" spans="7:16" x14ac:dyDescent="0.2">
      <c r="G8205" s="199"/>
      <c r="I8205" s="199"/>
      <c r="K8205" s="199"/>
      <c r="M8205" s="199"/>
      <c r="N8205" s="200"/>
      <c r="P8205" s="199"/>
    </row>
    <row r="8206" spans="7:16" x14ac:dyDescent="0.2">
      <c r="G8206" s="199"/>
      <c r="I8206" s="199"/>
      <c r="K8206" s="199"/>
      <c r="M8206" s="199"/>
      <c r="N8206" s="200"/>
      <c r="P8206" s="199"/>
    </row>
    <row r="8207" spans="7:16" x14ac:dyDescent="0.2">
      <c r="G8207" s="199"/>
      <c r="I8207" s="199"/>
      <c r="K8207" s="199"/>
      <c r="M8207" s="199"/>
      <c r="N8207" s="200"/>
      <c r="P8207" s="199"/>
    </row>
    <row r="8208" spans="7:16" x14ac:dyDescent="0.2">
      <c r="G8208" s="199"/>
      <c r="I8208" s="199"/>
      <c r="K8208" s="199"/>
      <c r="M8208" s="199"/>
      <c r="N8208" s="200"/>
      <c r="P8208" s="199"/>
    </row>
    <row r="8209" spans="7:16" x14ac:dyDescent="0.2">
      <c r="G8209" s="199"/>
      <c r="I8209" s="199"/>
      <c r="K8209" s="199"/>
      <c r="M8209" s="199"/>
      <c r="N8209" s="200"/>
      <c r="P8209" s="199"/>
    </row>
    <row r="8210" spans="7:16" x14ac:dyDescent="0.2">
      <c r="G8210" s="199"/>
      <c r="I8210" s="199"/>
      <c r="K8210" s="199"/>
      <c r="M8210" s="199"/>
      <c r="N8210" s="200"/>
      <c r="P8210" s="199"/>
    </row>
    <row r="8211" spans="7:16" x14ac:dyDescent="0.2">
      <c r="G8211" s="199"/>
      <c r="I8211" s="199"/>
      <c r="K8211" s="199"/>
      <c r="M8211" s="199"/>
      <c r="N8211" s="200"/>
      <c r="P8211" s="199"/>
    </row>
    <row r="8212" spans="7:16" x14ac:dyDescent="0.2">
      <c r="G8212" s="199"/>
      <c r="I8212" s="199"/>
      <c r="K8212" s="199"/>
      <c r="M8212" s="199"/>
      <c r="N8212" s="200"/>
      <c r="P8212" s="199"/>
    </row>
    <row r="8213" spans="7:16" x14ac:dyDescent="0.2">
      <c r="G8213" s="199"/>
      <c r="I8213" s="199"/>
      <c r="K8213" s="199"/>
      <c r="M8213" s="199"/>
      <c r="N8213" s="200"/>
      <c r="P8213" s="199"/>
    </row>
    <row r="8214" spans="7:16" x14ac:dyDescent="0.2">
      <c r="G8214" s="199"/>
      <c r="I8214" s="199"/>
      <c r="K8214" s="199"/>
      <c r="M8214" s="199"/>
      <c r="N8214" s="200"/>
      <c r="P8214" s="199"/>
    </row>
    <row r="8215" spans="7:16" x14ac:dyDescent="0.2">
      <c r="G8215" s="199"/>
      <c r="I8215" s="199"/>
      <c r="K8215" s="199"/>
      <c r="M8215" s="199"/>
      <c r="N8215" s="200"/>
      <c r="P8215" s="199"/>
    </row>
    <row r="8216" spans="7:16" x14ac:dyDescent="0.2">
      <c r="G8216" s="199"/>
      <c r="I8216" s="199"/>
      <c r="K8216" s="199"/>
      <c r="M8216" s="199"/>
      <c r="N8216" s="200"/>
      <c r="P8216" s="199"/>
    </row>
    <row r="8217" spans="7:16" x14ac:dyDescent="0.2">
      <c r="G8217" s="199"/>
      <c r="I8217" s="199"/>
      <c r="K8217" s="199"/>
      <c r="M8217" s="199"/>
      <c r="N8217" s="200"/>
      <c r="P8217" s="199"/>
    </row>
    <row r="8218" spans="7:16" x14ac:dyDescent="0.2">
      <c r="G8218" s="199"/>
      <c r="I8218" s="199"/>
      <c r="K8218" s="199"/>
      <c r="M8218" s="199"/>
      <c r="N8218" s="200"/>
      <c r="P8218" s="199"/>
    </row>
    <row r="8219" spans="7:16" x14ac:dyDescent="0.2">
      <c r="G8219" s="199"/>
      <c r="I8219" s="199"/>
      <c r="K8219" s="199"/>
      <c r="M8219" s="199"/>
      <c r="N8219" s="200"/>
      <c r="P8219" s="199"/>
    </row>
    <row r="8220" spans="7:16" x14ac:dyDescent="0.2">
      <c r="G8220" s="199"/>
      <c r="I8220" s="199"/>
      <c r="K8220" s="199"/>
      <c r="M8220" s="199"/>
      <c r="N8220" s="200"/>
      <c r="P8220" s="199"/>
    </row>
    <row r="8221" spans="7:16" x14ac:dyDescent="0.2">
      <c r="G8221" s="199"/>
      <c r="I8221" s="199"/>
      <c r="K8221" s="199"/>
      <c r="M8221" s="199"/>
      <c r="N8221" s="200"/>
      <c r="P8221" s="199"/>
    </row>
    <row r="8222" spans="7:16" x14ac:dyDescent="0.2">
      <c r="G8222" s="199"/>
      <c r="I8222" s="199"/>
      <c r="K8222" s="199"/>
      <c r="M8222" s="199"/>
      <c r="N8222" s="200"/>
      <c r="P8222" s="199"/>
    </row>
    <row r="8223" spans="7:16" x14ac:dyDescent="0.2">
      <c r="G8223" s="199"/>
      <c r="I8223" s="199"/>
      <c r="K8223" s="199"/>
      <c r="M8223" s="199"/>
      <c r="N8223" s="200"/>
      <c r="P8223" s="199"/>
    </row>
    <row r="8224" spans="7:16" x14ac:dyDescent="0.2">
      <c r="G8224" s="199"/>
      <c r="I8224" s="199"/>
      <c r="K8224" s="199"/>
      <c r="M8224" s="199"/>
      <c r="N8224" s="200"/>
      <c r="P8224" s="199"/>
    </row>
    <row r="8225" spans="7:16" x14ac:dyDescent="0.2">
      <c r="G8225" s="199"/>
      <c r="I8225" s="199"/>
      <c r="K8225" s="199"/>
      <c r="M8225" s="199"/>
      <c r="N8225" s="200"/>
      <c r="P8225" s="199"/>
    </row>
    <row r="8226" spans="7:16" x14ac:dyDescent="0.2">
      <c r="G8226" s="199"/>
      <c r="I8226" s="199"/>
      <c r="K8226" s="199"/>
      <c r="M8226" s="199"/>
      <c r="N8226" s="200"/>
      <c r="P8226" s="199"/>
    </row>
    <row r="8227" spans="7:16" x14ac:dyDescent="0.2">
      <c r="G8227" s="199"/>
      <c r="I8227" s="199"/>
      <c r="K8227" s="199"/>
      <c r="M8227" s="199"/>
      <c r="N8227" s="200"/>
      <c r="P8227" s="199"/>
    </row>
    <row r="8228" spans="7:16" x14ac:dyDescent="0.2">
      <c r="G8228" s="199"/>
      <c r="I8228" s="199"/>
      <c r="K8228" s="199"/>
      <c r="M8228" s="199"/>
      <c r="N8228" s="200"/>
      <c r="P8228" s="199"/>
    </row>
    <row r="8229" spans="7:16" x14ac:dyDescent="0.2">
      <c r="G8229" s="199"/>
      <c r="I8229" s="199"/>
      <c r="K8229" s="199"/>
      <c r="M8229" s="199"/>
      <c r="N8229" s="200"/>
      <c r="P8229" s="199"/>
    </row>
    <row r="8230" spans="7:16" x14ac:dyDescent="0.2">
      <c r="G8230" s="199"/>
      <c r="I8230" s="199"/>
      <c r="K8230" s="199"/>
      <c r="M8230" s="199"/>
      <c r="N8230" s="200"/>
      <c r="P8230" s="199"/>
    </row>
    <row r="8231" spans="7:16" x14ac:dyDescent="0.2">
      <c r="G8231" s="199"/>
      <c r="I8231" s="199"/>
      <c r="K8231" s="199"/>
      <c r="M8231" s="199"/>
      <c r="N8231" s="200"/>
      <c r="P8231" s="199"/>
    </row>
    <row r="8232" spans="7:16" x14ac:dyDescent="0.2">
      <c r="G8232" s="199"/>
      <c r="I8232" s="199"/>
      <c r="K8232" s="199"/>
      <c r="M8232" s="199"/>
      <c r="N8232" s="200"/>
      <c r="P8232" s="199"/>
    </row>
    <row r="8233" spans="7:16" x14ac:dyDescent="0.2">
      <c r="G8233" s="199"/>
      <c r="I8233" s="199"/>
      <c r="K8233" s="199"/>
      <c r="M8233" s="199"/>
      <c r="N8233" s="200"/>
      <c r="P8233" s="199"/>
    </row>
    <row r="8234" spans="7:16" x14ac:dyDescent="0.2">
      <c r="G8234" s="199"/>
      <c r="I8234" s="199"/>
      <c r="K8234" s="199"/>
      <c r="M8234" s="199"/>
      <c r="N8234" s="200"/>
      <c r="P8234" s="199"/>
    </row>
    <row r="8235" spans="7:16" x14ac:dyDescent="0.2">
      <c r="G8235" s="199"/>
      <c r="I8235" s="199"/>
      <c r="K8235" s="199"/>
      <c r="M8235" s="199"/>
      <c r="N8235" s="200"/>
      <c r="P8235" s="199"/>
    </row>
    <row r="8236" spans="7:16" x14ac:dyDescent="0.2">
      <c r="G8236" s="199"/>
      <c r="I8236" s="199"/>
      <c r="K8236" s="199"/>
      <c r="M8236" s="199"/>
      <c r="N8236" s="200"/>
      <c r="P8236" s="199"/>
    </row>
    <row r="8237" spans="7:16" x14ac:dyDescent="0.2">
      <c r="G8237" s="199"/>
      <c r="I8237" s="199"/>
      <c r="K8237" s="199"/>
      <c r="M8237" s="199"/>
      <c r="N8237" s="200"/>
      <c r="P8237" s="199"/>
    </row>
    <row r="8238" spans="7:16" x14ac:dyDescent="0.2">
      <c r="G8238" s="199"/>
      <c r="I8238" s="199"/>
      <c r="K8238" s="199"/>
      <c r="M8238" s="199"/>
      <c r="N8238" s="200"/>
      <c r="P8238" s="199"/>
    </row>
    <row r="8239" spans="7:16" x14ac:dyDescent="0.2">
      <c r="G8239" s="199"/>
      <c r="I8239" s="199"/>
      <c r="K8239" s="199"/>
      <c r="M8239" s="199"/>
      <c r="N8239" s="200"/>
      <c r="P8239" s="199"/>
    </row>
    <row r="8240" spans="7:16" x14ac:dyDescent="0.2">
      <c r="G8240" s="199"/>
      <c r="I8240" s="199"/>
      <c r="K8240" s="199"/>
      <c r="M8240" s="199"/>
      <c r="N8240" s="200"/>
      <c r="P8240" s="199"/>
    </row>
    <row r="8241" spans="7:16" x14ac:dyDescent="0.2">
      <c r="G8241" s="199"/>
      <c r="I8241" s="199"/>
      <c r="K8241" s="199"/>
      <c r="M8241" s="199"/>
      <c r="N8241" s="200"/>
      <c r="P8241" s="199"/>
    </row>
    <row r="8242" spans="7:16" x14ac:dyDescent="0.2">
      <c r="G8242" s="199"/>
      <c r="I8242" s="199"/>
      <c r="K8242" s="199"/>
      <c r="M8242" s="199"/>
      <c r="N8242" s="200"/>
      <c r="P8242" s="199"/>
    </row>
    <row r="8243" spans="7:16" x14ac:dyDescent="0.2">
      <c r="G8243" s="199"/>
      <c r="I8243" s="199"/>
      <c r="K8243" s="199"/>
      <c r="M8243" s="199"/>
      <c r="N8243" s="200"/>
      <c r="P8243" s="199"/>
    </row>
    <row r="8244" spans="7:16" x14ac:dyDescent="0.2">
      <c r="G8244" s="199"/>
      <c r="I8244" s="199"/>
      <c r="K8244" s="199"/>
      <c r="M8244" s="199"/>
      <c r="N8244" s="200"/>
      <c r="P8244" s="199"/>
    </row>
    <row r="8245" spans="7:16" x14ac:dyDescent="0.2">
      <c r="G8245" s="199"/>
      <c r="I8245" s="199"/>
      <c r="K8245" s="199"/>
      <c r="M8245" s="199"/>
      <c r="N8245" s="200"/>
      <c r="P8245" s="199"/>
    </row>
    <row r="8246" spans="7:16" x14ac:dyDescent="0.2">
      <c r="G8246" s="199"/>
      <c r="I8246" s="199"/>
      <c r="K8246" s="199"/>
      <c r="M8246" s="199"/>
      <c r="N8246" s="200"/>
      <c r="P8246" s="199"/>
    </row>
    <row r="8247" spans="7:16" x14ac:dyDescent="0.2">
      <c r="G8247" s="199"/>
      <c r="I8247" s="199"/>
      <c r="K8247" s="199"/>
      <c r="M8247" s="199"/>
      <c r="N8247" s="200"/>
      <c r="P8247" s="199"/>
    </row>
    <row r="8248" spans="7:16" x14ac:dyDescent="0.2">
      <c r="G8248" s="199"/>
      <c r="I8248" s="199"/>
      <c r="K8248" s="199"/>
      <c r="M8248" s="199"/>
      <c r="N8248" s="200"/>
      <c r="P8248" s="199"/>
    </row>
    <row r="8249" spans="7:16" x14ac:dyDescent="0.2">
      <c r="G8249" s="199"/>
      <c r="I8249" s="199"/>
      <c r="K8249" s="199"/>
      <c r="M8249" s="199"/>
      <c r="N8249" s="200"/>
      <c r="P8249" s="199"/>
    </row>
    <row r="8250" spans="7:16" x14ac:dyDescent="0.2">
      <c r="G8250" s="199"/>
      <c r="I8250" s="199"/>
      <c r="K8250" s="199"/>
      <c r="M8250" s="199"/>
      <c r="N8250" s="200"/>
      <c r="P8250" s="199"/>
    </row>
    <row r="8251" spans="7:16" x14ac:dyDescent="0.2">
      <c r="G8251" s="199"/>
      <c r="I8251" s="199"/>
      <c r="K8251" s="199"/>
      <c r="M8251" s="199"/>
      <c r="N8251" s="200"/>
      <c r="P8251" s="199"/>
    </row>
    <row r="8252" spans="7:16" x14ac:dyDescent="0.2">
      <c r="G8252" s="199"/>
      <c r="I8252" s="199"/>
      <c r="K8252" s="199"/>
      <c r="M8252" s="199"/>
      <c r="N8252" s="200"/>
      <c r="P8252" s="199"/>
    </row>
    <row r="8253" spans="7:16" x14ac:dyDescent="0.2">
      <c r="G8253" s="199"/>
      <c r="I8253" s="199"/>
      <c r="K8253" s="199"/>
      <c r="M8253" s="199"/>
      <c r="N8253" s="200"/>
      <c r="P8253" s="199"/>
    </row>
    <row r="8254" spans="7:16" x14ac:dyDescent="0.2">
      <c r="G8254" s="199"/>
      <c r="I8254" s="199"/>
      <c r="K8254" s="199"/>
      <c r="M8254" s="199"/>
      <c r="N8254" s="200"/>
      <c r="P8254" s="199"/>
    </row>
    <row r="8255" spans="7:16" x14ac:dyDescent="0.2">
      <c r="G8255" s="199"/>
      <c r="I8255" s="199"/>
      <c r="K8255" s="199"/>
      <c r="M8255" s="199"/>
      <c r="N8255" s="200"/>
      <c r="P8255" s="199"/>
    </row>
    <row r="8256" spans="7:16" x14ac:dyDescent="0.2">
      <c r="G8256" s="199"/>
      <c r="I8256" s="199"/>
      <c r="K8256" s="199"/>
      <c r="M8256" s="199"/>
      <c r="N8256" s="200"/>
      <c r="P8256" s="199"/>
    </row>
    <row r="8257" spans="7:16" x14ac:dyDescent="0.2">
      <c r="G8257" s="199"/>
      <c r="I8257" s="199"/>
      <c r="K8257" s="199"/>
      <c r="M8257" s="199"/>
      <c r="N8257" s="200"/>
      <c r="P8257" s="199"/>
    </row>
    <row r="8258" spans="7:16" x14ac:dyDescent="0.2">
      <c r="G8258" s="199"/>
      <c r="I8258" s="199"/>
      <c r="K8258" s="199"/>
      <c r="M8258" s="199"/>
      <c r="N8258" s="200"/>
      <c r="P8258" s="199"/>
    </row>
    <row r="8259" spans="7:16" x14ac:dyDescent="0.2">
      <c r="G8259" s="199"/>
      <c r="I8259" s="199"/>
      <c r="K8259" s="199"/>
      <c r="M8259" s="199"/>
      <c r="N8259" s="200"/>
      <c r="P8259" s="199"/>
    </row>
    <row r="8260" spans="7:16" x14ac:dyDescent="0.2">
      <c r="G8260" s="199"/>
      <c r="I8260" s="199"/>
      <c r="K8260" s="199"/>
      <c r="M8260" s="199"/>
      <c r="N8260" s="200"/>
      <c r="P8260" s="199"/>
    </row>
    <row r="8261" spans="7:16" x14ac:dyDescent="0.2">
      <c r="G8261" s="199"/>
      <c r="I8261" s="199"/>
      <c r="K8261" s="199"/>
      <c r="M8261" s="199"/>
      <c r="N8261" s="200"/>
      <c r="P8261" s="199"/>
    </row>
    <row r="8262" spans="7:16" x14ac:dyDescent="0.2">
      <c r="G8262" s="199"/>
      <c r="I8262" s="199"/>
      <c r="K8262" s="199"/>
      <c r="M8262" s="199"/>
      <c r="N8262" s="200"/>
      <c r="P8262" s="199"/>
    </row>
    <row r="8263" spans="7:16" x14ac:dyDescent="0.2">
      <c r="G8263" s="199"/>
      <c r="I8263" s="199"/>
      <c r="K8263" s="199"/>
      <c r="M8263" s="199"/>
      <c r="N8263" s="200"/>
      <c r="P8263" s="199"/>
    </row>
    <row r="8264" spans="7:16" x14ac:dyDescent="0.2">
      <c r="G8264" s="199"/>
      <c r="I8264" s="199"/>
      <c r="K8264" s="199"/>
      <c r="M8264" s="199"/>
      <c r="N8264" s="200"/>
      <c r="P8264" s="199"/>
    </row>
    <row r="8265" spans="7:16" x14ac:dyDescent="0.2">
      <c r="G8265" s="199"/>
      <c r="I8265" s="199"/>
      <c r="K8265" s="199"/>
      <c r="M8265" s="199"/>
      <c r="N8265" s="200"/>
      <c r="P8265" s="199"/>
    </row>
    <row r="8266" spans="7:16" x14ac:dyDescent="0.2">
      <c r="G8266" s="199"/>
      <c r="I8266" s="199"/>
      <c r="K8266" s="199"/>
      <c r="M8266" s="199"/>
      <c r="N8266" s="200"/>
      <c r="P8266" s="199"/>
    </row>
    <row r="8267" spans="7:16" x14ac:dyDescent="0.2">
      <c r="G8267" s="199"/>
      <c r="I8267" s="199"/>
      <c r="K8267" s="199"/>
      <c r="M8267" s="199"/>
      <c r="N8267" s="200"/>
      <c r="P8267" s="199"/>
    </row>
    <row r="8268" spans="7:16" x14ac:dyDescent="0.2">
      <c r="G8268" s="199"/>
      <c r="I8268" s="199"/>
      <c r="K8268" s="199"/>
      <c r="M8268" s="199"/>
      <c r="N8268" s="200"/>
      <c r="P8268" s="199"/>
    </row>
    <row r="8269" spans="7:16" x14ac:dyDescent="0.2">
      <c r="G8269" s="199"/>
      <c r="I8269" s="199"/>
      <c r="K8269" s="199"/>
      <c r="M8269" s="199"/>
      <c r="N8269" s="200"/>
      <c r="P8269" s="199"/>
    </row>
    <row r="8270" spans="7:16" x14ac:dyDescent="0.2">
      <c r="G8270" s="199"/>
      <c r="I8270" s="199"/>
      <c r="K8270" s="199"/>
      <c r="M8270" s="199"/>
      <c r="N8270" s="200"/>
      <c r="P8270" s="199"/>
    </row>
    <row r="8271" spans="7:16" x14ac:dyDescent="0.2">
      <c r="G8271" s="199"/>
      <c r="I8271" s="199"/>
      <c r="K8271" s="199"/>
      <c r="M8271" s="199"/>
      <c r="N8271" s="200"/>
      <c r="P8271" s="199"/>
    </row>
    <row r="8272" spans="7:16" x14ac:dyDescent="0.2">
      <c r="G8272" s="199"/>
      <c r="I8272" s="199"/>
      <c r="K8272" s="199"/>
      <c r="M8272" s="199"/>
      <c r="N8272" s="200"/>
      <c r="P8272" s="199"/>
    </row>
    <row r="8273" spans="7:16" x14ac:dyDescent="0.2">
      <c r="G8273" s="199"/>
      <c r="I8273" s="199"/>
      <c r="K8273" s="199"/>
      <c r="M8273" s="199"/>
      <c r="N8273" s="200"/>
      <c r="P8273" s="199"/>
    </row>
    <row r="8274" spans="7:16" x14ac:dyDescent="0.2">
      <c r="G8274" s="199"/>
      <c r="I8274" s="199"/>
      <c r="K8274" s="199"/>
      <c r="M8274" s="199"/>
      <c r="N8274" s="200"/>
      <c r="P8274" s="199"/>
    </row>
    <row r="8275" spans="7:16" x14ac:dyDescent="0.2">
      <c r="G8275" s="199"/>
      <c r="I8275" s="199"/>
      <c r="K8275" s="199"/>
      <c r="M8275" s="199"/>
      <c r="N8275" s="200"/>
      <c r="P8275" s="199"/>
    </row>
    <row r="8276" spans="7:16" x14ac:dyDescent="0.2">
      <c r="G8276" s="199"/>
      <c r="I8276" s="199"/>
      <c r="K8276" s="199"/>
      <c r="M8276" s="199"/>
      <c r="N8276" s="200"/>
      <c r="P8276" s="199"/>
    </row>
    <row r="8277" spans="7:16" x14ac:dyDescent="0.2">
      <c r="G8277" s="199"/>
      <c r="I8277" s="199"/>
      <c r="K8277" s="199"/>
      <c r="M8277" s="199"/>
      <c r="N8277" s="200"/>
      <c r="P8277" s="199"/>
    </row>
    <row r="8278" spans="7:16" x14ac:dyDescent="0.2">
      <c r="G8278" s="199"/>
      <c r="I8278" s="199"/>
      <c r="K8278" s="199"/>
      <c r="M8278" s="199"/>
      <c r="N8278" s="200"/>
      <c r="P8278" s="199"/>
    </row>
    <row r="8279" spans="7:16" x14ac:dyDescent="0.2">
      <c r="G8279" s="199"/>
      <c r="I8279" s="199"/>
      <c r="K8279" s="199"/>
      <c r="M8279" s="199"/>
      <c r="N8279" s="200"/>
      <c r="P8279" s="199"/>
    </row>
    <row r="8280" spans="7:16" x14ac:dyDescent="0.2">
      <c r="G8280" s="199"/>
      <c r="I8280" s="199"/>
      <c r="K8280" s="199"/>
      <c r="M8280" s="199"/>
      <c r="N8280" s="200"/>
      <c r="P8280" s="199"/>
    </row>
    <row r="8281" spans="7:16" x14ac:dyDescent="0.2">
      <c r="G8281" s="199"/>
      <c r="I8281" s="199"/>
      <c r="K8281" s="199"/>
      <c r="M8281" s="199"/>
      <c r="N8281" s="200"/>
      <c r="P8281" s="199"/>
    </row>
    <row r="8282" spans="7:16" x14ac:dyDescent="0.2">
      <c r="G8282" s="199"/>
      <c r="I8282" s="199"/>
      <c r="K8282" s="199"/>
      <c r="M8282" s="199"/>
      <c r="N8282" s="200"/>
      <c r="P8282" s="199"/>
    </row>
    <row r="8283" spans="7:16" x14ac:dyDescent="0.2">
      <c r="G8283" s="199"/>
      <c r="I8283" s="199"/>
      <c r="K8283" s="199"/>
      <c r="M8283" s="199"/>
      <c r="N8283" s="200"/>
      <c r="P8283" s="199"/>
    </row>
    <row r="8284" spans="7:16" x14ac:dyDescent="0.2">
      <c r="G8284" s="199"/>
      <c r="I8284" s="199"/>
      <c r="K8284" s="199"/>
      <c r="M8284" s="199"/>
      <c r="N8284" s="200"/>
      <c r="P8284" s="199"/>
    </row>
    <row r="8285" spans="7:16" x14ac:dyDescent="0.2">
      <c r="G8285" s="199"/>
      <c r="I8285" s="199"/>
      <c r="K8285" s="199"/>
      <c r="M8285" s="199"/>
      <c r="N8285" s="200"/>
      <c r="P8285" s="199"/>
    </row>
    <row r="8286" spans="7:16" x14ac:dyDescent="0.2">
      <c r="G8286" s="199"/>
      <c r="I8286" s="199"/>
      <c r="K8286" s="199"/>
      <c r="M8286" s="199"/>
      <c r="N8286" s="200"/>
      <c r="P8286" s="199"/>
    </row>
    <row r="8287" spans="7:16" x14ac:dyDescent="0.2">
      <c r="G8287" s="199"/>
      <c r="I8287" s="199"/>
      <c r="K8287" s="199"/>
      <c r="M8287" s="199"/>
      <c r="N8287" s="200"/>
      <c r="P8287" s="199"/>
    </row>
    <row r="8288" spans="7:16" x14ac:dyDescent="0.2">
      <c r="G8288" s="199"/>
      <c r="I8288" s="199"/>
      <c r="K8288" s="199"/>
      <c r="M8288" s="199"/>
      <c r="N8288" s="200"/>
      <c r="P8288" s="199"/>
    </row>
    <row r="8289" spans="7:16" x14ac:dyDescent="0.2">
      <c r="G8289" s="199"/>
      <c r="I8289" s="199"/>
      <c r="K8289" s="199"/>
      <c r="M8289" s="199"/>
      <c r="N8289" s="200"/>
      <c r="P8289" s="199"/>
    </row>
    <row r="8290" spans="7:16" x14ac:dyDescent="0.2">
      <c r="G8290" s="199"/>
      <c r="I8290" s="199"/>
      <c r="K8290" s="199"/>
      <c r="M8290" s="199"/>
      <c r="N8290" s="200"/>
      <c r="P8290" s="199"/>
    </row>
    <row r="8291" spans="7:16" x14ac:dyDescent="0.2">
      <c r="G8291" s="199"/>
      <c r="I8291" s="199"/>
      <c r="K8291" s="199"/>
      <c r="M8291" s="199"/>
      <c r="N8291" s="200"/>
      <c r="P8291" s="199"/>
    </row>
    <row r="8292" spans="7:16" x14ac:dyDescent="0.2">
      <c r="G8292" s="199"/>
      <c r="I8292" s="199"/>
      <c r="K8292" s="199"/>
      <c r="M8292" s="199"/>
      <c r="N8292" s="200"/>
      <c r="P8292" s="199"/>
    </row>
    <row r="8293" spans="7:16" x14ac:dyDescent="0.2">
      <c r="G8293" s="199"/>
      <c r="I8293" s="199"/>
      <c r="K8293" s="199"/>
      <c r="M8293" s="199"/>
      <c r="N8293" s="200"/>
      <c r="P8293" s="199"/>
    </row>
    <row r="8294" spans="7:16" x14ac:dyDescent="0.2">
      <c r="G8294" s="199"/>
      <c r="I8294" s="199"/>
      <c r="K8294" s="199"/>
      <c r="M8294" s="199"/>
      <c r="N8294" s="200"/>
      <c r="P8294" s="199"/>
    </row>
    <row r="8295" spans="7:16" x14ac:dyDescent="0.2">
      <c r="G8295" s="199"/>
      <c r="I8295" s="199"/>
      <c r="K8295" s="199"/>
      <c r="M8295" s="199"/>
      <c r="N8295" s="200"/>
      <c r="P8295" s="199"/>
    </row>
    <row r="8296" spans="7:16" x14ac:dyDescent="0.2">
      <c r="G8296" s="199"/>
      <c r="I8296" s="199"/>
      <c r="K8296" s="199"/>
      <c r="M8296" s="199"/>
      <c r="N8296" s="200"/>
      <c r="P8296" s="199"/>
    </row>
    <row r="8297" spans="7:16" x14ac:dyDescent="0.2">
      <c r="G8297" s="199"/>
      <c r="I8297" s="199"/>
      <c r="K8297" s="199"/>
      <c r="M8297" s="199"/>
      <c r="N8297" s="200"/>
      <c r="P8297" s="199"/>
    </row>
    <row r="8298" spans="7:16" x14ac:dyDescent="0.2">
      <c r="G8298" s="199"/>
      <c r="I8298" s="199"/>
      <c r="K8298" s="199"/>
      <c r="M8298" s="199"/>
      <c r="N8298" s="200"/>
      <c r="P8298" s="199"/>
    </row>
    <row r="8299" spans="7:16" x14ac:dyDescent="0.2">
      <c r="G8299" s="199"/>
      <c r="I8299" s="199"/>
      <c r="K8299" s="199"/>
      <c r="M8299" s="199"/>
      <c r="N8299" s="200"/>
      <c r="P8299" s="199"/>
    </row>
    <row r="8300" spans="7:16" x14ac:dyDescent="0.2">
      <c r="G8300" s="199"/>
      <c r="I8300" s="199"/>
      <c r="K8300" s="199"/>
      <c r="M8300" s="199"/>
      <c r="N8300" s="200"/>
      <c r="P8300" s="199"/>
    </row>
    <row r="8301" spans="7:16" x14ac:dyDescent="0.2">
      <c r="G8301" s="199"/>
      <c r="I8301" s="199"/>
      <c r="K8301" s="199"/>
      <c r="M8301" s="199"/>
      <c r="N8301" s="200"/>
      <c r="P8301" s="199"/>
    </row>
    <row r="8302" spans="7:16" x14ac:dyDescent="0.2">
      <c r="G8302" s="199"/>
      <c r="I8302" s="199"/>
      <c r="K8302" s="199"/>
      <c r="M8302" s="199"/>
      <c r="N8302" s="200"/>
      <c r="P8302" s="199"/>
    </row>
    <row r="8303" spans="7:16" x14ac:dyDescent="0.2">
      <c r="G8303" s="199"/>
      <c r="I8303" s="199"/>
      <c r="K8303" s="199"/>
      <c r="M8303" s="199"/>
      <c r="N8303" s="200"/>
      <c r="P8303" s="199"/>
    </row>
    <row r="8304" spans="7:16" x14ac:dyDescent="0.2">
      <c r="G8304" s="199"/>
      <c r="I8304" s="199"/>
      <c r="K8304" s="199"/>
      <c r="M8304" s="199"/>
      <c r="N8304" s="200"/>
      <c r="P8304" s="199"/>
    </row>
    <row r="8305" spans="7:16" x14ac:dyDescent="0.2">
      <c r="G8305" s="199"/>
      <c r="I8305" s="199"/>
      <c r="K8305" s="199"/>
      <c r="M8305" s="199"/>
      <c r="N8305" s="200"/>
      <c r="P8305" s="199"/>
    </row>
    <row r="8306" spans="7:16" x14ac:dyDescent="0.2">
      <c r="G8306" s="199"/>
      <c r="I8306" s="199"/>
      <c r="K8306" s="199"/>
      <c r="M8306" s="199"/>
      <c r="N8306" s="200"/>
      <c r="P8306" s="199"/>
    </row>
    <row r="8307" spans="7:16" x14ac:dyDescent="0.2">
      <c r="G8307" s="199"/>
      <c r="I8307" s="199"/>
      <c r="K8307" s="199"/>
      <c r="M8307" s="199"/>
      <c r="N8307" s="200"/>
      <c r="P8307" s="199"/>
    </row>
    <row r="8308" spans="7:16" x14ac:dyDescent="0.2">
      <c r="G8308" s="199"/>
      <c r="I8308" s="199"/>
      <c r="K8308" s="199"/>
      <c r="M8308" s="199"/>
      <c r="N8308" s="200"/>
      <c r="P8308" s="199"/>
    </row>
    <row r="8309" spans="7:16" x14ac:dyDescent="0.2">
      <c r="G8309" s="199"/>
      <c r="I8309" s="199"/>
      <c r="K8309" s="199"/>
      <c r="M8309" s="199"/>
      <c r="N8309" s="200"/>
      <c r="P8309" s="199"/>
    </row>
    <row r="8310" spans="7:16" x14ac:dyDescent="0.2">
      <c r="G8310" s="199"/>
      <c r="I8310" s="199"/>
      <c r="K8310" s="199"/>
      <c r="M8310" s="199"/>
      <c r="N8310" s="200"/>
      <c r="P8310" s="199"/>
    </row>
    <row r="8311" spans="7:16" x14ac:dyDescent="0.2">
      <c r="G8311" s="199"/>
      <c r="I8311" s="199"/>
      <c r="K8311" s="199"/>
      <c r="M8311" s="199"/>
      <c r="N8311" s="200"/>
      <c r="P8311" s="199"/>
    </row>
    <row r="8312" spans="7:16" x14ac:dyDescent="0.2">
      <c r="G8312" s="199"/>
      <c r="I8312" s="199"/>
      <c r="K8312" s="199"/>
      <c r="M8312" s="199"/>
      <c r="N8312" s="200"/>
      <c r="P8312" s="199"/>
    </row>
    <row r="8313" spans="7:16" x14ac:dyDescent="0.2">
      <c r="G8313" s="199"/>
      <c r="I8313" s="199"/>
      <c r="K8313" s="199"/>
      <c r="M8313" s="199"/>
      <c r="N8313" s="200"/>
      <c r="P8313" s="199"/>
    </row>
    <row r="8314" spans="7:16" x14ac:dyDescent="0.2">
      <c r="G8314" s="199"/>
      <c r="I8314" s="199"/>
      <c r="K8314" s="199"/>
      <c r="M8314" s="199"/>
      <c r="N8314" s="200"/>
      <c r="P8314" s="199"/>
    </row>
    <row r="8315" spans="7:16" x14ac:dyDescent="0.2">
      <c r="G8315" s="199"/>
      <c r="I8315" s="199"/>
      <c r="K8315" s="199"/>
      <c r="M8315" s="199"/>
      <c r="N8315" s="200"/>
      <c r="P8315" s="199"/>
    </row>
    <row r="8316" spans="7:16" x14ac:dyDescent="0.2">
      <c r="G8316" s="199"/>
      <c r="I8316" s="199"/>
      <c r="K8316" s="199"/>
      <c r="M8316" s="199"/>
      <c r="N8316" s="200"/>
      <c r="P8316" s="199"/>
    </row>
    <row r="8317" spans="7:16" x14ac:dyDescent="0.2">
      <c r="G8317" s="199"/>
      <c r="I8317" s="199"/>
      <c r="K8317" s="199"/>
      <c r="M8317" s="199"/>
      <c r="N8317" s="200"/>
      <c r="P8317" s="199"/>
    </row>
    <row r="8318" spans="7:16" x14ac:dyDescent="0.2">
      <c r="G8318" s="199"/>
      <c r="I8318" s="199"/>
      <c r="K8318" s="199"/>
      <c r="M8318" s="199"/>
      <c r="N8318" s="200"/>
      <c r="P8318" s="199"/>
    </row>
    <row r="8319" spans="7:16" x14ac:dyDescent="0.2">
      <c r="G8319" s="199"/>
      <c r="I8319" s="199"/>
      <c r="K8319" s="199"/>
      <c r="M8319" s="199"/>
      <c r="N8319" s="200"/>
      <c r="P8319" s="199"/>
    </row>
    <row r="8320" spans="7:16" x14ac:dyDescent="0.2">
      <c r="G8320" s="199"/>
      <c r="I8320" s="199"/>
      <c r="K8320" s="199"/>
      <c r="M8320" s="199"/>
      <c r="N8320" s="200"/>
      <c r="P8320" s="199"/>
    </row>
    <row r="8321" spans="7:16" x14ac:dyDescent="0.2">
      <c r="G8321" s="199"/>
      <c r="I8321" s="199"/>
      <c r="K8321" s="199"/>
      <c r="M8321" s="199"/>
      <c r="N8321" s="200"/>
      <c r="P8321" s="199"/>
    </row>
    <row r="8322" spans="7:16" x14ac:dyDescent="0.2">
      <c r="G8322" s="199"/>
      <c r="I8322" s="199"/>
      <c r="K8322" s="199"/>
      <c r="M8322" s="199"/>
      <c r="N8322" s="200"/>
      <c r="P8322" s="199"/>
    </row>
    <row r="8323" spans="7:16" x14ac:dyDescent="0.2">
      <c r="G8323" s="199"/>
      <c r="I8323" s="199"/>
      <c r="K8323" s="199"/>
      <c r="M8323" s="199"/>
      <c r="N8323" s="200"/>
      <c r="P8323" s="199"/>
    </row>
    <row r="8324" spans="7:16" x14ac:dyDescent="0.2">
      <c r="G8324" s="199"/>
      <c r="I8324" s="199"/>
      <c r="K8324" s="199"/>
      <c r="M8324" s="199"/>
      <c r="N8324" s="200"/>
      <c r="P8324" s="199"/>
    </row>
    <row r="8325" spans="7:16" x14ac:dyDescent="0.2">
      <c r="G8325" s="199"/>
      <c r="I8325" s="199"/>
      <c r="K8325" s="199"/>
      <c r="M8325" s="199"/>
      <c r="N8325" s="200"/>
      <c r="P8325" s="199"/>
    </row>
    <row r="8326" spans="7:16" x14ac:dyDescent="0.2">
      <c r="G8326" s="199"/>
      <c r="I8326" s="199"/>
      <c r="K8326" s="199"/>
      <c r="M8326" s="199"/>
      <c r="N8326" s="200"/>
      <c r="P8326" s="199"/>
    </row>
    <row r="8327" spans="7:16" x14ac:dyDescent="0.2">
      <c r="G8327" s="199"/>
      <c r="I8327" s="199"/>
      <c r="K8327" s="199"/>
      <c r="M8327" s="199"/>
      <c r="N8327" s="200"/>
      <c r="P8327" s="199"/>
    </row>
    <row r="8328" spans="7:16" x14ac:dyDescent="0.2">
      <c r="G8328" s="199"/>
      <c r="I8328" s="199"/>
      <c r="K8328" s="199"/>
      <c r="M8328" s="199"/>
      <c r="N8328" s="200"/>
      <c r="P8328" s="199"/>
    </row>
    <row r="8329" spans="7:16" x14ac:dyDescent="0.2">
      <c r="G8329" s="199"/>
      <c r="I8329" s="199"/>
      <c r="K8329" s="199"/>
      <c r="M8329" s="199"/>
      <c r="N8329" s="200"/>
      <c r="P8329" s="199"/>
    </row>
    <row r="8330" spans="7:16" x14ac:dyDescent="0.2">
      <c r="G8330" s="199"/>
      <c r="I8330" s="199"/>
      <c r="K8330" s="199"/>
      <c r="M8330" s="199"/>
      <c r="N8330" s="200"/>
      <c r="P8330" s="199"/>
    </row>
    <row r="8331" spans="7:16" x14ac:dyDescent="0.2">
      <c r="G8331" s="199"/>
      <c r="I8331" s="199"/>
      <c r="K8331" s="199"/>
      <c r="M8331" s="199"/>
      <c r="N8331" s="200"/>
      <c r="P8331" s="199"/>
    </row>
    <row r="8332" spans="7:16" x14ac:dyDescent="0.2">
      <c r="G8332" s="199"/>
      <c r="I8332" s="199"/>
      <c r="K8332" s="199"/>
      <c r="M8332" s="199"/>
      <c r="N8332" s="200"/>
      <c r="P8332" s="199"/>
    </row>
    <row r="8333" spans="7:16" x14ac:dyDescent="0.2">
      <c r="G8333" s="199"/>
      <c r="I8333" s="199"/>
      <c r="K8333" s="199"/>
      <c r="M8333" s="199"/>
      <c r="N8333" s="200"/>
      <c r="P8333" s="199"/>
    </row>
    <row r="8334" spans="7:16" x14ac:dyDescent="0.2">
      <c r="G8334" s="199"/>
      <c r="I8334" s="199"/>
      <c r="K8334" s="199"/>
      <c r="M8334" s="199"/>
      <c r="N8334" s="200"/>
      <c r="P8334" s="199"/>
    </row>
    <row r="8335" spans="7:16" x14ac:dyDescent="0.2">
      <c r="G8335" s="199"/>
      <c r="I8335" s="199"/>
      <c r="K8335" s="199"/>
      <c r="M8335" s="199"/>
      <c r="N8335" s="200"/>
      <c r="P8335" s="199"/>
    </row>
    <row r="8336" spans="7:16" x14ac:dyDescent="0.2">
      <c r="G8336" s="199"/>
      <c r="I8336" s="199"/>
      <c r="K8336" s="199"/>
      <c r="M8336" s="199"/>
      <c r="N8336" s="200"/>
      <c r="P8336" s="199"/>
    </row>
    <row r="8337" spans="7:16" x14ac:dyDescent="0.2">
      <c r="G8337" s="199"/>
      <c r="I8337" s="199"/>
      <c r="K8337" s="199"/>
      <c r="M8337" s="199"/>
      <c r="N8337" s="200"/>
      <c r="P8337" s="199"/>
    </row>
    <row r="8338" spans="7:16" x14ac:dyDescent="0.2">
      <c r="G8338" s="199"/>
      <c r="I8338" s="199"/>
      <c r="K8338" s="199"/>
      <c r="M8338" s="199"/>
      <c r="N8338" s="200"/>
      <c r="P8338" s="199"/>
    </row>
    <row r="8339" spans="7:16" x14ac:dyDescent="0.2">
      <c r="G8339" s="199"/>
      <c r="I8339" s="199"/>
      <c r="K8339" s="199"/>
      <c r="M8339" s="199"/>
      <c r="N8339" s="200"/>
      <c r="P8339" s="199"/>
    </row>
    <row r="8340" spans="7:16" x14ac:dyDescent="0.2">
      <c r="G8340" s="199"/>
      <c r="I8340" s="199"/>
      <c r="K8340" s="199"/>
      <c r="M8340" s="199"/>
      <c r="N8340" s="200"/>
      <c r="P8340" s="199"/>
    </row>
    <row r="8341" spans="7:16" x14ac:dyDescent="0.2">
      <c r="G8341" s="199"/>
      <c r="I8341" s="199"/>
      <c r="K8341" s="199"/>
      <c r="M8341" s="199"/>
      <c r="N8341" s="200"/>
      <c r="P8341" s="199"/>
    </row>
    <row r="8342" spans="7:16" x14ac:dyDescent="0.2">
      <c r="G8342" s="199"/>
      <c r="I8342" s="199"/>
      <c r="K8342" s="199"/>
      <c r="M8342" s="199"/>
      <c r="N8342" s="200"/>
      <c r="P8342" s="199"/>
    </row>
    <row r="8343" spans="7:16" x14ac:dyDescent="0.2">
      <c r="G8343" s="199"/>
      <c r="I8343" s="199"/>
      <c r="K8343" s="199"/>
      <c r="M8343" s="199"/>
      <c r="N8343" s="200"/>
      <c r="P8343" s="199"/>
    </row>
    <row r="8344" spans="7:16" x14ac:dyDescent="0.2">
      <c r="G8344" s="199"/>
      <c r="I8344" s="199"/>
      <c r="K8344" s="199"/>
      <c r="M8344" s="199"/>
      <c r="N8344" s="200"/>
      <c r="P8344" s="199"/>
    </row>
    <row r="8345" spans="7:16" x14ac:dyDescent="0.2">
      <c r="G8345" s="199"/>
      <c r="I8345" s="199"/>
      <c r="K8345" s="199"/>
      <c r="M8345" s="199"/>
      <c r="N8345" s="200"/>
      <c r="P8345" s="199"/>
    </row>
    <row r="8346" spans="7:16" x14ac:dyDescent="0.2">
      <c r="G8346" s="199"/>
      <c r="I8346" s="199"/>
      <c r="K8346" s="199"/>
      <c r="M8346" s="199"/>
      <c r="N8346" s="200"/>
      <c r="P8346" s="199"/>
    </row>
    <row r="8347" spans="7:16" x14ac:dyDescent="0.2">
      <c r="G8347" s="199"/>
      <c r="I8347" s="199"/>
      <c r="K8347" s="199"/>
      <c r="M8347" s="199"/>
      <c r="N8347" s="200"/>
      <c r="P8347" s="199"/>
    </row>
    <row r="8348" spans="7:16" x14ac:dyDescent="0.2">
      <c r="G8348" s="199"/>
      <c r="I8348" s="199"/>
      <c r="K8348" s="199"/>
      <c r="M8348" s="199"/>
      <c r="N8348" s="200"/>
      <c r="P8348" s="199"/>
    </row>
    <row r="8349" spans="7:16" x14ac:dyDescent="0.2">
      <c r="G8349" s="199"/>
      <c r="I8349" s="199"/>
      <c r="K8349" s="199"/>
      <c r="M8349" s="199"/>
      <c r="N8349" s="200"/>
      <c r="P8349" s="199"/>
    </row>
    <row r="8350" spans="7:16" x14ac:dyDescent="0.2">
      <c r="G8350" s="199"/>
      <c r="I8350" s="199"/>
      <c r="K8350" s="199"/>
      <c r="M8350" s="199"/>
      <c r="N8350" s="200"/>
      <c r="P8350" s="199"/>
    </row>
    <row r="8351" spans="7:16" x14ac:dyDescent="0.2">
      <c r="G8351" s="199"/>
      <c r="I8351" s="199"/>
      <c r="K8351" s="199"/>
      <c r="M8351" s="199"/>
      <c r="N8351" s="200"/>
      <c r="P8351" s="199"/>
    </row>
    <row r="8352" spans="7:16" x14ac:dyDescent="0.2">
      <c r="G8352" s="199"/>
      <c r="I8352" s="199"/>
      <c r="K8352" s="199"/>
      <c r="M8352" s="199"/>
      <c r="N8352" s="200"/>
      <c r="P8352" s="199"/>
    </row>
    <row r="8353" spans="7:16" x14ac:dyDescent="0.2">
      <c r="G8353" s="199"/>
      <c r="I8353" s="199"/>
      <c r="K8353" s="199"/>
      <c r="M8353" s="199"/>
      <c r="N8353" s="200"/>
      <c r="P8353" s="199"/>
    </row>
    <row r="8354" spans="7:16" x14ac:dyDescent="0.2">
      <c r="G8354" s="199"/>
      <c r="I8354" s="199"/>
      <c r="K8354" s="199"/>
      <c r="M8354" s="199"/>
      <c r="N8354" s="200"/>
      <c r="P8354" s="199"/>
    </row>
    <row r="8355" spans="7:16" x14ac:dyDescent="0.2">
      <c r="G8355" s="199"/>
      <c r="I8355" s="199"/>
      <c r="K8355" s="199"/>
      <c r="M8355" s="199"/>
      <c r="N8355" s="200"/>
      <c r="P8355" s="199"/>
    </row>
    <row r="8356" spans="7:16" x14ac:dyDescent="0.2">
      <c r="G8356" s="199"/>
      <c r="I8356" s="199"/>
      <c r="K8356" s="199"/>
      <c r="M8356" s="199"/>
      <c r="N8356" s="200"/>
      <c r="P8356" s="199"/>
    </row>
    <row r="8357" spans="7:16" x14ac:dyDescent="0.2">
      <c r="G8357" s="199"/>
      <c r="I8357" s="199"/>
      <c r="K8357" s="199"/>
      <c r="M8357" s="199"/>
      <c r="N8357" s="200"/>
      <c r="P8357" s="199"/>
    </row>
    <row r="8358" spans="7:16" x14ac:dyDescent="0.2">
      <c r="G8358" s="199"/>
      <c r="I8358" s="199"/>
      <c r="K8358" s="199"/>
      <c r="M8358" s="199"/>
      <c r="N8358" s="200"/>
      <c r="P8358" s="199"/>
    </row>
    <row r="8359" spans="7:16" x14ac:dyDescent="0.2">
      <c r="G8359" s="199"/>
      <c r="I8359" s="199"/>
      <c r="K8359" s="199"/>
      <c r="M8359" s="199"/>
      <c r="N8359" s="200"/>
      <c r="P8359" s="199"/>
    </row>
    <row r="8360" spans="7:16" x14ac:dyDescent="0.2">
      <c r="G8360" s="199"/>
      <c r="I8360" s="199"/>
      <c r="K8360" s="199"/>
      <c r="M8360" s="199"/>
      <c r="N8360" s="200"/>
      <c r="P8360" s="199"/>
    </row>
    <row r="8361" spans="7:16" x14ac:dyDescent="0.2">
      <c r="G8361" s="199"/>
      <c r="I8361" s="199"/>
      <c r="K8361" s="199"/>
      <c r="M8361" s="199"/>
      <c r="N8361" s="200"/>
      <c r="P8361" s="199"/>
    </row>
    <row r="8362" spans="7:16" x14ac:dyDescent="0.2">
      <c r="G8362" s="199"/>
      <c r="I8362" s="199"/>
      <c r="K8362" s="199"/>
      <c r="M8362" s="199"/>
      <c r="N8362" s="200"/>
      <c r="P8362" s="199"/>
    </row>
    <row r="8363" spans="7:16" x14ac:dyDescent="0.2">
      <c r="G8363" s="199"/>
      <c r="I8363" s="199"/>
      <c r="K8363" s="199"/>
      <c r="M8363" s="199"/>
      <c r="N8363" s="200"/>
      <c r="P8363" s="199"/>
    </row>
    <row r="8364" spans="7:16" x14ac:dyDescent="0.2">
      <c r="G8364" s="199"/>
      <c r="I8364" s="199"/>
      <c r="K8364" s="199"/>
      <c r="M8364" s="199"/>
      <c r="N8364" s="200"/>
      <c r="P8364" s="199"/>
    </row>
    <row r="8365" spans="7:16" x14ac:dyDescent="0.2">
      <c r="G8365" s="199"/>
      <c r="I8365" s="199"/>
      <c r="K8365" s="199"/>
      <c r="M8365" s="199"/>
      <c r="N8365" s="200"/>
      <c r="P8365" s="199"/>
    </row>
    <row r="8366" spans="7:16" x14ac:dyDescent="0.2">
      <c r="G8366" s="199"/>
      <c r="I8366" s="199"/>
      <c r="K8366" s="199"/>
      <c r="M8366" s="199"/>
      <c r="N8366" s="200"/>
      <c r="P8366" s="199"/>
    </row>
    <row r="8367" spans="7:16" x14ac:dyDescent="0.2">
      <c r="G8367" s="199"/>
      <c r="I8367" s="199"/>
      <c r="K8367" s="199"/>
      <c r="M8367" s="199"/>
      <c r="N8367" s="200"/>
      <c r="P8367" s="199"/>
    </row>
    <row r="8368" spans="7:16" x14ac:dyDescent="0.2">
      <c r="G8368" s="199"/>
      <c r="I8368" s="199"/>
      <c r="K8368" s="199"/>
      <c r="M8368" s="199"/>
      <c r="N8368" s="200"/>
      <c r="P8368" s="199"/>
    </row>
    <row r="8369" spans="7:16" x14ac:dyDescent="0.2">
      <c r="G8369" s="199"/>
      <c r="I8369" s="199"/>
      <c r="K8369" s="199"/>
      <c r="M8369" s="199"/>
      <c r="N8369" s="200"/>
      <c r="P8369" s="199"/>
    </row>
    <row r="8370" spans="7:16" x14ac:dyDescent="0.2">
      <c r="G8370" s="199"/>
      <c r="I8370" s="199"/>
      <c r="K8370" s="199"/>
      <c r="M8370" s="199"/>
      <c r="N8370" s="200"/>
      <c r="P8370" s="199"/>
    </row>
    <row r="8371" spans="7:16" x14ac:dyDescent="0.2">
      <c r="G8371" s="199"/>
      <c r="I8371" s="199"/>
      <c r="K8371" s="199"/>
      <c r="M8371" s="199"/>
      <c r="N8371" s="200"/>
      <c r="P8371" s="199"/>
    </row>
    <row r="8372" spans="7:16" x14ac:dyDescent="0.2">
      <c r="G8372" s="199"/>
      <c r="I8372" s="199"/>
      <c r="K8372" s="199"/>
      <c r="M8372" s="199"/>
      <c r="N8372" s="200"/>
      <c r="P8372" s="199"/>
    </row>
    <row r="8373" spans="7:16" x14ac:dyDescent="0.2">
      <c r="G8373" s="199"/>
      <c r="I8373" s="199"/>
      <c r="K8373" s="199"/>
      <c r="M8373" s="199"/>
      <c r="N8373" s="200"/>
      <c r="P8373" s="199"/>
    </row>
    <row r="8374" spans="7:16" x14ac:dyDescent="0.2">
      <c r="G8374" s="199"/>
      <c r="I8374" s="199"/>
      <c r="K8374" s="199"/>
      <c r="M8374" s="199"/>
      <c r="N8374" s="200"/>
      <c r="P8374" s="199"/>
    </row>
    <row r="8375" spans="7:16" x14ac:dyDescent="0.2">
      <c r="G8375" s="199"/>
      <c r="I8375" s="199"/>
      <c r="K8375" s="199"/>
      <c r="M8375" s="199"/>
      <c r="N8375" s="200"/>
      <c r="P8375" s="199"/>
    </row>
    <row r="8376" spans="7:16" x14ac:dyDescent="0.2">
      <c r="G8376" s="199"/>
      <c r="I8376" s="199"/>
      <c r="K8376" s="199"/>
      <c r="M8376" s="199"/>
      <c r="N8376" s="200"/>
      <c r="P8376" s="199"/>
    </row>
    <row r="8377" spans="7:16" x14ac:dyDescent="0.2">
      <c r="G8377" s="199"/>
      <c r="I8377" s="199"/>
      <c r="K8377" s="199"/>
      <c r="M8377" s="199"/>
      <c r="N8377" s="200"/>
      <c r="P8377" s="199"/>
    </row>
    <row r="8378" spans="7:16" x14ac:dyDescent="0.2">
      <c r="G8378" s="199"/>
      <c r="I8378" s="199"/>
      <c r="K8378" s="199"/>
      <c r="M8378" s="199"/>
      <c r="N8378" s="200"/>
      <c r="P8378" s="199"/>
    </row>
    <row r="8379" spans="7:16" x14ac:dyDescent="0.2">
      <c r="G8379" s="199"/>
      <c r="I8379" s="199"/>
      <c r="K8379" s="199"/>
      <c r="M8379" s="199"/>
      <c r="N8379" s="200"/>
      <c r="P8379" s="199"/>
    </row>
    <row r="8380" spans="7:16" x14ac:dyDescent="0.2">
      <c r="G8380" s="199"/>
      <c r="I8380" s="199"/>
      <c r="K8380" s="199"/>
      <c r="M8380" s="199"/>
      <c r="N8380" s="200"/>
      <c r="P8380" s="199"/>
    </row>
    <row r="8381" spans="7:16" x14ac:dyDescent="0.2">
      <c r="G8381" s="199"/>
      <c r="I8381" s="199"/>
      <c r="K8381" s="199"/>
      <c r="M8381" s="199"/>
      <c r="N8381" s="200"/>
      <c r="P8381" s="199"/>
    </row>
    <row r="8382" spans="7:16" x14ac:dyDescent="0.2">
      <c r="G8382" s="199"/>
      <c r="I8382" s="199"/>
      <c r="K8382" s="199"/>
      <c r="M8382" s="199"/>
      <c r="N8382" s="200"/>
      <c r="P8382" s="199"/>
    </row>
    <row r="8383" spans="7:16" x14ac:dyDescent="0.2">
      <c r="G8383" s="199"/>
      <c r="I8383" s="199"/>
      <c r="K8383" s="199"/>
      <c r="M8383" s="199"/>
      <c r="N8383" s="200"/>
      <c r="P8383" s="199"/>
    </row>
    <row r="8384" spans="7:16" x14ac:dyDescent="0.2">
      <c r="G8384" s="199"/>
      <c r="I8384" s="199"/>
      <c r="K8384" s="199"/>
      <c r="M8384" s="199"/>
      <c r="N8384" s="200"/>
      <c r="P8384" s="199"/>
    </row>
    <row r="8385" spans="7:16" x14ac:dyDescent="0.2">
      <c r="G8385" s="199"/>
      <c r="I8385" s="199"/>
      <c r="K8385" s="199"/>
      <c r="M8385" s="199"/>
      <c r="N8385" s="200"/>
      <c r="P8385" s="199"/>
    </row>
    <row r="8386" spans="7:16" x14ac:dyDescent="0.2">
      <c r="G8386" s="199"/>
      <c r="I8386" s="199"/>
      <c r="K8386" s="199"/>
      <c r="M8386" s="199"/>
      <c r="N8386" s="200"/>
      <c r="P8386" s="199"/>
    </row>
    <row r="8387" spans="7:16" x14ac:dyDescent="0.2">
      <c r="G8387" s="199"/>
      <c r="I8387" s="199"/>
      <c r="K8387" s="199"/>
      <c r="M8387" s="199"/>
      <c r="N8387" s="200"/>
      <c r="P8387" s="199"/>
    </row>
    <row r="8388" spans="7:16" x14ac:dyDescent="0.2">
      <c r="G8388" s="199"/>
      <c r="I8388" s="199"/>
      <c r="K8388" s="199"/>
      <c r="M8388" s="199"/>
      <c r="N8388" s="200"/>
      <c r="P8388" s="199"/>
    </row>
    <row r="8389" spans="7:16" x14ac:dyDescent="0.2">
      <c r="G8389" s="199"/>
      <c r="I8389" s="199"/>
      <c r="K8389" s="199"/>
      <c r="M8389" s="199"/>
      <c r="N8389" s="200"/>
      <c r="P8389" s="199"/>
    </row>
    <row r="8390" spans="7:16" x14ac:dyDescent="0.2">
      <c r="G8390" s="199"/>
      <c r="I8390" s="199"/>
      <c r="K8390" s="199"/>
      <c r="M8390" s="199"/>
      <c r="N8390" s="200"/>
      <c r="P8390" s="199"/>
    </row>
    <row r="8391" spans="7:16" x14ac:dyDescent="0.2">
      <c r="G8391" s="199"/>
      <c r="I8391" s="199"/>
      <c r="K8391" s="199"/>
      <c r="M8391" s="199"/>
      <c r="N8391" s="200"/>
      <c r="P8391" s="199"/>
    </row>
    <row r="8392" spans="7:16" x14ac:dyDescent="0.2">
      <c r="G8392" s="199"/>
      <c r="I8392" s="199"/>
      <c r="K8392" s="199"/>
      <c r="M8392" s="199"/>
      <c r="N8392" s="200"/>
      <c r="P8392" s="199"/>
    </row>
    <row r="8393" spans="7:16" x14ac:dyDescent="0.2">
      <c r="G8393" s="199"/>
      <c r="I8393" s="199"/>
      <c r="K8393" s="199"/>
      <c r="M8393" s="199"/>
      <c r="N8393" s="200"/>
      <c r="P8393" s="199"/>
    </row>
    <row r="8394" spans="7:16" x14ac:dyDescent="0.2">
      <c r="G8394" s="199"/>
      <c r="I8394" s="199"/>
      <c r="K8394" s="199"/>
      <c r="M8394" s="199"/>
      <c r="N8394" s="200"/>
      <c r="P8394" s="199"/>
    </row>
    <row r="8395" spans="7:16" x14ac:dyDescent="0.2">
      <c r="G8395" s="199"/>
      <c r="I8395" s="199"/>
      <c r="K8395" s="199"/>
      <c r="M8395" s="199"/>
      <c r="N8395" s="200"/>
      <c r="P8395" s="199"/>
    </row>
    <row r="8396" spans="7:16" x14ac:dyDescent="0.2">
      <c r="G8396" s="199"/>
      <c r="I8396" s="199"/>
      <c r="K8396" s="199"/>
      <c r="M8396" s="199"/>
      <c r="N8396" s="200"/>
      <c r="P8396" s="199"/>
    </row>
    <row r="8397" spans="7:16" x14ac:dyDescent="0.2">
      <c r="G8397" s="199"/>
      <c r="I8397" s="199"/>
      <c r="K8397" s="199"/>
      <c r="M8397" s="199"/>
      <c r="N8397" s="200"/>
      <c r="P8397" s="199"/>
    </row>
    <row r="8398" spans="7:16" x14ac:dyDescent="0.2">
      <c r="G8398" s="199"/>
      <c r="I8398" s="199"/>
      <c r="K8398" s="199"/>
      <c r="M8398" s="199"/>
      <c r="N8398" s="200"/>
      <c r="P8398" s="199"/>
    </row>
    <row r="8399" spans="7:16" x14ac:dyDescent="0.2">
      <c r="G8399" s="199"/>
      <c r="I8399" s="199"/>
      <c r="K8399" s="199"/>
      <c r="M8399" s="199"/>
      <c r="N8399" s="200"/>
      <c r="P8399" s="199"/>
    </row>
    <row r="8400" spans="7:16" x14ac:dyDescent="0.2">
      <c r="G8400" s="199"/>
      <c r="I8400" s="199"/>
      <c r="K8400" s="199"/>
      <c r="M8400" s="199"/>
      <c r="N8400" s="200"/>
      <c r="P8400" s="199"/>
    </row>
    <row r="8401" spans="7:16" x14ac:dyDescent="0.2">
      <c r="G8401" s="199"/>
      <c r="I8401" s="199"/>
      <c r="K8401" s="199"/>
      <c r="M8401" s="199"/>
      <c r="N8401" s="200"/>
      <c r="P8401" s="199"/>
    </row>
    <row r="8402" spans="7:16" x14ac:dyDescent="0.2">
      <c r="G8402" s="199"/>
      <c r="I8402" s="199"/>
      <c r="K8402" s="199"/>
      <c r="M8402" s="199"/>
      <c r="N8402" s="200"/>
      <c r="P8402" s="199"/>
    </row>
    <row r="8403" spans="7:16" x14ac:dyDescent="0.2">
      <c r="G8403" s="199"/>
      <c r="I8403" s="199"/>
      <c r="K8403" s="199"/>
      <c r="M8403" s="199"/>
      <c r="N8403" s="200"/>
      <c r="P8403" s="199"/>
    </row>
    <row r="8404" spans="7:16" x14ac:dyDescent="0.2">
      <c r="G8404" s="199"/>
      <c r="I8404" s="199"/>
      <c r="K8404" s="199"/>
      <c r="M8404" s="199"/>
      <c r="N8404" s="200"/>
      <c r="P8404" s="199"/>
    </row>
    <row r="8405" spans="7:16" x14ac:dyDescent="0.2">
      <c r="G8405" s="199"/>
      <c r="I8405" s="199"/>
      <c r="K8405" s="199"/>
      <c r="M8405" s="199"/>
      <c r="N8405" s="200"/>
      <c r="P8405" s="199"/>
    </row>
    <row r="8406" spans="7:16" x14ac:dyDescent="0.2">
      <c r="G8406" s="199"/>
      <c r="I8406" s="199"/>
      <c r="K8406" s="199"/>
      <c r="M8406" s="199"/>
      <c r="N8406" s="200"/>
      <c r="P8406" s="199"/>
    </row>
    <row r="8407" spans="7:16" x14ac:dyDescent="0.2">
      <c r="G8407" s="199"/>
      <c r="I8407" s="199"/>
      <c r="K8407" s="199"/>
      <c r="M8407" s="199"/>
      <c r="N8407" s="200"/>
      <c r="P8407" s="199"/>
    </row>
    <row r="8408" spans="7:16" x14ac:dyDescent="0.2">
      <c r="G8408" s="199"/>
      <c r="I8408" s="199"/>
      <c r="K8408" s="199"/>
      <c r="M8408" s="199"/>
      <c r="N8408" s="200"/>
      <c r="P8408" s="199"/>
    </row>
    <row r="8409" spans="7:16" x14ac:dyDescent="0.2">
      <c r="G8409" s="199"/>
      <c r="I8409" s="199"/>
      <c r="K8409" s="199"/>
      <c r="M8409" s="199"/>
      <c r="N8409" s="200"/>
      <c r="P8409" s="199"/>
    </row>
    <row r="8410" spans="7:16" x14ac:dyDescent="0.2">
      <c r="G8410" s="199"/>
      <c r="I8410" s="199"/>
      <c r="K8410" s="199"/>
      <c r="M8410" s="199"/>
      <c r="N8410" s="200"/>
      <c r="P8410" s="199"/>
    </row>
    <row r="8411" spans="7:16" x14ac:dyDescent="0.2">
      <c r="G8411" s="199"/>
      <c r="I8411" s="199"/>
      <c r="K8411" s="199"/>
      <c r="M8411" s="199"/>
      <c r="N8411" s="200"/>
      <c r="P8411" s="199"/>
    </row>
    <row r="8412" spans="7:16" x14ac:dyDescent="0.2">
      <c r="G8412" s="199"/>
      <c r="I8412" s="199"/>
      <c r="K8412" s="199"/>
      <c r="M8412" s="199"/>
      <c r="N8412" s="200"/>
      <c r="P8412" s="199"/>
    </row>
    <row r="8413" spans="7:16" x14ac:dyDescent="0.2">
      <c r="G8413" s="199"/>
      <c r="I8413" s="199"/>
      <c r="K8413" s="199"/>
      <c r="M8413" s="199"/>
      <c r="N8413" s="200"/>
      <c r="P8413" s="199"/>
    </row>
    <row r="8414" spans="7:16" x14ac:dyDescent="0.2">
      <c r="G8414" s="199"/>
      <c r="I8414" s="199"/>
      <c r="K8414" s="199"/>
      <c r="M8414" s="199"/>
      <c r="N8414" s="200"/>
      <c r="P8414" s="199"/>
    </row>
    <row r="8415" spans="7:16" x14ac:dyDescent="0.2">
      <c r="G8415" s="199"/>
      <c r="I8415" s="199"/>
      <c r="K8415" s="199"/>
      <c r="M8415" s="199"/>
      <c r="N8415" s="200"/>
      <c r="P8415" s="199"/>
    </row>
    <row r="8416" spans="7:16" x14ac:dyDescent="0.2">
      <c r="G8416" s="199"/>
      <c r="I8416" s="199"/>
      <c r="K8416" s="199"/>
      <c r="M8416" s="199"/>
      <c r="N8416" s="200"/>
      <c r="P8416" s="199"/>
    </row>
    <row r="8417" spans="7:16" x14ac:dyDescent="0.2">
      <c r="G8417" s="199"/>
      <c r="I8417" s="199"/>
      <c r="K8417" s="199"/>
      <c r="M8417" s="199"/>
      <c r="N8417" s="200"/>
      <c r="P8417" s="199"/>
    </row>
    <row r="8418" spans="7:16" x14ac:dyDescent="0.2">
      <c r="G8418" s="199"/>
      <c r="I8418" s="199"/>
      <c r="K8418" s="199"/>
      <c r="M8418" s="199"/>
      <c r="N8418" s="200"/>
      <c r="P8418" s="199"/>
    </row>
    <row r="8419" spans="7:16" x14ac:dyDescent="0.2">
      <c r="G8419" s="199"/>
      <c r="I8419" s="199"/>
      <c r="K8419" s="199"/>
      <c r="M8419" s="199"/>
      <c r="N8419" s="200"/>
      <c r="P8419" s="199"/>
    </row>
    <row r="8420" spans="7:16" x14ac:dyDescent="0.2">
      <c r="G8420" s="199"/>
      <c r="I8420" s="199"/>
      <c r="K8420" s="199"/>
      <c r="M8420" s="199"/>
      <c r="N8420" s="200"/>
      <c r="P8420" s="199"/>
    </row>
    <row r="8421" spans="7:16" x14ac:dyDescent="0.2">
      <c r="G8421" s="199"/>
      <c r="I8421" s="199"/>
      <c r="K8421" s="199"/>
      <c r="M8421" s="199"/>
      <c r="N8421" s="200"/>
      <c r="P8421" s="199"/>
    </row>
    <row r="8422" spans="7:16" x14ac:dyDescent="0.2">
      <c r="G8422" s="199"/>
      <c r="I8422" s="199"/>
      <c r="K8422" s="199"/>
      <c r="M8422" s="199"/>
      <c r="N8422" s="200"/>
      <c r="P8422" s="199"/>
    </row>
    <row r="8423" spans="7:16" x14ac:dyDescent="0.2">
      <c r="G8423" s="199"/>
      <c r="I8423" s="199"/>
      <c r="K8423" s="199"/>
      <c r="M8423" s="199"/>
      <c r="N8423" s="200"/>
      <c r="P8423" s="199"/>
    </row>
    <row r="8424" spans="7:16" x14ac:dyDescent="0.2">
      <c r="G8424" s="199"/>
      <c r="I8424" s="199"/>
      <c r="K8424" s="199"/>
      <c r="M8424" s="199"/>
      <c r="N8424" s="200"/>
      <c r="P8424" s="199"/>
    </row>
    <row r="8425" spans="7:16" x14ac:dyDescent="0.2">
      <c r="G8425" s="199"/>
      <c r="I8425" s="199"/>
      <c r="K8425" s="199"/>
      <c r="M8425" s="199"/>
      <c r="N8425" s="200"/>
      <c r="P8425" s="199"/>
    </row>
    <row r="8426" spans="7:16" x14ac:dyDescent="0.2">
      <c r="G8426" s="199"/>
      <c r="I8426" s="199"/>
      <c r="K8426" s="199"/>
      <c r="M8426" s="199"/>
      <c r="N8426" s="200"/>
      <c r="P8426" s="199"/>
    </row>
    <row r="8427" spans="7:16" x14ac:dyDescent="0.2">
      <c r="G8427" s="199"/>
      <c r="I8427" s="199"/>
      <c r="K8427" s="199"/>
      <c r="M8427" s="199"/>
      <c r="N8427" s="200"/>
      <c r="P8427" s="199"/>
    </row>
    <row r="8428" spans="7:16" x14ac:dyDescent="0.2">
      <c r="G8428" s="199"/>
      <c r="I8428" s="199"/>
      <c r="K8428" s="199"/>
      <c r="M8428" s="199"/>
      <c r="N8428" s="200"/>
      <c r="P8428" s="199"/>
    </row>
    <row r="8429" spans="7:16" x14ac:dyDescent="0.2">
      <c r="G8429" s="199"/>
      <c r="I8429" s="199"/>
      <c r="K8429" s="199"/>
      <c r="M8429" s="199"/>
      <c r="N8429" s="200"/>
      <c r="P8429" s="199"/>
    </row>
    <row r="8430" spans="7:16" x14ac:dyDescent="0.2">
      <c r="G8430" s="199"/>
      <c r="I8430" s="199"/>
      <c r="K8430" s="199"/>
      <c r="M8430" s="199"/>
      <c r="N8430" s="200"/>
      <c r="P8430" s="199"/>
    </row>
    <row r="8431" spans="7:16" x14ac:dyDescent="0.2">
      <c r="G8431" s="199"/>
      <c r="I8431" s="199"/>
      <c r="K8431" s="199"/>
      <c r="M8431" s="199"/>
      <c r="N8431" s="200"/>
      <c r="P8431" s="199"/>
    </row>
    <row r="8432" spans="7:16" x14ac:dyDescent="0.2">
      <c r="G8432" s="199"/>
      <c r="I8432" s="199"/>
      <c r="K8432" s="199"/>
      <c r="M8432" s="199"/>
      <c r="N8432" s="200"/>
      <c r="P8432" s="199"/>
    </row>
    <row r="8433" spans="7:16" x14ac:dyDescent="0.2">
      <c r="G8433" s="199"/>
      <c r="I8433" s="199"/>
      <c r="K8433" s="199"/>
      <c r="M8433" s="199"/>
      <c r="N8433" s="200"/>
      <c r="P8433" s="199"/>
    </row>
    <row r="8434" spans="7:16" x14ac:dyDescent="0.2">
      <c r="G8434" s="199"/>
      <c r="I8434" s="199"/>
      <c r="K8434" s="199"/>
      <c r="M8434" s="199"/>
      <c r="N8434" s="200"/>
      <c r="P8434" s="199"/>
    </row>
    <row r="8435" spans="7:16" x14ac:dyDescent="0.2">
      <c r="G8435" s="199"/>
      <c r="I8435" s="199"/>
      <c r="K8435" s="199"/>
      <c r="M8435" s="199"/>
      <c r="N8435" s="200"/>
      <c r="P8435" s="199"/>
    </row>
    <row r="8436" spans="7:16" x14ac:dyDescent="0.2">
      <c r="G8436" s="199"/>
      <c r="I8436" s="199"/>
      <c r="K8436" s="199"/>
      <c r="M8436" s="199"/>
      <c r="N8436" s="200"/>
      <c r="P8436" s="199"/>
    </row>
    <row r="8437" spans="7:16" x14ac:dyDescent="0.2">
      <c r="G8437" s="199"/>
      <c r="I8437" s="199"/>
      <c r="K8437" s="199"/>
      <c r="M8437" s="199"/>
      <c r="N8437" s="200"/>
      <c r="P8437" s="199"/>
    </row>
    <row r="8438" spans="7:16" x14ac:dyDescent="0.2">
      <c r="G8438" s="199"/>
      <c r="I8438" s="199"/>
      <c r="K8438" s="199"/>
      <c r="M8438" s="199"/>
      <c r="N8438" s="200"/>
      <c r="P8438" s="199"/>
    </row>
    <row r="8439" spans="7:16" x14ac:dyDescent="0.2">
      <c r="G8439" s="199"/>
      <c r="I8439" s="199"/>
      <c r="K8439" s="199"/>
      <c r="M8439" s="199"/>
      <c r="N8439" s="200"/>
      <c r="P8439" s="199"/>
    </row>
    <row r="8440" spans="7:16" x14ac:dyDescent="0.2">
      <c r="G8440" s="199"/>
      <c r="I8440" s="199"/>
      <c r="K8440" s="199"/>
      <c r="M8440" s="199"/>
      <c r="N8440" s="200"/>
      <c r="P8440" s="199"/>
    </row>
    <row r="8441" spans="7:16" x14ac:dyDescent="0.2">
      <c r="G8441" s="199"/>
      <c r="I8441" s="199"/>
      <c r="K8441" s="199"/>
      <c r="M8441" s="199"/>
      <c r="N8441" s="200"/>
      <c r="P8441" s="199"/>
    </row>
    <row r="8442" spans="7:16" x14ac:dyDescent="0.2">
      <c r="G8442" s="199"/>
      <c r="I8442" s="199"/>
      <c r="K8442" s="199"/>
      <c r="M8442" s="199"/>
      <c r="N8442" s="200"/>
      <c r="P8442" s="199"/>
    </row>
    <row r="8443" spans="7:16" x14ac:dyDescent="0.2">
      <c r="G8443" s="199"/>
      <c r="I8443" s="199"/>
      <c r="K8443" s="199"/>
      <c r="M8443" s="199"/>
      <c r="N8443" s="200"/>
      <c r="P8443" s="199"/>
    </row>
    <row r="8444" spans="7:16" x14ac:dyDescent="0.2">
      <c r="G8444" s="199"/>
      <c r="I8444" s="199"/>
      <c r="K8444" s="199"/>
      <c r="M8444" s="199"/>
      <c r="N8444" s="200"/>
      <c r="P8444" s="199"/>
    </row>
    <row r="8445" spans="7:16" x14ac:dyDescent="0.2">
      <c r="G8445" s="199"/>
      <c r="I8445" s="199"/>
      <c r="K8445" s="199"/>
      <c r="M8445" s="199"/>
      <c r="N8445" s="200"/>
      <c r="P8445" s="199"/>
    </row>
    <row r="8446" spans="7:16" x14ac:dyDescent="0.2">
      <c r="G8446" s="199"/>
      <c r="I8446" s="199"/>
      <c r="K8446" s="199"/>
      <c r="M8446" s="199"/>
      <c r="N8446" s="200"/>
      <c r="P8446" s="199"/>
    </row>
    <row r="8447" spans="7:16" x14ac:dyDescent="0.2">
      <c r="G8447" s="199"/>
      <c r="I8447" s="199"/>
      <c r="K8447" s="199"/>
      <c r="M8447" s="199"/>
      <c r="N8447" s="200"/>
      <c r="P8447" s="199"/>
    </row>
    <row r="8448" spans="7:16" x14ac:dyDescent="0.2">
      <c r="G8448" s="199"/>
      <c r="I8448" s="199"/>
      <c r="K8448" s="199"/>
      <c r="M8448" s="199"/>
      <c r="N8448" s="200"/>
      <c r="P8448" s="199"/>
    </row>
    <row r="8449" spans="7:16" x14ac:dyDescent="0.2">
      <c r="G8449" s="199"/>
      <c r="I8449" s="199"/>
      <c r="K8449" s="199"/>
      <c r="M8449" s="199"/>
      <c r="N8449" s="200"/>
      <c r="P8449" s="199"/>
    </row>
    <row r="8450" spans="7:16" x14ac:dyDescent="0.2">
      <c r="G8450" s="199"/>
      <c r="I8450" s="199"/>
      <c r="K8450" s="199"/>
      <c r="M8450" s="199"/>
      <c r="N8450" s="200"/>
      <c r="P8450" s="199"/>
    </row>
    <row r="8451" spans="7:16" x14ac:dyDescent="0.2">
      <c r="G8451" s="199"/>
      <c r="I8451" s="199"/>
      <c r="K8451" s="199"/>
      <c r="M8451" s="199"/>
      <c r="N8451" s="200"/>
      <c r="P8451" s="199"/>
    </row>
    <row r="8452" spans="7:16" x14ac:dyDescent="0.2">
      <c r="G8452" s="199"/>
      <c r="I8452" s="199"/>
      <c r="K8452" s="199"/>
      <c r="M8452" s="199"/>
      <c r="N8452" s="200"/>
      <c r="P8452" s="199"/>
    </row>
    <row r="8453" spans="7:16" x14ac:dyDescent="0.2">
      <c r="G8453" s="199"/>
      <c r="I8453" s="199"/>
      <c r="K8453" s="199"/>
      <c r="M8453" s="199"/>
      <c r="N8453" s="200"/>
      <c r="P8453" s="199"/>
    </row>
    <row r="8454" spans="7:16" x14ac:dyDescent="0.2">
      <c r="G8454" s="199"/>
      <c r="I8454" s="199"/>
      <c r="K8454" s="199"/>
      <c r="M8454" s="199"/>
      <c r="N8454" s="200"/>
      <c r="P8454" s="199"/>
    </row>
    <row r="8455" spans="7:16" x14ac:dyDescent="0.2">
      <c r="G8455" s="199"/>
      <c r="I8455" s="199"/>
      <c r="K8455" s="199"/>
      <c r="M8455" s="199"/>
      <c r="N8455" s="200"/>
      <c r="P8455" s="199"/>
    </row>
    <row r="8456" spans="7:16" x14ac:dyDescent="0.2">
      <c r="G8456" s="199"/>
      <c r="I8456" s="199"/>
      <c r="K8456" s="199"/>
      <c r="M8456" s="199"/>
      <c r="N8456" s="200"/>
      <c r="P8456" s="199"/>
    </row>
    <row r="8457" spans="7:16" x14ac:dyDescent="0.2">
      <c r="G8457" s="199"/>
      <c r="I8457" s="199"/>
      <c r="K8457" s="199"/>
      <c r="M8457" s="199"/>
      <c r="N8457" s="200"/>
      <c r="P8457" s="199"/>
    </row>
    <row r="8458" spans="7:16" x14ac:dyDescent="0.2">
      <c r="G8458" s="199"/>
      <c r="I8458" s="199"/>
      <c r="K8458" s="199"/>
      <c r="M8458" s="199"/>
      <c r="N8458" s="200"/>
      <c r="P8458" s="199"/>
    </row>
    <row r="8459" spans="7:16" x14ac:dyDescent="0.2">
      <c r="G8459" s="199"/>
      <c r="I8459" s="199"/>
      <c r="K8459" s="199"/>
      <c r="M8459" s="199"/>
      <c r="N8459" s="200"/>
      <c r="P8459" s="199"/>
    </row>
    <row r="8460" spans="7:16" x14ac:dyDescent="0.2">
      <c r="G8460" s="199"/>
      <c r="I8460" s="199"/>
      <c r="K8460" s="199"/>
      <c r="M8460" s="199"/>
      <c r="N8460" s="200"/>
      <c r="P8460" s="199"/>
    </row>
    <row r="8461" spans="7:16" x14ac:dyDescent="0.2">
      <c r="G8461" s="199"/>
      <c r="I8461" s="199"/>
      <c r="K8461" s="199"/>
      <c r="M8461" s="199"/>
      <c r="N8461" s="200"/>
      <c r="P8461" s="199"/>
    </row>
    <row r="8462" spans="7:16" x14ac:dyDescent="0.2">
      <c r="G8462" s="199"/>
      <c r="I8462" s="199"/>
      <c r="K8462" s="199"/>
      <c r="M8462" s="199"/>
      <c r="N8462" s="200"/>
      <c r="P8462" s="199"/>
    </row>
    <row r="8463" spans="7:16" x14ac:dyDescent="0.2">
      <c r="G8463" s="199"/>
      <c r="I8463" s="199"/>
      <c r="K8463" s="199"/>
      <c r="M8463" s="199"/>
      <c r="N8463" s="200"/>
      <c r="P8463" s="199"/>
    </row>
    <row r="8464" spans="7:16" x14ac:dyDescent="0.2">
      <c r="G8464" s="199"/>
      <c r="I8464" s="199"/>
      <c r="K8464" s="199"/>
      <c r="M8464" s="199"/>
      <c r="N8464" s="200"/>
      <c r="P8464" s="199"/>
    </row>
    <row r="8465" spans="7:16" x14ac:dyDescent="0.2">
      <c r="G8465" s="199"/>
      <c r="I8465" s="199"/>
      <c r="K8465" s="199"/>
      <c r="M8465" s="199"/>
      <c r="N8465" s="200"/>
      <c r="P8465" s="199"/>
    </row>
    <row r="8466" spans="7:16" x14ac:dyDescent="0.2">
      <c r="G8466" s="199"/>
      <c r="I8466" s="199"/>
      <c r="K8466" s="199"/>
      <c r="M8466" s="199"/>
      <c r="N8466" s="200"/>
      <c r="P8466" s="199"/>
    </row>
    <row r="8467" spans="7:16" x14ac:dyDescent="0.2">
      <c r="G8467" s="199"/>
      <c r="I8467" s="199"/>
      <c r="K8467" s="199"/>
      <c r="M8467" s="199"/>
      <c r="N8467" s="200"/>
      <c r="P8467" s="199"/>
    </row>
    <row r="8468" spans="7:16" x14ac:dyDescent="0.2">
      <c r="G8468" s="199"/>
      <c r="I8468" s="199"/>
      <c r="K8468" s="199"/>
      <c r="M8468" s="199"/>
      <c r="N8468" s="200"/>
      <c r="P8468" s="199"/>
    </row>
    <row r="8469" spans="7:16" x14ac:dyDescent="0.2">
      <c r="G8469" s="199"/>
      <c r="I8469" s="199"/>
      <c r="K8469" s="199"/>
      <c r="M8469" s="199"/>
      <c r="N8469" s="200"/>
      <c r="P8469" s="199"/>
    </row>
    <row r="8470" spans="7:16" x14ac:dyDescent="0.2">
      <c r="G8470" s="199"/>
      <c r="I8470" s="199"/>
      <c r="K8470" s="199"/>
      <c r="M8470" s="199"/>
      <c r="N8470" s="200"/>
      <c r="P8470" s="199"/>
    </row>
    <row r="8471" spans="7:16" x14ac:dyDescent="0.2">
      <c r="G8471" s="199"/>
      <c r="I8471" s="199"/>
      <c r="K8471" s="199"/>
      <c r="M8471" s="199"/>
      <c r="N8471" s="200"/>
      <c r="P8471" s="199"/>
    </row>
    <row r="8472" spans="7:16" x14ac:dyDescent="0.2">
      <c r="G8472" s="199"/>
      <c r="I8472" s="199"/>
      <c r="K8472" s="199"/>
      <c r="M8472" s="199"/>
      <c r="N8472" s="200"/>
      <c r="P8472" s="199"/>
    </row>
    <row r="8473" spans="7:16" x14ac:dyDescent="0.2">
      <c r="G8473" s="199"/>
      <c r="I8473" s="199"/>
      <c r="K8473" s="199"/>
      <c r="M8473" s="199"/>
      <c r="N8473" s="200"/>
      <c r="P8473" s="199"/>
    </row>
    <row r="8474" spans="7:16" x14ac:dyDescent="0.2">
      <c r="G8474" s="199"/>
      <c r="I8474" s="199"/>
      <c r="K8474" s="199"/>
      <c r="M8474" s="199"/>
      <c r="N8474" s="200"/>
      <c r="P8474" s="199"/>
    </row>
    <row r="8475" spans="7:16" x14ac:dyDescent="0.2">
      <c r="G8475" s="199"/>
      <c r="I8475" s="199"/>
      <c r="K8475" s="199"/>
      <c r="M8475" s="199"/>
      <c r="N8475" s="200"/>
      <c r="P8475" s="199"/>
    </row>
    <row r="8476" spans="7:16" x14ac:dyDescent="0.2">
      <c r="G8476" s="199"/>
      <c r="I8476" s="199"/>
      <c r="K8476" s="199"/>
      <c r="M8476" s="199"/>
      <c r="N8476" s="200"/>
      <c r="P8476" s="199"/>
    </row>
    <row r="8477" spans="7:16" x14ac:dyDescent="0.2">
      <c r="G8477" s="199"/>
      <c r="I8477" s="199"/>
      <c r="K8477" s="199"/>
      <c r="M8477" s="199"/>
      <c r="N8477" s="200"/>
      <c r="P8477" s="199"/>
    </row>
    <row r="8478" spans="7:16" x14ac:dyDescent="0.2">
      <c r="G8478" s="199"/>
      <c r="I8478" s="199"/>
      <c r="K8478" s="199"/>
      <c r="M8478" s="199"/>
      <c r="N8478" s="200"/>
      <c r="P8478" s="199"/>
    </row>
    <row r="8479" spans="7:16" x14ac:dyDescent="0.2">
      <c r="G8479" s="199"/>
      <c r="I8479" s="199"/>
      <c r="K8479" s="199"/>
      <c r="M8479" s="199"/>
      <c r="N8479" s="200"/>
      <c r="P8479" s="199"/>
    </row>
    <row r="8480" spans="7:16" x14ac:dyDescent="0.2">
      <c r="G8480" s="199"/>
      <c r="I8480" s="199"/>
      <c r="K8480" s="199"/>
      <c r="M8480" s="199"/>
      <c r="N8480" s="200"/>
      <c r="P8480" s="199"/>
    </row>
    <row r="8481" spans="7:16" x14ac:dyDescent="0.2">
      <c r="G8481" s="199"/>
      <c r="I8481" s="199"/>
      <c r="K8481" s="199"/>
      <c r="M8481" s="199"/>
      <c r="N8481" s="200"/>
      <c r="P8481" s="199"/>
    </row>
    <row r="8482" spans="7:16" x14ac:dyDescent="0.2">
      <c r="G8482" s="199"/>
      <c r="I8482" s="199"/>
      <c r="K8482" s="199"/>
      <c r="M8482" s="199"/>
      <c r="N8482" s="200"/>
      <c r="P8482" s="199"/>
    </row>
    <row r="8483" spans="7:16" x14ac:dyDescent="0.2">
      <c r="G8483" s="199"/>
      <c r="I8483" s="199"/>
      <c r="K8483" s="199"/>
      <c r="M8483" s="199"/>
      <c r="N8483" s="200"/>
      <c r="P8483" s="199"/>
    </row>
    <row r="8484" spans="7:16" x14ac:dyDescent="0.2">
      <c r="G8484" s="199"/>
      <c r="I8484" s="199"/>
      <c r="K8484" s="199"/>
      <c r="M8484" s="199"/>
      <c r="N8484" s="200"/>
      <c r="P8484" s="199"/>
    </row>
    <row r="8485" spans="7:16" x14ac:dyDescent="0.2">
      <c r="G8485" s="199"/>
      <c r="I8485" s="199"/>
      <c r="K8485" s="199"/>
      <c r="M8485" s="199"/>
      <c r="N8485" s="200"/>
      <c r="P8485" s="199"/>
    </row>
    <row r="8486" spans="7:16" x14ac:dyDescent="0.2">
      <c r="G8486" s="199"/>
      <c r="I8486" s="199"/>
      <c r="K8486" s="199"/>
      <c r="M8486" s="199"/>
      <c r="N8486" s="200"/>
      <c r="P8486" s="199"/>
    </row>
    <row r="8487" spans="7:16" x14ac:dyDescent="0.2">
      <c r="G8487" s="199"/>
      <c r="I8487" s="199"/>
      <c r="K8487" s="199"/>
      <c r="M8487" s="199"/>
      <c r="N8487" s="200"/>
      <c r="P8487" s="199"/>
    </row>
    <row r="8488" spans="7:16" x14ac:dyDescent="0.2">
      <c r="G8488" s="199"/>
      <c r="I8488" s="199"/>
      <c r="K8488" s="199"/>
      <c r="M8488" s="199"/>
      <c r="N8488" s="200"/>
      <c r="P8488" s="199"/>
    </row>
    <row r="8489" spans="7:16" x14ac:dyDescent="0.2">
      <c r="G8489" s="199"/>
      <c r="I8489" s="199"/>
      <c r="K8489" s="199"/>
      <c r="M8489" s="199"/>
      <c r="N8489" s="200"/>
      <c r="P8489" s="199"/>
    </row>
    <row r="8490" spans="7:16" x14ac:dyDescent="0.2">
      <c r="G8490" s="199"/>
      <c r="I8490" s="199"/>
      <c r="K8490" s="199"/>
      <c r="M8490" s="199"/>
      <c r="N8490" s="200"/>
      <c r="P8490" s="199"/>
    </row>
    <row r="8491" spans="7:16" x14ac:dyDescent="0.2">
      <c r="G8491" s="199"/>
      <c r="I8491" s="199"/>
      <c r="K8491" s="199"/>
      <c r="M8491" s="199"/>
      <c r="N8491" s="200"/>
      <c r="P8491" s="199"/>
    </row>
    <row r="8492" spans="7:16" x14ac:dyDescent="0.2">
      <c r="G8492" s="199"/>
      <c r="I8492" s="199"/>
      <c r="K8492" s="199"/>
      <c r="M8492" s="199"/>
      <c r="N8492" s="200"/>
      <c r="P8492" s="199"/>
    </row>
    <row r="8493" spans="7:16" x14ac:dyDescent="0.2">
      <c r="G8493" s="199"/>
      <c r="I8493" s="199"/>
      <c r="K8493" s="199"/>
      <c r="M8493" s="199"/>
      <c r="N8493" s="200"/>
      <c r="P8493" s="199"/>
    </row>
    <row r="8494" spans="7:16" x14ac:dyDescent="0.2">
      <c r="G8494" s="199"/>
      <c r="I8494" s="199"/>
      <c r="K8494" s="199"/>
      <c r="M8494" s="199"/>
      <c r="N8494" s="200"/>
      <c r="P8494" s="199"/>
    </row>
    <row r="8495" spans="7:16" x14ac:dyDescent="0.2">
      <c r="G8495" s="199"/>
      <c r="I8495" s="199"/>
      <c r="K8495" s="199"/>
      <c r="M8495" s="199"/>
      <c r="N8495" s="200"/>
      <c r="P8495" s="199"/>
    </row>
    <row r="8496" spans="7:16" x14ac:dyDescent="0.2">
      <c r="G8496" s="199"/>
      <c r="I8496" s="199"/>
      <c r="K8496" s="199"/>
      <c r="M8496" s="199"/>
      <c r="N8496" s="200"/>
      <c r="P8496" s="199"/>
    </row>
    <row r="8497" spans="7:16" x14ac:dyDescent="0.2">
      <c r="G8497" s="199"/>
      <c r="I8497" s="199"/>
      <c r="K8497" s="199"/>
      <c r="M8497" s="199"/>
      <c r="N8497" s="200"/>
      <c r="P8497" s="199"/>
    </row>
    <row r="8498" spans="7:16" x14ac:dyDescent="0.2">
      <c r="G8498" s="199"/>
      <c r="I8498" s="199"/>
      <c r="K8498" s="199"/>
      <c r="M8498" s="199"/>
      <c r="N8498" s="200"/>
      <c r="P8498" s="199"/>
    </row>
    <row r="8499" spans="7:16" x14ac:dyDescent="0.2">
      <c r="G8499" s="199"/>
      <c r="I8499" s="199"/>
      <c r="K8499" s="199"/>
      <c r="M8499" s="199"/>
      <c r="N8499" s="200"/>
      <c r="P8499" s="199"/>
    </row>
    <row r="8500" spans="7:16" x14ac:dyDescent="0.2">
      <c r="G8500" s="199"/>
      <c r="I8500" s="199"/>
      <c r="K8500" s="199"/>
      <c r="M8500" s="199"/>
      <c r="N8500" s="200"/>
      <c r="P8500" s="199"/>
    </row>
    <row r="8501" spans="7:16" x14ac:dyDescent="0.2">
      <c r="G8501" s="199"/>
      <c r="I8501" s="199"/>
      <c r="K8501" s="199"/>
      <c r="M8501" s="199"/>
      <c r="N8501" s="200"/>
      <c r="P8501" s="199"/>
    </row>
    <row r="8502" spans="7:16" x14ac:dyDescent="0.2">
      <c r="G8502" s="199"/>
      <c r="I8502" s="199"/>
      <c r="K8502" s="199"/>
      <c r="M8502" s="199"/>
      <c r="N8502" s="200"/>
      <c r="P8502" s="199"/>
    </row>
    <row r="8503" spans="7:16" x14ac:dyDescent="0.2">
      <c r="G8503" s="199"/>
      <c r="I8503" s="199"/>
      <c r="K8503" s="199"/>
      <c r="M8503" s="199"/>
      <c r="N8503" s="200"/>
      <c r="P8503" s="199"/>
    </row>
    <row r="8504" spans="7:16" x14ac:dyDescent="0.2">
      <c r="G8504" s="199"/>
      <c r="I8504" s="199"/>
      <c r="K8504" s="199"/>
      <c r="M8504" s="199"/>
      <c r="N8504" s="200"/>
      <c r="P8504" s="199"/>
    </row>
    <row r="8505" spans="7:16" x14ac:dyDescent="0.2">
      <c r="G8505" s="199"/>
      <c r="I8505" s="199"/>
      <c r="K8505" s="199"/>
      <c r="M8505" s="199"/>
      <c r="N8505" s="200"/>
      <c r="P8505" s="199"/>
    </row>
    <row r="8506" spans="7:16" x14ac:dyDescent="0.2">
      <c r="G8506" s="199"/>
      <c r="I8506" s="199"/>
      <c r="K8506" s="199"/>
      <c r="M8506" s="199"/>
      <c r="N8506" s="200"/>
      <c r="P8506" s="199"/>
    </row>
    <row r="8507" spans="7:16" x14ac:dyDescent="0.2">
      <c r="G8507" s="199"/>
      <c r="I8507" s="199"/>
      <c r="K8507" s="199"/>
      <c r="M8507" s="199"/>
      <c r="N8507" s="200"/>
      <c r="P8507" s="199"/>
    </row>
    <row r="8508" spans="7:16" x14ac:dyDescent="0.2">
      <c r="G8508" s="199"/>
      <c r="I8508" s="199"/>
      <c r="K8508" s="199"/>
      <c r="M8508" s="199"/>
      <c r="N8508" s="200"/>
      <c r="P8508" s="199"/>
    </row>
    <row r="8509" spans="7:16" x14ac:dyDescent="0.2">
      <c r="G8509" s="199"/>
      <c r="I8509" s="199"/>
      <c r="K8509" s="199"/>
      <c r="M8509" s="199"/>
      <c r="N8509" s="200"/>
      <c r="P8509" s="199"/>
    </row>
    <row r="8510" spans="7:16" x14ac:dyDescent="0.2">
      <c r="G8510" s="199"/>
      <c r="I8510" s="199"/>
      <c r="K8510" s="199"/>
      <c r="M8510" s="199"/>
      <c r="N8510" s="200"/>
      <c r="P8510" s="199"/>
    </row>
    <row r="8511" spans="7:16" x14ac:dyDescent="0.2">
      <c r="G8511" s="199"/>
      <c r="I8511" s="199"/>
      <c r="K8511" s="199"/>
      <c r="M8511" s="199"/>
      <c r="N8511" s="200"/>
      <c r="P8511" s="199"/>
    </row>
    <row r="8512" spans="7:16" x14ac:dyDescent="0.2">
      <c r="G8512" s="199"/>
      <c r="I8512" s="199"/>
      <c r="K8512" s="199"/>
      <c r="M8512" s="199"/>
      <c r="N8512" s="200"/>
      <c r="P8512" s="199"/>
    </row>
    <row r="8513" spans="7:16" x14ac:dyDescent="0.2">
      <c r="G8513" s="199"/>
      <c r="I8513" s="199"/>
      <c r="K8513" s="199"/>
      <c r="M8513" s="199"/>
      <c r="N8513" s="200"/>
      <c r="P8513" s="199"/>
    </row>
    <row r="8514" spans="7:16" x14ac:dyDescent="0.2">
      <c r="G8514" s="199"/>
      <c r="I8514" s="199"/>
      <c r="K8514" s="199"/>
      <c r="M8514" s="199"/>
      <c r="N8514" s="200"/>
      <c r="P8514" s="199"/>
    </row>
    <row r="8515" spans="7:16" x14ac:dyDescent="0.2">
      <c r="G8515" s="199"/>
      <c r="I8515" s="199"/>
      <c r="K8515" s="199"/>
      <c r="M8515" s="199"/>
      <c r="N8515" s="200"/>
      <c r="P8515" s="199"/>
    </row>
    <row r="8516" spans="7:16" x14ac:dyDescent="0.2">
      <c r="G8516" s="199"/>
      <c r="I8516" s="199"/>
      <c r="K8516" s="199"/>
      <c r="M8516" s="199"/>
      <c r="N8516" s="200"/>
      <c r="P8516" s="199"/>
    </row>
    <row r="8517" spans="7:16" x14ac:dyDescent="0.2">
      <c r="G8517" s="199"/>
      <c r="I8517" s="199"/>
      <c r="K8517" s="199"/>
      <c r="M8517" s="199"/>
      <c r="N8517" s="200"/>
      <c r="P8517" s="199"/>
    </row>
    <row r="8518" spans="7:16" x14ac:dyDescent="0.2">
      <c r="G8518" s="199"/>
      <c r="I8518" s="199"/>
      <c r="K8518" s="199"/>
      <c r="M8518" s="199"/>
      <c r="N8518" s="200"/>
      <c r="P8518" s="199"/>
    </row>
    <row r="8519" spans="7:16" x14ac:dyDescent="0.2">
      <c r="G8519" s="199"/>
      <c r="I8519" s="199"/>
      <c r="K8519" s="199"/>
      <c r="M8519" s="199"/>
      <c r="N8519" s="200"/>
      <c r="P8519" s="199"/>
    </row>
    <row r="8520" spans="7:16" x14ac:dyDescent="0.2">
      <c r="G8520" s="199"/>
      <c r="I8520" s="199"/>
      <c r="K8520" s="199"/>
      <c r="M8520" s="199"/>
      <c r="N8520" s="200"/>
      <c r="P8520" s="199"/>
    </row>
    <row r="8521" spans="7:16" x14ac:dyDescent="0.2">
      <c r="G8521" s="199"/>
      <c r="I8521" s="199"/>
      <c r="K8521" s="199"/>
      <c r="M8521" s="199"/>
      <c r="N8521" s="200"/>
      <c r="P8521" s="199"/>
    </row>
    <row r="8522" spans="7:16" x14ac:dyDescent="0.2">
      <c r="G8522" s="199"/>
      <c r="I8522" s="199"/>
      <c r="K8522" s="199"/>
      <c r="M8522" s="199"/>
      <c r="N8522" s="200"/>
      <c r="P8522" s="199"/>
    </row>
    <row r="8523" spans="7:16" x14ac:dyDescent="0.2">
      <c r="G8523" s="199"/>
      <c r="I8523" s="199"/>
      <c r="K8523" s="199"/>
      <c r="M8523" s="199"/>
      <c r="N8523" s="200"/>
      <c r="P8523" s="199"/>
    </row>
    <row r="8524" spans="7:16" x14ac:dyDescent="0.2">
      <c r="G8524" s="199"/>
      <c r="I8524" s="199"/>
      <c r="K8524" s="199"/>
      <c r="M8524" s="199"/>
      <c r="N8524" s="200"/>
      <c r="P8524" s="199"/>
    </row>
    <row r="8525" spans="7:16" x14ac:dyDescent="0.2">
      <c r="G8525" s="199"/>
      <c r="I8525" s="199"/>
      <c r="K8525" s="199"/>
      <c r="M8525" s="199"/>
      <c r="N8525" s="200"/>
      <c r="P8525" s="199"/>
    </row>
    <row r="8526" spans="7:16" x14ac:dyDescent="0.2">
      <c r="G8526" s="199"/>
      <c r="I8526" s="199"/>
      <c r="K8526" s="199"/>
      <c r="M8526" s="199"/>
      <c r="N8526" s="200"/>
      <c r="P8526" s="199"/>
    </row>
    <row r="8527" spans="7:16" x14ac:dyDescent="0.2">
      <c r="G8527" s="199"/>
      <c r="I8527" s="199"/>
      <c r="K8527" s="199"/>
      <c r="M8527" s="199"/>
      <c r="N8527" s="200"/>
      <c r="P8527" s="199"/>
    </row>
    <row r="8528" spans="7:16" x14ac:dyDescent="0.2">
      <c r="G8528" s="199"/>
      <c r="I8528" s="199"/>
      <c r="K8528" s="199"/>
      <c r="M8528" s="199"/>
      <c r="N8528" s="200"/>
      <c r="P8528" s="199"/>
    </row>
    <row r="8529" spans="7:16" x14ac:dyDescent="0.2">
      <c r="G8529" s="199"/>
      <c r="I8529" s="199"/>
      <c r="K8529" s="199"/>
      <c r="M8529" s="199"/>
      <c r="N8529" s="200"/>
      <c r="P8529" s="199"/>
    </row>
    <row r="8530" spans="7:16" x14ac:dyDescent="0.2">
      <c r="G8530" s="199"/>
      <c r="I8530" s="199"/>
      <c r="K8530" s="199"/>
      <c r="M8530" s="199"/>
      <c r="N8530" s="200"/>
      <c r="P8530" s="199"/>
    </row>
    <row r="8531" spans="7:16" x14ac:dyDescent="0.2">
      <c r="G8531" s="199"/>
      <c r="I8531" s="199"/>
      <c r="K8531" s="199"/>
      <c r="M8531" s="199"/>
      <c r="N8531" s="200"/>
      <c r="P8531" s="199"/>
    </row>
    <row r="8532" spans="7:16" x14ac:dyDescent="0.2">
      <c r="G8532" s="199"/>
      <c r="I8532" s="199"/>
      <c r="K8532" s="199"/>
      <c r="M8532" s="199"/>
      <c r="N8532" s="200"/>
      <c r="P8532" s="199"/>
    </row>
    <row r="8533" spans="7:16" x14ac:dyDescent="0.2">
      <c r="G8533" s="199"/>
      <c r="I8533" s="199"/>
      <c r="K8533" s="199"/>
      <c r="M8533" s="199"/>
      <c r="N8533" s="200"/>
      <c r="P8533" s="199"/>
    </row>
    <row r="8534" spans="7:16" x14ac:dyDescent="0.2">
      <c r="G8534" s="199"/>
      <c r="I8534" s="199"/>
      <c r="K8534" s="199"/>
      <c r="M8534" s="199"/>
      <c r="N8534" s="200"/>
      <c r="P8534" s="199"/>
    </row>
    <row r="8535" spans="7:16" x14ac:dyDescent="0.2">
      <c r="G8535" s="199"/>
      <c r="I8535" s="199"/>
      <c r="K8535" s="199"/>
      <c r="M8535" s="199"/>
      <c r="N8535" s="200"/>
      <c r="P8535" s="199"/>
    </row>
    <row r="8536" spans="7:16" x14ac:dyDescent="0.2">
      <c r="G8536" s="199"/>
      <c r="I8536" s="199"/>
      <c r="K8536" s="199"/>
      <c r="M8536" s="199"/>
      <c r="N8536" s="200"/>
      <c r="P8536" s="199"/>
    </row>
    <row r="8537" spans="7:16" x14ac:dyDescent="0.2">
      <c r="G8537" s="199"/>
      <c r="I8537" s="199"/>
      <c r="K8537" s="199"/>
      <c r="M8537" s="199"/>
      <c r="N8537" s="200"/>
      <c r="P8537" s="199"/>
    </row>
    <row r="8538" spans="7:16" x14ac:dyDescent="0.2">
      <c r="G8538" s="199"/>
      <c r="I8538" s="199"/>
      <c r="K8538" s="199"/>
      <c r="M8538" s="199"/>
      <c r="N8538" s="200"/>
      <c r="P8538" s="199"/>
    </row>
    <row r="8539" spans="7:16" x14ac:dyDescent="0.2">
      <c r="G8539" s="199"/>
      <c r="I8539" s="199"/>
      <c r="K8539" s="199"/>
      <c r="M8539" s="199"/>
      <c r="N8539" s="200"/>
      <c r="P8539" s="199"/>
    </row>
    <row r="8540" spans="7:16" x14ac:dyDescent="0.2">
      <c r="G8540" s="199"/>
      <c r="I8540" s="199"/>
      <c r="K8540" s="199"/>
      <c r="M8540" s="199"/>
      <c r="N8540" s="200"/>
      <c r="P8540" s="199"/>
    </row>
    <row r="8541" spans="7:16" x14ac:dyDescent="0.2">
      <c r="G8541" s="199"/>
      <c r="I8541" s="199"/>
      <c r="K8541" s="199"/>
      <c r="M8541" s="199"/>
      <c r="N8541" s="200"/>
      <c r="P8541" s="199"/>
    </row>
    <row r="8542" spans="7:16" x14ac:dyDescent="0.2">
      <c r="G8542" s="199"/>
      <c r="I8542" s="199"/>
      <c r="K8542" s="199"/>
      <c r="M8542" s="199"/>
      <c r="N8542" s="200"/>
      <c r="P8542" s="199"/>
    </row>
    <row r="8543" spans="7:16" x14ac:dyDescent="0.2">
      <c r="G8543" s="199"/>
      <c r="I8543" s="199"/>
      <c r="K8543" s="199"/>
      <c r="M8543" s="199"/>
      <c r="N8543" s="200"/>
      <c r="P8543" s="199"/>
    </row>
    <row r="8544" spans="7:16" x14ac:dyDescent="0.2">
      <c r="G8544" s="199"/>
      <c r="I8544" s="199"/>
      <c r="K8544" s="199"/>
      <c r="M8544" s="199"/>
      <c r="N8544" s="200"/>
      <c r="P8544" s="199"/>
    </row>
    <row r="8545" spans="7:16" x14ac:dyDescent="0.2">
      <c r="G8545" s="199"/>
      <c r="I8545" s="199"/>
      <c r="K8545" s="199"/>
      <c r="M8545" s="199"/>
      <c r="N8545" s="200"/>
      <c r="P8545" s="199"/>
    </row>
    <row r="8546" spans="7:16" x14ac:dyDescent="0.2">
      <c r="G8546" s="199"/>
      <c r="I8546" s="199"/>
      <c r="K8546" s="199"/>
      <c r="M8546" s="199"/>
      <c r="N8546" s="200"/>
      <c r="P8546" s="199"/>
    </row>
    <row r="8547" spans="7:16" x14ac:dyDescent="0.2">
      <c r="G8547" s="199"/>
      <c r="I8547" s="199"/>
      <c r="K8547" s="199"/>
      <c r="M8547" s="199"/>
      <c r="N8547" s="200"/>
      <c r="P8547" s="199"/>
    </row>
    <row r="8548" spans="7:16" x14ac:dyDescent="0.2">
      <c r="G8548" s="199"/>
      <c r="I8548" s="199"/>
      <c r="K8548" s="199"/>
      <c r="M8548" s="199"/>
      <c r="N8548" s="200"/>
      <c r="P8548" s="199"/>
    </row>
    <row r="8549" spans="7:16" x14ac:dyDescent="0.2">
      <c r="G8549" s="199"/>
      <c r="I8549" s="199"/>
      <c r="K8549" s="199"/>
      <c r="M8549" s="199"/>
      <c r="N8549" s="200"/>
      <c r="P8549" s="199"/>
    </row>
    <row r="8550" spans="7:16" x14ac:dyDescent="0.2">
      <c r="G8550" s="199"/>
      <c r="I8550" s="199"/>
      <c r="K8550" s="199"/>
      <c r="M8550" s="199"/>
      <c r="N8550" s="200"/>
      <c r="P8550" s="199"/>
    </row>
    <row r="8551" spans="7:16" x14ac:dyDescent="0.2">
      <c r="G8551" s="199"/>
      <c r="I8551" s="199"/>
      <c r="K8551" s="199"/>
      <c r="M8551" s="199"/>
      <c r="N8551" s="200"/>
      <c r="P8551" s="199"/>
    </row>
    <row r="8552" spans="7:16" x14ac:dyDescent="0.2">
      <c r="G8552" s="199"/>
      <c r="I8552" s="199"/>
      <c r="K8552" s="199"/>
      <c r="M8552" s="199"/>
      <c r="N8552" s="200"/>
      <c r="P8552" s="199"/>
    </row>
    <row r="8553" spans="7:16" x14ac:dyDescent="0.2">
      <c r="G8553" s="199"/>
      <c r="I8553" s="199"/>
      <c r="K8553" s="199"/>
      <c r="M8553" s="199"/>
      <c r="N8553" s="200"/>
      <c r="P8553" s="199"/>
    </row>
    <row r="8554" spans="7:16" x14ac:dyDescent="0.2">
      <c r="G8554" s="199"/>
      <c r="I8554" s="199"/>
      <c r="K8554" s="199"/>
      <c r="M8554" s="199"/>
      <c r="N8554" s="200"/>
      <c r="P8554" s="199"/>
    </row>
    <row r="8555" spans="7:16" x14ac:dyDescent="0.2">
      <c r="G8555" s="199"/>
      <c r="I8555" s="199"/>
      <c r="K8555" s="199"/>
      <c r="M8555" s="199"/>
      <c r="N8555" s="200"/>
      <c r="P8555" s="199"/>
    </row>
    <row r="8556" spans="7:16" x14ac:dyDescent="0.2">
      <c r="G8556" s="199"/>
      <c r="I8556" s="199"/>
      <c r="K8556" s="199"/>
      <c r="M8556" s="199"/>
      <c r="N8556" s="200"/>
      <c r="P8556" s="199"/>
    </row>
    <row r="8557" spans="7:16" x14ac:dyDescent="0.2">
      <c r="G8557" s="199"/>
      <c r="I8557" s="199"/>
      <c r="K8557" s="199"/>
      <c r="M8557" s="199"/>
      <c r="N8557" s="200"/>
      <c r="P8557" s="199"/>
    </row>
    <row r="8558" spans="7:16" x14ac:dyDescent="0.2">
      <c r="G8558" s="199"/>
      <c r="I8558" s="199"/>
      <c r="K8558" s="199"/>
      <c r="M8558" s="199"/>
      <c r="N8558" s="200"/>
      <c r="P8558" s="199"/>
    </row>
    <row r="8559" spans="7:16" x14ac:dyDescent="0.2">
      <c r="G8559" s="199"/>
      <c r="I8559" s="199"/>
      <c r="K8559" s="199"/>
      <c r="M8559" s="199"/>
      <c r="N8559" s="200"/>
      <c r="P8559" s="199"/>
    </row>
    <row r="8560" spans="7:16" x14ac:dyDescent="0.2">
      <c r="G8560" s="199"/>
      <c r="I8560" s="199"/>
      <c r="K8560" s="199"/>
      <c r="M8560" s="199"/>
      <c r="N8560" s="200"/>
      <c r="P8560" s="199"/>
    </row>
    <row r="8561" spans="7:16" x14ac:dyDescent="0.2">
      <c r="G8561" s="199"/>
      <c r="I8561" s="199"/>
      <c r="K8561" s="199"/>
      <c r="M8561" s="199"/>
      <c r="N8561" s="200"/>
      <c r="P8561" s="199"/>
    </row>
    <row r="8562" spans="7:16" x14ac:dyDescent="0.2">
      <c r="G8562" s="199"/>
      <c r="I8562" s="199"/>
      <c r="K8562" s="199"/>
      <c r="M8562" s="199"/>
      <c r="N8562" s="200"/>
      <c r="P8562" s="199"/>
    </row>
    <row r="8563" spans="7:16" x14ac:dyDescent="0.2">
      <c r="G8563" s="199"/>
      <c r="I8563" s="199"/>
      <c r="K8563" s="199"/>
      <c r="M8563" s="199"/>
      <c r="N8563" s="200"/>
      <c r="P8563" s="199"/>
    </row>
    <row r="8564" spans="7:16" x14ac:dyDescent="0.2">
      <c r="G8564" s="199"/>
      <c r="I8564" s="199"/>
      <c r="K8564" s="199"/>
      <c r="M8564" s="199"/>
      <c r="N8564" s="200"/>
      <c r="P8564" s="199"/>
    </row>
    <row r="8565" spans="7:16" x14ac:dyDescent="0.2">
      <c r="G8565" s="199"/>
      <c r="I8565" s="199"/>
      <c r="K8565" s="199"/>
      <c r="M8565" s="199"/>
      <c r="N8565" s="200"/>
      <c r="P8565" s="199"/>
    </row>
    <row r="8566" spans="7:16" x14ac:dyDescent="0.2">
      <c r="G8566" s="199"/>
      <c r="I8566" s="199"/>
      <c r="K8566" s="199"/>
      <c r="M8566" s="199"/>
      <c r="N8566" s="200"/>
      <c r="P8566" s="199"/>
    </row>
    <row r="8567" spans="7:16" x14ac:dyDescent="0.2">
      <c r="G8567" s="199"/>
      <c r="I8567" s="199"/>
      <c r="K8567" s="199"/>
      <c r="M8567" s="199"/>
      <c r="N8567" s="200"/>
      <c r="P8567" s="199"/>
    </row>
    <row r="8568" spans="7:16" x14ac:dyDescent="0.2">
      <c r="G8568" s="199"/>
      <c r="I8568" s="199"/>
      <c r="K8568" s="199"/>
      <c r="M8568" s="199"/>
      <c r="N8568" s="200"/>
      <c r="P8568" s="199"/>
    </row>
    <row r="8569" spans="7:16" x14ac:dyDescent="0.2">
      <c r="G8569" s="199"/>
      <c r="I8569" s="199"/>
      <c r="K8569" s="199"/>
      <c r="M8569" s="199"/>
      <c r="N8569" s="200"/>
      <c r="P8569" s="199"/>
    </row>
    <row r="8570" spans="7:16" x14ac:dyDescent="0.2">
      <c r="G8570" s="199"/>
      <c r="I8570" s="199"/>
      <c r="K8570" s="199"/>
      <c r="M8570" s="199"/>
      <c r="N8570" s="200"/>
      <c r="P8570" s="199"/>
    </row>
    <row r="8571" spans="7:16" x14ac:dyDescent="0.2">
      <c r="G8571" s="199"/>
      <c r="I8571" s="199"/>
      <c r="K8571" s="199"/>
      <c r="M8571" s="199"/>
      <c r="N8571" s="200"/>
      <c r="P8571" s="199"/>
    </row>
    <row r="8572" spans="7:16" x14ac:dyDescent="0.2">
      <c r="G8572" s="199"/>
      <c r="I8572" s="199"/>
      <c r="K8572" s="199"/>
      <c r="M8572" s="199"/>
      <c r="N8572" s="200"/>
      <c r="P8572" s="199"/>
    </row>
    <row r="8573" spans="7:16" x14ac:dyDescent="0.2">
      <c r="G8573" s="199"/>
      <c r="I8573" s="199"/>
      <c r="K8573" s="199"/>
      <c r="M8573" s="199"/>
      <c r="N8573" s="200"/>
      <c r="P8573" s="199"/>
    </row>
    <row r="8574" spans="7:16" x14ac:dyDescent="0.2">
      <c r="G8574" s="199"/>
      <c r="I8574" s="199"/>
      <c r="K8574" s="199"/>
      <c r="M8574" s="199"/>
      <c r="N8574" s="200"/>
      <c r="P8574" s="199"/>
    </row>
    <row r="8575" spans="7:16" x14ac:dyDescent="0.2">
      <c r="G8575" s="199"/>
      <c r="I8575" s="199"/>
      <c r="K8575" s="199"/>
      <c r="M8575" s="199"/>
      <c r="N8575" s="200"/>
      <c r="P8575" s="199"/>
    </row>
    <row r="8576" spans="7:16" x14ac:dyDescent="0.2">
      <c r="G8576" s="199"/>
      <c r="I8576" s="199"/>
      <c r="K8576" s="199"/>
      <c r="M8576" s="199"/>
      <c r="N8576" s="200"/>
      <c r="P8576" s="199"/>
    </row>
    <row r="8577" spans="7:16" x14ac:dyDescent="0.2">
      <c r="G8577" s="199"/>
      <c r="I8577" s="199"/>
      <c r="K8577" s="199"/>
      <c r="M8577" s="199"/>
      <c r="N8577" s="200"/>
      <c r="P8577" s="199"/>
    </row>
    <row r="8578" spans="7:16" x14ac:dyDescent="0.2">
      <c r="G8578" s="199"/>
      <c r="I8578" s="199"/>
      <c r="K8578" s="199"/>
      <c r="M8578" s="199"/>
      <c r="N8578" s="200"/>
      <c r="P8578" s="199"/>
    </row>
    <row r="8579" spans="7:16" x14ac:dyDescent="0.2">
      <c r="G8579" s="199"/>
      <c r="I8579" s="199"/>
      <c r="K8579" s="199"/>
      <c r="M8579" s="199"/>
      <c r="N8579" s="200"/>
      <c r="P8579" s="199"/>
    </row>
    <row r="8580" spans="7:16" x14ac:dyDescent="0.2">
      <c r="G8580" s="199"/>
      <c r="I8580" s="199"/>
      <c r="K8580" s="199"/>
      <c r="M8580" s="199"/>
      <c r="N8580" s="200"/>
      <c r="P8580" s="199"/>
    </row>
    <row r="8581" spans="7:16" x14ac:dyDescent="0.2">
      <c r="G8581" s="199"/>
      <c r="I8581" s="199"/>
      <c r="K8581" s="199"/>
      <c r="M8581" s="199"/>
      <c r="N8581" s="200"/>
      <c r="P8581" s="199"/>
    </row>
    <row r="8582" spans="7:16" x14ac:dyDescent="0.2">
      <c r="G8582" s="199"/>
      <c r="I8582" s="199"/>
      <c r="K8582" s="199"/>
      <c r="M8582" s="199"/>
      <c r="N8582" s="200"/>
      <c r="P8582" s="199"/>
    </row>
    <row r="8583" spans="7:16" x14ac:dyDescent="0.2">
      <c r="G8583" s="199"/>
      <c r="I8583" s="199"/>
      <c r="K8583" s="199"/>
      <c r="M8583" s="199"/>
      <c r="N8583" s="200"/>
      <c r="P8583" s="199"/>
    </row>
    <row r="8584" spans="7:16" x14ac:dyDescent="0.2">
      <c r="G8584" s="199"/>
      <c r="I8584" s="199"/>
      <c r="K8584" s="199"/>
      <c r="M8584" s="199"/>
      <c r="N8584" s="200"/>
      <c r="P8584" s="199"/>
    </row>
    <row r="8585" spans="7:16" x14ac:dyDescent="0.2">
      <c r="G8585" s="199"/>
      <c r="I8585" s="199"/>
      <c r="K8585" s="199"/>
      <c r="M8585" s="199"/>
      <c r="N8585" s="200"/>
      <c r="P8585" s="199"/>
    </row>
    <row r="8586" spans="7:16" x14ac:dyDescent="0.2">
      <c r="G8586" s="199"/>
      <c r="I8586" s="199"/>
      <c r="K8586" s="199"/>
      <c r="M8586" s="199"/>
      <c r="N8586" s="200"/>
      <c r="P8586" s="199"/>
    </row>
    <row r="8587" spans="7:16" x14ac:dyDescent="0.2">
      <c r="G8587" s="199"/>
      <c r="I8587" s="199"/>
      <c r="K8587" s="199"/>
      <c r="M8587" s="199"/>
      <c r="N8587" s="200"/>
      <c r="P8587" s="199"/>
    </row>
    <row r="8588" spans="7:16" x14ac:dyDescent="0.2">
      <c r="G8588" s="199"/>
      <c r="I8588" s="199"/>
      <c r="K8588" s="199"/>
      <c r="M8588" s="199"/>
      <c r="N8588" s="200"/>
      <c r="P8588" s="199"/>
    </row>
    <row r="8589" spans="7:16" x14ac:dyDescent="0.2">
      <c r="G8589" s="199"/>
      <c r="I8589" s="199"/>
      <c r="K8589" s="199"/>
      <c r="M8589" s="199"/>
      <c r="N8589" s="200"/>
      <c r="P8589" s="199"/>
    </row>
    <row r="8590" spans="7:16" x14ac:dyDescent="0.2">
      <c r="G8590" s="199"/>
      <c r="I8590" s="199"/>
      <c r="K8590" s="199"/>
      <c r="M8590" s="199"/>
      <c r="N8590" s="200"/>
      <c r="P8590" s="199"/>
    </row>
    <row r="8591" spans="7:16" x14ac:dyDescent="0.2">
      <c r="G8591" s="199"/>
      <c r="I8591" s="199"/>
      <c r="K8591" s="199"/>
      <c r="M8591" s="199"/>
      <c r="N8591" s="200"/>
      <c r="P8591" s="199"/>
    </row>
    <row r="8592" spans="7:16" x14ac:dyDescent="0.2">
      <c r="G8592" s="199"/>
      <c r="I8592" s="199"/>
      <c r="K8592" s="199"/>
      <c r="M8592" s="199"/>
      <c r="N8592" s="200"/>
      <c r="P8592" s="199"/>
    </row>
    <row r="8593" spans="7:16" x14ac:dyDescent="0.2">
      <c r="G8593" s="199"/>
      <c r="I8593" s="199"/>
      <c r="K8593" s="199"/>
      <c r="M8593" s="199"/>
      <c r="N8593" s="200"/>
      <c r="P8593" s="199"/>
    </row>
    <row r="8594" spans="7:16" x14ac:dyDescent="0.2">
      <c r="G8594" s="199"/>
      <c r="I8594" s="199"/>
      <c r="K8594" s="199"/>
      <c r="M8594" s="199"/>
      <c r="N8594" s="200"/>
      <c r="P8594" s="199"/>
    </row>
    <row r="8595" spans="7:16" x14ac:dyDescent="0.2">
      <c r="G8595" s="199"/>
      <c r="I8595" s="199"/>
      <c r="K8595" s="199"/>
      <c r="M8595" s="199"/>
      <c r="N8595" s="200"/>
      <c r="P8595" s="199"/>
    </row>
    <row r="8596" spans="7:16" x14ac:dyDescent="0.2">
      <c r="G8596" s="199"/>
      <c r="I8596" s="199"/>
      <c r="K8596" s="199"/>
      <c r="M8596" s="199"/>
      <c r="N8596" s="200"/>
      <c r="P8596" s="199"/>
    </row>
    <row r="8597" spans="7:16" x14ac:dyDescent="0.2">
      <c r="G8597" s="199"/>
      <c r="I8597" s="199"/>
      <c r="K8597" s="199"/>
      <c r="M8597" s="199"/>
      <c r="N8597" s="200"/>
      <c r="P8597" s="199"/>
    </row>
    <row r="8598" spans="7:16" x14ac:dyDescent="0.2">
      <c r="G8598" s="199"/>
      <c r="I8598" s="199"/>
      <c r="K8598" s="199"/>
      <c r="M8598" s="199"/>
      <c r="N8598" s="200"/>
      <c r="P8598" s="199"/>
    </row>
    <row r="8599" spans="7:16" x14ac:dyDescent="0.2">
      <c r="G8599" s="199"/>
      <c r="I8599" s="199"/>
      <c r="K8599" s="199"/>
      <c r="M8599" s="199"/>
      <c r="N8599" s="200"/>
      <c r="P8599" s="199"/>
    </row>
    <row r="8600" spans="7:16" x14ac:dyDescent="0.2">
      <c r="G8600" s="199"/>
      <c r="I8600" s="199"/>
      <c r="K8600" s="199"/>
      <c r="M8600" s="199"/>
      <c r="N8600" s="200"/>
      <c r="P8600" s="199"/>
    </row>
    <row r="8601" spans="7:16" x14ac:dyDescent="0.2">
      <c r="G8601" s="199"/>
      <c r="I8601" s="199"/>
      <c r="K8601" s="199"/>
      <c r="M8601" s="199"/>
      <c r="N8601" s="200"/>
      <c r="P8601" s="199"/>
    </row>
    <row r="8602" spans="7:16" x14ac:dyDescent="0.2">
      <c r="G8602" s="199"/>
      <c r="I8602" s="199"/>
      <c r="K8602" s="199"/>
      <c r="M8602" s="199"/>
      <c r="N8602" s="200"/>
      <c r="P8602" s="199"/>
    </row>
    <row r="8603" spans="7:16" x14ac:dyDescent="0.2">
      <c r="G8603" s="199"/>
      <c r="I8603" s="199"/>
      <c r="K8603" s="199"/>
      <c r="M8603" s="199"/>
      <c r="N8603" s="200"/>
      <c r="P8603" s="199"/>
    </row>
    <row r="8604" spans="7:16" x14ac:dyDescent="0.2">
      <c r="G8604" s="199"/>
      <c r="I8604" s="199"/>
      <c r="K8604" s="199"/>
      <c r="M8604" s="199"/>
      <c r="N8604" s="200"/>
      <c r="P8604" s="199"/>
    </row>
    <row r="8605" spans="7:16" x14ac:dyDescent="0.2">
      <c r="G8605" s="199"/>
      <c r="I8605" s="199"/>
      <c r="K8605" s="199"/>
      <c r="M8605" s="199"/>
      <c r="N8605" s="200"/>
      <c r="P8605" s="199"/>
    </row>
    <row r="8606" spans="7:16" x14ac:dyDescent="0.2">
      <c r="G8606" s="199"/>
      <c r="I8606" s="199"/>
      <c r="K8606" s="199"/>
      <c r="M8606" s="199"/>
      <c r="N8606" s="200"/>
      <c r="P8606" s="199"/>
    </row>
    <row r="8607" spans="7:16" x14ac:dyDescent="0.2">
      <c r="G8607" s="199"/>
      <c r="I8607" s="199"/>
      <c r="K8607" s="199"/>
      <c r="M8607" s="199"/>
      <c r="N8607" s="200"/>
      <c r="P8607" s="199"/>
    </row>
    <row r="8608" spans="7:16" x14ac:dyDescent="0.2">
      <c r="G8608" s="199"/>
      <c r="I8608" s="199"/>
      <c r="K8608" s="199"/>
      <c r="M8608" s="199"/>
      <c r="N8608" s="200"/>
      <c r="P8608" s="199"/>
    </row>
    <row r="8609" spans="7:16" x14ac:dyDescent="0.2">
      <c r="G8609" s="199"/>
      <c r="I8609" s="199"/>
      <c r="K8609" s="199"/>
      <c r="M8609" s="199"/>
      <c r="N8609" s="200"/>
      <c r="P8609" s="199"/>
    </row>
    <row r="8610" spans="7:16" x14ac:dyDescent="0.2">
      <c r="G8610" s="199"/>
      <c r="I8610" s="199"/>
      <c r="K8610" s="199"/>
      <c r="M8610" s="199"/>
      <c r="N8610" s="200"/>
      <c r="P8610" s="199"/>
    </row>
    <row r="8611" spans="7:16" x14ac:dyDescent="0.2">
      <c r="G8611" s="199"/>
      <c r="I8611" s="199"/>
      <c r="K8611" s="199"/>
      <c r="M8611" s="199"/>
      <c r="N8611" s="200"/>
      <c r="P8611" s="199"/>
    </row>
    <row r="8612" spans="7:16" x14ac:dyDescent="0.2">
      <c r="G8612" s="199"/>
      <c r="I8612" s="199"/>
      <c r="K8612" s="199"/>
      <c r="M8612" s="199"/>
      <c r="N8612" s="200"/>
      <c r="P8612" s="199"/>
    </row>
    <row r="8613" spans="7:16" x14ac:dyDescent="0.2">
      <c r="G8613" s="199"/>
      <c r="I8613" s="199"/>
      <c r="K8613" s="199"/>
      <c r="M8613" s="199"/>
      <c r="N8613" s="200"/>
      <c r="P8613" s="199"/>
    </row>
    <row r="8614" spans="7:16" x14ac:dyDescent="0.2">
      <c r="G8614" s="199"/>
      <c r="I8614" s="199"/>
      <c r="K8614" s="199"/>
      <c r="M8614" s="199"/>
      <c r="N8614" s="200"/>
      <c r="P8614" s="199"/>
    </row>
    <row r="8615" spans="7:16" x14ac:dyDescent="0.2">
      <c r="G8615" s="199"/>
      <c r="I8615" s="199"/>
      <c r="K8615" s="199"/>
      <c r="M8615" s="199"/>
      <c r="N8615" s="200"/>
      <c r="P8615" s="199"/>
    </row>
    <row r="8616" spans="7:16" x14ac:dyDescent="0.2">
      <c r="G8616" s="199"/>
      <c r="I8616" s="199"/>
      <c r="K8616" s="199"/>
      <c r="M8616" s="199"/>
      <c r="N8616" s="200"/>
      <c r="P8616" s="199"/>
    </row>
    <row r="8617" spans="7:16" x14ac:dyDescent="0.2">
      <c r="G8617" s="199"/>
      <c r="I8617" s="199"/>
      <c r="K8617" s="199"/>
      <c r="M8617" s="199"/>
      <c r="N8617" s="200"/>
      <c r="P8617" s="199"/>
    </row>
    <row r="8618" spans="7:16" x14ac:dyDescent="0.2">
      <c r="G8618" s="199"/>
      <c r="I8618" s="199"/>
      <c r="K8618" s="199"/>
      <c r="M8618" s="199"/>
      <c r="N8618" s="200"/>
      <c r="P8618" s="199"/>
    </row>
    <row r="8619" spans="7:16" x14ac:dyDescent="0.2">
      <c r="G8619" s="199"/>
      <c r="I8619" s="199"/>
      <c r="K8619" s="199"/>
      <c r="M8619" s="199"/>
      <c r="N8619" s="200"/>
      <c r="P8619" s="199"/>
    </row>
    <row r="8620" spans="7:16" x14ac:dyDescent="0.2">
      <c r="G8620" s="199"/>
      <c r="I8620" s="199"/>
      <c r="K8620" s="199"/>
      <c r="M8620" s="199"/>
      <c r="N8620" s="200"/>
      <c r="P8620" s="199"/>
    </row>
    <row r="8621" spans="7:16" x14ac:dyDescent="0.2">
      <c r="G8621" s="199"/>
      <c r="I8621" s="199"/>
      <c r="K8621" s="199"/>
      <c r="M8621" s="199"/>
      <c r="N8621" s="200"/>
      <c r="P8621" s="199"/>
    </row>
    <row r="8622" spans="7:16" x14ac:dyDescent="0.2">
      <c r="G8622" s="199"/>
      <c r="I8622" s="199"/>
      <c r="K8622" s="199"/>
      <c r="M8622" s="199"/>
      <c r="N8622" s="200"/>
      <c r="P8622" s="199"/>
    </row>
    <row r="8623" spans="7:16" x14ac:dyDescent="0.2">
      <c r="G8623" s="199"/>
      <c r="I8623" s="199"/>
      <c r="K8623" s="199"/>
      <c r="M8623" s="199"/>
      <c r="N8623" s="200"/>
      <c r="P8623" s="199"/>
    </row>
    <row r="8624" spans="7:16" x14ac:dyDescent="0.2">
      <c r="G8624" s="199"/>
      <c r="I8624" s="199"/>
      <c r="K8624" s="199"/>
      <c r="M8624" s="199"/>
      <c r="N8624" s="200"/>
      <c r="P8624" s="199"/>
    </row>
    <row r="8625" spans="7:16" x14ac:dyDescent="0.2">
      <c r="G8625" s="199"/>
      <c r="I8625" s="199"/>
      <c r="K8625" s="199"/>
      <c r="M8625" s="199"/>
      <c r="N8625" s="200"/>
      <c r="P8625" s="199"/>
    </row>
    <row r="8626" spans="7:16" x14ac:dyDescent="0.2">
      <c r="G8626" s="199"/>
      <c r="I8626" s="199"/>
      <c r="K8626" s="199"/>
      <c r="M8626" s="199"/>
      <c r="N8626" s="200"/>
      <c r="P8626" s="199"/>
    </row>
    <row r="8627" spans="7:16" x14ac:dyDescent="0.2">
      <c r="G8627" s="199"/>
      <c r="I8627" s="199"/>
      <c r="K8627" s="199"/>
      <c r="M8627" s="199"/>
      <c r="N8627" s="200"/>
      <c r="P8627" s="199"/>
    </row>
    <row r="8628" spans="7:16" x14ac:dyDescent="0.2">
      <c r="G8628" s="199"/>
      <c r="I8628" s="199"/>
      <c r="K8628" s="199"/>
      <c r="M8628" s="199"/>
      <c r="N8628" s="200"/>
      <c r="P8628" s="199"/>
    </row>
    <row r="8629" spans="7:16" x14ac:dyDescent="0.2">
      <c r="G8629" s="199"/>
      <c r="I8629" s="199"/>
      <c r="K8629" s="199"/>
      <c r="M8629" s="199"/>
      <c r="N8629" s="200"/>
      <c r="P8629" s="199"/>
    </row>
    <row r="8630" spans="7:16" x14ac:dyDescent="0.2">
      <c r="G8630" s="199"/>
      <c r="I8630" s="199"/>
      <c r="K8630" s="199"/>
      <c r="M8630" s="199"/>
      <c r="N8630" s="200"/>
      <c r="P8630" s="199"/>
    </row>
    <row r="8631" spans="7:16" x14ac:dyDescent="0.2">
      <c r="G8631" s="199"/>
      <c r="I8631" s="199"/>
      <c r="K8631" s="199"/>
      <c r="M8631" s="199"/>
      <c r="N8631" s="200"/>
      <c r="P8631" s="199"/>
    </row>
    <row r="8632" spans="7:16" x14ac:dyDescent="0.2">
      <c r="G8632" s="199"/>
      <c r="I8632" s="199"/>
      <c r="K8632" s="199"/>
      <c r="M8632" s="199"/>
      <c r="N8632" s="200"/>
      <c r="P8632" s="199"/>
    </row>
    <row r="8633" spans="7:16" x14ac:dyDescent="0.2">
      <c r="G8633" s="199"/>
      <c r="I8633" s="199"/>
      <c r="K8633" s="199"/>
      <c r="M8633" s="199"/>
      <c r="N8633" s="200"/>
      <c r="P8633" s="199"/>
    </row>
    <row r="8634" spans="7:16" x14ac:dyDescent="0.2">
      <c r="G8634" s="199"/>
      <c r="I8634" s="199"/>
      <c r="K8634" s="199"/>
      <c r="M8634" s="199"/>
      <c r="N8634" s="200"/>
      <c r="P8634" s="199"/>
    </row>
    <row r="8635" spans="7:16" x14ac:dyDescent="0.2">
      <c r="G8635" s="199"/>
      <c r="I8635" s="199"/>
      <c r="K8635" s="199"/>
      <c r="M8635" s="199"/>
      <c r="N8635" s="200"/>
      <c r="P8635" s="199"/>
    </row>
    <row r="8636" spans="7:16" x14ac:dyDescent="0.2">
      <c r="G8636" s="199"/>
      <c r="I8636" s="199"/>
      <c r="K8636" s="199"/>
      <c r="M8636" s="199"/>
      <c r="N8636" s="200"/>
      <c r="P8636" s="199"/>
    </row>
    <row r="8637" spans="7:16" x14ac:dyDescent="0.2">
      <c r="G8637" s="199"/>
      <c r="I8637" s="199"/>
      <c r="K8637" s="199"/>
      <c r="M8637" s="199"/>
      <c r="N8637" s="200"/>
      <c r="P8637" s="199"/>
    </row>
    <row r="8638" spans="7:16" x14ac:dyDescent="0.2">
      <c r="G8638" s="199"/>
      <c r="I8638" s="199"/>
      <c r="K8638" s="199"/>
      <c r="M8638" s="199"/>
      <c r="N8638" s="200"/>
      <c r="P8638" s="199"/>
    </row>
    <row r="8639" spans="7:16" x14ac:dyDescent="0.2">
      <c r="G8639" s="199"/>
      <c r="I8639" s="199"/>
      <c r="K8639" s="199"/>
      <c r="M8639" s="199"/>
      <c r="N8639" s="200"/>
      <c r="P8639" s="199"/>
    </row>
    <row r="8640" spans="7:16" x14ac:dyDescent="0.2">
      <c r="G8640" s="199"/>
      <c r="I8640" s="199"/>
      <c r="K8640" s="199"/>
      <c r="M8640" s="199"/>
      <c r="N8640" s="200"/>
      <c r="P8640" s="199"/>
    </row>
    <row r="8641" spans="7:16" x14ac:dyDescent="0.2">
      <c r="G8641" s="199"/>
      <c r="I8641" s="199"/>
      <c r="K8641" s="199"/>
      <c r="M8641" s="199"/>
      <c r="N8641" s="200"/>
      <c r="P8641" s="199"/>
    </row>
    <row r="8642" spans="7:16" x14ac:dyDescent="0.2">
      <c r="G8642" s="199"/>
      <c r="I8642" s="199"/>
      <c r="K8642" s="199"/>
      <c r="M8642" s="199"/>
      <c r="N8642" s="200"/>
      <c r="P8642" s="199"/>
    </row>
    <row r="8643" spans="7:16" x14ac:dyDescent="0.2">
      <c r="G8643" s="199"/>
      <c r="I8643" s="199"/>
      <c r="K8643" s="199"/>
      <c r="M8643" s="199"/>
      <c r="N8643" s="200"/>
      <c r="P8643" s="199"/>
    </row>
    <row r="8644" spans="7:16" x14ac:dyDescent="0.2">
      <c r="G8644" s="199"/>
      <c r="I8644" s="199"/>
      <c r="K8644" s="199"/>
      <c r="M8644" s="199"/>
      <c r="N8644" s="200"/>
      <c r="P8644" s="199"/>
    </row>
    <row r="8645" spans="7:16" x14ac:dyDescent="0.2">
      <c r="G8645" s="199"/>
      <c r="I8645" s="199"/>
      <c r="K8645" s="199"/>
      <c r="M8645" s="199"/>
      <c r="N8645" s="200"/>
      <c r="P8645" s="199"/>
    </row>
    <row r="8646" spans="7:16" x14ac:dyDescent="0.2">
      <c r="G8646" s="199"/>
      <c r="I8646" s="199"/>
      <c r="K8646" s="199"/>
      <c r="M8646" s="199"/>
      <c r="N8646" s="200"/>
      <c r="P8646" s="199"/>
    </row>
    <row r="8647" spans="7:16" x14ac:dyDescent="0.2">
      <c r="G8647" s="199"/>
      <c r="I8647" s="199"/>
      <c r="K8647" s="199"/>
      <c r="M8647" s="199"/>
      <c r="N8647" s="200"/>
      <c r="P8647" s="199"/>
    </row>
    <row r="8648" spans="7:16" x14ac:dyDescent="0.2">
      <c r="G8648" s="199"/>
      <c r="I8648" s="199"/>
      <c r="K8648" s="199"/>
      <c r="M8648" s="199"/>
      <c r="N8648" s="200"/>
      <c r="P8648" s="199"/>
    </row>
    <row r="8649" spans="7:16" x14ac:dyDescent="0.2">
      <c r="G8649" s="199"/>
      <c r="I8649" s="199"/>
      <c r="K8649" s="199"/>
      <c r="M8649" s="199"/>
      <c r="N8649" s="200"/>
      <c r="P8649" s="199"/>
    </row>
    <row r="8650" spans="7:16" x14ac:dyDescent="0.2">
      <c r="G8650" s="199"/>
      <c r="I8650" s="199"/>
      <c r="K8650" s="199"/>
      <c r="M8650" s="199"/>
      <c r="N8650" s="200"/>
      <c r="P8650" s="199"/>
    </row>
    <row r="8651" spans="7:16" x14ac:dyDescent="0.2">
      <c r="G8651" s="199"/>
      <c r="I8651" s="199"/>
      <c r="K8651" s="199"/>
      <c r="M8651" s="199"/>
      <c r="N8651" s="200"/>
      <c r="P8651" s="199"/>
    </row>
    <row r="8652" spans="7:16" x14ac:dyDescent="0.2">
      <c r="G8652" s="199"/>
      <c r="I8652" s="199"/>
      <c r="K8652" s="199"/>
      <c r="M8652" s="199"/>
      <c r="N8652" s="200"/>
      <c r="P8652" s="199"/>
    </row>
    <row r="8653" spans="7:16" x14ac:dyDescent="0.2">
      <c r="G8653" s="199"/>
      <c r="I8653" s="199"/>
      <c r="K8653" s="199"/>
      <c r="M8653" s="199"/>
      <c r="N8653" s="200"/>
      <c r="P8653" s="199"/>
    </row>
    <row r="8654" spans="7:16" x14ac:dyDescent="0.2">
      <c r="G8654" s="199"/>
      <c r="I8654" s="199"/>
      <c r="K8654" s="199"/>
      <c r="M8654" s="199"/>
      <c r="N8654" s="200"/>
      <c r="P8654" s="199"/>
    </row>
    <row r="8655" spans="7:16" x14ac:dyDescent="0.2">
      <c r="G8655" s="199"/>
      <c r="I8655" s="199"/>
      <c r="K8655" s="199"/>
      <c r="M8655" s="199"/>
      <c r="N8655" s="200"/>
      <c r="P8655" s="199"/>
    </row>
    <row r="8656" spans="7:16" x14ac:dyDescent="0.2">
      <c r="G8656" s="199"/>
      <c r="I8656" s="199"/>
      <c r="K8656" s="199"/>
      <c r="M8656" s="199"/>
      <c r="N8656" s="200"/>
      <c r="P8656" s="199"/>
    </row>
    <row r="8657" spans="7:16" x14ac:dyDescent="0.2">
      <c r="G8657" s="199"/>
      <c r="I8657" s="199"/>
      <c r="K8657" s="199"/>
      <c r="M8657" s="199"/>
      <c r="N8657" s="200"/>
      <c r="P8657" s="199"/>
    </row>
    <row r="8658" spans="7:16" x14ac:dyDescent="0.2">
      <c r="G8658" s="199"/>
      <c r="I8658" s="199"/>
      <c r="K8658" s="199"/>
      <c r="M8658" s="199"/>
      <c r="N8658" s="200"/>
      <c r="P8658" s="199"/>
    </row>
    <row r="8659" spans="7:16" x14ac:dyDescent="0.2">
      <c r="G8659" s="199"/>
      <c r="I8659" s="199"/>
      <c r="K8659" s="199"/>
      <c r="M8659" s="199"/>
      <c r="N8659" s="200"/>
      <c r="P8659" s="199"/>
    </row>
    <row r="8660" spans="7:16" x14ac:dyDescent="0.2">
      <c r="G8660" s="199"/>
      <c r="I8660" s="199"/>
      <c r="K8660" s="199"/>
      <c r="M8660" s="199"/>
      <c r="N8660" s="200"/>
      <c r="P8660" s="199"/>
    </row>
    <row r="8661" spans="7:16" x14ac:dyDescent="0.2">
      <c r="G8661" s="199"/>
      <c r="I8661" s="199"/>
      <c r="K8661" s="199"/>
      <c r="M8661" s="199"/>
      <c r="N8661" s="200"/>
      <c r="P8661" s="199"/>
    </row>
    <row r="8662" spans="7:16" x14ac:dyDescent="0.2">
      <c r="G8662" s="199"/>
      <c r="I8662" s="199"/>
      <c r="K8662" s="199"/>
      <c r="M8662" s="199"/>
      <c r="N8662" s="200"/>
      <c r="P8662" s="199"/>
    </row>
    <row r="8663" spans="7:16" x14ac:dyDescent="0.2">
      <c r="G8663" s="199"/>
      <c r="I8663" s="199"/>
      <c r="K8663" s="199"/>
      <c r="M8663" s="199"/>
      <c r="N8663" s="200"/>
      <c r="P8663" s="199"/>
    </row>
    <row r="8664" spans="7:16" x14ac:dyDescent="0.2">
      <c r="G8664" s="199"/>
      <c r="I8664" s="199"/>
      <c r="K8664" s="199"/>
      <c r="M8664" s="199"/>
      <c r="N8664" s="200"/>
      <c r="P8664" s="199"/>
    </row>
    <row r="8665" spans="7:16" x14ac:dyDescent="0.2">
      <c r="G8665" s="199"/>
      <c r="I8665" s="199"/>
      <c r="K8665" s="199"/>
      <c r="M8665" s="199"/>
      <c r="N8665" s="200"/>
      <c r="P8665" s="199"/>
    </row>
    <row r="8666" spans="7:16" x14ac:dyDescent="0.2">
      <c r="G8666" s="199"/>
      <c r="I8666" s="199"/>
      <c r="K8666" s="199"/>
      <c r="M8666" s="199"/>
      <c r="N8666" s="200"/>
      <c r="P8666" s="199"/>
    </row>
    <row r="8667" spans="7:16" x14ac:dyDescent="0.2">
      <c r="G8667" s="199"/>
      <c r="I8667" s="199"/>
      <c r="K8667" s="199"/>
      <c r="M8667" s="199"/>
      <c r="N8667" s="200"/>
      <c r="P8667" s="199"/>
    </row>
    <row r="8668" spans="7:16" x14ac:dyDescent="0.2">
      <c r="G8668" s="199"/>
      <c r="I8668" s="199"/>
      <c r="K8668" s="199"/>
      <c r="M8668" s="199"/>
      <c r="N8668" s="200"/>
      <c r="P8668" s="199"/>
    </row>
    <row r="8669" spans="7:16" x14ac:dyDescent="0.2">
      <c r="G8669" s="199"/>
      <c r="I8669" s="199"/>
      <c r="K8669" s="199"/>
      <c r="M8669" s="199"/>
      <c r="N8669" s="200"/>
      <c r="P8669" s="199"/>
    </row>
    <row r="8670" spans="7:16" x14ac:dyDescent="0.2">
      <c r="G8670" s="199"/>
      <c r="I8670" s="199"/>
      <c r="K8670" s="199"/>
      <c r="M8670" s="199"/>
      <c r="N8670" s="200"/>
      <c r="P8670" s="199"/>
    </row>
    <row r="8671" spans="7:16" x14ac:dyDescent="0.2">
      <c r="G8671" s="199"/>
      <c r="I8671" s="199"/>
      <c r="K8671" s="199"/>
      <c r="M8671" s="199"/>
      <c r="N8671" s="200"/>
      <c r="P8671" s="199"/>
    </row>
    <row r="8672" spans="7:16" x14ac:dyDescent="0.2">
      <c r="G8672" s="199"/>
      <c r="I8672" s="199"/>
      <c r="K8672" s="199"/>
      <c r="M8672" s="199"/>
      <c r="N8672" s="200"/>
      <c r="P8672" s="199"/>
    </row>
    <row r="8673" spans="7:16" x14ac:dyDescent="0.2">
      <c r="G8673" s="199"/>
      <c r="I8673" s="199"/>
      <c r="K8673" s="199"/>
      <c r="M8673" s="199"/>
      <c r="N8673" s="200"/>
      <c r="P8673" s="199"/>
    </row>
    <row r="8674" spans="7:16" x14ac:dyDescent="0.2">
      <c r="G8674" s="199"/>
      <c r="I8674" s="199"/>
      <c r="K8674" s="199"/>
      <c r="M8674" s="199"/>
      <c r="N8674" s="200"/>
      <c r="P8674" s="199"/>
    </row>
    <row r="8675" spans="7:16" x14ac:dyDescent="0.2">
      <c r="G8675" s="199"/>
      <c r="I8675" s="199"/>
      <c r="K8675" s="199"/>
      <c r="M8675" s="199"/>
      <c r="N8675" s="200"/>
      <c r="P8675" s="199"/>
    </row>
    <row r="8676" spans="7:16" x14ac:dyDescent="0.2">
      <c r="G8676" s="199"/>
      <c r="I8676" s="199"/>
      <c r="K8676" s="199"/>
      <c r="M8676" s="199"/>
      <c r="N8676" s="200"/>
      <c r="P8676" s="199"/>
    </row>
    <row r="8677" spans="7:16" x14ac:dyDescent="0.2">
      <c r="G8677" s="199"/>
      <c r="I8677" s="199"/>
      <c r="K8677" s="199"/>
      <c r="M8677" s="199"/>
      <c r="N8677" s="200"/>
      <c r="P8677" s="199"/>
    </row>
    <row r="8678" spans="7:16" x14ac:dyDescent="0.2">
      <c r="G8678" s="199"/>
      <c r="I8678" s="199"/>
      <c r="K8678" s="199"/>
      <c r="M8678" s="199"/>
      <c r="N8678" s="200"/>
      <c r="P8678" s="199"/>
    </row>
    <row r="8679" spans="7:16" x14ac:dyDescent="0.2">
      <c r="G8679" s="199"/>
      <c r="I8679" s="199"/>
      <c r="K8679" s="199"/>
      <c r="M8679" s="199"/>
      <c r="N8679" s="200"/>
      <c r="P8679" s="199"/>
    </row>
    <row r="8680" spans="7:16" x14ac:dyDescent="0.2">
      <c r="G8680" s="199"/>
      <c r="I8680" s="199"/>
      <c r="K8680" s="199"/>
      <c r="M8680" s="199"/>
      <c r="N8680" s="200"/>
      <c r="P8680" s="199"/>
    </row>
    <row r="8681" spans="7:16" x14ac:dyDescent="0.2">
      <c r="G8681" s="199"/>
      <c r="I8681" s="199"/>
      <c r="K8681" s="199"/>
      <c r="M8681" s="199"/>
      <c r="N8681" s="200"/>
      <c r="P8681" s="199"/>
    </row>
    <row r="8682" spans="7:16" x14ac:dyDescent="0.2">
      <c r="G8682" s="199"/>
      <c r="I8682" s="199"/>
      <c r="K8682" s="199"/>
      <c r="M8682" s="199"/>
      <c r="N8682" s="200"/>
      <c r="P8682" s="199"/>
    </row>
    <row r="8683" spans="7:16" x14ac:dyDescent="0.2">
      <c r="G8683" s="199"/>
      <c r="I8683" s="199"/>
      <c r="K8683" s="199"/>
      <c r="M8683" s="199"/>
      <c r="N8683" s="200"/>
      <c r="P8683" s="199"/>
    </row>
    <row r="8684" spans="7:16" x14ac:dyDescent="0.2">
      <c r="G8684" s="199"/>
      <c r="I8684" s="199"/>
      <c r="K8684" s="199"/>
      <c r="M8684" s="199"/>
      <c r="N8684" s="200"/>
      <c r="P8684" s="199"/>
    </row>
    <row r="8685" spans="7:16" x14ac:dyDescent="0.2">
      <c r="G8685" s="199"/>
      <c r="I8685" s="199"/>
      <c r="K8685" s="199"/>
      <c r="M8685" s="199"/>
      <c r="N8685" s="200"/>
      <c r="P8685" s="199"/>
    </row>
    <row r="8686" spans="7:16" x14ac:dyDescent="0.2">
      <c r="G8686" s="199"/>
      <c r="I8686" s="199"/>
      <c r="K8686" s="199"/>
      <c r="M8686" s="199"/>
      <c r="N8686" s="200"/>
      <c r="P8686" s="199"/>
    </row>
    <row r="8687" spans="7:16" x14ac:dyDescent="0.2">
      <c r="G8687" s="199"/>
      <c r="I8687" s="199"/>
      <c r="K8687" s="199"/>
      <c r="M8687" s="199"/>
      <c r="N8687" s="200"/>
      <c r="P8687" s="199"/>
    </row>
    <row r="8688" spans="7:16" x14ac:dyDescent="0.2">
      <c r="G8688" s="199"/>
      <c r="I8688" s="199"/>
      <c r="K8688" s="199"/>
      <c r="M8688" s="199"/>
      <c r="N8688" s="200"/>
      <c r="P8688" s="199"/>
    </row>
    <row r="8689" spans="7:16" x14ac:dyDescent="0.2">
      <c r="G8689" s="199"/>
      <c r="I8689" s="199"/>
      <c r="K8689" s="199"/>
      <c r="M8689" s="199"/>
      <c r="N8689" s="200"/>
      <c r="P8689" s="199"/>
    </row>
    <row r="8690" spans="7:16" x14ac:dyDescent="0.2">
      <c r="G8690" s="199"/>
      <c r="I8690" s="199"/>
      <c r="K8690" s="199"/>
      <c r="M8690" s="199"/>
      <c r="N8690" s="200"/>
      <c r="P8690" s="199"/>
    </row>
    <row r="8691" spans="7:16" x14ac:dyDescent="0.2">
      <c r="G8691" s="199"/>
      <c r="I8691" s="199"/>
      <c r="K8691" s="199"/>
      <c r="M8691" s="199"/>
      <c r="N8691" s="200"/>
      <c r="P8691" s="199"/>
    </row>
    <row r="8692" spans="7:16" x14ac:dyDescent="0.2">
      <c r="G8692" s="199"/>
      <c r="I8692" s="199"/>
      <c r="K8692" s="199"/>
      <c r="M8692" s="199"/>
      <c r="N8692" s="200"/>
      <c r="P8692" s="199"/>
    </row>
    <row r="8693" spans="7:16" x14ac:dyDescent="0.2">
      <c r="G8693" s="199"/>
      <c r="I8693" s="199"/>
      <c r="K8693" s="199"/>
      <c r="M8693" s="199"/>
      <c r="N8693" s="200"/>
      <c r="P8693" s="199"/>
    </row>
    <row r="8694" spans="7:16" x14ac:dyDescent="0.2">
      <c r="G8694" s="199"/>
      <c r="I8694" s="199"/>
      <c r="K8694" s="199"/>
      <c r="M8694" s="199"/>
      <c r="N8694" s="200"/>
      <c r="P8694" s="199"/>
    </row>
    <row r="8695" spans="7:16" x14ac:dyDescent="0.2">
      <c r="G8695" s="199"/>
      <c r="I8695" s="199"/>
      <c r="K8695" s="199"/>
      <c r="M8695" s="199"/>
      <c r="N8695" s="200"/>
      <c r="P8695" s="199"/>
    </row>
    <row r="8696" spans="7:16" x14ac:dyDescent="0.2">
      <c r="G8696" s="199"/>
      <c r="I8696" s="199"/>
      <c r="K8696" s="199"/>
      <c r="M8696" s="199"/>
      <c r="N8696" s="200"/>
      <c r="P8696" s="199"/>
    </row>
    <row r="8697" spans="7:16" x14ac:dyDescent="0.2">
      <c r="G8697" s="199"/>
      <c r="I8697" s="199"/>
      <c r="K8697" s="199"/>
      <c r="M8697" s="199"/>
      <c r="N8697" s="200"/>
      <c r="P8697" s="199"/>
    </row>
    <row r="8698" spans="7:16" x14ac:dyDescent="0.2">
      <c r="G8698" s="199"/>
      <c r="I8698" s="199"/>
      <c r="K8698" s="199"/>
      <c r="M8698" s="199"/>
      <c r="N8698" s="200"/>
      <c r="P8698" s="199"/>
    </row>
    <row r="8699" spans="7:16" x14ac:dyDescent="0.2">
      <c r="G8699" s="199"/>
      <c r="I8699" s="199"/>
      <c r="K8699" s="199"/>
      <c r="M8699" s="199"/>
      <c r="N8699" s="200"/>
      <c r="P8699" s="199"/>
    </row>
    <row r="8700" spans="7:16" x14ac:dyDescent="0.2">
      <c r="G8700" s="199"/>
      <c r="I8700" s="199"/>
      <c r="K8700" s="199"/>
      <c r="M8700" s="199"/>
      <c r="N8700" s="200"/>
      <c r="P8700" s="199"/>
    </row>
    <row r="8701" spans="7:16" x14ac:dyDescent="0.2">
      <c r="G8701" s="199"/>
      <c r="I8701" s="199"/>
      <c r="K8701" s="199"/>
      <c r="M8701" s="199"/>
      <c r="N8701" s="200"/>
      <c r="P8701" s="199"/>
    </row>
    <row r="8702" spans="7:16" x14ac:dyDescent="0.2">
      <c r="G8702" s="199"/>
      <c r="I8702" s="199"/>
      <c r="K8702" s="199"/>
      <c r="M8702" s="199"/>
      <c r="N8702" s="200"/>
      <c r="P8702" s="199"/>
    </row>
    <row r="8703" spans="7:16" x14ac:dyDescent="0.2">
      <c r="G8703" s="199"/>
      <c r="I8703" s="199"/>
      <c r="K8703" s="199"/>
      <c r="M8703" s="199"/>
      <c r="N8703" s="200"/>
      <c r="P8703" s="199"/>
    </row>
    <row r="8704" spans="7:16" x14ac:dyDescent="0.2">
      <c r="G8704" s="199"/>
      <c r="I8704" s="199"/>
      <c r="K8704" s="199"/>
      <c r="M8704" s="199"/>
      <c r="N8704" s="200"/>
      <c r="P8704" s="199"/>
    </row>
    <row r="8705" spans="7:16" x14ac:dyDescent="0.2">
      <c r="G8705" s="199"/>
      <c r="I8705" s="199"/>
      <c r="K8705" s="199"/>
      <c r="M8705" s="199"/>
      <c r="N8705" s="200"/>
      <c r="P8705" s="199"/>
    </row>
    <row r="8706" spans="7:16" x14ac:dyDescent="0.2">
      <c r="G8706" s="199"/>
      <c r="I8706" s="199"/>
      <c r="K8706" s="199"/>
      <c r="M8706" s="199"/>
      <c r="N8706" s="200"/>
      <c r="P8706" s="199"/>
    </row>
    <row r="8707" spans="7:16" x14ac:dyDescent="0.2">
      <c r="G8707" s="199"/>
      <c r="I8707" s="199"/>
      <c r="K8707" s="199"/>
      <c r="M8707" s="199"/>
      <c r="N8707" s="200"/>
      <c r="P8707" s="199"/>
    </row>
    <row r="8708" spans="7:16" x14ac:dyDescent="0.2">
      <c r="G8708" s="199"/>
      <c r="I8708" s="199"/>
      <c r="K8708" s="199"/>
      <c r="M8708" s="199"/>
      <c r="N8708" s="200"/>
      <c r="P8708" s="199"/>
    </row>
    <row r="8709" spans="7:16" x14ac:dyDescent="0.2">
      <c r="G8709" s="199"/>
      <c r="I8709" s="199"/>
      <c r="K8709" s="199"/>
      <c r="M8709" s="199"/>
      <c r="N8709" s="200"/>
      <c r="P8709" s="199"/>
    </row>
    <row r="8710" spans="7:16" x14ac:dyDescent="0.2">
      <c r="G8710" s="199"/>
      <c r="I8710" s="199"/>
      <c r="K8710" s="199"/>
      <c r="M8710" s="199"/>
      <c r="N8710" s="200"/>
      <c r="P8710" s="199"/>
    </row>
    <row r="8711" spans="7:16" x14ac:dyDescent="0.2">
      <c r="G8711" s="199"/>
      <c r="I8711" s="199"/>
      <c r="K8711" s="199"/>
      <c r="M8711" s="199"/>
      <c r="N8711" s="200"/>
      <c r="P8711" s="199"/>
    </row>
    <row r="8712" spans="7:16" x14ac:dyDescent="0.2">
      <c r="G8712" s="199"/>
      <c r="I8712" s="199"/>
      <c r="K8712" s="199"/>
      <c r="M8712" s="199"/>
      <c r="N8712" s="200"/>
      <c r="P8712" s="199"/>
    </row>
    <row r="8713" spans="7:16" x14ac:dyDescent="0.2">
      <c r="G8713" s="199"/>
      <c r="I8713" s="199"/>
      <c r="K8713" s="199"/>
      <c r="M8713" s="199"/>
      <c r="N8713" s="200"/>
      <c r="P8713" s="199"/>
    </row>
    <row r="8714" spans="7:16" x14ac:dyDescent="0.2">
      <c r="G8714" s="199"/>
      <c r="I8714" s="199"/>
      <c r="K8714" s="199"/>
      <c r="M8714" s="199"/>
      <c r="N8714" s="200"/>
      <c r="P8714" s="199"/>
    </row>
    <row r="8715" spans="7:16" x14ac:dyDescent="0.2">
      <c r="G8715" s="199"/>
      <c r="I8715" s="199"/>
      <c r="K8715" s="199"/>
      <c r="M8715" s="199"/>
      <c r="N8715" s="200"/>
      <c r="P8715" s="199"/>
    </row>
    <row r="8716" spans="7:16" x14ac:dyDescent="0.2">
      <c r="G8716" s="199"/>
      <c r="I8716" s="199"/>
      <c r="K8716" s="199"/>
      <c r="M8716" s="199"/>
      <c r="N8716" s="200"/>
      <c r="P8716" s="199"/>
    </row>
    <row r="8717" spans="7:16" x14ac:dyDescent="0.2">
      <c r="G8717" s="199"/>
      <c r="I8717" s="199"/>
      <c r="K8717" s="199"/>
      <c r="M8717" s="199"/>
      <c r="N8717" s="200"/>
      <c r="P8717" s="199"/>
    </row>
    <row r="8718" spans="7:16" x14ac:dyDescent="0.2">
      <c r="G8718" s="199"/>
      <c r="I8718" s="199"/>
      <c r="K8718" s="199"/>
      <c r="M8718" s="199"/>
      <c r="N8718" s="200"/>
      <c r="P8718" s="199"/>
    </row>
    <row r="8719" spans="7:16" x14ac:dyDescent="0.2">
      <c r="G8719" s="199"/>
      <c r="I8719" s="199"/>
      <c r="K8719" s="199"/>
      <c r="M8719" s="199"/>
      <c r="N8719" s="200"/>
      <c r="P8719" s="199"/>
    </row>
    <row r="8720" spans="7:16" x14ac:dyDescent="0.2">
      <c r="G8720" s="199"/>
      <c r="I8720" s="199"/>
      <c r="K8720" s="199"/>
      <c r="M8720" s="199"/>
      <c r="N8720" s="200"/>
      <c r="P8720" s="199"/>
    </row>
    <row r="8721" spans="7:16" x14ac:dyDescent="0.2">
      <c r="G8721" s="199"/>
      <c r="I8721" s="199"/>
      <c r="K8721" s="199"/>
      <c r="M8721" s="199"/>
      <c r="N8721" s="200"/>
      <c r="P8721" s="199"/>
    </row>
    <row r="8722" spans="7:16" x14ac:dyDescent="0.2">
      <c r="G8722" s="199"/>
      <c r="I8722" s="199"/>
      <c r="K8722" s="199"/>
      <c r="M8722" s="199"/>
      <c r="N8722" s="200"/>
      <c r="P8722" s="199"/>
    </row>
    <row r="8723" spans="7:16" x14ac:dyDescent="0.2">
      <c r="G8723" s="199"/>
      <c r="I8723" s="199"/>
      <c r="K8723" s="199"/>
      <c r="M8723" s="199"/>
      <c r="N8723" s="200"/>
      <c r="P8723" s="199"/>
    </row>
    <row r="8724" spans="7:16" x14ac:dyDescent="0.2">
      <c r="G8724" s="199"/>
      <c r="I8724" s="199"/>
      <c r="K8724" s="199"/>
      <c r="M8724" s="199"/>
      <c r="N8724" s="200"/>
      <c r="P8724" s="199"/>
    </row>
    <row r="8725" spans="7:16" x14ac:dyDescent="0.2">
      <c r="G8725" s="199"/>
      <c r="I8725" s="199"/>
      <c r="K8725" s="199"/>
      <c r="M8725" s="199"/>
      <c r="N8725" s="200"/>
      <c r="P8725" s="199"/>
    </row>
    <row r="8726" spans="7:16" x14ac:dyDescent="0.2">
      <c r="G8726" s="199"/>
      <c r="I8726" s="199"/>
      <c r="K8726" s="199"/>
      <c r="M8726" s="199"/>
      <c r="N8726" s="200"/>
      <c r="P8726" s="199"/>
    </row>
    <row r="8727" spans="7:16" x14ac:dyDescent="0.2">
      <c r="G8727" s="199"/>
      <c r="I8727" s="199"/>
      <c r="K8727" s="199"/>
      <c r="M8727" s="199"/>
      <c r="N8727" s="200"/>
      <c r="P8727" s="199"/>
    </row>
    <row r="8728" spans="7:16" x14ac:dyDescent="0.2">
      <c r="G8728" s="199"/>
      <c r="I8728" s="199"/>
      <c r="K8728" s="199"/>
      <c r="M8728" s="199"/>
      <c r="N8728" s="200"/>
      <c r="P8728" s="199"/>
    </row>
    <row r="8729" spans="7:16" x14ac:dyDescent="0.2">
      <c r="G8729" s="199"/>
      <c r="I8729" s="199"/>
      <c r="K8729" s="199"/>
      <c r="M8729" s="199"/>
      <c r="N8729" s="200"/>
      <c r="P8729" s="199"/>
    </row>
    <row r="8730" spans="7:16" x14ac:dyDescent="0.2">
      <c r="G8730" s="199"/>
      <c r="I8730" s="199"/>
      <c r="K8730" s="199"/>
      <c r="M8730" s="199"/>
      <c r="N8730" s="200"/>
      <c r="P8730" s="199"/>
    </row>
    <row r="8731" spans="7:16" x14ac:dyDescent="0.2">
      <c r="G8731" s="199"/>
      <c r="I8731" s="199"/>
      <c r="K8731" s="199"/>
      <c r="M8731" s="199"/>
      <c r="N8731" s="200"/>
      <c r="P8731" s="199"/>
    </row>
    <row r="8732" spans="7:16" x14ac:dyDescent="0.2">
      <c r="G8732" s="199"/>
      <c r="I8732" s="199"/>
      <c r="K8732" s="199"/>
      <c r="M8732" s="199"/>
      <c r="N8732" s="200"/>
      <c r="P8732" s="199"/>
    </row>
    <row r="8733" spans="7:16" x14ac:dyDescent="0.2">
      <c r="G8733" s="199"/>
      <c r="I8733" s="199"/>
      <c r="K8733" s="199"/>
      <c r="M8733" s="199"/>
      <c r="N8733" s="200"/>
      <c r="P8733" s="199"/>
    </row>
    <row r="8734" spans="7:16" x14ac:dyDescent="0.2">
      <c r="G8734" s="199"/>
      <c r="I8734" s="199"/>
      <c r="K8734" s="199"/>
      <c r="M8734" s="199"/>
      <c r="N8734" s="200"/>
      <c r="P8734" s="199"/>
    </row>
    <row r="8735" spans="7:16" x14ac:dyDescent="0.2">
      <c r="G8735" s="199"/>
      <c r="I8735" s="199"/>
      <c r="K8735" s="199"/>
      <c r="M8735" s="199"/>
      <c r="N8735" s="200"/>
      <c r="P8735" s="199"/>
    </row>
    <row r="8736" spans="7:16" x14ac:dyDescent="0.2">
      <c r="G8736" s="199"/>
      <c r="I8736" s="199"/>
      <c r="K8736" s="199"/>
      <c r="M8736" s="199"/>
      <c r="N8736" s="200"/>
      <c r="P8736" s="199"/>
    </row>
    <row r="8737" spans="7:16" x14ac:dyDescent="0.2">
      <c r="G8737" s="199"/>
      <c r="I8737" s="199"/>
      <c r="K8737" s="199"/>
      <c r="M8737" s="199"/>
      <c r="N8737" s="200"/>
      <c r="P8737" s="199"/>
    </row>
    <row r="8738" spans="7:16" x14ac:dyDescent="0.2">
      <c r="G8738" s="199"/>
      <c r="I8738" s="199"/>
      <c r="K8738" s="199"/>
      <c r="M8738" s="199"/>
      <c r="N8738" s="200"/>
      <c r="P8738" s="199"/>
    </row>
    <row r="8739" spans="7:16" x14ac:dyDescent="0.2">
      <c r="G8739" s="199"/>
      <c r="I8739" s="199"/>
      <c r="K8739" s="199"/>
      <c r="M8739" s="199"/>
      <c r="N8739" s="200"/>
      <c r="P8739" s="199"/>
    </row>
    <row r="8740" spans="7:16" x14ac:dyDescent="0.2">
      <c r="G8740" s="199"/>
      <c r="I8740" s="199"/>
      <c r="K8740" s="199"/>
      <c r="M8740" s="199"/>
      <c r="N8740" s="200"/>
      <c r="P8740" s="199"/>
    </row>
    <row r="8741" spans="7:16" x14ac:dyDescent="0.2">
      <c r="G8741" s="199"/>
      <c r="I8741" s="199"/>
      <c r="K8741" s="199"/>
      <c r="M8741" s="199"/>
      <c r="N8741" s="200"/>
      <c r="P8741" s="199"/>
    </row>
    <row r="8742" spans="7:16" x14ac:dyDescent="0.2">
      <c r="G8742" s="199"/>
      <c r="I8742" s="199"/>
      <c r="K8742" s="199"/>
      <c r="M8742" s="199"/>
      <c r="N8742" s="200"/>
      <c r="P8742" s="199"/>
    </row>
    <row r="8743" spans="7:16" x14ac:dyDescent="0.2">
      <c r="G8743" s="199"/>
      <c r="I8743" s="199"/>
      <c r="K8743" s="199"/>
      <c r="M8743" s="199"/>
      <c r="N8743" s="200"/>
      <c r="P8743" s="199"/>
    </row>
    <row r="8744" spans="7:16" x14ac:dyDescent="0.2">
      <c r="G8744" s="199"/>
      <c r="I8744" s="199"/>
      <c r="K8744" s="199"/>
      <c r="M8744" s="199"/>
      <c r="N8744" s="200"/>
      <c r="P8744" s="199"/>
    </row>
    <row r="8745" spans="7:16" x14ac:dyDescent="0.2">
      <c r="G8745" s="199"/>
      <c r="I8745" s="199"/>
      <c r="K8745" s="199"/>
      <c r="M8745" s="199"/>
      <c r="N8745" s="200"/>
      <c r="P8745" s="199"/>
    </row>
    <row r="8746" spans="7:16" x14ac:dyDescent="0.2">
      <c r="G8746" s="199"/>
      <c r="I8746" s="199"/>
      <c r="K8746" s="199"/>
      <c r="M8746" s="199"/>
      <c r="N8746" s="200"/>
      <c r="P8746" s="199"/>
    </row>
    <row r="8747" spans="7:16" x14ac:dyDescent="0.2">
      <c r="G8747" s="199"/>
      <c r="I8747" s="199"/>
      <c r="K8747" s="199"/>
      <c r="M8747" s="199"/>
      <c r="N8747" s="200"/>
      <c r="P8747" s="199"/>
    </row>
    <row r="8748" spans="7:16" x14ac:dyDescent="0.2">
      <c r="G8748" s="199"/>
      <c r="I8748" s="199"/>
      <c r="K8748" s="199"/>
      <c r="M8748" s="199"/>
      <c r="N8748" s="200"/>
      <c r="P8748" s="199"/>
    </row>
    <row r="8749" spans="7:16" x14ac:dyDescent="0.2">
      <c r="G8749" s="199"/>
      <c r="I8749" s="199"/>
      <c r="K8749" s="199"/>
      <c r="M8749" s="199"/>
      <c r="N8749" s="200"/>
      <c r="P8749" s="199"/>
    </row>
    <row r="8750" spans="7:16" x14ac:dyDescent="0.2">
      <c r="G8750" s="199"/>
      <c r="I8750" s="199"/>
      <c r="K8750" s="199"/>
      <c r="M8750" s="199"/>
      <c r="N8750" s="200"/>
      <c r="P8750" s="199"/>
    </row>
    <row r="8751" spans="7:16" x14ac:dyDescent="0.2">
      <c r="G8751" s="199"/>
      <c r="I8751" s="199"/>
      <c r="K8751" s="199"/>
      <c r="M8751" s="199"/>
      <c r="N8751" s="200"/>
      <c r="P8751" s="199"/>
    </row>
    <row r="8752" spans="7:16" x14ac:dyDescent="0.2">
      <c r="G8752" s="199"/>
      <c r="I8752" s="199"/>
      <c r="K8752" s="199"/>
      <c r="M8752" s="199"/>
      <c r="N8752" s="200"/>
      <c r="P8752" s="199"/>
    </row>
    <row r="8753" spans="7:16" x14ac:dyDescent="0.2">
      <c r="G8753" s="199"/>
      <c r="I8753" s="199"/>
      <c r="K8753" s="199"/>
      <c r="M8753" s="199"/>
      <c r="N8753" s="200"/>
      <c r="P8753" s="199"/>
    </row>
    <row r="8754" spans="7:16" x14ac:dyDescent="0.2">
      <c r="G8754" s="199"/>
      <c r="I8754" s="199"/>
      <c r="K8754" s="199"/>
      <c r="M8754" s="199"/>
      <c r="N8754" s="200"/>
      <c r="P8754" s="199"/>
    </row>
    <row r="8755" spans="7:16" x14ac:dyDescent="0.2">
      <c r="G8755" s="199"/>
      <c r="I8755" s="199"/>
      <c r="K8755" s="199"/>
      <c r="M8755" s="199"/>
      <c r="N8755" s="200"/>
      <c r="P8755" s="199"/>
    </row>
    <row r="8756" spans="7:16" x14ac:dyDescent="0.2">
      <c r="G8756" s="199"/>
      <c r="I8756" s="199"/>
      <c r="K8756" s="199"/>
      <c r="M8756" s="199"/>
      <c r="N8756" s="200"/>
      <c r="P8756" s="199"/>
    </row>
    <row r="8757" spans="7:16" x14ac:dyDescent="0.2">
      <c r="G8757" s="199"/>
      <c r="I8757" s="199"/>
      <c r="K8757" s="199"/>
      <c r="M8757" s="199"/>
      <c r="N8757" s="200"/>
      <c r="P8757" s="199"/>
    </row>
    <row r="8758" spans="7:16" x14ac:dyDescent="0.2">
      <c r="G8758" s="199"/>
      <c r="I8758" s="199"/>
      <c r="K8758" s="199"/>
      <c r="M8758" s="199"/>
      <c r="N8758" s="200"/>
      <c r="P8758" s="199"/>
    </row>
    <row r="8759" spans="7:16" x14ac:dyDescent="0.2">
      <c r="G8759" s="199"/>
      <c r="I8759" s="199"/>
      <c r="K8759" s="199"/>
      <c r="M8759" s="199"/>
      <c r="N8759" s="200"/>
      <c r="P8759" s="199"/>
    </row>
    <row r="8760" spans="7:16" x14ac:dyDescent="0.2">
      <c r="G8760" s="199"/>
      <c r="I8760" s="199"/>
      <c r="K8760" s="199"/>
      <c r="M8760" s="199"/>
      <c r="N8760" s="200"/>
      <c r="P8760" s="199"/>
    </row>
    <row r="8761" spans="7:16" x14ac:dyDescent="0.2">
      <c r="G8761" s="199"/>
      <c r="I8761" s="199"/>
      <c r="K8761" s="199"/>
      <c r="M8761" s="199"/>
      <c r="N8761" s="200"/>
      <c r="P8761" s="199"/>
    </row>
    <row r="8762" spans="7:16" x14ac:dyDescent="0.2">
      <c r="G8762" s="199"/>
      <c r="I8762" s="199"/>
      <c r="K8762" s="199"/>
      <c r="M8762" s="199"/>
      <c r="N8762" s="200"/>
      <c r="P8762" s="199"/>
    </row>
    <row r="8763" spans="7:16" x14ac:dyDescent="0.2">
      <c r="G8763" s="199"/>
      <c r="I8763" s="199"/>
      <c r="K8763" s="199"/>
      <c r="M8763" s="199"/>
      <c r="N8763" s="200"/>
      <c r="P8763" s="199"/>
    </row>
    <row r="8764" spans="7:16" x14ac:dyDescent="0.2">
      <c r="G8764" s="199"/>
      <c r="I8764" s="199"/>
      <c r="K8764" s="199"/>
      <c r="M8764" s="199"/>
      <c r="N8764" s="200"/>
      <c r="P8764" s="199"/>
    </row>
    <row r="8765" spans="7:16" x14ac:dyDescent="0.2">
      <c r="G8765" s="199"/>
      <c r="I8765" s="199"/>
      <c r="K8765" s="199"/>
      <c r="M8765" s="199"/>
      <c r="N8765" s="200"/>
      <c r="P8765" s="199"/>
    </row>
    <row r="8766" spans="7:16" x14ac:dyDescent="0.2">
      <c r="G8766" s="199"/>
      <c r="I8766" s="199"/>
      <c r="K8766" s="199"/>
      <c r="M8766" s="199"/>
      <c r="N8766" s="200"/>
      <c r="P8766" s="199"/>
    </row>
    <row r="8767" spans="7:16" x14ac:dyDescent="0.2">
      <c r="G8767" s="199"/>
      <c r="I8767" s="199"/>
      <c r="K8767" s="199"/>
      <c r="M8767" s="199"/>
      <c r="N8767" s="200"/>
      <c r="P8767" s="199"/>
    </row>
    <row r="8768" spans="7:16" x14ac:dyDescent="0.2">
      <c r="G8768" s="199"/>
      <c r="I8768" s="199"/>
      <c r="K8768" s="199"/>
      <c r="M8768" s="199"/>
      <c r="N8768" s="200"/>
      <c r="P8768" s="199"/>
    </row>
    <row r="8769" spans="7:16" x14ac:dyDescent="0.2">
      <c r="G8769" s="199"/>
      <c r="I8769" s="199"/>
      <c r="K8769" s="199"/>
      <c r="M8769" s="199"/>
      <c r="N8769" s="200"/>
      <c r="P8769" s="199"/>
    </row>
    <row r="8770" spans="7:16" x14ac:dyDescent="0.2">
      <c r="G8770" s="199"/>
      <c r="I8770" s="199"/>
      <c r="K8770" s="199"/>
      <c r="M8770" s="199"/>
      <c r="N8770" s="200"/>
      <c r="P8770" s="199"/>
    </row>
    <row r="8771" spans="7:16" x14ac:dyDescent="0.2">
      <c r="G8771" s="199"/>
      <c r="I8771" s="199"/>
      <c r="K8771" s="199"/>
      <c r="M8771" s="199"/>
      <c r="N8771" s="200"/>
      <c r="P8771" s="199"/>
    </row>
    <row r="8772" spans="7:16" x14ac:dyDescent="0.2">
      <c r="G8772" s="199"/>
      <c r="I8772" s="199"/>
      <c r="K8772" s="199"/>
      <c r="M8772" s="199"/>
      <c r="N8772" s="200"/>
      <c r="P8772" s="199"/>
    </row>
    <row r="8773" spans="7:16" x14ac:dyDescent="0.2">
      <c r="G8773" s="199"/>
      <c r="I8773" s="199"/>
      <c r="K8773" s="199"/>
      <c r="M8773" s="199"/>
      <c r="N8773" s="200"/>
      <c r="P8773" s="199"/>
    </row>
    <row r="8774" spans="7:16" x14ac:dyDescent="0.2">
      <c r="G8774" s="199"/>
      <c r="I8774" s="199"/>
      <c r="K8774" s="199"/>
      <c r="M8774" s="199"/>
      <c r="N8774" s="200"/>
      <c r="P8774" s="199"/>
    </row>
    <row r="8775" spans="7:16" x14ac:dyDescent="0.2">
      <c r="G8775" s="199"/>
      <c r="I8775" s="199"/>
      <c r="K8775" s="199"/>
      <c r="M8775" s="199"/>
      <c r="N8775" s="200"/>
      <c r="P8775" s="199"/>
    </row>
    <row r="8776" spans="7:16" x14ac:dyDescent="0.2">
      <c r="G8776" s="199"/>
      <c r="I8776" s="199"/>
      <c r="K8776" s="199"/>
      <c r="M8776" s="199"/>
      <c r="N8776" s="200"/>
      <c r="P8776" s="199"/>
    </row>
    <row r="8777" spans="7:16" x14ac:dyDescent="0.2">
      <c r="G8777" s="199"/>
      <c r="I8777" s="199"/>
      <c r="K8777" s="199"/>
      <c r="M8777" s="199"/>
      <c r="N8777" s="200"/>
      <c r="P8777" s="199"/>
    </row>
    <row r="8778" spans="7:16" x14ac:dyDescent="0.2">
      <c r="G8778" s="199"/>
      <c r="I8778" s="199"/>
      <c r="K8778" s="199"/>
      <c r="M8778" s="199"/>
      <c r="N8778" s="200"/>
      <c r="P8778" s="199"/>
    </row>
    <row r="8779" spans="7:16" x14ac:dyDescent="0.2">
      <c r="G8779" s="199"/>
      <c r="I8779" s="199"/>
      <c r="K8779" s="199"/>
      <c r="M8779" s="199"/>
      <c r="N8779" s="200"/>
      <c r="P8779" s="199"/>
    </row>
    <row r="8780" spans="7:16" x14ac:dyDescent="0.2">
      <c r="G8780" s="199"/>
      <c r="I8780" s="199"/>
      <c r="K8780" s="199"/>
      <c r="M8780" s="199"/>
      <c r="N8780" s="200"/>
      <c r="P8780" s="199"/>
    </row>
    <row r="8781" spans="7:16" x14ac:dyDescent="0.2">
      <c r="G8781" s="199"/>
      <c r="I8781" s="199"/>
      <c r="K8781" s="199"/>
      <c r="M8781" s="199"/>
      <c r="N8781" s="200"/>
      <c r="P8781" s="199"/>
    </row>
    <row r="8782" spans="7:16" x14ac:dyDescent="0.2">
      <c r="G8782" s="199"/>
      <c r="I8782" s="199"/>
      <c r="K8782" s="199"/>
      <c r="M8782" s="199"/>
      <c r="N8782" s="200"/>
      <c r="P8782" s="199"/>
    </row>
    <row r="8783" spans="7:16" x14ac:dyDescent="0.2">
      <c r="G8783" s="199"/>
      <c r="I8783" s="199"/>
      <c r="K8783" s="199"/>
      <c r="M8783" s="199"/>
      <c r="N8783" s="200"/>
      <c r="P8783" s="199"/>
    </row>
    <row r="8784" spans="7:16" x14ac:dyDescent="0.2">
      <c r="G8784" s="199"/>
      <c r="I8784" s="199"/>
      <c r="K8784" s="199"/>
      <c r="M8784" s="199"/>
      <c r="N8784" s="200"/>
      <c r="P8784" s="199"/>
    </row>
    <row r="8785" spans="7:16" x14ac:dyDescent="0.2">
      <c r="G8785" s="199"/>
      <c r="I8785" s="199"/>
      <c r="K8785" s="199"/>
      <c r="M8785" s="199"/>
      <c r="N8785" s="200"/>
      <c r="P8785" s="199"/>
    </row>
    <row r="8786" spans="7:16" x14ac:dyDescent="0.2">
      <c r="G8786" s="199"/>
      <c r="I8786" s="199"/>
      <c r="K8786" s="199"/>
      <c r="M8786" s="199"/>
      <c r="N8786" s="200"/>
      <c r="P8786" s="199"/>
    </row>
    <row r="8787" spans="7:16" x14ac:dyDescent="0.2">
      <c r="G8787" s="199"/>
      <c r="I8787" s="199"/>
      <c r="K8787" s="199"/>
      <c r="M8787" s="199"/>
      <c r="N8787" s="200"/>
      <c r="P8787" s="199"/>
    </row>
    <row r="8788" spans="7:16" x14ac:dyDescent="0.2">
      <c r="G8788" s="199"/>
      <c r="I8788" s="199"/>
      <c r="K8788" s="199"/>
      <c r="M8788" s="199"/>
      <c r="N8788" s="200"/>
      <c r="P8788" s="199"/>
    </row>
    <row r="8789" spans="7:16" x14ac:dyDescent="0.2">
      <c r="G8789" s="199"/>
      <c r="I8789" s="199"/>
      <c r="K8789" s="199"/>
      <c r="M8789" s="199"/>
      <c r="N8789" s="200"/>
      <c r="P8789" s="199"/>
    </row>
    <row r="8790" spans="7:16" x14ac:dyDescent="0.2">
      <c r="G8790" s="199"/>
      <c r="I8790" s="199"/>
      <c r="K8790" s="199"/>
      <c r="M8790" s="199"/>
      <c r="N8790" s="200"/>
      <c r="P8790" s="199"/>
    </row>
    <row r="8791" spans="7:16" x14ac:dyDescent="0.2">
      <c r="G8791" s="199"/>
      <c r="I8791" s="199"/>
      <c r="K8791" s="199"/>
      <c r="M8791" s="199"/>
      <c r="N8791" s="200"/>
      <c r="P8791" s="199"/>
    </row>
    <row r="8792" spans="7:16" x14ac:dyDescent="0.2">
      <c r="G8792" s="199"/>
      <c r="I8792" s="199"/>
      <c r="K8792" s="199"/>
      <c r="M8792" s="199"/>
      <c r="N8792" s="200"/>
      <c r="P8792" s="199"/>
    </row>
    <row r="8793" spans="7:16" x14ac:dyDescent="0.2">
      <c r="G8793" s="199"/>
      <c r="I8793" s="199"/>
      <c r="K8793" s="199"/>
      <c r="M8793" s="199"/>
      <c r="N8793" s="200"/>
      <c r="P8793" s="199"/>
    </row>
    <row r="8794" spans="7:16" x14ac:dyDescent="0.2">
      <c r="G8794" s="199"/>
      <c r="I8794" s="199"/>
      <c r="K8794" s="199"/>
      <c r="M8794" s="199"/>
      <c r="N8794" s="200"/>
      <c r="P8794" s="199"/>
    </row>
    <row r="8795" spans="7:16" x14ac:dyDescent="0.2">
      <c r="G8795" s="199"/>
      <c r="I8795" s="199"/>
      <c r="K8795" s="199"/>
      <c r="M8795" s="199"/>
      <c r="N8795" s="200"/>
      <c r="P8795" s="199"/>
    </row>
    <row r="8796" spans="7:16" x14ac:dyDescent="0.2">
      <c r="G8796" s="199"/>
      <c r="I8796" s="199"/>
      <c r="K8796" s="199"/>
      <c r="M8796" s="199"/>
      <c r="N8796" s="200"/>
      <c r="P8796" s="199"/>
    </row>
    <row r="8797" spans="7:16" x14ac:dyDescent="0.2">
      <c r="G8797" s="199"/>
      <c r="I8797" s="199"/>
      <c r="K8797" s="199"/>
      <c r="M8797" s="199"/>
      <c r="N8797" s="200"/>
      <c r="P8797" s="199"/>
    </row>
    <row r="8798" spans="7:16" x14ac:dyDescent="0.2">
      <c r="G8798" s="199"/>
      <c r="I8798" s="199"/>
      <c r="K8798" s="199"/>
      <c r="M8798" s="199"/>
      <c r="N8798" s="200"/>
      <c r="P8798" s="199"/>
    </row>
    <row r="8799" spans="7:16" x14ac:dyDescent="0.2">
      <c r="G8799" s="199"/>
      <c r="I8799" s="199"/>
      <c r="K8799" s="199"/>
      <c r="M8799" s="199"/>
      <c r="N8799" s="200"/>
      <c r="P8799" s="199"/>
    </row>
    <row r="8800" spans="7:16" x14ac:dyDescent="0.2">
      <c r="G8800" s="199"/>
      <c r="I8800" s="199"/>
      <c r="K8800" s="199"/>
      <c r="M8800" s="199"/>
      <c r="N8800" s="200"/>
      <c r="P8800" s="199"/>
    </row>
    <row r="8801" spans="7:16" x14ac:dyDescent="0.2">
      <c r="G8801" s="199"/>
      <c r="I8801" s="199"/>
      <c r="K8801" s="199"/>
      <c r="M8801" s="199"/>
      <c r="N8801" s="200"/>
      <c r="P8801" s="199"/>
    </row>
    <row r="8802" spans="7:16" x14ac:dyDescent="0.2">
      <c r="G8802" s="199"/>
      <c r="I8802" s="199"/>
      <c r="K8802" s="199"/>
      <c r="M8802" s="199"/>
      <c r="N8802" s="200"/>
      <c r="P8802" s="199"/>
    </row>
    <row r="8803" spans="7:16" x14ac:dyDescent="0.2">
      <c r="G8803" s="199"/>
      <c r="I8803" s="199"/>
      <c r="K8803" s="199"/>
      <c r="M8803" s="199"/>
      <c r="N8803" s="200"/>
      <c r="P8803" s="199"/>
    </row>
    <row r="8804" spans="7:16" x14ac:dyDescent="0.2">
      <c r="G8804" s="199"/>
      <c r="I8804" s="199"/>
      <c r="K8804" s="199"/>
      <c r="M8804" s="199"/>
      <c r="N8804" s="200"/>
      <c r="P8804" s="199"/>
    </row>
    <row r="8805" spans="7:16" x14ac:dyDescent="0.2">
      <c r="G8805" s="199"/>
      <c r="I8805" s="199"/>
      <c r="K8805" s="199"/>
      <c r="M8805" s="199"/>
      <c r="N8805" s="200"/>
      <c r="P8805" s="199"/>
    </row>
    <row r="8806" spans="7:16" x14ac:dyDescent="0.2">
      <c r="G8806" s="199"/>
      <c r="I8806" s="199"/>
      <c r="K8806" s="199"/>
      <c r="M8806" s="199"/>
      <c r="N8806" s="200"/>
      <c r="P8806" s="199"/>
    </row>
    <row r="8807" spans="7:16" x14ac:dyDescent="0.2">
      <c r="G8807" s="199"/>
      <c r="I8807" s="199"/>
      <c r="K8807" s="199"/>
      <c r="M8807" s="199"/>
      <c r="N8807" s="200"/>
      <c r="P8807" s="199"/>
    </row>
    <row r="8808" spans="7:16" x14ac:dyDescent="0.2">
      <c r="G8808" s="199"/>
      <c r="I8808" s="199"/>
      <c r="K8808" s="199"/>
      <c r="M8808" s="199"/>
      <c r="N8808" s="200"/>
      <c r="P8808" s="199"/>
    </row>
    <row r="8809" spans="7:16" x14ac:dyDescent="0.2">
      <c r="G8809" s="199"/>
      <c r="I8809" s="199"/>
      <c r="K8809" s="199"/>
      <c r="M8809" s="199"/>
      <c r="N8809" s="200"/>
      <c r="P8809" s="199"/>
    </row>
    <row r="8810" spans="7:16" x14ac:dyDescent="0.2">
      <c r="G8810" s="199"/>
      <c r="I8810" s="199"/>
      <c r="K8810" s="199"/>
      <c r="M8810" s="199"/>
      <c r="N8810" s="200"/>
      <c r="P8810" s="199"/>
    </row>
    <row r="8811" spans="7:16" x14ac:dyDescent="0.2">
      <c r="G8811" s="199"/>
      <c r="I8811" s="199"/>
      <c r="K8811" s="199"/>
      <c r="M8811" s="199"/>
      <c r="N8811" s="200"/>
      <c r="P8811" s="199"/>
    </row>
    <row r="8812" spans="7:16" x14ac:dyDescent="0.2">
      <c r="G8812" s="199"/>
      <c r="I8812" s="199"/>
      <c r="K8812" s="199"/>
      <c r="M8812" s="199"/>
      <c r="N8812" s="200"/>
      <c r="P8812" s="199"/>
    </row>
    <row r="8813" spans="7:16" x14ac:dyDescent="0.2">
      <c r="G8813" s="199"/>
      <c r="I8813" s="199"/>
      <c r="K8813" s="199"/>
      <c r="M8813" s="199"/>
      <c r="N8813" s="200"/>
      <c r="P8813" s="199"/>
    </row>
    <row r="8814" spans="7:16" x14ac:dyDescent="0.2">
      <c r="G8814" s="199"/>
      <c r="I8814" s="199"/>
      <c r="K8814" s="199"/>
      <c r="M8814" s="199"/>
      <c r="N8814" s="200"/>
      <c r="P8814" s="199"/>
    </row>
    <row r="8815" spans="7:16" x14ac:dyDescent="0.2">
      <c r="G8815" s="199"/>
      <c r="I8815" s="199"/>
      <c r="K8815" s="199"/>
      <c r="M8815" s="199"/>
      <c r="N8815" s="200"/>
      <c r="P8815" s="199"/>
    </row>
    <row r="8816" spans="7:16" x14ac:dyDescent="0.2">
      <c r="G8816" s="199"/>
      <c r="I8816" s="199"/>
      <c r="K8816" s="199"/>
      <c r="M8816" s="199"/>
      <c r="N8816" s="200"/>
      <c r="P8816" s="199"/>
    </row>
    <row r="8817" spans="7:16" x14ac:dyDescent="0.2">
      <c r="G8817" s="199"/>
      <c r="I8817" s="199"/>
      <c r="K8817" s="199"/>
      <c r="M8817" s="199"/>
      <c r="N8817" s="200"/>
      <c r="P8817" s="199"/>
    </row>
    <row r="8818" spans="7:16" x14ac:dyDescent="0.2">
      <c r="G8818" s="199"/>
      <c r="I8818" s="199"/>
      <c r="K8818" s="199"/>
      <c r="M8818" s="199"/>
      <c r="N8818" s="200"/>
      <c r="P8818" s="199"/>
    </row>
    <row r="8819" spans="7:16" x14ac:dyDescent="0.2">
      <c r="G8819" s="199"/>
      <c r="I8819" s="199"/>
      <c r="K8819" s="199"/>
      <c r="M8819" s="199"/>
      <c r="N8819" s="200"/>
      <c r="P8819" s="199"/>
    </row>
    <row r="8820" spans="7:16" x14ac:dyDescent="0.2">
      <c r="G8820" s="199"/>
      <c r="I8820" s="199"/>
      <c r="K8820" s="199"/>
      <c r="M8820" s="199"/>
      <c r="N8820" s="200"/>
      <c r="P8820" s="199"/>
    </row>
    <row r="8821" spans="7:16" x14ac:dyDescent="0.2">
      <c r="G8821" s="199"/>
      <c r="I8821" s="199"/>
      <c r="K8821" s="199"/>
      <c r="M8821" s="199"/>
      <c r="N8821" s="200"/>
      <c r="P8821" s="199"/>
    </row>
    <row r="8822" spans="7:16" x14ac:dyDescent="0.2">
      <c r="G8822" s="199"/>
      <c r="I8822" s="199"/>
      <c r="K8822" s="199"/>
      <c r="M8822" s="199"/>
      <c r="N8822" s="200"/>
      <c r="P8822" s="199"/>
    </row>
    <row r="8823" spans="7:16" x14ac:dyDescent="0.2">
      <c r="G8823" s="199"/>
      <c r="I8823" s="199"/>
      <c r="K8823" s="199"/>
      <c r="M8823" s="199"/>
      <c r="N8823" s="200"/>
      <c r="P8823" s="199"/>
    </row>
    <row r="8824" spans="7:16" x14ac:dyDescent="0.2">
      <c r="G8824" s="199"/>
      <c r="I8824" s="199"/>
      <c r="K8824" s="199"/>
      <c r="M8824" s="199"/>
      <c r="N8824" s="200"/>
      <c r="P8824" s="199"/>
    </row>
    <row r="8825" spans="7:16" x14ac:dyDescent="0.2">
      <c r="G8825" s="199"/>
      <c r="I8825" s="199"/>
      <c r="K8825" s="199"/>
      <c r="M8825" s="199"/>
      <c r="N8825" s="200"/>
      <c r="P8825" s="199"/>
    </row>
    <row r="8826" spans="7:16" x14ac:dyDescent="0.2">
      <c r="G8826" s="199"/>
      <c r="I8826" s="199"/>
      <c r="K8826" s="199"/>
      <c r="M8826" s="199"/>
      <c r="N8826" s="200"/>
      <c r="P8826" s="199"/>
    </row>
    <row r="8827" spans="7:16" x14ac:dyDescent="0.2">
      <c r="G8827" s="199"/>
      <c r="I8827" s="199"/>
      <c r="K8827" s="199"/>
      <c r="M8827" s="199"/>
      <c r="N8827" s="200"/>
      <c r="P8827" s="199"/>
    </row>
    <row r="8828" spans="7:16" x14ac:dyDescent="0.2">
      <c r="G8828" s="199"/>
      <c r="I8828" s="199"/>
      <c r="K8828" s="199"/>
      <c r="M8828" s="199"/>
      <c r="N8828" s="200"/>
      <c r="P8828" s="199"/>
    </row>
    <row r="8829" spans="7:16" x14ac:dyDescent="0.2">
      <c r="G8829" s="199"/>
      <c r="I8829" s="199"/>
      <c r="K8829" s="199"/>
      <c r="M8829" s="199"/>
      <c r="N8829" s="200"/>
      <c r="P8829" s="199"/>
    </row>
    <row r="8830" spans="7:16" x14ac:dyDescent="0.2">
      <c r="G8830" s="199"/>
      <c r="I8830" s="199"/>
      <c r="K8830" s="199"/>
      <c r="M8830" s="199"/>
      <c r="N8830" s="200"/>
      <c r="P8830" s="199"/>
    </row>
    <row r="8831" spans="7:16" x14ac:dyDescent="0.2">
      <c r="G8831" s="199"/>
      <c r="I8831" s="199"/>
      <c r="K8831" s="199"/>
      <c r="M8831" s="199"/>
      <c r="N8831" s="200"/>
      <c r="P8831" s="199"/>
    </row>
    <row r="8832" spans="7:16" x14ac:dyDescent="0.2">
      <c r="G8832" s="199"/>
      <c r="I8832" s="199"/>
      <c r="K8832" s="199"/>
      <c r="M8832" s="199"/>
      <c r="N8832" s="200"/>
      <c r="P8832" s="199"/>
    </row>
    <row r="8833" spans="7:16" x14ac:dyDescent="0.2">
      <c r="G8833" s="199"/>
      <c r="I8833" s="199"/>
      <c r="K8833" s="199"/>
      <c r="M8833" s="199"/>
      <c r="N8833" s="200"/>
      <c r="P8833" s="199"/>
    </row>
    <row r="8834" spans="7:16" x14ac:dyDescent="0.2">
      <c r="G8834" s="199"/>
      <c r="I8834" s="199"/>
      <c r="K8834" s="199"/>
      <c r="M8834" s="199"/>
      <c r="N8834" s="200"/>
      <c r="P8834" s="199"/>
    </row>
    <row r="8835" spans="7:16" x14ac:dyDescent="0.2">
      <c r="G8835" s="199"/>
      <c r="I8835" s="199"/>
      <c r="K8835" s="199"/>
      <c r="M8835" s="199"/>
      <c r="N8835" s="200"/>
      <c r="P8835" s="199"/>
    </row>
    <row r="8836" spans="7:16" x14ac:dyDescent="0.2">
      <c r="G8836" s="199"/>
      <c r="I8836" s="199"/>
      <c r="K8836" s="199"/>
      <c r="M8836" s="199"/>
      <c r="N8836" s="200"/>
      <c r="P8836" s="199"/>
    </row>
    <row r="8837" spans="7:16" x14ac:dyDescent="0.2">
      <c r="G8837" s="199"/>
      <c r="I8837" s="199"/>
      <c r="K8837" s="199"/>
      <c r="M8837" s="199"/>
      <c r="N8837" s="200"/>
      <c r="P8837" s="199"/>
    </row>
    <row r="8838" spans="7:16" x14ac:dyDescent="0.2">
      <c r="G8838" s="199"/>
      <c r="I8838" s="199"/>
      <c r="K8838" s="199"/>
      <c r="M8838" s="199"/>
      <c r="N8838" s="200"/>
      <c r="P8838" s="199"/>
    </row>
    <row r="8839" spans="7:16" x14ac:dyDescent="0.2">
      <c r="G8839" s="199"/>
      <c r="I8839" s="199"/>
      <c r="K8839" s="199"/>
      <c r="M8839" s="199"/>
      <c r="N8839" s="200"/>
      <c r="P8839" s="199"/>
    </row>
    <row r="8840" spans="7:16" x14ac:dyDescent="0.2">
      <c r="G8840" s="199"/>
      <c r="I8840" s="199"/>
      <c r="K8840" s="199"/>
      <c r="M8840" s="199"/>
      <c r="N8840" s="200"/>
      <c r="P8840" s="199"/>
    </row>
    <row r="8841" spans="7:16" x14ac:dyDescent="0.2">
      <c r="G8841" s="199"/>
      <c r="I8841" s="199"/>
      <c r="K8841" s="199"/>
      <c r="M8841" s="199"/>
      <c r="N8841" s="200"/>
      <c r="P8841" s="199"/>
    </row>
    <row r="8842" spans="7:16" x14ac:dyDescent="0.2">
      <c r="G8842" s="199"/>
      <c r="I8842" s="199"/>
      <c r="K8842" s="199"/>
      <c r="M8842" s="199"/>
      <c r="N8842" s="200"/>
      <c r="P8842" s="199"/>
    </row>
    <row r="8843" spans="7:16" x14ac:dyDescent="0.2">
      <c r="G8843" s="199"/>
      <c r="I8843" s="199"/>
      <c r="K8843" s="199"/>
      <c r="M8843" s="199"/>
      <c r="N8843" s="200"/>
      <c r="P8843" s="199"/>
    </row>
    <row r="8844" spans="7:16" x14ac:dyDescent="0.2">
      <c r="G8844" s="199"/>
      <c r="I8844" s="199"/>
      <c r="K8844" s="199"/>
      <c r="M8844" s="199"/>
      <c r="N8844" s="200"/>
      <c r="P8844" s="199"/>
    </row>
    <row r="8845" spans="7:16" x14ac:dyDescent="0.2">
      <c r="G8845" s="199"/>
      <c r="I8845" s="199"/>
      <c r="K8845" s="199"/>
      <c r="M8845" s="199"/>
      <c r="N8845" s="200"/>
      <c r="P8845" s="199"/>
    </row>
    <row r="8846" spans="7:16" x14ac:dyDescent="0.2">
      <c r="G8846" s="199"/>
      <c r="I8846" s="199"/>
      <c r="K8846" s="199"/>
      <c r="M8846" s="199"/>
      <c r="N8846" s="200"/>
      <c r="P8846" s="199"/>
    </row>
    <row r="8847" spans="7:16" x14ac:dyDescent="0.2">
      <c r="G8847" s="199"/>
      <c r="I8847" s="199"/>
      <c r="K8847" s="199"/>
      <c r="M8847" s="199"/>
      <c r="N8847" s="200"/>
      <c r="P8847" s="199"/>
    </row>
    <row r="8848" spans="7:16" x14ac:dyDescent="0.2">
      <c r="G8848" s="199"/>
      <c r="I8848" s="199"/>
      <c r="K8848" s="199"/>
      <c r="M8848" s="199"/>
      <c r="N8848" s="200"/>
      <c r="P8848" s="199"/>
    </row>
    <row r="8849" spans="7:16" x14ac:dyDescent="0.2">
      <c r="G8849" s="199"/>
      <c r="I8849" s="199"/>
      <c r="K8849" s="199"/>
      <c r="M8849" s="199"/>
      <c r="N8849" s="200"/>
      <c r="P8849" s="199"/>
    </row>
    <row r="8850" spans="7:16" x14ac:dyDescent="0.2">
      <c r="G8850" s="199"/>
      <c r="I8850" s="199"/>
      <c r="K8850" s="199"/>
      <c r="M8850" s="199"/>
      <c r="N8850" s="200"/>
      <c r="P8850" s="199"/>
    </row>
    <row r="8851" spans="7:16" x14ac:dyDescent="0.2">
      <c r="G8851" s="199"/>
      <c r="I8851" s="199"/>
      <c r="K8851" s="199"/>
      <c r="M8851" s="199"/>
      <c r="N8851" s="200"/>
      <c r="P8851" s="199"/>
    </row>
    <row r="8852" spans="7:16" x14ac:dyDescent="0.2">
      <c r="G8852" s="199"/>
      <c r="I8852" s="199"/>
      <c r="K8852" s="199"/>
      <c r="M8852" s="199"/>
      <c r="N8852" s="200"/>
      <c r="P8852" s="199"/>
    </row>
    <row r="8853" spans="7:16" x14ac:dyDescent="0.2">
      <c r="G8853" s="199"/>
      <c r="I8853" s="199"/>
      <c r="K8853" s="199"/>
      <c r="M8853" s="199"/>
      <c r="N8853" s="200"/>
      <c r="P8853" s="199"/>
    </row>
    <row r="8854" spans="7:16" x14ac:dyDescent="0.2">
      <c r="G8854" s="199"/>
      <c r="I8854" s="199"/>
      <c r="K8854" s="199"/>
      <c r="M8854" s="199"/>
      <c r="N8854" s="200"/>
      <c r="P8854" s="199"/>
    </row>
    <row r="8855" spans="7:16" x14ac:dyDescent="0.2">
      <c r="G8855" s="199"/>
      <c r="I8855" s="199"/>
      <c r="K8855" s="199"/>
      <c r="M8855" s="199"/>
      <c r="N8855" s="200"/>
      <c r="P8855" s="199"/>
    </row>
    <row r="8856" spans="7:16" x14ac:dyDescent="0.2">
      <c r="G8856" s="199"/>
      <c r="I8856" s="199"/>
      <c r="K8856" s="199"/>
      <c r="M8856" s="199"/>
      <c r="N8856" s="200"/>
      <c r="P8856" s="199"/>
    </row>
    <row r="8857" spans="7:16" x14ac:dyDescent="0.2">
      <c r="G8857" s="199"/>
      <c r="I8857" s="199"/>
      <c r="K8857" s="199"/>
      <c r="M8857" s="199"/>
      <c r="N8857" s="200"/>
      <c r="P8857" s="199"/>
    </row>
    <row r="8858" spans="7:16" x14ac:dyDescent="0.2">
      <c r="G8858" s="199"/>
      <c r="I8858" s="199"/>
      <c r="K8858" s="199"/>
      <c r="M8858" s="199"/>
      <c r="N8858" s="200"/>
      <c r="P8858" s="199"/>
    </row>
    <row r="8859" spans="7:16" x14ac:dyDescent="0.2">
      <c r="G8859" s="199"/>
      <c r="I8859" s="199"/>
      <c r="K8859" s="199"/>
      <c r="M8859" s="199"/>
      <c r="N8859" s="200"/>
      <c r="P8859" s="199"/>
    </row>
    <row r="8860" spans="7:16" x14ac:dyDescent="0.2">
      <c r="G8860" s="199"/>
      <c r="I8860" s="199"/>
      <c r="K8860" s="199"/>
      <c r="M8860" s="199"/>
      <c r="N8860" s="200"/>
      <c r="P8860" s="199"/>
    </row>
    <row r="8861" spans="7:16" x14ac:dyDescent="0.2">
      <c r="G8861" s="199"/>
      <c r="I8861" s="199"/>
      <c r="K8861" s="199"/>
      <c r="M8861" s="199"/>
      <c r="N8861" s="200"/>
      <c r="P8861" s="199"/>
    </row>
    <row r="8862" spans="7:16" x14ac:dyDescent="0.2">
      <c r="G8862" s="199"/>
      <c r="I8862" s="199"/>
      <c r="K8862" s="199"/>
      <c r="M8862" s="199"/>
      <c r="N8862" s="200"/>
      <c r="P8862" s="199"/>
    </row>
    <row r="8863" spans="7:16" x14ac:dyDescent="0.2">
      <c r="G8863" s="199"/>
      <c r="I8863" s="199"/>
      <c r="K8863" s="199"/>
      <c r="M8863" s="199"/>
      <c r="N8863" s="200"/>
      <c r="P8863" s="199"/>
    </row>
    <row r="8864" spans="7:16" x14ac:dyDescent="0.2">
      <c r="G8864" s="199"/>
      <c r="I8864" s="199"/>
      <c r="K8864" s="199"/>
      <c r="M8864" s="199"/>
      <c r="N8864" s="200"/>
      <c r="P8864" s="199"/>
    </row>
    <row r="8865" spans="7:16" x14ac:dyDescent="0.2">
      <c r="G8865" s="199"/>
      <c r="I8865" s="199"/>
      <c r="K8865" s="199"/>
      <c r="M8865" s="199"/>
      <c r="N8865" s="200"/>
      <c r="P8865" s="199"/>
    </row>
    <row r="8866" spans="7:16" x14ac:dyDescent="0.2">
      <c r="G8866" s="199"/>
      <c r="I8866" s="199"/>
      <c r="K8866" s="199"/>
      <c r="M8866" s="199"/>
      <c r="N8866" s="200"/>
      <c r="P8866" s="199"/>
    </row>
    <row r="8867" spans="7:16" x14ac:dyDescent="0.2">
      <c r="G8867" s="199"/>
      <c r="I8867" s="199"/>
      <c r="K8867" s="199"/>
      <c r="M8867" s="199"/>
      <c r="N8867" s="200"/>
      <c r="P8867" s="199"/>
    </row>
    <row r="8868" spans="7:16" x14ac:dyDescent="0.2">
      <c r="G8868" s="199"/>
      <c r="I8868" s="199"/>
      <c r="K8868" s="199"/>
      <c r="M8868" s="199"/>
      <c r="N8868" s="200"/>
      <c r="P8868" s="199"/>
    </row>
    <row r="8869" spans="7:16" x14ac:dyDescent="0.2">
      <c r="G8869" s="199"/>
      <c r="I8869" s="199"/>
      <c r="K8869" s="199"/>
      <c r="M8869" s="199"/>
      <c r="N8869" s="200"/>
      <c r="P8869" s="199"/>
    </row>
    <row r="8870" spans="7:16" x14ac:dyDescent="0.2">
      <c r="G8870" s="199"/>
      <c r="I8870" s="199"/>
      <c r="K8870" s="199"/>
      <c r="M8870" s="199"/>
      <c r="N8870" s="200"/>
      <c r="P8870" s="199"/>
    </row>
    <row r="8871" spans="7:16" x14ac:dyDescent="0.2">
      <c r="G8871" s="199"/>
      <c r="I8871" s="199"/>
      <c r="K8871" s="199"/>
      <c r="M8871" s="199"/>
      <c r="N8871" s="200"/>
      <c r="P8871" s="199"/>
    </row>
    <row r="8872" spans="7:16" x14ac:dyDescent="0.2">
      <c r="G8872" s="199"/>
      <c r="I8872" s="199"/>
      <c r="K8872" s="199"/>
      <c r="M8872" s="199"/>
      <c r="N8872" s="200"/>
      <c r="P8872" s="199"/>
    </row>
    <row r="8873" spans="7:16" x14ac:dyDescent="0.2">
      <c r="G8873" s="199"/>
      <c r="I8873" s="199"/>
      <c r="K8873" s="199"/>
      <c r="M8873" s="199"/>
      <c r="N8873" s="200"/>
      <c r="P8873" s="199"/>
    </row>
    <row r="8874" spans="7:16" x14ac:dyDescent="0.2">
      <c r="G8874" s="199"/>
      <c r="I8874" s="199"/>
      <c r="K8874" s="199"/>
      <c r="M8874" s="199"/>
      <c r="N8874" s="200"/>
      <c r="P8874" s="199"/>
    </row>
    <row r="8875" spans="7:16" x14ac:dyDescent="0.2">
      <c r="G8875" s="199"/>
      <c r="I8875" s="199"/>
      <c r="K8875" s="199"/>
      <c r="M8875" s="199"/>
      <c r="N8875" s="200"/>
      <c r="P8875" s="199"/>
    </row>
    <row r="8876" spans="7:16" x14ac:dyDescent="0.2">
      <c r="G8876" s="199"/>
      <c r="I8876" s="199"/>
      <c r="K8876" s="199"/>
      <c r="M8876" s="199"/>
      <c r="N8876" s="200"/>
      <c r="P8876" s="199"/>
    </row>
    <row r="8877" spans="7:16" x14ac:dyDescent="0.2">
      <c r="G8877" s="199"/>
      <c r="I8877" s="199"/>
      <c r="K8877" s="199"/>
      <c r="M8877" s="199"/>
      <c r="N8877" s="200"/>
      <c r="P8877" s="199"/>
    </row>
    <row r="8878" spans="7:16" x14ac:dyDescent="0.2">
      <c r="G8878" s="199"/>
      <c r="I8878" s="199"/>
      <c r="K8878" s="199"/>
      <c r="M8878" s="199"/>
      <c r="N8878" s="200"/>
      <c r="P8878" s="199"/>
    </row>
    <row r="8879" spans="7:16" x14ac:dyDescent="0.2">
      <c r="G8879" s="199"/>
      <c r="I8879" s="199"/>
      <c r="K8879" s="199"/>
      <c r="M8879" s="199"/>
      <c r="N8879" s="200"/>
      <c r="P8879" s="199"/>
    </row>
    <row r="8880" spans="7:16" x14ac:dyDescent="0.2">
      <c r="G8880" s="199"/>
      <c r="I8880" s="199"/>
      <c r="K8880" s="199"/>
      <c r="M8880" s="199"/>
      <c r="N8880" s="200"/>
      <c r="P8880" s="199"/>
    </row>
    <row r="8881" spans="7:16" x14ac:dyDescent="0.2">
      <c r="G8881" s="199"/>
      <c r="I8881" s="199"/>
      <c r="K8881" s="199"/>
      <c r="M8881" s="199"/>
      <c r="N8881" s="200"/>
      <c r="P8881" s="199"/>
    </row>
    <row r="8882" spans="7:16" x14ac:dyDescent="0.2">
      <c r="G8882" s="199"/>
      <c r="I8882" s="199"/>
      <c r="K8882" s="199"/>
      <c r="M8882" s="199"/>
      <c r="N8882" s="200"/>
      <c r="P8882" s="199"/>
    </row>
    <row r="8883" spans="7:16" x14ac:dyDescent="0.2">
      <c r="G8883" s="199"/>
      <c r="I8883" s="199"/>
      <c r="K8883" s="199"/>
      <c r="M8883" s="199"/>
      <c r="N8883" s="200"/>
      <c r="P8883" s="199"/>
    </row>
    <row r="8884" spans="7:16" x14ac:dyDescent="0.2">
      <c r="G8884" s="199"/>
      <c r="I8884" s="199"/>
      <c r="K8884" s="199"/>
      <c r="M8884" s="199"/>
      <c r="N8884" s="200"/>
      <c r="P8884" s="199"/>
    </row>
    <row r="8885" spans="7:16" x14ac:dyDescent="0.2">
      <c r="G8885" s="199"/>
      <c r="I8885" s="199"/>
      <c r="K8885" s="199"/>
      <c r="M8885" s="199"/>
      <c r="N8885" s="200"/>
      <c r="P8885" s="199"/>
    </row>
    <row r="8886" spans="7:16" x14ac:dyDescent="0.2">
      <c r="G8886" s="199"/>
      <c r="I8886" s="199"/>
      <c r="K8886" s="199"/>
      <c r="M8886" s="199"/>
      <c r="N8886" s="200"/>
      <c r="P8886" s="199"/>
    </row>
    <row r="8887" spans="7:16" x14ac:dyDescent="0.2">
      <c r="G8887" s="199"/>
      <c r="I8887" s="199"/>
      <c r="K8887" s="199"/>
      <c r="M8887" s="199"/>
      <c r="N8887" s="200"/>
      <c r="P8887" s="199"/>
    </row>
    <row r="8888" spans="7:16" x14ac:dyDescent="0.2">
      <c r="G8888" s="199"/>
      <c r="I8888" s="199"/>
      <c r="K8888" s="199"/>
      <c r="M8888" s="199"/>
      <c r="N8888" s="200"/>
      <c r="P8888" s="199"/>
    </row>
    <row r="8889" spans="7:16" x14ac:dyDescent="0.2">
      <c r="G8889" s="199"/>
      <c r="I8889" s="199"/>
      <c r="K8889" s="199"/>
      <c r="M8889" s="199"/>
      <c r="N8889" s="200"/>
      <c r="P8889" s="199"/>
    </row>
    <row r="8890" spans="7:16" x14ac:dyDescent="0.2">
      <c r="G8890" s="199"/>
      <c r="I8890" s="199"/>
      <c r="K8890" s="199"/>
      <c r="M8890" s="199"/>
      <c r="N8890" s="200"/>
      <c r="P8890" s="199"/>
    </row>
    <row r="8891" spans="7:16" x14ac:dyDescent="0.2">
      <c r="G8891" s="199"/>
      <c r="I8891" s="199"/>
      <c r="K8891" s="199"/>
      <c r="M8891" s="199"/>
      <c r="N8891" s="200"/>
      <c r="P8891" s="199"/>
    </row>
    <row r="8892" spans="7:16" x14ac:dyDescent="0.2">
      <c r="G8892" s="199"/>
      <c r="I8892" s="199"/>
      <c r="K8892" s="199"/>
      <c r="M8892" s="199"/>
      <c r="N8892" s="200"/>
      <c r="P8892" s="199"/>
    </row>
    <row r="8893" spans="7:16" x14ac:dyDescent="0.2">
      <c r="G8893" s="199"/>
      <c r="I8893" s="199"/>
      <c r="K8893" s="199"/>
      <c r="M8893" s="199"/>
      <c r="N8893" s="200"/>
      <c r="P8893" s="199"/>
    </row>
    <row r="8894" spans="7:16" x14ac:dyDescent="0.2">
      <c r="G8894" s="199"/>
      <c r="I8894" s="199"/>
      <c r="K8894" s="199"/>
      <c r="M8894" s="199"/>
      <c r="N8894" s="200"/>
      <c r="P8894" s="199"/>
    </row>
    <row r="8895" spans="7:16" x14ac:dyDescent="0.2">
      <c r="G8895" s="199"/>
      <c r="I8895" s="199"/>
      <c r="K8895" s="199"/>
      <c r="M8895" s="199"/>
      <c r="N8895" s="200"/>
      <c r="P8895" s="199"/>
    </row>
    <row r="8896" spans="7:16" x14ac:dyDescent="0.2">
      <c r="G8896" s="199"/>
      <c r="I8896" s="199"/>
      <c r="K8896" s="199"/>
      <c r="M8896" s="199"/>
      <c r="N8896" s="200"/>
      <c r="P8896" s="199"/>
    </row>
    <row r="8897" spans="7:16" x14ac:dyDescent="0.2">
      <c r="G8897" s="199"/>
      <c r="I8897" s="199"/>
      <c r="K8897" s="199"/>
      <c r="M8897" s="199"/>
      <c r="N8897" s="200"/>
      <c r="P8897" s="199"/>
    </row>
    <row r="8898" spans="7:16" x14ac:dyDescent="0.2">
      <c r="G8898" s="199"/>
      <c r="I8898" s="199"/>
      <c r="K8898" s="199"/>
      <c r="M8898" s="199"/>
      <c r="N8898" s="200"/>
      <c r="P8898" s="199"/>
    </row>
    <row r="8899" spans="7:16" x14ac:dyDescent="0.2">
      <c r="G8899" s="199"/>
      <c r="I8899" s="199"/>
      <c r="K8899" s="199"/>
      <c r="M8899" s="199"/>
      <c r="N8899" s="200"/>
      <c r="P8899" s="199"/>
    </row>
    <row r="8900" spans="7:16" x14ac:dyDescent="0.2">
      <c r="G8900" s="199"/>
      <c r="I8900" s="199"/>
      <c r="K8900" s="199"/>
      <c r="M8900" s="199"/>
      <c r="N8900" s="200"/>
      <c r="P8900" s="199"/>
    </row>
    <row r="8901" spans="7:16" x14ac:dyDescent="0.2">
      <c r="G8901" s="199"/>
      <c r="I8901" s="199"/>
      <c r="K8901" s="199"/>
      <c r="M8901" s="199"/>
      <c r="N8901" s="200"/>
      <c r="P8901" s="199"/>
    </row>
    <row r="8902" spans="7:16" x14ac:dyDescent="0.2">
      <c r="G8902" s="199"/>
      <c r="I8902" s="199"/>
      <c r="K8902" s="199"/>
      <c r="M8902" s="199"/>
      <c r="N8902" s="200"/>
      <c r="P8902" s="199"/>
    </row>
    <row r="8903" spans="7:16" x14ac:dyDescent="0.2">
      <c r="G8903" s="199"/>
      <c r="I8903" s="199"/>
      <c r="K8903" s="199"/>
      <c r="M8903" s="199"/>
      <c r="N8903" s="200"/>
      <c r="P8903" s="199"/>
    </row>
    <row r="8904" spans="7:16" x14ac:dyDescent="0.2">
      <c r="G8904" s="199"/>
      <c r="I8904" s="199"/>
      <c r="K8904" s="199"/>
      <c r="M8904" s="199"/>
      <c r="N8904" s="200"/>
      <c r="P8904" s="199"/>
    </row>
    <row r="8905" spans="7:16" x14ac:dyDescent="0.2">
      <c r="G8905" s="199"/>
      <c r="I8905" s="199"/>
      <c r="K8905" s="199"/>
      <c r="M8905" s="199"/>
      <c r="N8905" s="200"/>
      <c r="P8905" s="199"/>
    </row>
    <row r="8906" spans="7:16" x14ac:dyDescent="0.2">
      <c r="G8906" s="199"/>
      <c r="I8906" s="199"/>
      <c r="K8906" s="199"/>
      <c r="M8906" s="199"/>
      <c r="N8906" s="200"/>
      <c r="P8906" s="199"/>
    </row>
    <row r="8907" spans="7:16" x14ac:dyDescent="0.2">
      <c r="G8907" s="199"/>
      <c r="I8907" s="199"/>
      <c r="K8907" s="199"/>
      <c r="M8907" s="199"/>
      <c r="N8907" s="200"/>
      <c r="P8907" s="199"/>
    </row>
    <row r="8908" spans="7:16" x14ac:dyDescent="0.2">
      <c r="G8908" s="199"/>
      <c r="I8908" s="199"/>
      <c r="K8908" s="199"/>
      <c r="M8908" s="199"/>
      <c r="N8908" s="200"/>
      <c r="P8908" s="199"/>
    </row>
    <row r="8909" spans="7:16" x14ac:dyDescent="0.2">
      <c r="G8909" s="199"/>
      <c r="I8909" s="199"/>
      <c r="K8909" s="199"/>
      <c r="M8909" s="199"/>
      <c r="N8909" s="200"/>
      <c r="P8909" s="199"/>
    </row>
    <row r="8910" spans="7:16" x14ac:dyDescent="0.2">
      <c r="G8910" s="199"/>
      <c r="I8910" s="199"/>
      <c r="K8910" s="199"/>
      <c r="M8910" s="199"/>
      <c r="N8910" s="200"/>
      <c r="P8910" s="199"/>
    </row>
    <row r="8911" spans="7:16" x14ac:dyDescent="0.2">
      <c r="G8911" s="199"/>
      <c r="I8911" s="199"/>
      <c r="K8911" s="199"/>
      <c r="M8911" s="199"/>
      <c r="N8911" s="200"/>
      <c r="P8911" s="199"/>
    </row>
    <row r="8912" spans="7:16" x14ac:dyDescent="0.2">
      <c r="G8912" s="199"/>
      <c r="I8912" s="199"/>
      <c r="K8912" s="199"/>
      <c r="M8912" s="199"/>
      <c r="N8912" s="200"/>
      <c r="P8912" s="199"/>
    </row>
    <row r="8913" spans="7:16" x14ac:dyDescent="0.2">
      <c r="G8913" s="199"/>
      <c r="I8913" s="199"/>
      <c r="K8913" s="199"/>
      <c r="M8913" s="199"/>
      <c r="N8913" s="200"/>
      <c r="P8913" s="199"/>
    </row>
    <row r="8914" spans="7:16" x14ac:dyDescent="0.2">
      <c r="G8914" s="199"/>
      <c r="I8914" s="199"/>
      <c r="K8914" s="199"/>
      <c r="M8914" s="199"/>
      <c r="N8914" s="200"/>
      <c r="P8914" s="199"/>
    </row>
    <row r="8915" spans="7:16" x14ac:dyDescent="0.2">
      <c r="G8915" s="199"/>
      <c r="I8915" s="199"/>
      <c r="K8915" s="199"/>
      <c r="M8915" s="199"/>
      <c r="N8915" s="200"/>
      <c r="P8915" s="199"/>
    </row>
    <row r="8916" spans="7:16" x14ac:dyDescent="0.2">
      <c r="G8916" s="199"/>
      <c r="I8916" s="199"/>
      <c r="K8916" s="199"/>
      <c r="M8916" s="199"/>
      <c r="N8916" s="200"/>
      <c r="P8916" s="199"/>
    </row>
    <row r="8917" spans="7:16" x14ac:dyDescent="0.2">
      <c r="G8917" s="199"/>
      <c r="I8917" s="199"/>
      <c r="K8917" s="199"/>
      <c r="M8917" s="199"/>
      <c r="N8917" s="200"/>
      <c r="P8917" s="199"/>
    </row>
    <row r="8918" spans="7:16" x14ac:dyDescent="0.2">
      <c r="G8918" s="199"/>
      <c r="I8918" s="199"/>
      <c r="K8918" s="199"/>
      <c r="M8918" s="199"/>
      <c r="N8918" s="200"/>
      <c r="P8918" s="199"/>
    </row>
    <row r="8919" spans="7:16" x14ac:dyDescent="0.2">
      <c r="G8919" s="199"/>
      <c r="I8919" s="199"/>
      <c r="K8919" s="199"/>
      <c r="M8919" s="199"/>
      <c r="N8919" s="200"/>
      <c r="P8919" s="199"/>
    </row>
    <row r="8920" spans="7:16" x14ac:dyDescent="0.2">
      <c r="G8920" s="199"/>
      <c r="I8920" s="199"/>
      <c r="K8920" s="199"/>
      <c r="M8920" s="199"/>
      <c r="N8920" s="200"/>
      <c r="P8920" s="199"/>
    </row>
    <row r="8921" spans="7:16" x14ac:dyDescent="0.2">
      <c r="G8921" s="199"/>
      <c r="I8921" s="199"/>
      <c r="K8921" s="199"/>
      <c r="M8921" s="199"/>
      <c r="N8921" s="200"/>
      <c r="P8921" s="199"/>
    </row>
    <row r="8922" spans="7:16" x14ac:dyDescent="0.2">
      <c r="G8922" s="199"/>
      <c r="I8922" s="199"/>
      <c r="K8922" s="199"/>
      <c r="M8922" s="199"/>
      <c r="N8922" s="200"/>
      <c r="P8922" s="199"/>
    </row>
    <row r="8923" spans="7:16" x14ac:dyDescent="0.2">
      <c r="G8923" s="199"/>
      <c r="I8923" s="199"/>
      <c r="K8923" s="199"/>
      <c r="M8923" s="199"/>
      <c r="N8923" s="200"/>
      <c r="P8923" s="199"/>
    </row>
    <row r="8924" spans="7:16" x14ac:dyDescent="0.2">
      <c r="G8924" s="199"/>
      <c r="I8924" s="199"/>
      <c r="K8924" s="199"/>
      <c r="M8924" s="199"/>
      <c r="N8924" s="200"/>
      <c r="P8924" s="199"/>
    </row>
    <row r="8925" spans="7:16" x14ac:dyDescent="0.2">
      <c r="G8925" s="199"/>
      <c r="I8925" s="199"/>
      <c r="K8925" s="199"/>
      <c r="M8925" s="199"/>
      <c r="N8925" s="200"/>
      <c r="P8925" s="199"/>
    </row>
    <row r="8926" spans="7:16" x14ac:dyDescent="0.2">
      <c r="G8926" s="199"/>
      <c r="I8926" s="199"/>
      <c r="K8926" s="199"/>
      <c r="M8926" s="199"/>
      <c r="N8926" s="200"/>
      <c r="P8926" s="199"/>
    </row>
    <row r="8927" spans="7:16" x14ac:dyDescent="0.2">
      <c r="G8927" s="199"/>
      <c r="I8927" s="199"/>
      <c r="K8927" s="199"/>
      <c r="M8927" s="199"/>
      <c r="N8927" s="200"/>
      <c r="P8927" s="199"/>
    </row>
    <row r="8928" spans="7:16" x14ac:dyDescent="0.2">
      <c r="G8928" s="199"/>
      <c r="I8928" s="199"/>
      <c r="K8928" s="199"/>
      <c r="M8928" s="199"/>
      <c r="N8928" s="200"/>
      <c r="P8928" s="199"/>
    </row>
    <row r="8929" spans="7:16" x14ac:dyDescent="0.2">
      <c r="G8929" s="199"/>
      <c r="I8929" s="199"/>
      <c r="K8929" s="199"/>
      <c r="M8929" s="199"/>
      <c r="N8929" s="200"/>
      <c r="P8929" s="199"/>
    </row>
    <row r="8930" spans="7:16" x14ac:dyDescent="0.2">
      <c r="G8930" s="199"/>
      <c r="I8930" s="199"/>
      <c r="K8930" s="199"/>
      <c r="M8930" s="199"/>
      <c r="N8930" s="200"/>
      <c r="P8930" s="199"/>
    </row>
    <row r="8931" spans="7:16" x14ac:dyDescent="0.2">
      <c r="G8931" s="199"/>
      <c r="I8931" s="199"/>
      <c r="K8931" s="199"/>
      <c r="M8931" s="199"/>
      <c r="N8931" s="200"/>
      <c r="P8931" s="199"/>
    </row>
    <row r="8932" spans="7:16" x14ac:dyDescent="0.2">
      <c r="G8932" s="199"/>
      <c r="I8932" s="199"/>
      <c r="K8932" s="199"/>
      <c r="M8932" s="199"/>
      <c r="N8932" s="200"/>
      <c r="P8932" s="199"/>
    </row>
    <row r="8933" spans="7:16" x14ac:dyDescent="0.2">
      <c r="G8933" s="199"/>
      <c r="I8933" s="199"/>
      <c r="K8933" s="199"/>
      <c r="M8933" s="199"/>
      <c r="N8933" s="200"/>
      <c r="P8933" s="199"/>
    </row>
    <row r="8934" spans="7:16" x14ac:dyDescent="0.2">
      <c r="G8934" s="199"/>
      <c r="I8934" s="199"/>
      <c r="K8934" s="199"/>
      <c r="M8934" s="199"/>
      <c r="N8934" s="200"/>
      <c r="P8934" s="199"/>
    </row>
    <row r="8935" spans="7:16" x14ac:dyDescent="0.2">
      <c r="G8935" s="199"/>
      <c r="I8935" s="199"/>
      <c r="K8935" s="199"/>
      <c r="M8935" s="199"/>
      <c r="N8935" s="200"/>
      <c r="P8935" s="199"/>
    </row>
    <row r="8936" spans="7:16" x14ac:dyDescent="0.2">
      <c r="G8936" s="199"/>
      <c r="I8936" s="199"/>
      <c r="K8936" s="199"/>
      <c r="M8936" s="199"/>
      <c r="N8936" s="200"/>
      <c r="P8936" s="199"/>
    </row>
    <row r="8937" spans="7:16" x14ac:dyDescent="0.2">
      <c r="G8937" s="199"/>
      <c r="I8937" s="199"/>
      <c r="K8937" s="199"/>
      <c r="M8937" s="199"/>
      <c r="N8937" s="200"/>
      <c r="P8937" s="199"/>
    </row>
    <row r="8938" spans="7:16" x14ac:dyDescent="0.2">
      <c r="G8938" s="199"/>
      <c r="I8938" s="199"/>
      <c r="K8938" s="199"/>
      <c r="M8938" s="199"/>
      <c r="N8938" s="200"/>
      <c r="P8938" s="199"/>
    </row>
    <row r="8939" spans="7:16" x14ac:dyDescent="0.2">
      <c r="G8939" s="199"/>
      <c r="I8939" s="199"/>
      <c r="K8939" s="199"/>
      <c r="M8939" s="199"/>
      <c r="N8939" s="200"/>
      <c r="P8939" s="199"/>
    </row>
    <row r="8940" spans="7:16" x14ac:dyDescent="0.2">
      <c r="G8940" s="199"/>
      <c r="I8940" s="199"/>
      <c r="K8940" s="199"/>
      <c r="M8940" s="199"/>
      <c r="N8940" s="200"/>
      <c r="P8940" s="199"/>
    </row>
    <row r="8941" spans="7:16" x14ac:dyDescent="0.2">
      <c r="G8941" s="199"/>
      <c r="I8941" s="199"/>
      <c r="K8941" s="199"/>
      <c r="M8941" s="199"/>
      <c r="N8941" s="200"/>
      <c r="P8941" s="199"/>
    </row>
    <row r="8942" spans="7:16" x14ac:dyDescent="0.2">
      <c r="G8942" s="199"/>
      <c r="I8942" s="199"/>
      <c r="K8942" s="199"/>
      <c r="M8942" s="199"/>
      <c r="N8942" s="200"/>
      <c r="P8942" s="199"/>
    </row>
    <row r="8943" spans="7:16" x14ac:dyDescent="0.2">
      <c r="G8943" s="199"/>
      <c r="I8943" s="199"/>
      <c r="K8943" s="199"/>
      <c r="M8943" s="199"/>
      <c r="N8943" s="200"/>
      <c r="P8943" s="199"/>
    </row>
    <row r="8944" spans="7:16" x14ac:dyDescent="0.2">
      <c r="G8944" s="199"/>
      <c r="I8944" s="199"/>
      <c r="K8944" s="199"/>
      <c r="M8944" s="199"/>
      <c r="N8944" s="200"/>
      <c r="P8944" s="199"/>
    </row>
    <row r="8945" spans="7:16" x14ac:dyDescent="0.2">
      <c r="G8945" s="199"/>
      <c r="I8945" s="199"/>
      <c r="K8945" s="199"/>
      <c r="M8945" s="199"/>
      <c r="N8945" s="200"/>
      <c r="P8945" s="199"/>
    </row>
    <row r="8946" spans="7:16" x14ac:dyDescent="0.2">
      <c r="G8946" s="199"/>
      <c r="I8946" s="199"/>
      <c r="K8946" s="199"/>
      <c r="M8946" s="199"/>
      <c r="N8946" s="200"/>
      <c r="P8946" s="199"/>
    </row>
    <row r="8947" spans="7:16" x14ac:dyDescent="0.2">
      <c r="G8947" s="199"/>
      <c r="I8947" s="199"/>
      <c r="K8947" s="199"/>
      <c r="M8947" s="199"/>
      <c r="N8947" s="200"/>
      <c r="P8947" s="199"/>
    </row>
    <row r="8948" spans="7:16" x14ac:dyDescent="0.2">
      <c r="G8948" s="199"/>
      <c r="I8948" s="199"/>
      <c r="K8948" s="199"/>
      <c r="M8948" s="199"/>
      <c r="N8948" s="200"/>
      <c r="P8948" s="199"/>
    </row>
    <row r="8949" spans="7:16" x14ac:dyDescent="0.2">
      <c r="G8949" s="199"/>
      <c r="I8949" s="199"/>
      <c r="K8949" s="199"/>
      <c r="M8949" s="199"/>
      <c r="N8949" s="200"/>
      <c r="P8949" s="199"/>
    </row>
    <row r="8950" spans="7:16" x14ac:dyDescent="0.2">
      <c r="G8950" s="199"/>
      <c r="I8950" s="199"/>
      <c r="K8950" s="199"/>
      <c r="M8950" s="199"/>
      <c r="N8950" s="200"/>
      <c r="P8950" s="199"/>
    </row>
    <row r="8951" spans="7:16" x14ac:dyDescent="0.2">
      <c r="G8951" s="199"/>
      <c r="I8951" s="199"/>
      <c r="K8951" s="199"/>
      <c r="M8951" s="199"/>
      <c r="N8951" s="200"/>
      <c r="P8951" s="199"/>
    </row>
    <row r="8952" spans="7:16" x14ac:dyDescent="0.2">
      <c r="G8952" s="199"/>
      <c r="I8952" s="199"/>
      <c r="K8952" s="199"/>
      <c r="M8952" s="199"/>
      <c r="N8952" s="200"/>
      <c r="P8952" s="199"/>
    </row>
    <row r="8953" spans="7:16" x14ac:dyDescent="0.2">
      <c r="G8953" s="199"/>
      <c r="I8953" s="199"/>
      <c r="K8953" s="199"/>
      <c r="M8953" s="199"/>
      <c r="N8953" s="200"/>
      <c r="P8953" s="199"/>
    </row>
    <row r="8954" spans="7:16" x14ac:dyDescent="0.2">
      <c r="G8954" s="199"/>
      <c r="I8954" s="199"/>
      <c r="K8954" s="199"/>
      <c r="M8954" s="199"/>
      <c r="N8954" s="200"/>
      <c r="P8954" s="199"/>
    </row>
    <row r="8955" spans="7:16" x14ac:dyDescent="0.2">
      <c r="G8955" s="199"/>
      <c r="I8955" s="199"/>
      <c r="K8955" s="199"/>
      <c r="M8955" s="199"/>
      <c r="N8955" s="200"/>
      <c r="P8955" s="199"/>
    </row>
    <row r="8956" spans="7:16" x14ac:dyDescent="0.2">
      <c r="G8956" s="199"/>
      <c r="I8956" s="199"/>
      <c r="K8956" s="199"/>
      <c r="M8956" s="199"/>
      <c r="N8956" s="200"/>
      <c r="P8956" s="199"/>
    </row>
    <row r="8957" spans="7:16" x14ac:dyDescent="0.2">
      <c r="G8957" s="199"/>
      <c r="I8957" s="199"/>
      <c r="K8957" s="199"/>
      <c r="M8957" s="199"/>
      <c r="N8957" s="200"/>
      <c r="P8957" s="199"/>
    </row>
    <row r="8958" spans="7:16" x14ac:dyDescent="0.2">
      <c r="G8958" s="199"/>
      <c r="I8958" s="199"/>
      <c r="K8958" s="199"/>
      <c r="M8958" s="199"/>
      <c r="N8958" s="200"/>
      <c r="P8958" s="199"/>
    </row>
    <row r="8959" spans="7:16" x14ac:dyDescent="0.2">
      <c r="G8959" s="199"/>
      <c r="I8959" s="199"/>
      <c r="K8959" s="199"/>
      <c r="M8959" s="199"/>
      <c r="N8959" s="200"/>
      <c r="P8959" s="199"/>
    </row>
    <row r="8960" spans="7:16" x14ac:dyDescent="0.2">
      <c r="G8960" s="199"/>
      <c r="I8960" s="199"/>
      <c r="K8960" s="199"/>
      <c r="M8960" s="199"/>
      <c r="N8960" s="200"/>
      <c r="P8960" s="199"/>
    </row>
    <row r="8961" spans="7:16" x14ac:dyDescent="0.2">
      <c r="G8961" s="199"/>
      <c r="I8961" s="199"/>
      <c r="K8961" s="199"/>
      <c r="M8961" s="199"/>
      <c r="N8961" s="200"/>
      <c r="P8961" s="199"/>
    </row>
    <row r="8962" spans="7:16" x14ac:dyDescent="0.2">
      <c r="G8962" s="199"/>
      <c r="I8962" s="199"/>
      <c r="K8962" s="199"/>
      <c r="M8962" s="199"/>
      <c r="N8962" s="200"/>
      <c r="P8962" s="199"/>
    </row>
    <row r="8963" spans="7:16" x14ac:dyDescent="0.2">
      <c r="G8963" s="199"/>
      <c r="I8963" s="199"/>
      <c r="K8963" s="199"/>
      <c r="M8963" s="199"/>
      <c r="N8963" s="200"/>
      <c r="P8963" s="199"/>
    </row>
    <row r="8964" spans="7:16" x14ac:dyDescent="0.2">
      <c r="G8964" s="199"/>
      <c r="I8964" s="199"/>
      <c r="K8964" s="199"/>
      <c r="M8964" s="199"/>
      <c r="N8964" s="200"/>
      <c r="P8964" s="199"/>
    </row>
    <row r="8965" spans="7:16" x14ac:dyDescent="0.2">
      <c r="G8965" s="199"/>
      <c r="I8965" s="199"/>
      <c r="K8965" s="199"/>
      <c r="M8965" s="199"/>
      <c r="N8965" s="200"/>
      <c r="P8965" s="199"/>
    </row>
    <row r="8966" spans="7:16" x14ac:dyDescent="0.2">
      <c r="G8966" s="199"/>
      <c r="I8966" s="199"/>
      <c r="K8966" s="199"/>
      <c r="M8966" s="199"/>
      <c r="N8966" s="200"/>
      <c r="P8966" s="199"/>
    </row>
    <row r="8967" spans="7:16" x14ac:dyDescent="0.2">
      <c r="G8967" s="199"/>
      <c r="I8967" s="199"/>
      <c r="K8967" s="199"/>
      <c r="M8967" s="199"/>
      <c r="N8967" s="200"/>
      <c r="P8967" s="199"/>
    </row>
    <row r="8968" spans="7:16" x14ac:dyDescent="0.2">
      <c r="G8968" s="199"/>
      <c r="I8968" s="199"/>
      <c r="K8968" s="199"/>
      <c r="M8968" s="199"/>
      <c r="N8968" s="200"/>
      <c r="P8968" s="199"/>
    </row>
    <row r="8969" spans="7:16" x14ac:dyDescent="0.2">
      <c r="G8969" s="199"/>
      <c r="I8969" s="199"/>
      <c r="K8969" s="199"/>
      <c r="M8969" s="199"/>
      <c r="N8969" s="200"/>
      <c r="P8969" s="199"/>
    </row>
    <row r="8970" spans="7:16" x14ac:dyDescent="0.2">
      <c r="G8970" s="199"/>
      <c r="I8970" s="199"/>
      <c r="K8970" s="199"/>
      <c r="M8970" s="199"/>
      <c r="N8970" s="200"/>
      <c r="P8970" s="199"/>
    </row>
    <row r="8971" spans="7:16" x14ac:dyDescent="0.2">
      <c r="G8971" s="199"/>
      <c r="I8971" s="199"/>
      <c r="K8971" s="199"/>
      <c r="M8971" s="199"/>
      <c r="N8971" s="200"/>
      <c r="P8971" s="199"/>
    </row>
    <row r="8972" spans="7:16" x14ac:dyDescent="0.2">
      <c r="G8972" s="199"/>
      <c r="I8972" s="199"/>
      <c r="K8972" s="199"/>
      <c r="M8972" s="199"/>
      <c r="N8972" s="200"/>
      <c r="P8972" s="199"/>
    </row>
    <row r="8973" spans="7:16" x14ac:dyDescent="0.2">
      <c r="G8973" s="199"/>
      <c r="I8973" s="199"/>
      <c r="K8973" s="199"/>
      <c r="M8973" s="199"/>
      <c r="N8973" s="200"/>
      <c r="P8973" s="199"/>
    </row>
    <row r="8974" spans="7:16" x14ac:dyDescent="0.2">
      <c r="G8974" s="199"/>
      <c r="I8974" s="199"/>
      <c r="K8974" s="199"/>
      <c r="M8974" s="199"/>
      <c r="N8974" s="200"/>
      <c r="P8974" s="199"/>
    </row>
    <row r="8975" spans="7:16" x14ac:dyDescent="0.2">
      <c r="G8975" s="199"/>
      <c r="I8975" s="199"/>
      <c r="K8975" s="199"/>
      <c r="M8975" s="199"/>
      <c r="N8975" s="200"/>
      <c r="P8975" s="199"/>
    </row>
    <row r="8976" spans="7:16" x14ac:dyDescent="0.2">
      <c r="G8976" s="199"/>
      <c r="I8976" s="199"/>
      <c r="K8976" s="199"/>
      <c r="M8976" s="199"/>
      <c r="N8976" s="200"/>
      <c r="P8976" s="199"/>
    </row>
    <row r="8977" spans="7:16" x14ac:dyDescent="0.2">
      <c r="G8977" s="199"/>
      <c r="I8977" s="199"/>
      <c r="K8977" s="199"/>
      <c r="M8977" s="199"/>
      <c r="N8977" s="200"/>
      <c r="P8977" s="199"/>
    </row>
    <row r="8978" spans="7:16" x14ac:dyDescent="0.2">
      <c r="G8978" s="199"/>
      <c r="I8978" s="199"/>
      <c r="K8978" s="199"/>
      <c r="M8978" s="199"/>
      <c r="N8978" s="200"/>
      <c r="P8978" s="199"/>
    </row>
    <row r="8979" spans="7:16" x14ac:dyDescent="0.2">
      <c r="G8979" s="199"/>
      <c r="I8979" s="199"/>
      <c r="K8979" s="199"/>
      <c r="M8979" s="199"/>
      <c r="N8979" s="200"/>
      <c r="P8979" s="199"/>
    </row>
    <row r="8980" spans="7:16" x14ac:dyDescent="0.2">
      <c r="G8980" s="199"/>
      <c r="I8980" s="199"/>
      <c r="K8980" s="199"/>
      <c r="M8980" s="199"/>
      <c r="N8980" s="200"/>
      <c r="P8980" s="199"/>
    </row>
    <row r="8981" spans="7:16" x14ac:dyDescent="0.2">
      <c r="G8981" s="199"/>
      <c r="I8981" s="199"/>
      <c r="K8981" s="199"/>
      <c r="M8981" s="199"/>
      <c r="N8981" s="200"/>
      <c r="P8981" s="199"/>
    </row>
    <row r="8982" spans="7:16" x14ac:dyDescent="0.2">
      <c r="G8982" s="199"/>
      <c r="I8982" s="199"/>
      <c r="K8982" s="199"/>
      <c r="M8982" s="199"/>
      <c r="N8982" s="200"/>
      <c r="P8982" s="199"/>
    </row>
    <row r="8983" spans="7:16" x14ac:dyDescent="0.2">
      <c r="G8983" s="199"/>
      <c r="I8983" s="199"/>
      <c r="K8983" s="199"/>
      <c r="M8983" s="199"/>
      <c r="N8983" s="200"/>
      <c r="P8983" s="199"/>
    </row>
    <row r="8984" spans="7:16" x14ac:dyDescent="0.2">
      <c r="G8984" s="199"/>
      <c r="I8984" s="199"/>
      <c r="K8984" s="199"/>
      <c r="M8984" s="199"/>
      <c r="N8984" s="200"/>
      <c r="P8984" s="199"/>
    </row>
    <row r="8985" spans="7:16" x14ac:dyDescent="0.2">
      <c r="G8985" s="199"/>
      <c r="I8985" s="199"/>
      <c r="K8985" s="199"/>
      <c r="M8985" s="199"/>
      <c r="N8985" s="200"/>
      <c r="P8985" s="199"/>
    </row>
    <row r="8986" spans="7:16" x14ac:dyDescent="0.2">
      <c r="G8986" s="199"/>
      <c r="I8986" s="199"/>
      <c r="K8986" s="199"/>
      <c r="M8986" s="199"/>
      <c r="N8986" s="200"/>
      <c r="P8986" s="199"/>
    </row>
    <row r="8987" spans="7:16" x14ac:dyDescent="0.2">
      <c r="G8987" s="199"/>
      <c r="I8987" s="199"/>
      <c r="K8987" s="199"/>
      <c r="M8987" s="199"/>
      <c r="N8987" s="200"/>
      <c r="P8987" s="199"/>
    </row>
    <row r="8988" spans="7:16" x14ac:dyDescent="0.2">
      <c r="G8988" s="199"/>
      <c r="I8988" s="199"/>
      <c r="K8988" s="199"/>
      <c r="M8988" s="199"/>
      <c r="N8988" s="200"/>
      <c r="P8988" s="199"/>
    </row>
    <row r="8989" spans="7:16" x14ac:dyDescent="0.2">
      <c r="G8989" s="199"/>
      <c r="I8989" s="199"/>
      <c r="K8989" s="199"/>
      <c r="M8989" s="199"/>
      <c r="N8989" s="200"/>
      <c r="P8989" s="199"/>
    </row>
    <row r="8990" spans="7:16" x14ac:dyDescent="0.2">
      <c r="G8990" s="199"/>
      <c r="I8990" s="199"/>
      <c r="K8990" s="199"/>
      <c r="M8990" s="199"/>
      <c r="N8990" s="200"/>
      <c r="P8990" s="199"/>
    </row>
    <row r="8991" spans="7:16" x14ac:dyDescent="0.2">
      <c r="G8991" s="199"/>
      <c r="I8991" s="199"/>
      <c r="K8991" s="199"/>
      <c r="M8991" s="199"/>
      <c r="N8991" s="200"/>
      <c r="P8991" s="199"/>
    </row>
    <row r="8992" spans="7:16" x14ac:dyDescent="0.2">
      <c r="G8992" s="199"/>
      <c r="I8992" s="199"/>
      <c r="K8992" s="199"/>
      <c r="M8992" s="199"/>
      <c r="N8992" s="200"/>
      <c r="P8992" s="199"/>
    </row>
    <row r="8993" spans="7:16" x14ac:dyDescent="0.2">
      <c r="G8993" s="199"/>
      <c r="I8993" s="199"/>
      <c r="K8993" s="199"/>
      <c r="M8993" s="199"/>
      <c r="N8993" s="200"/>
      <c r="P8993" s="199"/>
    </row>
    <row r="8994" spans="7:16" x14ac:dyDescent="0.2">
      <c r="G8994" s="199"/>
      <c r="I8994" s="199"/>
      <c r="K8994" s="199"/>
      <c r="M8994" s="199"/>
      <c r="N8994" s="200"/>
      <c r="P8994" s="199"/>
    </row>
    <row r="8995" spans="7:16" x14ac:dyDescent="0.2">
      <c r="G8995" s="199"/>
      <c r="I8995" s="199"/>
      <c r="K8995" s="199"/>
      <c r="M8995" s="199"/>
      <c r="N8995" s="200"/>
      <c r="P8995" s="199"/>
    </row>
    <row r="8996" spans="7:16" x14ac:dyDescent="0.2">
      <c r="G8996" s="199"/>
      <c r="I8996" s="199"/>
      <c r="K8996" s="199"/>
      <c r="M8996" s="199"/>
      <c r="N8996" s="200"/>
      <c r="P8996" s="199"/>
    </row>
    <row r="8997" spans="7:16" x14ac:dyDescent="0.2">
      <c r="G8997" s="199"/>
      <c r="I8997" s="199"/>
      <c r="K8997" s="199"/>
      <c r="M8997" s="199"/>
      <c r="N8997" s="200"/>
      <c r="P8997" s="199"/>
    </row>
    <row r="8998" spans="7:16" x14ac:dyDescent="0.2">
      <c r="G8998" s="199"/>
      <c r="I8998" s="199"/>
      <c r="K8998" s="199"/>
      <c r="M8998" s="199"/>
      <c r="N8998" s="200"/>
      <c r="P8998" s="199"/>
    </row>
    <row r="8999" spans="7:16" x14ac:dyDescent="0.2">
      <c r="G8999" s="199"/>
      <c r="I8999" s="199"/>
      <c r="K8999" s="199"/>
      <c r="M8999" s="199"/>
      <c r="N8999" s="200"/>
      <c r="P8999" s="199"/>
    </row>
    <row r="9000" spans="7:16" x14ac:dyDescent="0.2">
      <c r="G9000" s="199"/>
      <c r="I9000" s="199"/>
      <c r="K9000" s="199"/>
      <c r="M9000" s="199"/>
      <c r="N9000" s="200"/>
      <c r="P9000" s="199"/>
    </row>
    <row r="9001" spans="7:16" x14ac:dyDescent="0.2">
      <c r="G9001" s="199"/>
      <c r="I9001" s="199"/>
      <c r="K9001" s="199"/>
      <c r="M9001" s="199"/>
      <c r="N9001" s="200"/>
      <c r="P9001" s="199"/>
    </row>
    <row r="9002" spans="7:16" x14ac:dyDescent="0.2">
      <c r="G9002" s="199"/>
      <c r="I9002" s="199"/>
      <c r="K9002" s="199"/>
      <c r="M9002" s="199"/>
      <c r="N9002" s="200"/>
      <c r="P9002" s="199"/>
    </row>
    <row r="9003" spans="7:16" x14ac:dyDescent="0.2">
      <c r="G9003" s="199"/>
      <c r="I9003" s="199"/>
      <c r="K9003" s="199"/>
      <c r="M9003" s="199"/>
      <c r="N9003" s="200"/>
      <c r="P9003" s="199"/>
    </row>
    <row r="9004" spans="7:16" x14ac:dyDescent="0.2">
      <c r="G9004" s="199"/>
      <c r="I9004" s="199"/>
      <c r="K9004" s="199"/>
      <c r="M9004" s="199"/>
      <c r="N9004" s="200"/>
      <c r="P9004" s="199"/>
    </row>
    <row r="9005" spans="7:16" x14ac:dyDescent="0.2">
      <c r="G9005" s="199"/>
      <c r="I9005" s="199"/>
      <c r="K9005" s="199"/>
      <c r="M9005" s="199"/>
      <c r="N9005" s="200"/>
      <c r="P9005" s="199"/>
    </row>
    <row r="9006" spans="7:16" x14ac:dyDescent="0.2">
      <c r="G9006" s="199"/>
      <c r="I9006" s="199"/>
      <c r="K9006" s="199"/>
      <c r="M9006" s="199"/>
      <c r="N9006" s="200"/>
      <c r="P9006" s="199"/>
    </row>
    <row r="9007" spans="7:16" x14ac:dyDescent="0.2">
      <c r="G9007" s="199"/>
      <c r="I9007" s="199"/>
      <c r="K9007" s="199"/>
      <c r="M9007" s="199"/>
      <c r="N9007" s="200"/>
      <c r="P9007" s="199"/>
    </row>
    <row r="9008" spans="7:16" x14ac:dyDescent="0.2">
      <c r="G9008" s="199"/>
      <c r="I9008" s="199"/>
      <c r="K9008" s="199"/>
      <c r="M9008" s="199"/>
      <c r="N9008" s="200"/>
      <c r="P9008" s="199"/>
    </row>
    <row r="9009" spans="7:16" x14ac:dyDescent="0.2">
      <c r="G9009" s="199"/>
      <c r="I9009" s="199"/>
      <c r="K9009" s="199"/>
      <c r="M9009" s="199"/>
      <c r="N9009" s="200"/>
      <c r="P9009" s="199"/>
    </row>
    <row r="9010" spans="7:16" x14ac:dyDescent="0.2">
      <c r="G9010" s="199"/>
      <c r="I9010" s="199"/>
      <c r="K9010" s="199"/>
      <c r="M9010" s="199"/>
      <c r="N9010" s="200"/>
      <c r="P9010" s="199"/>
    </row>
    <row r="9011" spans="7:16" x14ac:dyDescent="0.2">
      <c r="G9011" s="199"/>
      <c r="I9011" s="199"/>
      <c r="K9011" s="199"/>
      <c r="M9011" s="199"/>
      <c r="N9011" s="200"/>
      <c r="P9011" s="199"/>
    </row>
    <row r="9012" spans="7:16" x14ac:dyDescent="0.2">
      <c r="G9012" s="199"/>
      <c r="I9012" s="199"/>
      <c r="K9012" s="199"/>
      <c r="M9012" s="199"/>
      <c r="N9012" s="200"/>
      <c r="P9012" s="199"/>
    </row>
    <row r="9013" spans="7:16" x14ac:dyDescent="0.2">
      <c r="G9013" s="199"/>
      <c r="I9013" s="199"/>
      <c r="K9013" s="199"/>
      <c r="M9013" s="199"/>
      <c r="N9013" s="200"/>
      <c r="P9013" s="199"/>
    </row>
    <row r="9014" spans="7:16" x14ac:dyDescent="0.2">
      <c r="G9014" s="199"/>
      <c r="I9014" s="199"/>
      <c r="K9014" s="199"/>
      <c r="M9014" s="199"/>
      <c r="N9014" s="200"/>
      <c r="P9014" s="199"/>
    </row>
    <row r="9015" spans="7:16" x14ac:dyDescent="0.2">
      <c r="G9015" s="199"/>
      <c r="I9015" s="199"/>
      <c r="K9015" s="199"/>
      <c r="M9015" s="199"/>
      <c r="N9015" s="200"/>
      <c r="P9015" s="199"/>
    </row>
    <row r="9016" spans="7:16" x14ac:dyDescent="0.2">
      <c r="G9016" s="199"/>
      <c r="I9016" s="199"/>
      <c r="K9016" s="199"/>
      <c r="M9016" s="199"/>
      <c r="N9016" s="200"/>
      <c r="P9016" s="199"/>
    </row>
    <row r="9017" spans="7:16" x14ac:dyDescent="0.2">
      <c r="G9017" s="199"/>
      <c r="I9017" s="199"/>
      <c r="K9017" s="199"/>
      <c r="M9017" s="199"/>
      <c r="N9017" s="200"/>
      <c r="P9017" s="199"/>
    </row>
    <row r="9018" spans="7:16" x14ac:dyDescent="0.2">
      <c r="G9018" s="199"/>
      <c r="I9018" s="199"/>
      <c r="K9018" s="199"/>
      <c r="M9018" s="199"/>
      <c r="N9018" s="200"/>
      <c r="P9018" s="199"/>
    </row>
    <row r="9019" spans="7:16" x14ac:dyDescent="0.2">
      <c r="G9019" s="199"/>
      <c r="I9019" s="199"/>
      <c r="K9019" s="199"/>
      <c r="M9019" s="199"/>
      <c r="N9019" s="200"/>
      <c r="P9019" s="199"/>
    </row>
    <row r="9020" spans="7:16" x14ac:dyDescent="0.2">
      <c r="G9020" s="199"/>
      <c r="I9020" s="199"/>
      <c r="K9020" s="199"/>
      <c r="M9020" s="199"/>
      <c r="N9020" s="200"/>
      <c r="P9020" s="199"/>
    </row>
    <row r="9021" spans="7:16" x14ac:dyDescent="0.2">
      <c r="G9021" s="199"/>
      <c r="I9021" s="199"/>
      <c r="K9021" s="199"/>
      <c r="M9021" s="199"/>
      <c r="N9021" s="200"/>
      <c r="P9021" s="199"/>
    </row>
    <row r="9022" spans="7:16" x14ac:dyDescent="0.2">
      <c r="G9022" s="199"/>
      <c r="I9022" s="199"/>
      <c r="K9022" s="199"/>
      <c r="M9022" s="199"/>
      <c r="N9022" s="200"/>
      <c r="P9022" s="199"/>
    </row>
    <row r="9023" spans="7:16" x14ac:dyDescent="0.2">
      <c r="G9023" s="199"/>
      <c r="I9023" s="199"/>
      <c r="K9023" s="199"/>
      <c r="M9023" s="199"/>
      <c r="N9023" s="200"/>
      <c r="P9023" s="199"/>
    </row>
    <row r="9024" spans="7:16" x14ac:dyDescent="0.2">
      <c r="G9024" s="199"/>
      <c r="I9024" s="199"/>
      <c r="K9024" s="199"/>
      <c r="M9024" s="199"/>
      <c r="N9024" s="200"/>
      <c r="P9024" s="199"/>
    </row>
    <row r="9025" spans="7:16" x14ac:dyDescent="0.2">
      <c r="G9025" s="199"/>
      <c r="I9025" s="199"/>
      <c r="K9025" s="199"/>
      <c r="M9025" s="199"/>
      <c r="N9025" s="200"/>
      <c r="P9025" s="199"/>
    </row>
    <row r="9026" spans="7:16" x14ac:dyDescent="0.2">
      <c r="G9026" s="199"/>
      <c r="I9026" s="199"/>
      <c r="K9026" s="199"/>
      <c r="M9026" s="199"/>
      <c r="N9026" s="200"/>
      <c r="P9026" s="199"/>
    </row>
    <row r="9027" spans="7:16" x14ac:dyDescent="0.2">
      <c r="G9027" s="199"/>
      <c r="I9027" s="199"/>
      <c r="K9027" s="199"/>
      <c r="M9027" s="199"/>
      <c r="N9027" s="200"/>
      <c r="P9027" s="199"/>
    </row>
    <row r="9028" spans="7:16" x14ac:dyDescent="0.2">
      <c r="G9028" s="199"/>
      <c r="I9028" s="199"/>
      <c r="K9028" s="199"/>
      <c r="M9028" s="199"/>
      <c r="N9028" s="200"/>
      <c r="P9028" s="199"/>
    </row>
    <row r="9029" spans="7:16" x14ac:dyDescent="0.2">
      <c r="G9029" s="199"/>
      <c r="I9029" s="199"/>
      <c r="K9029" s="199"/>
      <c r="M9029" s="199"/>
      <c r="N9029" s="200"/>
      <c r="P9029" s="199"/>
    </row>
    <row r="9030" spans="7:16" x14ac:dyDescent="0.2">
      <c r="G9030" s="199"/>
      <c r="I9030" s="199"/>
      <c r="K9030" s="199"/>
      <c r="M9030" s="199"/>
      <c r="N9030" s="200"/>
      <c r="P9030" s="199"/>
    </row>
    <row r="9031" spans="7:16" x14ac:dyDescent="0.2">
      <c r="G9031" s="199"/>
      <c r="I9031" s="199"/>
      <c r="K9031" s="199"/>
      <c r="M9031" s="199"/>
      <c r="N9031" s="200"/>
      <c r="P9031" s="199"/>
    </row>
    <row r="9032" spans="7:16" x14ac:dyDescent="0.2">
      <c r="G9032" s="199"/>
      <c r="I9032" s="199"/>
      <c r="K9032" s="199"/>
      <c r="M9032" s="199"/>
      <c r="N9032" s="200"/>
      <c r="P9032" s="199"/>
    </row>
    <row r="9033" spans="7:16" x14ac:dyDescent="0.2">
      <c r="G9033" s="199"/>
      <c r="I9033" s="199"/>
      <c r="K9033" s="199"/>
      <c r="M9033" s="199"/>
      <c r="N9033" s="200"/>
      <c r="P9033" s="199"/>
    </row>
    <row r="9034" spans="7:16" x14ac:dyDescent="0.2">
      <c r="G9034" s="199"/>
      <c r="I9034" s="199"/>
      <c r="K9034" s="199"/>
      <c r="M9034" s="199"/>
      <c r="N9034" s="200"/>
      <c r="P9034" s="199"/>
    </row>
    <row r="9035" spans="7:16" x14ac:dyDescent="0.2">
      <c r="G9035" s="199"/>
      <c r="I9035" s="199"/>
      <c r="K9035" s="199"/>
      <c r="M9035" s="199"/>
      <c r="N9035" s="200"/>
      <c r="P9035" s="199"/>
    </row>
    <row r="9036" spans="7:16" x14ac:dyDescent="0.2">
      <c r="G9036" s="199"/>
      <c r="I9036" s="199"/>
      <c r="K9036" s="199"/>
      <c r="M9036" s="199"/>
      <c r="N9036" s="200"/>
      <c r="P9036" s="199"/>
    </row>
    <row r="9037" spans="7:16" x14ac:dyDescent="0.2">
      <c r="G9037" s="199"/>
      <c r="I9037" s="199"/>
      <c r="K9037" s="199"/>
      <c r="M9037" s="199"/>
      <c r="N9037" s="200"/>
      <c r="P9037" s="199"/>
    </row>
    <row r="9038" spans="7:16" x14ac:dyDescent="0.2">
      <c r="G9038" s="199"/>
      <c r="I9038" s="199"/>
      <c r="K9038" s="199"/>
      <c r="M9038" s="199"/>
      <c r="N9038" s="200"/>
      <c r="P9038" s="199"/>
    </row>
    <row r="9039" spans="7:16" x14ac:dyDescent="0.2">
      <c r="G9039" s="199"/>
      <c r="I9039" s="199"/>
      <c r="K9039" s="199"/>
      <c r="M9039" s="199"/>
      <c r="N9039" s="200"/>
      <c r="P9039" s="199"/>
    </row>
    <row r="9040" spans="7:16" x14ac:dyDescent="0.2">
      <c r="G9040" s="199"/>
      <c r="I9040" s="199"/>
      <c r="K9040" s="199"/>
      <c r="M9040" s="199"/>
      <c r="N9040" s="200"/>
      <c r="P9040" s="199"/>
    </row>
    <row r="9041" spans="7:16" x14ac:dyDescent="0.2">
      <c r="G9041" s="199"/>
      <c r="I9041" s="199"/>
      <c r="K9041" s="199"/>
      <c r="M9041" s="199"/>
      <c r="N9041" s="200"/>
      <c r="P9041" s="199"/>
    </row>
    <row r="9042" spans="7:16" x14ac:dyDescent="0.2">
      <c r="G9042" s="199"/>
      <c r="I9042" s="199"/>
      <c r="K9042" s="199"/>
      <c r="M9042" s="199"/>
      <c r="N9042" s="200"/>
      <c r="P9042" s="199"/>
    </row>
    <row r="9043" spans="7:16" x14ac:dyDescent="0.2">
      <c r="G9043" s="199"/>
      <c r="I9043" s="199"/>
      <c r="K9043" s="199"/>
      <c r="M9043" s="199"/>
      <c r="N9043" s="200"/>
      <c r="P9043" s="199"/>
    </row>
    <row r="9044" spans="7:16" x14ac:dyDescent="0.2">
      <c r="G9044" s="199"/>
      <c r="I9044" s="199"/>
      <c r="K9044" s="199"/>
      <c r="M9044" s="199"/>
      <c r="N9044" s="200"/>
      <c r="P9044" s="199"/>
    </row>
    <row r="9045" spans="7:16" x14ac:dyDescent="0.2">
      <c r="G9045" s="199"/>
      <c r="I9045" s="199"/>
      <c r="K9045" s="199"/>
      <c r="M9045" s="199"/>
      <c r="N9045" s="200"/>
      <c r="P9045" s="199"/>
    </row>
    <row r="9046" spans="7:16" x14ac:dyDescent="0.2">
      <c r="G9046" s="199"/>
      <c r="I9046" s="199"/>
      <c r="K9046" s="199"/>
      <c r="M9046" s="199"/>
      <c r="N9046" s="200"/>
      <c r="P9046" s="199"/>
    </row>
    <row r="9047" spans="7:16" x14ac:dyDescent="0.2">
      <c r="G9047" s="199"/>
      <c r="I9047" s="199"/>
      <c r="K9047" s="199"/>
      <c r="M9047" s="199"/>
      <c r="N9047" s="200"/>
      <c r="P9047" s="199"/>
    </row>
    <row r="9048" spans="7:16" x14ac:dyDescent="0.2">
      <c r="G9048" s="199"/>
      <c r="I9048" s="199"/>
      <c r="K9048" s="199"/>
      <c r="M9048" s="199"/>
      <c r="N9048" s="200"/>
      <c r="P9048" s="199"/>
    </row>
    <row r="9049" spans="7:16" x14ac:dyDescent="0.2">
      <c r="G9049" s="199"/>
      <c r="I9049" s="199"/>
      <c r="K9049" s="199"/>
      <c r="M9049" s="199"/>
      <c r="N9049" s="200"/>
      <c r="P9049" s="199"/>
    </row>
    <row r="9050" spans="7:16" x14ac:dyDescent="0.2">
      <c r="G9050" s="199"/>
      <c r="I9050" s="199"/>
      <c r="K9050" s="199"/>
      <c r="M9050" s="199"/>
      <c r="N9050" s="200"/>
      <c r="P9050" s="199"/>
    </row>
    <row r="9051" spans="7:16" x14ac:dyDescent="0.2">
      <c r="G9051" s="199"/>
      <c r="I9051" s="199"/>
      <c r="K9051" s="199"/>
      <c r="M9051" s="199"/>
      <c r="N9051" s="200"/>
      <c r="P9051" s="199"/>
    </row>
    <row r="9052" spans="7:16" x14ac:dyDescent="0.2">
      <c r="G9052" s="199"/>
      <c r="I9052" s="199"/>
      <c r="K9052" s="199"/>
      <c r="M9052" s="199"/>
      <c r="N9052" s="200"/>
      <c r="P9052" s="199"/>
    </row>
    <row r="9053" spans="7:16" x14ac:dyDescent="0.2">
      <c r="G9053" s="199"/>
      <c r="I9053" s="199"/>
      <c r="K9053" s="199"/>
      <c r="M9053" s="199"/>
      <c r="N9053" s="200"/>
      <c r="P9053" s="199"/>
    </row>
    <row r="9054" spans="7:16" x14ac:dyDescent="0.2">
      <c r="G9054" s="199"/>
      <c r="I9054" s="199"/>
      <c r="K9054" s="199"/>
      <c r="M9054" s="199"/>
      <c r="N9054" s="200"/>
      <c r="P9054" s="199"/>
    </row>
    <row r="9055" spans="7:16" x14ac:dyDescent="0.2">
      <c r="G9055" s="199"/>
      <c r="I9055" s="199"/>
      <c r="K9055" s="199"/>
      <c r="M9055" s="199"/>
      <c r="N9055" s="200"/>
      <c r="P9055" s="199"/>
    </row>
    <row r="9056" spans="7:16" x14ac:dyDescent="0.2">
      <c r="G9056" s="199"/>
      <c r="I9056" s="199"/>
      <c r="K9056" s="199"/>
      <c r="M9056" s="199"/>
      <c r="N9056" s="200"/>
      <c r="P9056" s="199"/>
    </row>
    <row r="9057" spans="7:16" x14ac:dyDescent="0.2">
      <c r="G9057" s="199"/>
      <c r="I9057" s="199"/>
      <c r="K9057" s="199"/>
      <c r="M9057" s="199"/>
      <c r="N9057" s="200"/>
      <c r="P9057" s="199"/>
    </row>
    <row r="9058" spans="7:16" x14ac:dyDescent="0.2">
      <c r="G9058" s="199"/>
      <c r="I9058" s="199"/>
      <c r="K9058" s="199"/>
      <c r="M9058" s="199"/>
      <c r="N9058" s="200"/>
      <c r="P9058" s="199"/>
    </row>
    <row r="9059" spans="7:16" x14ac:dyDescent="0.2">
      <c r="G9059" s="199"/>
      <c r="I9059" s="199"/>
      <c r="K9059" s="199"/>
      <c r="M9059" s="199"/>
      <c r="N9059" s="200"/>
      <c r="P9059" s="199"/>
    </row>
    <row r="9060" spans="7:16" x14ac:dyDescent="0.2">
      <c r="G9060" s="199"/>
      <c r="I9060" s="199"/>
      <c r="K9060" s="199"/>
      <c r="M9060" s="199"/>
      <c r="N9060" s="200"/>
      <c r="P9060" s="199"/>
    </row>
    <row r="9061" spans="7:16" x14ac:dyDescent="0.2">
      <c r="G9061" s="199"/>
      <c r="I9061" s="199"/>
      <c r="K9061" s="199"/>
      <c r="M9061" s="199"/>
      <c r="N9061" s="200"/>
      <c r="P9061" s="199"/>
    </row>
    <row r="9062" spans="7:16" x14ac:dyDescent="0.2">
      <c r="G9062" s="199"/>
      <c r="I9062" s="199"/>
      <c r="K9062" s="199"/>
      <c r="M9062" s="199"/>
      <c r="N9062" s="200"/>
      <c r="P9062" s="199"/>
    </row>
    <row r="9063" spans="7:16" x14ac:dyDescent="0.2">
      <c r="G9063" s="199"/>
      <c r="I9063" s="199"/>
      <c r="K9063" s="199"/>
      <c r="M9063" s="199"/>
      <c r="N9063" s="200"/>
      <c r="P9063" s="199"/>
    </row>
    <row r="9064" spans="7:16" x14ac:dyDescent="0.2">
      <c r="G9064" s="199"/>
      <c r="I9064" s="199"/>
      <c r="K9064" s="199"/>
      <c r="M9064" s="199"/>
      <c r="N9064" s="200"/>
      <c r="P9064" s="199"/>
    </row>
    <row r="9065" spans="7:16" x14ac:dyDescent="0.2">
      <c r="G9065" s="199"/>
      <c r="I9065" s="199"/>
      <c r="K9065" s="199"/>
      <c r="M9065" s="199"/>
      <c r="N9065" s="200"/>
      <c r="P9065" s="199"/>
    </row>
    <row r="9066" spans="7:16" x14ac:dyDescent="0.2">
      <c r="G9066" s="199"/>
      <c r="I9066" s="199"/>
      <c r="K9066" s="199"/>
      <c r="M9066" s="199"/>
      <c r="N9066" s="200"/>
      <c r="P9066" s="199"/>
    </row>
    <row r="9067" spans="7:16" x14ac:dyDescent="0.2">
      <c r="G9067" s="199"/>
      <c r="I9067" s="199"/>
      <c r="K9067" s="199"/>
      <c r="M9067" s="199"/>
      <c r="N9067" s="200"/>
      <c r="P9067" s="199"/>
    </row>
    <row r="9068" spans="7:16" x14ac:dyDescent="0.2">
      <c r="G9068" s="199"/>
      <c r="I9068" s="199"/>
      <c r="K9068" s="199"/>
      <c r="M9068" s="199"/>
      <c r="N9068" s="200"/>
      <c r="P9068" s="199"/>
    </row>
    <row r="9069" spans="7:16" x14ac:dyDescent="0.2">
      <c r="G9069" s="199"/>
      <c r="I9069" s="199"/>
      <c r="K9069" s="199"/>
      <c r="M9069" s="199"/>
      <c r="N9069" s="200"/>
      <c r="P9069" s="199"/>
    </row>
    <row r="9070" spans="7:16" x14ac:dyDescent="0.2">
      <c r="G9070" s="199"/>
      <c r="I9070" s="199"/>
      <c r="K9070" s="199"/>
      <c r="M9070" s="199"/>
      <c r="N9070" s="200"/>
      <c r="P9070" s="199"/>
    </row>
    <row r="9071" spans="7:16" x14ac:dyDescent="0.2">
      <c r="G9071" s="199"/>
      <c r="I9071" s="199"/>
      <c r="K9071" s="199"/>
      <c r="M9071" s="199"/>
      <c r="N9071" s="200"/>
      <c r="P9071" s="199"/>
    </row>
    <row r="9072" spans="7:16" x14ac:dyDescent="0.2">
      <c r="G9072" s="199"/>
      <c r="I9072" s="199"/>
      <c r="K9072" s="199"/>
      <c r="M9072" s="199"/>
      <c r="N9072" s="200"/>
      <c r="P9072" s="199"/>
    </row>
    <row r="9073" spans="7:16" x14ac:dyDescent="0.2">
      <c r="G9073" s="199"/>
      <c r="I9073" s="199"/>
      <c r="K9073" s="199"/>
      <c r="M9073" s="199"/>
      <c r="N9073" s="200"/>
      <c r="P9073" s="199"/>
    </row>
    <row r="9074" spans="7:16" x14ac:dyDescent="0.2">
      <c r="G9074" s="199"/>
      <c r="I9074" s="199"/>
      <c r="K9074" s="199"/>
      <c r="M9074" s="199"/>
      <c r="N9074" s="200"/>
      <c r="P9074" s="199"/>
    </row>
    <row r="9075" spans="7:16" x14ac:dyDescent="0.2">
      <c r="G9075" s="199"/>
      <c r="I9075" s="199"/>
      <c r="K9075" s="199"/>
      <c r="M9075" s="199"/>
      <c r="N9075" s="200"/>
      <c r="P9075" s="199"/>
    </row>
    <row r="9076" spans="7:16" x14ac:dyDescent="0.2">
      <c r="G9076" s="199"/>
      <c r="I9076" s="199"/>
      <c r="K9076" s="199"/>
      <c r="M9076" s="199"/>
      <c r="N9076" s="200"/>
      <c r="P9076" s="199"/>
    </row>
    <row r="9077" spans="7:16" x14ac:dyDescent="0.2">
      <c r="G9077" s="199"/>
      <c r="I9077" s="199"/>
      <c r="K9077" s="199"/>
      <c r="M9077" s="199"/>
      <c r="N9077" s="200"/>
      <c r="P9077" s="199"/>
    </row>
    <row r="9078" spans="7:16" x14ac:dyDescent="0.2">
      <c r="G9078" s="199"/>
      <c r="I9078" s="199"/>
      <c r="K9078" s="199"/>
      <c r="M9078" s="199"/>
      <c r="N9078" s="200"/>
      <c r="P9078" s="199"/>
    </row>
    <row r="9079" spans="7:16" x14ac:dyDescent="0.2">
      <c r="G9079" s="199"/>
      <c r="I9079" s="199"/>
      <c r="K9079" s="199"/>
      <c r="M9079" s="199"/>
      <c r="N9079" s="200"/>
      <c r="P9079" s="199"/>
    </row>
    <row r="9080" spans="7:16" x14ac:dyDescent="0.2">
      <c r="G9080" s="199"/>
      <c r="I9080" s="199"/>
      <c r="K9080" s="199"/>
      <c r="M9080" s="199"/>
      <c r="N9080" s="200"/>
      <c r="P9080" s="199"/>
    </row>
    <row r="9081" spans="7:16" x14ac:dyDescent="0.2">
      <c r="G9081" s="199"/>
      <c r="I9081" s="199"/>
      <c r="K9081" s="199"/>
      <c r="M9081" s="199"/>
      <c r="N9081" s="200"/>
      <c r="P9081" s="199"/>
    </row>
    <row r="9082" spans="7:16" x14ac:dyDescent="0.2">
      <c r="G9082" s="199"/>
      <c r="I9082" s="199"/>
      <c r="K9082" s="199"/>
      <c r="M9082" s="199"/>
      <c r="N9082" s="200"/>
      <c r="P9082" s="199"/>
    </row>
    <row r="9083" spans="7:16" x14ac:dyDescent="0.2">
      <c r="G9083" s="199"/>
      <c r="I9083" s="199"/>
      <c r="K9083" s="199"/>
      <c r="M9083" s="199"/>
      <c r="N9083" s="200"/>
      <c r="P9083" s="199"/>
    </row>
    <row r="9084" spans="7:16" x14ac:dyDescent="0.2">
      <c r="G9084" s="199"/>
      <c r="I9084" s="199"/>
      <c r="K9084" s="199"/>
      <c r="M9084" s="199"/>
      <c r="N9084" s="200"/>
      <c r="P9084" s="199"/>
    </row>
    <row r="9085" spans="7:16" x14ac:dyDescent="0.2">
      <c r="G9085" s="199"/>
      <c r="I9085" s="199"/>
      <c r="K9085" s="199"/>
      <c r="M9085" s="199"/>
      <c r="N9085" s="200"/>
      <c r="P9085" s="199"/>
    </row>
    <row r="9086" spans="7:16" x14ac:dyDescent="0.2">
      <c r="G9086" s="199"/>
      <c r="I9086" s="199"/>
      <c r="K9086" s="199"/>
      <c r="M9086" s="199"/>
      <c r="N9086" s="200"/>
      <c r="P9086" s="199"/>
    </row>
    <row r="9087" spans="7:16" x14ac:dyDescent="0.2">
      <c r="G9087" s="199"/>
      <c r="I9087" s="199"/>
      <c r="K9087" s="199"/>
      <c r="M9087" s="199"/>
      <c r="N9087" s="200"/>
      <c r="P9087" s="199"/>
    </row>
    <row r="9088" spans="7:16" x14ac:dyDescent="0.2">
      <c r="G9088" s="199"/>
      <c r="I9088" s="199"/>
      <c r="K9088" s="199"/>
      <c r="M9088" s="199"/>
      <c r="N9088" s="200"/>
      <c r="P9088" s="199"/>
    </row>
    <row r="9089" spans="7:16" x14ac:dyDescent="0.2">
      <c r="G9089" s="199"/>
      <c r="I9089" s="199"/>
      <c r="K9089" s="199"/>
      <c r="M9089" s="199"/>
      <c r="N9089" s="200"/>
      <c r="P9089" s="199"/>
    </row>
    <row r="9090" spans="7:16" x14ac:dyDescent="0.2">
      <c r="G9090" s="199"/>
      <c r="I9090" s="199"/>
      <c r="K9090" s="199"/>
      <c r="M9090" s="199"/>
      <c r="N9090" s="200"/>
      <c r="P9090" s="199"/>
    </row>
    <row r="9091" spans="7:16" x14ac:dyDescent="0.2">
      <c r="G9091" s="199"/>
      <c r="I9091" s="199"/>
      <c r="K9091" s="199"/>
      <c r="M9091" s="199"/>
      <c r="N9091" s="200"/>
      <c r="P9091" s="199"/>
    </row>
    <row r="9092" spans="7:16" x14ac:dyDescent="0.2">
      <c r="G9092" s="199"/>
      <c r="I9092" s="199"/>
      <c r="K9092" s="199"/>
      <c r="M9092" s="199"/>
      <c r="N9092" s="200"/>
      <c r="P9092" s="199"/>
    </row>
    <row r="9093" spans="7:16" x14ac:dyDescent="0.2">
      <c r="G9093" s="199"/>
      <c r="I9093" s="199"/>
      <c r="K9093" s="199"/>
      <c r="M9093" s="199"/>
      <c r="N9093" s="200"/>
      <c r="P9093" s="199"/>
    </row>
    <row r="9094" spans="7:16" x14ac:dyDescent="0.2">
      <c r="G9094" s="199"/>
      <c r="I9094" s="199"/>
      <c r="K9094" s="199"/>
      <c r="M9094" s="199"/>
      <c r="N9094" s="200"/>
      <c r="P9094" s="199"/>
    </row>
    <row r="9095" spans="7:16" x14ac:dyDescent="0.2">
      <c r="G9095" s="199"/>
      <c r="I9095" s="199"/>
      <c r="K9095" s="199"/>
      <c r="M9095" s="199"/>
      <c r="N9095" s="200"/>
      <c r="P9095" s="199"/>
    </row>
    <row r="9096" spans="7:16" x14ac:dyDescent="0.2">
      <c r="G9096" s="199"/>
      <c r="I9096" s="199"/>
      <c r="K9096" s="199"/>
      <c r="M9096" s="199"/>
      <c r="N9096" s="200"/>
      <c r="P9096" s="199"/>
    </row>
    <row r="9097" spans="7:16" x14ac:dyDescent="0.2">
      <c r="G9097" s="199"/>
      <c r="I9097" s="199"/>
      <c r="K9097" s="199"/>
      <c r="M9097" s="199"/>
      <c r="N9097" s="200"/>
      <c r="P9097" s="199"/>
    </row>
    <row r="9098" spans="7:16" x14ac:dyDescent="0.2">
      <c r="G9098" s="199"/>
      <c r="I9098" s="199"/>
      <c r="K9098" s="199"/>
      <c r="M9098" s="199"/>
      <c r="N9098" s="200"/>
      <c r="P9098" s="199"/>
    </row>
    <row r="9099" spans="7:16" x14ac:dyDescent="0.2">
      <c r="G9099" s="199"/>
      <c r="I9099" s="199"/>
      <c r="K9099" s="199"/>
      <c r="M9099" s="199"/>
      <c r="N9099" s="200"/>
      <c r="P9099" s="199"/>
    </row>
    <row r="9100" spans="7:16" x14ac:dyDescent="0.2">
      <c r="G9100" s="199"/>
      <c r="I9100" s="199"/>
      <c r="K9100" s="199"/>
      <c r="M9100" s="199"/>
      <c r="N9100" s="200"/>
      <c r="P9100" s="199"/>
    </row>
    <row r="9101" spans="7:16" x14ac:dyDescent="0.2">
      <c r="G9101" s="199"/>
      <c r="I9101" s="199"/>
      <c r="K9101" s="199"/>
      <c r="M9101" s="199"/>
      <c r="N9101" s="200"/>
      <c r="P9101" s="199"/>
    </row>
    <row r="9102" spans="7:16" x14ac:dyDescent="0.2">
      <c r="G9102" s="199"/>
      <c r="I9102" s="199"/>
      <c r="K9102" s="199"/>
      <c r="M9102" s="199"/>
      <c r="N9102" s="200"/>
      <c r="P9102" s="199"/>
    </row>
    <row r="9103" spans="7:16" x14ac:dyDescent="0.2">
      <c r="G9103" s="199"/>
      <c r="I9103" s="199"/>
      <c r="K9103" s="199"/>
      <c r="M9103" s="199"/>
      <c r="N9103" s="200"/>
      <c r="P9103" s="199"/>
    </row>
    <row r="9104" spans="7:16" x14ac:dyDescent="0.2">
      <c r="G9104" s="199"/>
      <c r="I9104" s="199"/>
      <c r="K9104" s="199"/>
      <c r="M9104" s="199"/>
      <c r="N9104" s="200"/>
      <c r="P9104" s="199"/>
    </row>
    <row r="9105" spans="7:16" x14ac:dyDescent="0.2">
      <c r="G9105" s="199"/>
      <c r="I9105" s="199"/>
      <c r="K9105" s="199"/>
      <c r="M9105" s="199"/>
      <c r="N9105" s="200"/>
      <c r="P9105" s="199"/>
    </row>
    <row r="9106" spans="7:16" x14ac:dyDescent="0.2">
      <c r="G9106" s="199"/>
      <c r="I9106" s="199"/>
      <c r="K9106" s="199"/>
      <c r="M9106" s="199"/>
      <c r="N9106" s="200"/>
      <c r="P9106" s="199"/>
    </row>
    <row r="9107" spans="7:16" x14ac:dyDescent="0.2">
      <c r="G9107" s="199"/>
      <c r="I9107" s="199"/>
      <c r="K9107" s="199"/>
      <c r="M9107" s="199"/>
      <c r="N9107" s="200"/>
      <c r="P9107" s="199"/>
    </row>
    <row r="9108" spans="7:16" x14ac:dyDescent="0.2">
      <c r="G9108" s="199"/>
      <c r="I9108" s="199"/>
      <c r="K9108" s="199"/>
      <c r="M9108" s="199"/>
      <c r="N9108" s="200"/>
      <c r="P9108" s="199"/>
    </row>
    <row r="9109" spans="7:16" x14ac:dyDescent="0.2">
      <c r="G9109" s="199"/>
      <c r="I9109" s="199"/>
      <c r="K9109" s="199"/>
      <c r="M9109" s="199"/>
      <c r="N9109" s="200"/>
      <c r="P9109" s="199"/>
    </row>
    <row r="9110" spans="7:16" x14ac:dyDescent="0.2">
      <c r="G9110" s="199"/>
      <c r="I9110" s="199"/>
      <c r="K9110" s="199"/>
      <c r="M9110" s="199"/>
      <c r="N9110" s="200"/>
      <c r="P9110" s="199"/>
    </row>
    <row r="9111" spans="7:16" x14ac:dyDescent="0.2">
      <c r="G9111" s="199"/>
      <c r="I9111" s="199"/>
      <c r="K9111" s="199"/>
      <c r="M9111" s="199"/>
      <c r="N9111" s="200"/>
      <c r="P9111" s="199"/>
    </row>
    <row r="9112" spans="7:16" x14ac:dyDescent="0.2">
      <c r="G9112" s="199"/>
      <c r="I9112" s="199"/>
      <c r="K9112" s="199"/>
      <c r="M9112" s="199"/>
      <c r="N9112" s="200"/>
      <c r="P9112" s="199"/>
    </row>
    <row r="9113" spans="7:16" x14ac:dyDescent="0.2">
      <c r="G9113" s="199"/>
      <c r="I9113" s="199"/>
      <c r="K9113" s="199"/>
      <c r="M9113" s="199"/>
      <c r="N9113" s="200"/>
      <c r="P9113" s="199"/>
    </row>
    <row r="9114" spans="7:16" x14ac:dyDescent="0.2">
      <c r="G9114" s="199"/>
      <c r="I9114" s="199"/>
      <c r="K9114" s="199"/>
      <c r="M9114" s="199"/>
      <c r="N9114" s="200"/>
      <c r="P9114" s="199"/>
    </row>
    <row r="9115" spans="7:16" x14ac:dyDescent="0.2">
      <c r="G9115" s="199"/>
      <c r="I9115" s="199"/>
      <c r="K9115" s="199"/>
      <c r="M9115" s="199"/>
      <c r="N9115" s="200"/>
      <c r="P9115" s="199"/>
    </row>
    <row r="9116" spans="7:16" x14ac:dyDescent="0.2">
      <c r="G9116" s="199"/>
      <c r="I9116" s="199"/>
      <c r="K9116" s="199"/>
      <c r="M9116" s="199"/>
      <c r="N9116" s="200"/>
      <c r="P9116" s="199"/>
    </row>
    <row r="9117" spans="7:16" x14ac:dyDescent="0.2">
      <c r="G9117" s="199"/>
      <c r="I9117" s="199"/>
      <c r="K9117" s="199"/>
      <c r="M9117" s="199"/>
      <c r="N9117" s="200"/>
      <c r="P9117" s="199"/>
    </row>
    <row r="9118" spans="7:16" x14ac:dyDescent="0.2">
      <c r="G9118" s="199"/>
      <c r="I9118" s="199"/>
      <c r="K9118" s="199"/>
      <c r="M9118" s="199"/>
      <c r="N9118" s="200"/>
      <c r="P9118" s="199"/>
    </row>
    <row r="9119" spans="7:16" x14ac:dyDescent="0.2">
      <c r="G9119" s="199"/>
      <c r="I9119" s="199"/>
      <c r="K9119" s="199"/>
      <c r="M9119" s="199"/>
      <c r="N9119" s="200"/>
      <c r="P9119" s="199"/>
    </row>
    <row r="9120" spans="7:16" x14ac:dyDescent="0.2">
      <c r="G9120" s="199"/>
      <c r="I9120" s="199"/>
      <c r="K9120" s="199"/>
      <c r="M9120" s="199"/>
      <c r="N9120" s="200"/>
      <c r="P9120" s="199"/>
    </row>
    <row r="9121" spans="7:16" x14ac:dyDescent="0.2">
      <c r="G9121" s="199"/>
      <c r="I9121" s="199"/>
      <c r="K9121" s="199"/>
      <c r="M9121" s="199"/>
      <c r="N9121" s="200"/>
      <c r="P9121" s="199"/>
    </row>
    <row r="9122" spans="7:16" x14ac:dyDescent="0.2">
      <c r="G9122" s="199"/>
      <c r="I9122" s="199"/>
      <c r="K9122" s="199"/>
      <c r="M9122" s="199"/>
      <c r="N9122" s="200"/>
      <c r="P9122" s="199"/>
    </row>
    <row r="9123" spans="7:16" x14ac:dyDescent="0.2">
      <c r="G9123" s="199"/>
      <c r="I9123" s="199"/>
      <c r="K9123" s="199"/>
      <c r="M9123" s="199"/>
      <c r="N9123" s="200"/>
      <c r="P9123" s="199"/>
    </row>
    <row r="9124" spans="7:16" x14ac:dyDescent="0.2">
      <c r="G9124" s="199"/>
      <c r="I9124" s="199"/>
      <c r="K9124" s="199"/>
      <c r="M9124" s="199"/>
      <c r="N9124" s="200"/>
      <c r="P9124" s="199"/>
    </row>
    <row r="9125" spans="7:16" x14ac:dyDescent="0.2">
      <c r="G9125" s="199"/>
      <c r="I9125" s="199"/>
      <c r="K9125" s="199"/>
      <c r="M9125" s="199"/>
      <c r="N9125" s="200"/>
      <c r="P9125" s="199"/>
    </row>
    <row r="9126" spans="7:16" x14ac:dyDescent="0.2">
      <c r="G9126" s="199"/>
      <c r="I9126" s="199"/>
      <c r="K9126" s="199"/>
      <c r="M9126" s="199"/>
      <c r="N9126" s="200"/>
      <c r="P9126" s="199"/>
    </row>
    <row r="9127" spans="7:16" x14ac:dyDescent="0.2">
      <c r="G9127" s="199"/>
      <c r="I9127" s="199"/>
      <c r="K9127" s="199"/>
      <c r="M9127" s="199"/>
      <c r="N9127" s="200"/>
      <c r="P9127" s="199"/>
    </row>
    <row r="9128" spans="7:16" x14ac:dyDescent="0.2">
      <c r="G9128" s="199"/>
      <c r="I9128" s="199"/>
      <c r="K9128" s="199"/>
      <c r="M9128" s="199"/>
      <c r="N9128" s="200"/>
      <c r="P9128" s="199"/>
    </row>
    <row r="9129" spans="7:16" x14ac:dyDescent="0.2">
      <c r="G9129" s="199"/>
      <c r="I9129" s="199"/>
      <c r="K9129" s="199"/>
      <c r="M9129" s="199"/>
      <c r="N9129" s="200"/>
      <c r="P9129" s="199"/>
    </row>
    <row r="9130" spans="7:16" x14ac:dyDescent="0.2">
      <c r="G9130" s="199"/>
      <c r="I9130" s="199"/>
      <c r="K9130" s="199"/>
      <c r="M9130" s="199"/>
      <c r="N9130" s="200"/>
      <c r="P9130" s="199"/>
    </row>
    <row r="9131" spans="7:16" x14ac:dyDescent="0.2">
      <c r="G9131" s="199"/>
      <c r="I9131" s="199"/>
      <c r="K9131" s="199"/>
      <c r="M9131" s="199"/>
      <c r="N9131" s="200"/>
      <c r="P9131" s="199"/>
    </row>
    <row r="9132" spans="7:16" x14ac:dyDescent="0.2">
      <c r="G9132" s="199"/>
      <c r="I9132" s="199"/>
      <c r="K9132" s="199"/>
      <c r="M9132" s="199"/>
      <c r="N9132" s="200"/>
      <c r="P9132" s="199"/>
    </row>
    <row r="9133" spans="7:16" x14ac:dyDescent="0.2">
      <c r="G9133" s="199"/>
      <c r="I9133" s="199"/>
      <c r="K9133" s="199"/>
      <c r="M9133" s="199"/>
      <c r="N9133" s="200"/>
      <c r="P9133" s="199"/>
    </row>
    <row r="9134" spans="7:16" x14ac:dyDescent="0.2">
      <c r="G9134" s="199"/>
      <c r="I9134" s="199"/>
      <c r="K9134" s="199"/>
      <c r="M9134" s="199"/>
      <c r="N9134" s="200"/>
      <c r="P9134" s="199"/>
    </row>
    <row r="9135" spans="7:16" x14ac:dyDescent="0.2">
      <c r="G9135" s="199"/>
      <c r="I9135" s="199"/>
      <c r="K9135" s="199"/>
      <c r="M9135" s="199"/>
      <c r="N9135" s="200"/>
      <c r="P9135" s="199"/>
    </row>
    <row r="9136" spans="7:16" x14ac:dyDescent="0.2">
      <c r="G9136" s="199"/>
      <c r="I9136" s="199"/>
      <c r="K9136" s="199"/>
      <c r="M9136" s="199"/>
      <c r="N9136" s="200"/>
      <c r="P9136" s="199"/>
    </row>
    <row r="9137" spans="7:16" x14ac:dyDescent="0.2">
      <c r="G9137" s="199"/>
      <c r="I9137" s="199"/>
      <c r="K9137" s="199"/>
      <c r="M9137" s="199"/>
      <c r="N9137" s="200"/>
      <c r="P9137" s="199"/>
    </row>
    <row r="9138" spans="7:16" x14ac:dyDescent="0.2">
      <c r="G9138" s="199"/>
      <c r="I9138" s="199"/>
      <c r="K9138" s="199"/>
      <c r="M9138" s="199"/>
      <c r="N9138" s="200"/>
      <c r="P9138" s="199"/>
    </row>
    <row r="9139" spans="7:16" x14ac:dyDescent="0.2">
      <c r="G9139" s="199"/>
      <c r="I9139" s="199"/>
      <c r="K9139" s="199"/>
      <c r="M9139" s="199"/>
      <c r="N9139" s="200"/>
      <c r="P9139" s="199"/>
    </row>
    <row r="9140" spans="7:16" x14ac:dyDescent="0.2">
      <c r="G9140" s="199"/>
      <c r="I9140" s="199"/>
      <c r="K9140" s="199"/>
      <c r="M9140" s="199"/>
      <c r="N9140" s="200"/>
      <c r="P9140" s="199"/>
    </row>
    <row r="9141" spans="7:16" x14ac:dyDescent="0.2">
      <c r="G9141" s="199"/>
      <c r="I9141" s="199"/>
      <c r="K9141" s="199"/>
      <c r="M9141" s="199"/>
      <c r="N9141" s="200"/>
      <c r="P9141" s="199"/>
    </row>
    <row r="9142" spans="7:16" x14ac:dyDescent="0.2">
      <c r="G9142" s="199"/>
      <c r="I9142" s="199"/>
      <c r="K9142" s="199"/>
      <c r="M9142" s="199"/>
      <c r="N9142" s="200"/>
      <c r="P9142" s="199"/>
    </row>
    <row r="9143" spans="7:16" x14ac:dyDescent="0.2">
      <c r="G9143" s="199"/>
      <c r="I9143" s="199"/>
      <c r="K9143" s="199"/>
      <c r="M9143" s="199"/>
      <c r="N9143" s="200"/>
      <c r="P9143" s="199"/>
    </row>
    <row r="9144" spans="7:16" x14ac:dyDescent="0.2">
      <c r="G9144" s="199"/>
      <c r="I9144" s="199"/>
      <c r="K9144" s="199"/>
      <c r="M9144" s="199"/>
      <c r="N9144" s="200"/>
      <c r="P9144" s="199"/>
    </row>
    <row r="9145" spans="7:16" x14ac:dyDescent="0.2">
      <c r="G9145" s="199"/>
      <c r="I9145" s="199"/>
      <c r="K9145" s="199"/>
      <c r="M9145" s="199"/>
      <c r="N9145" s="200"/>
      <c r="P9145" s="199"/>
    </row>
    <row r="9146" spans="7:16" x14ac:dyDescent="0.2">
      <c r="G9146" s="199"/>
      <c r="I9146" s="199"/>
      <c r="K9146" s="199"/>
      <c r="M9146" s="199"/>
      <c r="N9146" s="200"/>
      <c r="P9146" s="199"/>
    </row>
    <row r="9147" spans="7:16" x14ac:dyDescent="0.2">
      <c r="G9147" s="199"/>
      <c r="I9147" s="199"/>
      <c r="K9147" s="199"/>
      <c r="M9147" s="199"/>
      <c r="N9147" s="200"/>
      <c r="P9147" s="199"/>
    </row>
    <row r="9148" spans="7:16" x14ac:dyDescent="0.2">
      <c r="G9148" s="199"/>
      <c r="I9148" s="199"/>
      <c r="K9148" s="199"/>
      <c r="M9148" s="199"/>
      <c r="N9148" s="200"/>
      <c r="P9148" s="199"/>
    </row>
    <row r="9149" spans="7:16" x14ac:dyDescent="0.2">
      <c r="G9149" s="199"/>
      <c r="I9149" s="199"/>
      <c r="K9149" s="199"/>
      <c r="M9149" s="199"/>
      <c r="N9149" s="200"/>
      <c r="P9149" s="199"/>
    </row>
    <row r="9150" spans="7:16" x14ac:dyDescent="0.2">
      <c r="G9150" s="199"/>
      <c r="I9150" s="199"/>
      <c r="K9150" s="199"/>
      <c r="M9150" s="199"/>
      <c r="N9150" s="200"/>
      <c r="P9150" s="199"/>
    </row>
    <row r="9151" spans="7:16" x14ac:dyDescent="0.2">
      <c r="G9151" s="199"/>
      <c r="I9151" s="199"/>
      <c r="K9151" s="199"/>
      <c r="M9151" s="199"/>
      <c r="N9151" s="200"/>
      <c r="P9151" s="199"/>
    </row>
    <row r="9152" spans="7:16" x14ac:dyDescent="0.2">
      <c r="G9152" s="199"/>
      <c r="I9152" s="199"/>
      <c r="K9152" s="199"/>
      <c r="M9152" s="199"/>
      <c r="N9152" s="200"/>
      <c r="P9152" s="199"/>
    </row>
    <row r="9153" spans="7:16" x14ac:dyDescent="0.2">
      <c r="G9153" s="199"/>
      <c r="I9153" s="199"/>
      <c r="K9153" s="199"/>
      <c r="M9153" s="199"/>
      <c r="N9153" s="200"/>
      <c r="P9153" s="199"/>
    </row>
    <row r="9154" spans="7:16" x14ac:dyDescent="0.2">
      <c r="G9154" s="199"/>
      <c r="I9154" s="199"/>
      <c r="K9154" s="199"/>
      <c r="M9154" s="199"/>
      <c r="N9154" s="200"/>
      <c r="P9154" s="199"/>
    </row>
    <row r="9155" spans="7:16" x14ac:dyDescent="0.2">
      <c r="G9155" s="199"/>
      <c r="I9155" s="199"/>
      <c r="K9155" s="199"/>
      <c r="M9155" s="199"/>
      <c r="N9155" s="200"/>
      <c r="P9155" s="199"/>
    </row>
    <row r="9156" spans="7:16" x14ac:dyDescent="0.2">
      <c r="G9156" s="199"/>
      <c r="I9156" s="199"/>
      <c r="K9156" s="199"/>
      <c r="M9156" s="199"/>
      <c r="N9156" s="200"/>
      <c r="P9156" s="199"/>
    </row>
    <row r="9157" spans="7:16" x14ac:dyDescent="0.2">
      <c r="G9157" s="199"/>
      <c r="I9157" s="199"/>
      <c r="K9157" s="199"/>
      <c r="M9157" s="199"/>
      <c r="N9157" s="200"/>
      <c r="P9157" s="199"/>
    </row>
    <row r="9158" spans="7:16" x14ac:dyDescent="0.2">
      <c r="G9158" s="199"/>
      <c r="I9158" s="199"/>
      <c r="K9158" s="199"/>
      <c r="M9158" s="199"/>
      <c r="N9158" s="200"/>
      <c r="P9158" s="199"/>
    </row>
    <row r="9159" spans="7:16" x14ac:dyDescent="0.2">
      <c r="G9159" s="199"/>
      <c r="I9159" s="199"/>
      <c r="K9159" s="199"/>
      <c r="M9159" s="199"/>
      <c r="N9159" s="200"/>
      <c r="P9159" s="199"/>
    </row>
    <row r="9160" spans="7:16" x14ac:dyDescent="0.2">
      <c r="G9160" s="199"/>
      <c r="I9160" s="199"/>
      <c r="K9160" s="199"/>
      <c r="M9160" s="199"/>
      <c r="N9160" s="200"/>
      <c r="P9160" s="199"/>
    </row>
    <row r="9161" spans="7:16" x14ac:dyDescent="0.2">
      <c r="G9161" s="199"/>
      <c r="I9161" s="199"/>
      <c r="K9161" s="199"/>
      <c r="M9161" s="199"/>
      <c r="N9161" s="200"/>
      <c r="P9161" s="199"/>
    </row>
    <row r="9162" spans="7:16" x14ac:dyDescent="0.2">
      <c r="G9162" s="199"/>
      <c r="I9162" s="199"/>
      <c r="K9162" s="199"/>
      <c r="M9162" s="199"/>
      <c r="N9162" s="200"/>
      <c r="P9162" s="199"/>
    </row>
    <row r="9163" spans="7:16" x14ac:dyDescent="0.2">
      <c r="G9163" s="199"/>
      <c r="I9163" s="199"/>
      <c r="K9163" s="199"/>
      <c r="M9163" s="199"/>
      <c r="N9163" s="200"/>
      <c r="P9163" s="199"/>
    </row>
    <row r="9164" spans="7:16" x14ac:dyDescent="0.2">
      <c r="G9164" s="199"/>
      <c r="I9164" s="199"/>
      <c r="K9164" s="199"/>
      <c r="M9164" s="199"/>
      <c r="N9164" s="200"/>
      <c r="P9164" s="199"/>
    </row>
    <row r="9165" spans="7:16" x14ac:dyDescent="0.2">
      <c r="G9165" s="199"/>
      <c r="I9165" s="199"/>
      <c r="K9165" s="199"/>
      <c r="M9165" s="199"/>
      <c r="N9165" s="200"/>
      <c r="P9165" s="199"/>
    </row>
    <row r="9166" spans="7:16" x14ac:dyDescent="0.2">
      <c r="G9166" s="199"/>
      <c r="I9166" s="199"/>
      <c r="K9166" s="199"/>
      <c r="M9166" s="199"/>
      <c r="N9166" s="200"/>
      <c r="P9166" s="199"/>
    </row>
    <row r="9167" spans="7:16" x14ac:dyDescent="0.2">
      <c r="G9167" s="199"/>
      <c r="I9167" s="199"/>
      <c r="K9167" s="199"/>
      <c r="M9167" s="199"/>
      <c r="N9167" s="200"/>
      <c r="P9167" s="199"/>
    </row>
    <row r="9168" spans="7:16" x14ac:dyDescent="0.2">
      <c r="G9168" s="199"/>
      <c r="I9168" s="199"/>
      <c r="K9168" s="199"/>
      <c r="M9168" s="199"/>
      <c r="N9168" s="200"/>
      <c r="P9168" s="199"/>
    </row>
    <row r="9169" spans="7:16" x14ac:dyDescent="0.2">
      <c r="G9169" s="199"/>
      <c r="I9169" s="199"/>
      <c r="K9169" s="199"/>
      <c r="M9169" s="199"/>
      <c r="N9169" s="200"/>
      <c r="P9169" s="199"/>
    </row>
    <row r="9170" spans="7:16" x14ac:dyDescent="0.2">
      <c r="G9170" s="199"/>
      <c r="I9170" s="199"/>
      <c r="K9170" s="199"/>
      <c r="M9170" s="199"/>
      <c r="N9170" s="200"/>
      <c r="P9170" s="199"/>
    </row>
    <row r="9171" spans="7:16" x14ac:dyDescent="0.2">
      <c r="G9171" s="199"/>
      <c r="I9171" s="199"/>
      <c r="K9171" s="199"/>
      <c r="M9171" s="199"/>
      <c r="N9171" s="200"/>
      <c r="P9171" s="199"/>
    </row>
    <row r="9172" spans="7:16" x14ac:dyDescent="0.2">
      <c r="G9172" s="199"/>
      <c r="I9172" s="199"/>
      <c r="K9172" s="199"/>
      <c r="M9172" s="199"/>
      <c r="N9172" s="200"/>
      <c r="P9172" s="199"/>
    </row>
    <row r="9173" spans="7:16" x14ac:dyDescent="0.2">
      <c r="G9173" s="199"/>
      <c r="I9173" s="199"/>
      <c r="K9173" s="199"/>
      <c r="M9173" s="199"/>
      <c r="N9173" s="200"/>
      <c r="P9173" s="199"/>
    </row>
    <row r="9174" spans="7:16" x14ac:dyDescent="0.2">
      <c r="G9174" s="199"/>
      <c r="I9174" s="199"/>
      <c r="K9174" s="199"/>
      <c r="M9174" s="199"/>
      <c r="N9174" s="200"/>
      <c r="P9174" s="199"/>
    </row>
    <row r="9175" spans="7:16" x14ac:dyDescent="0.2">
      <c r="G9175" s="199"/>
      <c r="I9175" s="199"/>
      <c r="K9175" s="199"/>
      <c r="M9175" s="199"/>
      <c r="N9175" s="200"/>
      <c r="P9175" s="199"/>
    </row>
    <row r="9176" spans="7:16" x14ac:dyDescent="0.2">
      <c r="G9176" s="199"/>
      <c r="I9176" s="199"/>
      <c r="K9176" s="199"/>
      <c r="M9176" s="199"/>
      <c r="N9176" s="200"/>
      <c r="P9176" s="199"/>
    </row>
    <row r="9177" spans="7:16" x14ac:dyDescent="0.2">
      <c r="G9177" s="199"/>
      <c r="I9177" s="199"/>
      <c r="K9177" s="199"/>
      <c r="M9177" s="199"/>
      <c r="N9177" s="200"/>
      <c r="P9177" s="199"/>
    </row>
    <row r="9178" spans="7:16" x14ac:dyDescent="0.2">
      <c r="G9178" s="199"/>
      <c r="I9178" s="199"/>
      <c r="K9178" s="199"/>
      <c r="M9178" s="199"/>
      <c r="N9178" s="200"/>
      <c r="P9178" s="199"/>
    </row>
    <row r="9179" spans="7:16" x14ac:dyDescent="0.2">
      <c r="G9179" s="199"/>
      <c r="I9179" s="199"/>
      <c r="K9179" s="199"/>
      <c r="M9179" s="199"/>
      <c r="N9179" s="200"/>
      <c r="P9179" s="199"/>
    </row>
    <row r="9180" spans="7:16" x14ac:dyDescent="0.2">
      <c r="G9180" s="199"/>
      <c r="I9180" s="199"/>
      <c r="K9180" s="199"/>
      <c r="M9180" s="199"/>
      <c r="N9180" s="200"/>
      <c r="P9180" s="199"/>
    </row>
    <row r="9181" spans="7:16" x14ac:dyDescent="0.2">
      <c r="G9181" s="199"/>
      <c r="I9181" s="199"/>
      <c r="K9181" s="199"/>
      <c r="M9181" s="199"/>
      <c r="N9181" s="200"/>
      <c r="P9181" s="199"/>
    </row>
    <row r="9182" spans="7:16" x14ac:dyDescent="0.2">
      <c r="G9182" s="199"/>
      <c r="I9182" s="199"/>
      <c r="K9182" s="199"/>
      <c r="M9182" s="199"/>
      <c r="N9182" s="200"/>
      <c r="P9182" s="199"/>
    </row>
    <row r="9183" spans="7:16" x14ac:dyDescent="0.2">
      <c r="G9183" s="199"/>
      <c r="I9183" s="199"/>
      <c r="K9183" s="199"/>
      <c r="M9183" s="199"/>
      <c r="N9183" s="200"/>
      <c r="P9183" s="199"/>
    </row>
    <row r="9184" spans="7:16" x14ac:dyDescent="0.2">
      <c r="G9184" s="199"/>
      <c r="I9184" s="199"/>
      <c r="K9184" s="199"/>
      <c r="M9184" s="199"/>
      <c r="N9184" s="200"/>
      <c r="P9184" s="199"/>
    </row>
    <row r="9185" spans="7:16" x14ac:dyDescent="0.2">
      <c r="G9185" s="199"/>
      <c r="I9185" s="199"/>
      <c r="K9185" s="199"/>
      <c r="M9185" s="199"/>
      <c r="N9185" s="200"/>
      <c r="P9185" s="199"/>
    </row>
    <row r="9186" spans="7:16" x14ac:dyDescent="0.2">
      <c r="G9186" s="199"/>
      <c r="I9186" s="199"/>
      <c r="K9186" s="199"/>
      <c r="M9186" s="199"/>
      <c r="N9186" s="200"/>
      <c r="P9186" s="199"/>
    </row>
    <row r="9187" spans="7:16" x14ac:dyDescent="0.2">
      <c r="G9187" s="199"/>
      <c r="I9187" s="199"/>
      <c r="K9187" s="199"/>
      <c r="M9187" s="199"/>
      <c r="N9187" s="200"/>
      <c r="P9187" s="199"/>
    </row>
    <row r="9188" spans="7:16" x14ac:dyDescent="0.2">
      <c r="G9188" s="199"/>
      <c r="I9188" s="199"/>
      <c r="K9188" s="199"/>
      <c r="M9188" s="199"/>
      <c r="N9188" s="200"/>
      <c r="P9188" s="199"/>
    </row>
    <row r="9189" spans="7:16" x14ac:dyDescent="0.2">
      <c r="G9189" s="199"/>
      <c r="I9189" s="199"/>
      <c r="K9189" s="199"/>
      <c r="M9189" s="199"/>
      <c r="N9189" s="200"/>
      <c r="P9189" s="199"/>
    </row>
    <row r="9190" spans="7:16" x14ac:dyDescent="0.2">
      <c r="G9190" s="199"/>
      <c r="I9190" s="199"/>
      <c r="K9190" s="199"/>
      <c r="M9190" s="199"/>
      <c r="N9190" s="200"/>
      <c r="P9190" s="199"/>
    </row>
    <row r="9191" spans="7:16" x14ac:dyDescent="0.2">
      <c r="G9191" s="199"/>
      <c r="I9191" s="199"/>
      <c r="K9191" s="199"/>
      <c r="M9191" s="199"/>
      <c r="N9191" s="200"/>
      <c r="P9191" s="199"/>
    </row>
    <row r="9192" spans="7:16" x14ac:dyDescent="0.2">
      <c r="G9192" s="199"/>
      <c r="I9192" s="199"/>
      <c r="K9192" s="199"/>
      <c r="M9192" s="199"/>
      <c r="N9192" s="200"/>
      <c r="P9192" s="199"/>
    </row>
    <row r="9193" spans="7:16" x14ac:dyDescent="0.2">
      <c r="G9193" s="199"/>
      <c r="I9193" s="199"/>
      <c r="K9193" s="199"/>
      <c r="M9193" s="199"/>
      <c r="N9193" s="200"/>
      <c r="P9193" s="199"/>
    </row>
    <row r="9194" spans="7:16" x14ac:dyDescent="0.2">
      <c r="G9194" s="199"/>
      <c r="I9194" s="199"/>
      <c r="K9194" s="199"/>
      <c r="M9194" s="199"/>
      <c r="N9194" s="200"/>
      <c r="P9194" s="199"/>
    </row>
    <row r="9195" spans="7:16" x14ac:dyDescent="0.2">
      <c r="G9195" s="199"/>
      <c r="I9195" s="199"/>
      <c r="K9195" s="199"/>
      <c r="M9195" s="199"/>
      <c r="N9195" s="200"/>
      <c r="P9195" s="199"/>
    </row>
    <row r="9196" spans="7:16" x14ac:dyDescent="0.2">
      <c r="G9196" s="199"/>
      <c r="I9196" s="199"/>
      <c r="K9196" s="199"/>
      <c r="M9196" s="199"/>
      <c r="N9196" s="200"/>
      <c r="P9196" s="199"/>
    </row>
    <row r="9197" spans="7:16" x14ac:dyDescent="0.2">
      <c r="G9197" s="199"/>
      <c r="I9197" s="199"/>
      <c r="K9197" s="199"/>
      <c r="M9197" s="199"/>
      <c r="N9197" s="200"/>
      <c r="P9197" s="199"/>
    </row>
    <row r="9198" spans="7:16" x14ac:dyDescent="0.2">
      <c r="G9198" s="199"/>
      <c r="I9198" s="199"/>
      <c r="K9198" s="199"/>
      <c r="M9198" s="199"/>
      <c r="N9198" s="200"/>
      <c r="P9198" s="199"/>
    </row>
    <row r="9199" spans="7:16" x14ac:dyDescent="0.2">
      <c r="G9199" s="199"/>
      <c r="I9199" s="199"/>
      <c r="K9199" s="199"/>
      <c r="M9199" s="199"/>
      <c r="N9199" s="200"/>
      <c r="P9199" s="199"/>
    </row>
    <row r="9200" spans="7:16" x14ac:dyDescent="0.2">
      <c r="G9200" s="199"/>
      <c r="I9200" s="199"/>
      <c r="K9200" s="199"/>
      <c r="M9200" s="199"/>
      <c r="N9200" s="200"/>
      <c r="P9200" s="199"/>
    </row>
    <row r="9201" spans="7:16" x14ac:dyDescent="0.2">
      <c r="G9201" s="199"/>
      <c r="I9201" s="199"/>
      <c r="K9201" s="199"/>
      <c r="M9201" s="199"/>
      <c r="N9201" s="200"/>
      <c r="P9201" s="199"/>
    </row>
    <row r="9202" spans="7:16" x14ac:dyDescent="0.2">
      <c r="G9202" s="199"/>
      <c r="I9202" s="199"/>
      <c r="K9202" s="199"/>
      <c r="M9202" s="199"/>
      <c r="N9202" s="200"/>
      <c r="P9202" s="199"/>
    </row>
    <row r="9203" spans="7:16" x14ac:dyDescent="0.2">
      <c r="G9203" s="199"/>
      <c r="I9203" s="199"/>
      <c r="K9203" s="199"/>
      <c r="M9203" s="199"/>
      <c r="N9203" s="200"/>
      <c r="P9203" s="199"/>
    </row>
    <row r="9204" spans="7:16" x14ac:dyDescent="0.2">
      <c r="G9204" s="199"/>
      <c r="I9204" s="199"/>
      <c r="K9204" s="199"/>
      <c r="M9204" s="199"/>
      <c r="N9204" s="200"/>
      <c r="P9204" s="199"/>
    </row>
    <row r="9205" spans="7:16" x14ac:dyDescent="0.2">
      <c r="G9205" s="199"/>
      <c r="I9205" s="199"/>
      <c r="K9205" s="199"/>
      <c r="M9205" s="199"/>
      <c r="N9205" s="200"/>
      <c r="P9205" s="199"/>
    </row>
    <row r="9206" spans="7:16" x14ac:dyDescent="0.2">
      <c r="G9206" s="199"/>
      <c r="I9206" s="199"/>
      <c r="K9206" s="199"/>
      <c r="M9206" s="199"/>
      <c r="N9206" s="200"/>
      <c r="P9206" s="199"/>
    </row>
    <row r="9207" spans="7:16" x14ac:dyDescent="0.2">
      <c r="G9207" s="199"/>
      <c r="I9207" s="199"/>
      <c r="K9207" s="199"/>
      <c r="M9207" s="199"/>
      <c r="N9207" s="200"/>
      <c r="P9207" s="199"/>
    </row>
    <row r="9208" spans="7:16" x14ac:dyDescent="0.2">
      <c r="G9208" s="199"/>
      <c r="I9208" s="199"/>
      <c r="K9208" s="199"/>
      <c r="M9208" s="199"/>
      <c r="N9208" s="200"/>
      <c r="P9208" s="199"/>
    </row>
    <row r="9209" spans="7:16" x14ac:dyDescent="0.2">
      <c r="G9209" s="199"/>
      <c r="I9209" s="199"/>
      <c r="K9209" s="199"/>
      <c r="M9209" s="199"/>
      <c r="N9209" s="200"/>
      <c r="P9209" s="199"/>
    </row>
    <row r="9210" spans="7:16" x14ac:dyDescent="0.2">
      <c r="G9210" s="199"/>
      <c r="I9210" s="199"/>
      <c r="K9210" s="199"/>
      <c r="M9210" s="199"/>
      <c r="N9210" s="200"/>
      <c r="P9210" s="199"/>
    </row>
    <row r="9211" spans="7:16" x14ac:dyDescent="0.2">
      <c r="G9211" s="199"/>
      <c r="I9211" s="199"/>
      <c r="K9211" s="199"/>
      <c r="M9211" s="199"/>
      <c r="N9211" s="200"/>
      <c r="P9211" s="199"/>
    </row>
    <row r="9212" spans="7:16" x14ac:dyDescent="0.2">
      <c r="G9212" s="199"/>
      <c r="I9212" s="199"/>
      <c r="K9212" s="199"/>
      <c r="M9212" s="199"/>
      <c r="N9212" s="200"/>
      <c r="P9212" s="199"/>
    </row>
    <row r="9213" spans="7:16" x14ac:dyDescent="0.2">
      <c r="G9213" s="199"/>
      <c r="I9213" s="199"/>
      <c r="K9213" s="199"/>
      <c r="M9213" s="199"/>
      <c r="N9213" s="200"/>
      <c r="P9213" s="199"/>
    </row>
    <row r="9214" spans="7:16" x14ac:dyDescent="0.2">
      <c r="G9214" s="199"/>
      <c r="I9214" s="199"/>
      <c r="K9214" s="199"/>
      <c r="M9214" s="199"/>
      <c r="N9214" s="200"/>
      <c r="P9214" s="199"/>
    </row>
    <row r="9215" spans="7:16" x14ac:dyDescent="0.2">
      <c r="G9215" s="199"/>
      <c r="I9215" s="199"/>
      <c r="K9215" s="199"/>
      <c r="M9215" s="199"/>
      <c r="N9215" s="200"/>
      <c r="P9215" s="199"/>
    </row>
    <row r="9216" spans="7:16" x14ac:dyDescent="0.2">
      <c r="G9216" s="199"/>
      <c r="I9216" s="199"/>
      <c r="K9216" s="199"/>
      <c r="M9216" s="199"/>
      <c r="N9216" s="200"/>
      <c r="P9216" s="199"/>
    </row>
    <row r="9217" spans="7:16" x14ac:dyDescent="0.2">
      <c r="G9217" s="199"/>
      <c r="I9217" s="199"/>
      <c r="K9217" s="199"/>
      <c r="M9217" s="199"/>
      <c r="N9217" s="200"/>
      <c r="P9217" s="199"/>
    </row>
    <row r="9218" spans="7:16" x14ac:dyDescent="0.2">
      <c r="G9218" s="199"/>
      <c r="I9218" s="199"/>
      <c r="K9218" s="199"/>
      <c r="M9218" s="199"/>
      <c r="N9218" s="200"/>
      <c r="P9218" s="199"/>
    </row>
    <row r="9219" spans="7:16" x14ac:dyDescent="0.2">
      <c r="G9219" s="199"/>
      <c r="I9219" s="199"/>
      <c r="K9219" s="199"/>
      <c r="M9219" s="199"/>
      <c r="N9219" s="200"/>
      <c r="P9219" s="199"/>
    </row>
    <row r="9220" spans="7:16" x14ac:dyDescent="0.2">
      <c r="G9220" s="199"/>
      <c r="I9220" s="199"/>
      <c r="K9220" s="199"/>
      <c r="M9220" s="199"/>
      <c r="N9220" s="200"/>
      <c r="P9220" s="199"/>
    </row>
    <row r="9221" spans="7:16" x14ac:dyDescent="0.2">
      <c r="G9221" s="199"/>
      <c r="I9221" s="199"/>
      <c r="K9221" s="199"/>
      <c r="M9221" s="199"/>
      <c r="N9221" s="200"/>
      <c r="P9221" s="199"/>
    </row>
    <row r="9222" spans="7:16" x14ac:dyDescent="0.2">
      <c r="G9222" s="199"/>
      <c r="I9222" s="199"/>
      <c r="K9222" s="199"/>
      <c r="M9222" s="199"/>
      <c r="N9222" s="200"/>
      <c r="P9222" s="199"/>
    </row>
    <row r="9223" spans="7:16" x14ac:dyDescent="0.2">
      <c r="G9223" s="199"/>
      <c r="I9223" s="199"/>
      <c r="K9223" s="199"/>
      <c r="M9223" s="199"/>
      <c r="N9223" s="200"/>
      <c r="P9223" s="199"/>
    </row>
    <row r="9224" spans="7:16" x14ac:dyDescent="0.2">
      <c r="G9224" s="199"/>
      <c r="I9224" s="199"/>
      <c r="K9224" s="199"/>
      <c r="M9224" s="199"/>
      <c r="N9224" s="200"/>
      <c r="P9224" s="199"/>
    </row>
    <row r="9225" spans="7:16" x14ac:dyDescent="0.2">
      <c r="G9225" s="199"/>
      <c r="I9225" s="199"/>
      <c r="K9225" s="199"/>
      <c r="M9225" s="199"/>
      <c r="N9225" s="200"/>
      <c r="P9225" s="199"/>
    </row>
    <row r="9226" spans="7:16" x14ac:dyDescent="0.2">
      <c r="G9226" s="199"/>
      <c r="I9226" s="199"/>
      <c r="K9226" s="199"/>
      <c r="M9226" s="199"/>
      <c r="N9226" s="200"/>
      <c r="P9226" s="199"/>
    </row>
    <row r="9227" spans="7:16" x14ac:dyDescent="0.2">
      <c r="G9227" s="199"/>
      <c r="I9227" s="199"/>
      <c r="K9227" s="199"/>
      <c r="M9227" s="199"/>
      <c r="N9227" s="200"/>
      <c r="P9227" s="199"/>
    </row>
    <row r="9228" spans="7:16" x14ac:dyDescent="0.2">
      <c r="G9228" s="199"/>
      <c r="I9228" s="199"/>
      <c r="K9228" s="199"/>
      <c r="M9228" s="199"/>
      <c r="N9228" s="200"/>
      <c r="P9228" s="199"/>
    </row>
    <row r="9229" spans="7:16" x14ac:dyDescent="0.2">
      <c r="G9229" s="199"/>
      <c r="I9229" s="199"/>
      <c r="K9229" s="199"/>
      <c r="M9229" s="199"/>
      <c r="N9229" s="200"/>
      <c r="P9229" s="199"/>
    </row>
    <row r="9230" spans="7:16" x14ac:dyDescent="0.2">
      <c r="G9230" s="199"/>
      <c r="I9230" s="199"/>
      <c r="K9230" s="199"/>
      <c r="M9230" s="199"/>
      <c r="N9230" s="200"/>
      <c r="P9230" s="199"/>
    </row>
    <row r="9231" spans="7:16" x14ac:dyDescent="0.2">
      <c r="G9231" s="199"/>
      <c r="I9231" s="199"/>
      <c r="K9231" s="199"/>
      <c r="M9231" s="199"/>
      <c r="N9231" s="200"/>
      <c r="P9231" s="199"/>
    </row>
    <row r="9232" spans="7:16" x14ac:dyDescent="0.2">
      <c r="G9232" s="199"/>
      <c r="I9232" s="199"/>
      <c r="K9232" s="199"/>
      <c r="M9232" s="199"/>
      <c r="N9232" s="200"/>
      <c r="P9232" s="199"/>
    </row>
    <row r="9233" spans="7:16" x14ac:dyDescent="0.2">
      <c r="G9233" s="199"/>
      <c r="I9233" s="199"/>
      <c r="K9233" s="199"/>
      <c r="M9233" s="199"/>
      <c r="N9233" s="200"/>
      <c r="P9233" s="199"/>
    </row>
    <row r="9234" spans="7:16" x14ac:dyDescent="0.2">
      <c r="G9234" s="199"/>
      <c r="I9234" s="199"/>
      <c r="K9234" s="199"/>
      <c r="M9234" s="199"/>
      <c r="N9234" s="200"/>
      <c r="P9234" s="199"/>
    </row>
    <row r="9235" spans="7:16" x14ac:dyDescent="0.2">
      <c r="G9235" s="199"/>
      <c r="I9235" s="199"/>
      <c r="K9235" s="199"/>
      <c r="M9235" s="199"/>
      <c r="N9235" s="200"/>
      <c r="P9235" s="199"/>
    </row>
    <row r="9236" spans="7:16" x14ac:dyDescent="0.2">
      <c r="G9236" s="199"/>
      <c r="I9236" s="199"/>
      <c r="K9236" s="199"/>
      <c r="M9236" s="199"/>
      <c r="N9236" s="200"/>
      <c r="P9236" s="199"/>
    </row>
    <row r="9237" spans="7:16" x14ac:dyDescent="0.2">
      <c r="G9237" s="199"/>
      <c r="I9237" s="199"/>
      <c r="K9237" s="199"/>
      <c r="M9237" s="199"/>
      <c r="N9237" s="200"/>
      <c r="P9237" s="199"/>
    </row>
    <row r="9238" spans="7:16" x14ac:dyDescent="0.2">
      <c r="G9238" s="199"/>
      <c r="I9238" s="199"/>
      <c r="K9238" s="199"/>
      <c r="M9238" s="199"/>
      <c r="N9238" s="200"/>
      <c r="P9238" s="199"/>
    </row>
    <row r="9239" spans="7:16" x14ac:dyDescent="0.2">
      <c r="G9239" s="199"/>
      <c r="I9239" s="199"/>
      <c r="K9239" s="199"/>
      <c r="M9239" s="199"/>
      <c r="N9239" s="200"/>
      <c r="P9239" s="199"/>
    </row>
    <row r="9240" spans="7:16" x14ac:dyDescent="0.2">
      <c r="G9240" s="199"/>
      <c r="I9240" s="199"/>
      <c r="K9240" s="199"/>
      <c r="M9240" s="199"/>
      <c r="N9240" s="200"/>
      <c r="P9240" s="199"/>
    </row>
    <row r="9241" spans="7:16" x14ac:dyDescent="0.2">
      <c r="G9241" s="199"/>
      <c r="I9241" s="199"/>
      <c r="K9241" s="199"/>
      <c r="M9241" s="199"/>
      <c r="N9241" s="200"/>
      <c r="P9241" s="199"/>
    </row>
    <row r="9242" spans="7:16" x14ac:dyDescent="0.2">
      <c r="G9242" s="199"/>
      <c r="I9242" s="199"/>
      <c r="K9242" s="199"/>
      <c r="M9242" s="199"/>
      <c r="N9242" s="200"/>
      <c r="P9242" s="199"/>
    </row>
    <row r="9243" spans="7:16" x14ac:dyDescent="0.2">
      <c r="G9243" s="199"/>
      <c r="I9243" s="199"/>
      <c r="K9243" s="199"/>
      <c r="M9243" s="199"/>
      <c r="N9243" s="200"/>
      <c r="P9243" s="199"/>
    </row>
    <row r="9244" spans="7:16" x14ac:dyDescent="0.2">
      <c r="G9244" s="199"/>
      <c r="I9244" s="199"/>
      <c r="K9244" s="199"/>
      <c r="M9244" s="199"/>
      <c r="N9244" s="200"/>
      <c r="P9244" s="199"/>
    </row>
    <row r="9245" spans="7:16" x14ac:dyDescent="0.2">
      <c r="G9245" s="199"/>
      <c r="I9245" s="199"/>
      <c r="K9245" s="199"/>
      <c r="M9245" s="199"/>
      <c r="N9245" s="200"/>
      <c r="P9245" s="199"/>
    </row>
    <row r="9246" spans="7:16" x14ac:dyDescent="0.2">
      <c r="G9246" s="199"/>
      <c r="I9246" s="199"/>
      <c r="K9246" s="199"/>
      <c r="M9246" s="199"/>
      <c r="N9246" s="200"/>
      <c r="P9246" s="199"/>
    </row>
    <row r="9247" spans="7:16" x14ac:dyDescent="0.2">
      <c r="G9247" s="199"/>
      <c r="I9247" s="199"/>
      <c r="K9247" s="199"/>
      <c r="M9247" s="199"/>
      <c r="N9247" s="200"/>
      <c r="P9247" s="199"/>
    </row>
    <row r="9248" spans="7:16" x14ac:dyDescent="0.2">
      <c r="G9248" s="199"/>
      <c r="I9248" s="199"/>
      <c r="K9248" s="199"/>
      <c r="M9248" s="199"/>
      <c r="N9248" s="200"/>
      <c r="P9248" s="199"/>
    </row>
    <row r="9249" spans="7:16" x14ac:dyDescent="0.2">
      <c r="G9249" s="199"/>
      <c r="I9249" s="199"/>
      <c r="K9249" s="199"/>
      <c r="M9249" s="199"/>
      <c r="N9249" s="200"/>
      <c r="P9249" s="199"/>
    </row>
    <row r="9250" spans="7:16" x14ac:dyDescent="0.2">
      <c r="G9250" s="199"/>
      <c r="I9250" s="199"/>
      <c r="K9250" s="199"/>
      <c r="M9250" s="199"/>
      <c r="N9250" s="200"/>
      <c r="P9250" s="199"/>
    </row>
    <row r="9251" spans="7:16" x14ac:dyDescent="0.2">
      <c r="G9251" s="199"/>
      <c r="I9251" s="199"/>
      <c r="K9251" s="199"/>
      <c r="M9251" s="199"/>
      <c r="N9251" s="200"/>
      <c r="P9251" s="199"/>
    </row>
    <row r="9252" spans="7:16" x14ac:dyDescent="0.2">
      <c r="G9252" s="199"/>
      <c r="I9252" s="199"/>
      <c r="K9252" s="199"/>
      <c r="M9252" s="199"/>
      <c r="N9252" s="200"/>
      <c r="P9252" s="199"/>
    </row>
    <row r="9253" spans="7:16" x14ac:dyDescent="0.2">
      <c r="G9253" s="199"/>
      <c r="I9253" s="199"/>
      <c r="K9253" s="199"/>
      <c r="M9253" s="199"/>
      <c r="N9253" s="200"/>
      <c r="P9253" s="199"/>
    </row>
    <row r="9254" spans="7:16" x14ac:dyDescent="0.2">
      <c r="G9254" s="199"/>
      <c r="I9254" s="199"/>
      <c r="K9254" s="199"/>
      <c r="M9254" s="199"/>
      <c r="N9254" s="200"/>
      <c r="P9254" s="199"/>
    </row>
    <row r="9255" spans="7:16" x14ac:dyDescent="0.2">
      <c r="G9255" s="199"/>
      <c r="I9255" s="199"/>
      <c r="K9255" s="199"/>
      <c r="M9255" s="199"/>
      <c r="N9255" s="200"/>
      <c r="P9255" s="199"/>
    </row>
    <row r="9256" spans="7:16" x14ac:dyDescent="0.2">
      <c r="G9256" s="199"/>
      <c r="I9256" s="199"/>
      <c r="K9256" s="199"/>
      <c r="M9256" s="199"/>
      <c r="N9256" s="200"/>
      <c r="P9256" s="199"/>
    </row>
    <row r="9257" spans="7:16" x14ac:dyDescent="0.2">
      <c r="G9257" s="199"/>
      <c r="I9257" s="199"/>
      <c r="K9257" s="199"/>
      <c r="M9257" s="199"/>
      <c r="N9257" s="200"/>
      <c r="P9257" s="199"/>
    </row>
    <row r="9258" spans="7:16" x14ac:dyDescent="0.2">
      <c r="G9258" s="199"/>
      <c r="I9258" s="199"/>
      <c r="K9258" s="199"/>
      <c r="M9258" s="199"/>
      <c r="N9258" s="200"/>
      <c r="P9258" s="199"/>
    </row>
    <row r="9259" spans="7:16" x14ac:dyDescent="0.2">
      <c r="G9259" s="199"/>
      <c r="I9259" s="199"/>
      <c r="K9259" s="199"/>
      <c r="M9259" s="199"/>
      <c r="N9259" s="200"/>
      <c r="P9259" s="199"/>
    </row>
    <row r="9260" spans="7:16" x14ac:dyDescent="0.2">
      <c r="G9260" s="199"/>
      <c r="I9260" s="199"/>
      <c r="K9260" s="199"/>
      <c r="M9260" s="199"/>
      <c r="N9260" s="200"/>
      <c r="P9260" s="199"/>
    </row>
    <row r="9261" spans="7:16" x14ac:dyDescent="0.2">
      <c r="G9261" s="199"/>
      <c r="I9261" s="199"/>
      <c r="K9261" s="199"/>
      <c r="M9261" s="199"/>
      <c r="N9261" s="200"/>
      <c r="P9261" s="199"/>
    </row>
    <row r="9262" spans="7:16" x14ac:dyDescent="0.2">
      <c r="G9262" s="199"/>
      <c r="I9262" s="199"/>
      <c r="K9262" s="199"/>
      <c r="M9262" s="199"/>
      <c r="N9262" s="200"/>
      <c r="P9262" s="199"/>
    </row>
    <row r="9263" spans="7:16" x14ac:dyDescent="0.2">
      <c r="G9263" s="199"/>
      <c r="I9263" s="199"/>
      <c r="K9263" s="199"/>
      <c r="M9263" s="199"/>
      <c r="N9263" s="200"/>
      <c r="P9263" s="199"/>
    </row>
    <row r="9264" spans="7:16" x14ac:dyDescent="0.2">
      <c r="G9264" s="199"/>
      <c r="I9264" s="199"/>
      <c r="K9264" s="199"/>
      <c r="M9264" s="199"/>
      <c r="N9264" s="200"/>
      <c r="P9264" s="199"/>
    </row>
    <row r="9265" spans="7:16" x14ac:dyDescent="0.2">
      <c r="G9265" s="199"/>
      <c r="I9265" s="199"/>
      <c r="K9265" s="199"/>
      <c r="M9265" s="199"/>
      <c r="N9265" s="200"/>
      <c r="P9265" s="199"/>
    </row>
    <row r="9266" spans="7:16" x14ac:dyDescent="0.2">
      <c r="G9266" s="199"/>
      <c r="I9266" s="199"/>
      <c r="K9266" s="199"/>
      <c r="M9266" s="199"/>
      <c r="N9266" s="200"/>
      <c r="P9266" s="199"/>
    </row>
    <row r="9267" spans="7:16" x14ac:dyDescent="0.2">
      <c r="G9267" s="199"/>
      <c r="I9267" s="199"/>
      <c r="K9267" s="199"/>
      <c r="M9267" s="199"/>
      <c r="N9267" s="200"/>
      <c r="P9267" s="199"/>
    </row>
    <row r="9268" spans="7:16" x14ac:dyDescent="0.2">
      <c r="G9268" s="199"/>
      <c r="I9268" s="199"/>
      <c r="K9268" s="199"/>
      <c r="M9268" s="199"/>
      <c r="N9268" s="200"/>
      <c r="P9268" s="199"/>
    </row>
    <row r="9269" spans="7:16" x14ac:dyDescent="0.2">
      <c r="G9269" s="199"/>
      <c r="I9269" s="199"/>
      <c r="K9269" s="199"/>
      <c r="M9269" s="199"/>
      <c r="N9269" s="200"/>
      <c r="P9269" s="199"/>
    </row>
    <row r="9270" spans="7:16" x14ac:dyDescent="0.2">
      <c r="G9270" s="199"/>
      <c r="I9270" s="199"/>
      <c r="K9270" s="199"/>
      <c r="M9270" s="199"/>
      <c r="N9270" s="200"/>
      <c r="P9270" s="199"/>
    </row>
    <row r="9271" spans="7:16" x14ac:dyDescent="0.2">
      <c r="G9271" s="199"/>
      <c r="I9271" s="199"/>
      <c r="K9271" s="199"/>
      <c r="M9271" s="199"/>
      <c r="N9271" s="200"/>
      <c r="P9271" s="199"/>
    </row>
    <row r="9272" spans="7:16" x14ac:dyDescent="0.2">
      <c r="G9272" s="199"/>
      <c r="I9272" s="199"/>
      <c r="K9272" s="199"/>
      <c r="M9272" s="199"/>
      <c r="N9272" s="200"/>
      <c r="P9272" s="199"/>
    </row>
    <row r="9273" spans="7:16" x14ac:dyDescent="0.2">
      <c r="G9273" s="199"/>
      <c r="I9273" s="199"/>
      <c r="K9273" s="199"/>
      <c r="M9273" s="199"/>
      <c r="N9273" s="200"/>
      <c r="P9273" s="199"/>
    </row>
    <row r="9274" spans="7:16" x14ac:dyDescent="0.2">
      <c r="G9274" s="199"/>
      <c r="I9274" s="199"/>
      <c r="K9274" s="199"/>
      <c r="M9274" s="199"/>
      <c r="N9274" s="200"/>
      <c r="P9274" s="199"/>
    </row>
    <row r="9275" spans="7:16" x14ac:dyDescent="0.2">
      <c r="G9275" s="199"/>
      <c r="I9275" s="199"/>
      <c r="K9275" s="199"/>
      <c r="M9275" s="199"/>
      <c r="N9275" s="200"/>
      <c r="P9275" s="199"/>
    </row>
    <row r="9276" spans="7:16" x14ac:dyDescent="0.2">
      <c r="G9276" s="199"/>
      <c r="I9276" s="199"/>
      <c r="K9276" s="199"/>
      <c r="M9276" s="199"/>
      <c r="N9276" s="200"/>
      <c r="P9276" s="199"/>
    </row>
    <row r="9277" spans="7:16" x14ac:dyDescent="0.2">
      <c r="G9277" s="199"/>
      <c r="I9277" s="199"/>
      <c r="K9277" s="199"/>
      <c r="M9277" s="199"/>
      <c r="N9277" s="200"/>
      <c r="P9277" s="199"/>
    </row>
    <row r="9278" spans="7:16" x14ac:dyDescent="0.2">
      <c r="G9278" s="199"/>
      <c r="I9278" s="199"/>
      <c r="K9278" s="199"/>
      <c r="M9278" s="199"/>
      <c r="N9278" s="200"/>
      <c r="P9278" s="199"/>
    </row>
    <row r="9279" spans="7:16" x14ac:dyDescent="0.2">
      <c r="G9279" s="199"/>
      <c r="I9279" s="199"/>
      <c r="K9279" s="199"/>
      <c r="M9279" s="199"/>
      <c r="N9279" s="200"/>
      <c r="P9279" s="199"/>
    </row>
    <row r="9280" spans="7:16" x14ac:dyDescent="0.2">
      <c r="G9280" s="199"/>
      <c r="I9280" s="199"/>
      <c r="K9280" s="199"/>
      <c r="M9280" s="199"/>
      <c r="N9280" s="200"/>
      <c r="P9280" s="199"/>
    </row>
    <row r="9281" spans="7:16" x14ac:dyDescent="0.2">
      <c r="G9281" s="199"/>
      <c r="I9281" s="199"/>
      <c r="K9281" s="199"/>
      <c r="M9281" s="199"/>
      <c r="N9281" s="200"/>
      <c r="P9281" s="199"/>
    </row>
    <row r="9282" spans="7:16" x14ac:dyDescent="0.2">
      <c r="G9282" s="199"/>
      <c r="I9282" s="199"/>
      <c r="K9282" s="199"/>
      <c r="M9282" s="199"/>
      <c r="N9282" s="200"/>
      <c r="P9282" s="199"/>
    </row>
    <row r="9283" spans="7:16" x14ac:dyDescent="0.2">
      <c r="G9283" s="199"/>
      <c r="I9283" s="199"/>
      <c r="K9283" s="199"/>
      <c r="M9283" s="199"/>
      <c r="N9283" s="200"/>
      <c r="P9283" s="199"/>
    </row>
    <row r="9284" spans="7:16" x14ac:dyDescent="0.2">
      <c r="G9284" s="199"/>
      <c r="I9284" s="199"/>
      <c r="K9284" s="199"/>
      <c r="M9284" s="199"/>
      <c r="N9284" s="200"/>
      <c r="P9284" s="199"/>
    </row>
    <row r="9285" spans="7:16" x14ac:dyDescent="0.2">
      <c r="G9285" s="199"/>
      <c r="I9285" s="199"/>
      <c r="K9285" s="199"/>
      <c r="M9285" s="199"/>
      <c r="N9285" s="200"/>
      <c r="P9285" s="199"/>
    </row>
    <row r="9286" spans="7:16" x14ac:dyDescent="0.2">
      <c r="G9286" s="199"/>
      <c r="I9286" s="199"/>
      <c r="K9286" s="199"/>
      <c r="M9286" s="199"/>
      <c r="N9286" s="200"/>
      <c r="P9286" s="199"/>
    </row>
    <row r="9287" spans="7:16" x14ac:dyDescent="0.2">
      <c r="G9287" s="199"/>
      <c r="I9287" s="199"/>
      <c r="K9287" s="199"/>
      <c r="M9287" s="199"/>
      <c r="N9287" s="200"/>
      <c r="P9287" s="199"/>
    </row>
    <row r="9288" spans="7:16" x14ac:dyDescent="0.2">
      <c r="G9288" s="199"/>
      <c r="I9288" s="199"/>
      <c r="K9288" s="199"/>
      <c r="M9288" s="199"/>
      <c r="N9288" s="200"/>
      <c r="P9288" s="199"/>
    </row>
    <row r="9289" spans="7:16" x14ac:dyDescent="0.2">
      <c r="G9289" s="199"/>
      <c r="I9289" s="199"/>
      <c r="K9289" s="199"/>
      <c r="M9289" s="199"/>
      <c r="N9289" s="200"/>
      <c r="P9289" s="199"/>
    </row>
    <row r="9290" spans="7:16" x14ac:dyDescent="0.2">
      <c r="G9290" s="199"/>
      <c r="I9290" s="199"/>
      <c r="K9290" s="199"/>
      <c r="M9290" s="199"/>
      <c r="N9290" s="200"/>
      <c r="P9290" s="199"/>
    </row>
    <row r="9291" spans="7:16" x14ac:dyDescent="0.2">
      <c r="G9291" s="199"/>
      <c r="I9291" s="199"/>
      <c r="K9291" s="199"/>
      <c r="M9291" s="199"/>
      <c r="N9291" s="200"/>
      <c r="P9291" s="199"/>
    </row>
    <row r="9292" spans="7:16" x14ac:dyDescent="0.2">
      <c r="G9292" s="199"/>
      <c r="I9292" s="199"/>
      <c r="K9292" s="199"/>
      <c r="M9292" s="199"/>
      <c r="N9292" s="200"/>
      <c r="P9292" s="199"/>
    </row>
    <row r="9293" spans="7:16" x14ac:dyDescent="0.2">
      <c r="G9293" s="199"/>
      <c r="I9293" s="199"/>
      <c r="K9293" s="199"/>
      <c r="M9293" s="199"/>
      <c r="N9293" s="200"/>
      <c r="P9293" s="199"/>
    </row>
    <row r="9294" spans="7:16" x14ac:dyDescent="0.2">
      <c r="G9294" s="199"/>
      <c r="I9294" s="199"/>
      <c r="K9294" s="199"/>
      <c r="M9294" s="199"/>
      <c r="N9294" s="200"/>
      <c r="P9294" s="199"/>
    </row>
    <row r="9295" spans="7:16" x14ac:dyDescent="0.2">
      <c r="G9295" s="199"/>
      <c r="I9295" s="199"/>
      <c r="K9295" s="199"/>
      <c r="M9295" s="199"/>
      <c r="N9295" s="200"/>
      <c r="P9295" s="199"/>
    </row>
    <row r="9296" spans="7:16" x14ac:dyDescent="0.2">
      <c r="G9296" s="199"/>
      <c r="I9296" s="199"/>
      <c r="K9296" s="199"/>
      <c r="M9296" s="199"/>
      <c r="N9296" s="200"/>
      <c r="P9296" s="199"/>
    </row>
    <row r="9297" spans="7:16" x14ac:dyDescent="0.2">
      <c r="G9297" s="199"/>
      <c r="I9297" s="199"/>
      <c r="K9297" s="199"/>
      <c r="M9297" s="199"/>
      <c r="N9297" s="200"/>
      <c r="P9297" s="199"/>
    </row>
    <row r="9298" spans="7:16" x14ac:dyDescent="0.2">
      <c r="G9298" s="199"/>
      <c r="I9298" s="199"/>
      <c r="K9298" s="199"/>
      <c r="M9298" s="199"/>
      <c r="N9298" s="200"/>
      <c r="P9298" s="199"/>
    </row>
    <row r="9299" spans="7:16" x14ac:dyDescent="0.2">
      <c r="G9299" s="199"/>
      <c r="I9299" s="199"/>
      <c r="K9299" s="199"/>
      <c r="M9299" s="199"/>
      <c r="N9299" s="200"/>
      <c r="P9299" s="199"/>
    </row>
    <row r="9300" spans="7:16" x14ac:dyDescent="0.2">
      <c r="G9300" s="199"/>
      <c r="I9300" s="199"/>
      <c r="K9300" s="199"/>
      <c r="M9300" s="199"/>
      <c r="N9300" s="200"/>
      <c r="P9300" s="199"/>
    </row>
    <row r="9301" spans="7:16" x14ac:dyDescent="0.2">
      <c r="G9301" s="199"/>
      <c r="I9301" s="199"/>
      <c r="K9301" s="199"/>
      <c r="M9301" s="199"/>
      <c r="N9301" s="200"/>
      <c r="P9301" s="199"/>
    </row>
    <row r="9302" spans="7:16" x14ac:dyDescent="0.2">
      <c r="G9302" s="199"/>
      <c r="I9302" s="199"/>
      <c r="K9302" s="199"/>
      <c r="M9302" s="199"/>
      <c r="N9302" s="200"/>
      <c r="P9302" s="199"/>
    </row>
    <row r="9303" spans="7:16" x14ac:dyDescent="0.2">
      <c r="G9303" s="199"/>
      <c r="I9303" s="199"/>
      <c r="K9303" s="199"/>
      <c r="M9303" s="199"/>
      <c r="N9303" s="200"/>
      <c r="P9303" s="199"/>
    </row>
    <row r="9304" spans="7:16" x14ac:dyDescent="0.2">
      <c r="G9304" s="199"/>
      <c r="I9304" s="199"/>
      <c r="K9304" s="199"/>
      <c r="M9304" s="199"/>
      <c r="N9304" s="200"/>
      <c r="P9304" s="199"/>
    </row>
    <row r="9305" spans="7:16" x14ac:dyDescent="0.2">
      <c r="G9305" s="199"/>
      <c r="I9305" s="199"/>
      <c r="K9305" s="199"/>
      <c r="M9305" s="199"/>
      <c r="N9305" s="200"/>
      <c r="P9305" s="199"/>
    </row>
    <row r="9306" spans="7:16" x14ac:dyDescent="0.2">
      <c r="G9306" s="199"/>
      <c r="I9306" s="199"/>
      <c r="K9306" s="199"/>
      <c r="M9306" s="199"/>
      <c r="N9306" s="200"/>
      <c r="P9306" s="199"/>
    </row>
    <row r="9307" spans="7:16" x14ac:dyDescent="0.2">
      <c r="G9307" s="199"/>
      <c r="I9307" s="199"/>
      <c r="K9307" s="199"/>
      <c r="M9307" s="199"/>
      <c r="N9307" s="200"/>
      <c r="P9307" s="199"/>
    </row>
    <row r="9308" spans="7:16" x14ac:dyDescent="0.2">
      <c r="G9308" s="199"/>
      <c r="I9308" s="199"/>
      <c r="K9308" s="199"/>
      <c r="M9308" s="199"/>
      <c r="N9308" s="200"/>
      <c r="P9308" s="199"/>
    </row>
    <row r="9309" spans="7:16" x14ac:dyDescent="0.2">
      <c r="G9309" s="199"/>
      <c r="I9309" s="199"/>
      <c r="K9309" s="199"/>
      <c r="M9309" s="199"/>
      <c r="N9309" s="200"/>
      <c r="P9309" s="199"/>
    </row>
    <row r="9310" spans="7:16" x14ac:dyDescent="0.2">
      <c r="G9310" s="199"/>
      <c r="I9310" s="199"/>
      <c r="K9310" s="199"/>
      <c r="M9310" s="199"/>
      <c r="N9310" s="200"/>
      <c r="P9310" s="199"/>
    </row>
    <row r="9311" spans="7:16" x14ac:dyDescent="0.2">
      <c r="G9311" s="199"/>
      <c r="I9311" s="199"/>
      <c r="K9311" s="199"/>
      <c r="M9311" s="199"/>
      <c r="N9311" s="200"/>
      <c r="P9311" s="199"/>
    </row>
    <row r="9312" spans="7:16" x14ac:dyDescent="0.2">
      <c r="G9312" s="199"/>
      <c r="I9312" s="199"/>
      <c r="K9312" s="199"/>
      <c r="M9312" s="199"/>
      <c r="N9312" s="200"/>
      <c r="P9312" s="199"/>
    </row>
    <row r="9313" spans="7:16" x14ac:dyDescent="0.2">
      <c r="G9313" s="199"/>
      <c r="I9313" s="199"/>
      <c r="K9313" s="199"/>
      <c r="M9313" s="199"/>
      <c r="N9313" s="200"/>
      <c r="P9313" s="199"/>
    </row>
    <row r="9314" spans="7:16" x14ac:dyDescent="0.2">
      <c r="G9314" s="199"/>
      <c r="I9314" s="199"/>
      <c r="K9314" s="199"/>
      <c r="M9314" s="199"/>
      <c r="N9314" s="200"/>
      <c r="P9314" s="199"/>
    </row>
    <row r="9315" spans="7:16" x14ac:dyDescent="0.2">
      <c r="G9315" s="199"/>
      <c r="I9315" s="199"/>
      <c r="K9315" s="199"/>
      <c r="M9315" s="199"/>
      <c r="N9315" s="200"/>
      <c r="P9315" s="199"/>
    </row>
    <row r="9316" spans="7:16" x14ac:dyDescent="0.2">
      <c r="G9316" s="199"/>
      <c r="I9316" s="199"/>
      <c r="K9316" s="199"/>
      <c r="M9316" s="199"/>
      <c r="N9316" s="200"/>
      <c r="P9316" s="199"/>
    </row>
    <row r="9317" spans="7:16" x14ac:dyDescent="0.2">
      <c r="G9317" s="199"/>
      <c r="I9317" s="199"/>
      <c r="K9317" s="199"/>
      <c r="M9317" s="199"/>
      <c r="N9317" s="200"/>
      <c r="P9317" s="199"/>
    </row>
    <row r="9318" spans="7:16" x14ac:dyDescent="0.2">
      <c r="G9318" s="199"/>
      <c r="I9318" s="199"/>
      <c r="K9318" s="199"/>
      <c r="M9318" s="199"/>
      <c r="N9318" s="200"/>
      <c r="P9318" s="199"/>
    </row>
    <row r="9319" spans="7:16" x14ac:dyDescent="0.2">
      <c r="G9319" s="199"/>
      <c r="I9319" s="199"/>
      <c r="K9319" s="199"/>
      <c r="M9319" s="199"/>
      <c r="N9319" s="200"/>
      <c r="P9319" s="199"/>
    </row>
    <row r="9320" spans="7:16" x14ac:dyDescent="0.2">
      <c r="G9320" s="199"/>
      <c r="I9320" s="199"/>
      <c r="K9320" s="199"/>
      <c r="M9320" s="199"/>
      <c r="N9320" s="200"/>
      <c r="P9320" s="199"/>
    </row>
    <row r="9321" spans="7:16" x14ac:dyDescent="0.2">
      <c r="G9321" s="199"/>
      <c r="I9321" s="199"/>
      <c r="K9321" s="199"/>
      <c r="M9321" s="199"/>
      <c r="N9321" s="200"/>
      <c r="P9321" s="199"/>
    </row>
    <row r="9322" spans="7:16" x14ac:dyDescent="0.2">
      <c r="G9322" s="199"/>
      <c r="I9322" s="199"/>
      <c r="K9322" s="199"/>
      <c r="M9322" s="199"/>
      <c r="N9322" s="200"/>
      <c r="P9322" s="199"/>
    </row>
    <row r="9323" spans="7:16" x14ac:dyDescent="0.2">
      <c r="G9323" s="199"/>
      <c r="I9323" s="199"/>
      <c r="K9323" s="199"/>
      <c r="M9323" s="199"/>
      <c r="N9323" s="200"/>
      <c r="P9323" s="199"/>
    </row>
    <row r="9324" spans="7:16" x14ac:dyDescent="0.2">
      <c r="G9324" s="199"/>
      <c r="I9324" s="199"/>
      <c r="K9324" s="199"/>
      <c r="M9324" s="199"/>
      <c r="N9324" s="200"/>
      <c r="P9324" s="199"/>
    </row>
    <row r="9325" spans="7:16" x14ac:dyDescent="0.2">
      <c r="G9325" s="199"/>
      <c r="I9325" s="199"/>
      <c r="K9325" s="199"/>
      <c r="M9325" s="199"/>
      <c r="N9325" s="200"/>
      <c r="P9325" s="199"/>
    </row>
    <row r="9326" spans="7:16" x14ac:dyDescent="0.2">
      <c r="G9326" s="199"/>
      <c r="I9326" s="199"/>
      <c r="K9326" s="199"/>
      <c r="M9326" s="199"/>
      <c r="N9326" s="200"/>
      <c r="P9326" s="199"/>
    </row>
    <row r="9327" spans="7:16" x14ac:dyDescent="0.2">
      <c r="G9327" s="199"/>
      <c r="I9327" s="199"/>
      <c r="K9327" s="199"/>
      <c r="M9327" s="199"/>
      <c r="N9327" s="200"/>
      <c r="P9327" s="199"/>
    </row>
    <row r="9328" spans="7:16" x14ac:dyDescent="0.2">
      <c r="G9328" s="199"/>
      <c r="I9328" s="199"/>
      <c r="K9328" s="199"/>
      <c r="M9328" s="199"/>
      <c r="N9328" s="200"/>
      <c r="P9328" s="199"/>
    </row>
    <row r="9329" spans="7:16" x14ac:dyDescent="0.2">
      <c r="G9329" s="199"/>
      <c r="I9329" s="199"/>
      <c r="K9329" s="199"/>
      <c r="M9329" s="199"/>
      <c r="N9329" s="200"/>
      <c r="P9329" s="199"/>
    </row>
    <row r="9330" spans="7:16" x14ac:dyDescent="0.2">
      <c r="G9330" s="199"/>
      <c r="I9330" s="199"/>
      <c r="K9330" s="199"/>
      <c r="M9330" s="199"/>
      <c r="N9330" s="200"/>
      <c r="P9330" s="199"/>
    </row>
    <row r="9331" spans="7:16" x14ac:dyDescent="0.2">
      <c r="G9331" s="199"/>
      <c r="I9331" s="199"/>
      <c r="K9331" s="199"/>
      <c r="M9331" s="199"/>
      <c r="N9331" s="200"/>
      <c r="P9331" s="199"/>
    </row>
    <row r="9332" spans="7:16" x14ac:dyDescent="0.2">
      <c r="G9332" s="199"/>
      <c r="I9332" s="199"/>
      <c r="K9332" s="199"/>
      <c r="M9332" s="199"/>
      <c r="N9332" s="200"/>
      <c r="P9332" s="199"/>
    </row>
    <row r="9333" spans="7:16" x14ac:dyDescent="0.2">
      <c r="G9333" s="199"/>
      <c r="I9333" s="199"/>
      <c r="K9333" s="199"/>
      <c r="M9333" s="199"/>
      <c r="N9333" s="200"/>
      <c r="P9333" s="199"/>
    </row>
    <row r="9334" spans="7:16" x14ac:dyDescent="0.2">
      <c r="G9334" s="199"/>
      <c r="I9334" s="199"/>
      <c r="K9334" s="199"/>
      <c r="M9334" s="199"/>
      <c r="N9334" s="200"/>
      <c r="P9334" s="199"/>
    </row>
    <row r="9335" spans="7:16" x14ac:dyDescent="0.2">
      <c r="G9335" s="199"/>
      <c r="I9335" s="199"/>
      <c r="K9335" s="199"/>
      <c r="M9335" s="199"/>
      <c r="N9335" s="200"/>
      <c r="P9335" s="199"/>
    </row>
    <row r="9336" spans="7:16" x14ac:dyDescent="0.2">
      <c r="G9336" s="199"/>
      <c r="I9336" s="199"/>
      <c r="K9336" s="199"/>
      <c r="M9336" s="199"/>
      <c r="N9336" s="200"/>
      <c r="P9336" s="199"/>
    </row>
    <row r="9337" spans="7:16" x14ac:dyDescent="0.2">
      <c r="G9337" s="199"/>
      <c r="I9337" s="199"/>
      <c r="K9337" s="199"/>
      <c r="M9337" s="199"/>
      <c r="N9337" s="200"/>
      <c r="P9337" s="199"/>
    </row>
    <row r="9338" spans="7:16" x14ac:dyDescent="0.2">
      <c r="G9338" s="199"/>
      <c r="I9338" s="199"/>
      <c r="K9338" s="199"/>
      <c r="M9338" s="199"/>
      <c r="N9338" s="200"/>
      <c r="P9338" s="199"/>
    </row>
    <row r="9339" spans="7:16" x14ac:dyDescent="0.2">
      <c r="G9339" s="199"/>
      <c r="I9339" s="199"/>
      <c r="K9339" s="199"/>
      <c r="M9339" s="199"/>
      <c r="N9339" s="200"/>
      <c r="P9339" s="199"/>
    </row>
    <row r="9340" spans="7:16" x14ac:dyDescent="0.2">
      <c r="G9340" s="199"/>
      <c r="I9340" s="199"/>
      <c r="K9340" s="199"/>
      <c r="M9340" s="199"/>
      <c r="N9340" s="200"/>
      <c r="P9340" s="199"/>
    </row>
    <row r="9341" spans="7:16" x14ac:dyDescent="0.2">
      <c r="G9341" s="199"/>
      <c r="I9341" s="199"/>
      <c r="K9341" s="199"/>
      <c r="M9341" s="199"/>
      <c r="N9341" s="200"/>
      <c r="P9341" s="199"/>
    </row>
    <row r="9342" spans="7:16" x14ac:dyDescent="0.2">
      <c r="G9342" s="199"/>
      <c r="I9342" s="199"/>
      <c r="K9342" s="199"/>
      <c r="M9342" s="199"/>
      <c r="N9342" s="200"/>
      <c r="P9342" s="199"/>
    </row>
    <row r="9343" spans="7:16" x14ac:dyDescent="0.2">
      <c r="G9343" s="199"/>
      <c r="I9343" s="199"/>
      <c r="K9343" s="199"/>
      <c r="M9343" s="199"/>
      <c r="N9343" s="200"/>
      <c r="P9343" s="199"/>
    </row>
    <row r="9344" spans="7:16" x14ac:dyDescent="0.2">
      <c r="G9344" s="199"/>
      <c r="I9344" s="199"/>
      <c r="K9344" s="199"/>
      <c r="M9344" s="199"/>
      <c r="N9344" s="200"/>
      <c r="P9344" s="199"/>
    </row>
    <row r="9345" spans="7:16" x14ac:dyDescent="0.2">
      <c r="G9345" s="199"/>
      <c r="I9345" s="199"/>
      <c r="K9345" s="199"/>
      <c r="M9345" s="199"/>
      <c r="N9345" s="200"/>
      <c r="P9345" s="199"/>
    </row>
    <row r="9346" spans="7:16" x14ac:dyDescent="0.2">
      <c r="G9346" s="199"/>
      <c r="I9346" s="199"/>
      <c r="K9346" s="199"/>
      <c r="M9346" s="199"/>
      <c r="N9346" s="200"/>
      <c r="P9346" s="199"/>
    </row>
    <row r="9347" spans="7:16" x14ac:dyDescent="0.2">
      <c r="G9347" s="199"/>
      <c r="I9347" s="199"/>
      <c r="K9347" s="199"/>
      <c r="M9347" s="199"/>
      <c r="N9347" s="200"/>
      <c r="P9347" s="199"/>
    </row>
    <row r="9348" spans="7:16" x14ac:dyDescent="0.2">
      <c r="G9348" s="199"/>
      <c r="I9348" s="199"/>
      <c r="K9348" s="199"/>
      <c r="M9348" s="199"/>
      <c r="N9348" s="200"/>
      <c r="P9348" s="199"/>
    </row>
    <row r="9349" spans="7:16" x14ac:dyDescent="0.2">
      <c r="G9349" s="199"/>
      <c r="I9349" s="199"/>
      <c r="K9349" s="199"/>
      <c r="M9349" s="199"/>
      <c r="N9349" s="200"/>
      <c r="P9349" s="199"/>
    </row>
    <row r="9350" spans="7:16" x14ac:dyDescent="0.2">
      <c r="G9350" s="199"/>
      <c r="I9350" s="199"/>
      <c r="K9350" s="199"/>
      <c r="M9350" s="199"/>
      <c r="N9350" s="200"/>
      <c r="P9350" s="199"/>
    </row>
    <row r="9351" spans="7:16" x14ac:dyDescent="0.2">
      <c r="G9351" s="199"/>
      <c r="I9351" s="199"/>
      <c r="K9351" s="199"/>
      <c r="M9351" s="199"/>
      <c r="N9351" s="200"/>
      <c r="P9351" s="199"/>
    </row>
    <row r="9352" spans="7:16" x14ac:dyDescent="0.2">
      <c r="G9352" s="199"/>
      <c r="I9352" s="199"/>
      <c r="K9352" s="199"/>
      <c r="M9352" s="199"/>
      <c r="N9352" s="200"/>
      <c r="P9352" s="199"/>
    </row>
    <row r="9353" spans="7:16" x14ac:dyDescent="0.2">
      <c r="G9353" s="199"/>
      <c r="I9353" s="199"/>
      <c r="K9353" s="199"/>
      <c r="M9353" s="199"/>
      <c r="N9353" s="200"/>
      <c r="P9353" s="199"/>
    </row>
    <row r="9354" spans="7:16" x14ac:dyDescent="0.2">
      <c r="G9354" s="199"/>
      <c r="I9354" s="199"/>
      <c r="K9354" s="199"/>
      <c r="M9354" s="199"/>
      <c r="N9354" s="200"/>
      <c r="P9354" s="199"/>
    </row>
    <row r="9355" spans="7:16" x14ac:dyDescent="0.2">
      <c r="G9355" s="199"/>
      <c r="I9355" s="199"/>
      <c r="K9355" s="199"/>
      <c r="M9355" s="199"/>
      <c r="N9355" s="200"/>
      <c r="P9355" s="199"/>
    </row>
    <row r="9356" spans="7:16" x14ac:dyDescent="0.2">
      <c r="G9356" s="199"/>
      <c r="I9356" s="199"/>
      <c r="K9356" s="199"/>
      <c r="M9356" s="199"/>
      <c r="N9356" s="200"/>
      <c r="P9356" s="199"/>
    </row>
    <row r="9357" spans="7:16" x14ac:dyDescent="0.2">
      <c r="G9357" s="199"/>
      <c r="I9357" s="199"/>
      <c r="K9357" s="199"/>
      <c r="M9357" s="199"/>
      <c r="N9357" s="200"/>
      <c r="P9357" s="199"/>
    </row>
    <row r="9358" spans="7:16" x14ac:dyDescent="0.2">
      <c r="G9358" s="199"/>
      <c r="I9358" s="199"/>
      <c r="K9358" s="199"/>
      <c r="M9358" s="199"/>
      <c r="N9358" s="200"/>
      <c r="P9358" s="199"/>
    </row>
    <row r="9359" spans="7:16" x14ac:dyDescent="0.2">
      <c r="G9359" s="199"/>
      <c r="I9359" s="199"/>
      <c r="K9359" s="199"/>
      <c r="M9359" s="199"/>
      <c r="N9359" s="200"/>
      <c r="P9359" s="199"/>
    </row>
    <row r="9360" spans="7:16" x14ac:dyDescent="0.2">
      <c r="G9360" s="199"/>
      <c r="I9360" s="199"/>
      <c r="K9360" s="199"/>
      <c r="M9360" s="199"/>
      <c r="N9360" s="200"/>
      <c r="P9360" s="199"/>
    </row>
    <row r="9361" spans="7:16" x14ac:dyDescent="0.2">
      <c r="G9361" s="199"/>
      <c r="I9361" s="199"/>
      <c r="K9361" s="199"/>
      <c r="M9361" s="199"/>
      <c r="N9361" s="200"/>
      <c r="P9361" s="199"/>
    </row>
    <row r="9362" spans="7:16" x14ac:dyDescent="0.2">
      <c r="G9362" s="199"/>
      <c r="I9362" s="199"/>
      <c r="K9362" s="199"/>
      <c r="M9362" s="199"/>
      <c r="N9362" s="200"/>
      <c r="P9362" s="199"/>
    </row>
    <row r="9363" spans="7:16" x14ac:dyDescent="0.2">
      <c r="G9363" s="199"/>
      <c r="I9363" s="199"/>
      <c r="K9363" s="199"/>
      <c r="M9363" s="199"/>
      <c r="N9363" s="200"/>
      <c r="P9363" s="199"/>
    </row>
    <row r="9364" spans="7:16" x14ac:dyDescent="0.2">
      <c r="G9364" s="199"/>
      <c r="I9364" s="199"/>
      <c r="K9364" s="199"/>
      <c r="M9364" s="199"/>
      <c r="N9364" s="200"/>
      <c r="P9364" s="199"/>
    </row>
    <row r="9365" spans="7:16" x14ac:dyDescent="0.2">
      <c r="G9365" s="199"/>
      <c r="I9365" s="199"/>
      <c r="K9365" s="199"/>
      <c r="M9365" s="199"/>
      <c r="N9365" s="200"/>
      <c r="P9365" s="199"/>
    </row>
    <row r="9366" spans="7:16" x14ac:dyDescent="0.2">
      <c r="G9366" s="199"/>
      <c r="I9366" s="199"/>
      <c r="K9366" s="199"/>
      <c r="M9366" s="199"/>
      <c r="N9366" s="200"/>
      <c r="P9366" s="199"/>
    </row>
    <row r="9367" spans="7:16" x14ac:dyDescent="0.2">
      <c r="G9367" s="199"/>
      <c r="I9367" s="199"/>
      <c r="K9367" s="199"/>
      <c r="M9367" s="199"/>
      <c r="N9367" s="200"/>
      <c r="P9367" s="199"/>
    </row>
    <row r="9368" spans="7:16" x14ac:dyDescent="0.2">
      <c r="G9368" s="199"/>
      <c r="I9368" s="199"/>
      <c r="K9368" s="199"/>
      <c r="M9368" s="199"/>
      <c r="N9368" s="200"/>
      <c r="P9368" s="199"/>
    </row>
    <row r="9369" spans="7:16" x14ac:dyDescent="0.2">
      <c r="G9369" s="199"/>
      <c r="I9369" s="199"/>
      <c r="K9369" s="199"/>
      <c r="M9369" s="199"/>
      <c r="N9369" s="200"/>
      <c r="P9369" s="199"/>
    </row>
    <row r="9370" spans="7:16" x14ac:dyDescent="0.2">
      <c r="G9370" s="199"/>
      <c r="I9370" s="199"/>
      <c r="K9370" s="199"/>
      <c r="M9370" s="199"/>
      <c r="N9370" s="200"/>
      <c r="P9370" s="199"/>
    </row>
    <row r="9371" spans="7:16" x14ac:dyDescent="0.2">
      <c r="G9371" s="199"/>
      <c r="I9371" s="199"/>
      <c r="K9371" s="199"/>
      <c r="M9371" s="199"/>
      <c r="N9371" s="200"/>
      <c r="P9371" s="199"/>
    </row>
    <row r="9372" spans="7:16" x14ac:dyDescent="0.2">
      <c r="G9372" s="199"/>
      <c r="I9372" s="199"/>
      <c r="K9372" s="199"/>
      <c r="M9372" s="199"/>
      <c r="N9372" s="200"/>
      <c r="P9372" s="199"/>
    </row>
    <row r="9373" spans="7:16" x14ac:dyDescent="0.2">
      <c r="G9373" s="199"/>
      <c r="I9373" s="199"/>
      <c r="K9373" s="199"/>
      <c r="M9373" s="199"/>
      <c r="N9373" s="200"/>
      <c r="P9373" s="199"/>
    </row>
    <row r="9374" spans="7:16" x14ac:dyDescent="0.2">
      <c r="G9374" s="199"/>
      <c r="I9374" s="199"/>
      <c r="K9374" s="199"/>
      <c r="M9374" s="199"/>
      <c r="N9374" s="200"/>
      <c r="P9374" s="199"/>
    </row>
    <row r="9375" spans="7:16" x14ac:dyDescent="0.2">
      <c r="G9375" s="199"/>
      <c r="I9375" s="199"/>
      <c r="K9375" s="199"/>
      <c r="M9375" s="199"/>
      <c r="N9375" s="200"/>
      <c r="P9375" s="199"/>
    </row>
    <row r="9376" spans="7:16" x14ac:dyDescent="0.2">
      <c r="G9376" s="199"/>
      <c r="I9376" s="199"/>
      <c r="K9376" s="199"/>
      <c r="M9376" s="199"/>
      <c r="N9376" s="200"/>
      <c r="P9376" s="199"/>
    </row>
    <row r="9377" spans="7:16" x14ac:dyDescent="0.2">
      <c r="G9377" s="199"/>
      <c r="I9377" s="199"/>
      <c r="K9377" s="199"/>
      <c r="M9377" s="199"/>
      <c r="N9377" s="200"/>
      <c r="P9377" s="199"/>
    </row>
    <row r="9378" spans="7:16" x14ac:dyDescent="0.2">
      <c r="G9378" s="199"/>
      <c r="I9378" s="199"/>
      <c r="K9378" s="199"/>
      <c r="M9378" s="199"/>
      <c r="N9378" s="200"/>
      <c r="P9378" s="199"/>
    </row>
    <row r="9379" spans="7:16" x14ac:dyDescent="0.2">
      <c r="G9379" s="199"/>
      <c r="I9379" s="199"/>
      <c r="K9379" s="199"/>
      <c r="M9379" s="199"/>
      <c r="N9379" s="200"/>
      <c r="P9379" s="199"/>
    </row>
    <row r="9380" spans="7:16" x14ac:dyDescent="0.2">
      <c r="G9380" s="199"/>
      <c r="I9380" s="199"/>
      <c r="K9380" s="199"/>
      <c r="M9380" s="199"/>
      <c r="N9380" s="200"/>
      <c r="P9380" s="199"/>
    </row>
    <row r="9381" spans="7:16" x14ac:dyDescent="0.2">
      <c r="G9381" s="199"/>
      <c r="I9381" s="199"/>
      <c r="K9381" s="199"/>
      <c r="M9381" s="199"/>
      <c r="N9381" s="200"/>
      <c r="P9381" s="199"/>
    </row>
    <row r="9382" spans="7:16" x14ac:dyDescent="0.2">
      <c r="G9382" s="199"/>
      <c r="I9382" s="199"/>
      <c r="K9382" s="199"/>
      <c r="M9382" s="199"/>
      <c r="N9382" s="200"/>
      <c r="P9382" s="199"/>
    </row>
    <row r="9383" spans="7:16" x14ac:dyDescent="0.2">
      <c r="G9383" s="199"/>
      <c r="I9383" s="199"/>
      <c r="K9383" s="199"/>
      <c r="M9383" s="199"/>
      <c r="N9383" s="200"/>
      <c r="P9383" s="199"/>
    </row>
    <row r="9384" spans="7:16" x14ac:dyDescent="0.2">
      <c r="G9384" s="199"/>
      <c r="I9384" s="199"/>
      <c r="K9384" s="199"/>
      <c r="M9384" s="199"/>
      <c r="N9384" s="200"/>
      <c r="P9384" s="199"/>
    </row>
    <row r="9385" spans="7:16" x14ac:dyDescent="0.2">
      <c r="G9385" s="199"/>
      <c r="I9385" s="199"/>
      <c r="K9385" s="199"/>
      <c r="M9385" s="199"/>
      <c r="N9385" s="200"/>
      <c r="P9385" s="199"/>
    </row>
    <row r="9386" spans="7:16" x14ac:dyDescent="0.2">
      <c r="G9386" s="199"/>
      <c r="I9386" s="199"/>
      <c r="K9386" s="199"/>
      <c r="M9386" s="199"/>
      <c r="N9386" s="200"/>
      <c r="P9386" s="199"/>
    </row>
    <row r="9387" spans="7:16" x14ac:dyDescent="0.2">
      <c r="G9387" s="199"/>
      <c r="I9387" s="199"/>
      <c r="K9387" s="199"/>
      <c r="M9387" s="199"/>
      <c r="N9387" s="200"/>
      <c r="P9387" s="199"/>
    </row>
    <row r="9388" spans="7:16" x14ac:dyDescent="0.2">
      <c r="G9388" s="199"/>
      <c r="I9388" s="199"/>
      <c r="K9388" s="199"/>
      <c r="M9388" s="199"/>
      <c r="N9388" s="200"/>
      <c r="P9388" s="199"/>
    </row>
    <row r="9389" spans="7:16" x14ac:dyDescent="0.2">
      <c r="G9389" s="199"/>
      <c r="I9389" s="199"/>
      <c r="K9389" s="199"/>
      <c r="M9389" s="199"/>
      <c r="N9389" s="200"/>
      <c r="P9389" s="199"/>
    </row>
    <row r="9390" spans="7:16" x14ac:dyDescent="0.2">
      <c r="G9390" s="199"/>
      <c r="I9390" s="199"/>
      <c r="K9390" s="199"/>
      <c r="M9390" s="199"/>
      <c r="N9390" s="200"/>
      <c r="P9390" s="199"/>
    </row>
    <row r="9391" spans="7:16" x14ac:dyDescent="0.2">
      <c r="G9391" s="199"/>
      <c r="I9391" s="199"/>
      <c r="K9391" s="199"/>
      <c r="M9391" s="199"/>
      <c r="N9391" s="200"/>
      <c r="P9391" s="199"/>
    </row>
    <row r="9392" spans="7:16" x14ac:dyDescent="0.2">
      <c r="G9392" s="199"/>
      <c r="I9392" s="199"/>
      <c r="K9392" s="199"/>
      <c r="M9392" s="199"/>
      <c r="N9392" s="200"/>
      <c r="P9392" s="199"/>
    </row>
    <row r="9393" spans="7:16" x14ac:dyDescent="0.2">
      <c r="G9393" s="199"/>
      <c r="I9393" s="199"/>
      <c r="K9393" s="199"/>
      <c r="M9393" s="199"/>
      <c r="N9393" s="200"/>
      <c r="P9393" s="199"/>
    </row>
    <row r="9394" spans="7:16" x14ac:dyDescent="0.2">
      <c r="G9394" s="199"/>
      <c r="I9394" s="199"/>
      <c r="K9394" s="199"/>
      <c r="M9394" s="199"/>
      <c r="N9394" s="200"/>
      <c r="P9394" s="199"/>
    </row>
    <row r="9395" spans="7:16" x14ac:dyDescent="0.2">
      <c r="G9395" s="199"/>
      <c r="I9395" s="199"/>
      <c r="K9395" s="199"/>
      <c r="M9395" s="199"/>
      <c r="N9395" s="200"/>
      <c r="P9395" s="199"/>
    </row>
    <row r="9396" spans="7:16" x14ac:dyDescent="0.2">
      <c r="G9396" s="199"/>
      <c r="I9396" s="199"/>
      <c r="K9396" s="199"/>
      <c r="M9396" s="199"/>
      <c r="N9396" s="200"/>
      <c r="P9396" s="199"/>
    </row>
    <row r="9397" spans="7:16" x14ac:dyDescent="0.2">
      <c r="G9397" s="199"/>
      <c r="I9397" s="199"/>
      <c r="K9397" s="199"/>
      <c r="M9397" s="199"/>
      <c r="N9397" s="200"/>
      <c r="P9397" s="199"/>
    </row>
    <row r="9398" spans="7:16" x14ac:dyDescent="0.2">
      <c r="G9398" s="199"/>
      <c r="I9398" s="199"/>
      <c r="K9398" s="199"/>
      <c r="M9398" s="199"/>
      <c r="N9398" s="200"/>
      <c r="P9398" s="199"/>
    </row>
    <row r="9399" spans="7:16" x14ac:dyDescent="0.2">
      <c r="G9399" s="199"/>
      <c r="I9399" s="199"/>
      <c r="K9399" s="199"/>
      <c r="M9399" s="199"/>
      <c r="N9399" s="200"/>
      <c r="P9399" s="199"/>
    </row>
    <row r="9400" spans="7:16" x14ac:dyDescent="0.2">
      <c r="G9400" s="199"/>
      <c r="I9400" s="199"/>
      <c r="K9400" s="199"/>
      <c r="M9400" s="199"/>
      <c r="N9400" s="200"/>
      <c r="P9400" s="199"/>
    </row>
    <row r="9401" spans="7:16" x14ac:dyDescent="0.2">
      <c r="G9401" s="199"/>
      <c r="I9401" s="199"/>
      <c r="K9401" s="199"/>
      <c r="M9401" s="199"/>
      <c r="N9401" s="200"/>
      <c r="P9401" s="199"/>
    </row>
    <row r="9402" spans="7:16" x14ac:dyDescent="0.2">
      <c r="G9402" s="199"/>
      <c r="I9402" s="199"/>
      <c r="K9402" s="199"/>
      <c r="M9402" s="199"/>
      <c r="N9402" s="200"/>
      <c r="P9402" s="199"/>
    </row>
    <row r="9403" spans="7:16" x14ac:dyDescent="0.2">
      <c r="G9403" s="199"/>
      <c r="I9403" s="199"/>
      <c r="K9403" s="199"/>
      <c r="M9403" s="199"/>
      <c r="N9403" s="200"/>
      <c r="P9403" s="199"/>
    </row>
    <row r="9404" spans="7:16" x14ac:dyDescent="0.2">
      <c r="G9404" s="199"/>
      <c r="I9404" s="199"/>
      <c r="K9404" s="199"/>
      <c r="M9404" s="199"/>
      <c r="N9404" s="200"/>
      <c r="P9404" s="199"/>
    </row>
    <row r="9405" spans="7:16" x14ac:dyDescent="0.2">
      <c r="G9405" s="199"/>
      <c r="I9405" s="199"/>
      <c r="K9405" s="199"/>
      <c r="M9405" s="199"/>
      <c r="N9405" s="200"/>
      <c r="P9405" s="199"/>
    </row>
    <row r="9406" spans="7:16" x14ac:dyDescent="0.2">
      <c r="G9406" s="199"/>
      <c r="I9406" s="199"/>
      <c r="K9406" s="199"/>
      <c r="M9406" s="199"/>
      <c r="N9406" s="200"/>
      <c r="P9406" s="199"/>
    </row>
    <row r="9407" spans="7:16" x14ac:dyDescent="0.2">
      <c r="G9407" s="199"/>
      <c r="I9407" s="199"/>
      <c r="K9407" s="199"/>
      <c r="M9407" s="199"/>
      <c r="N9407" s="200"/>
      <c r="P9407" s="199"/>
    </row>
    <row r="9408" spans="7:16" x14ac:dyDescent="0.2">
      <c r="G9408" s="199"/>
      <c r="I9408" s="199"/>
      <c r="K9408" s="199"/>
      <c r="M9408" s="199"/>
      <c r="N9408" s="200"/>
      <c r="P9408" s="199"/>
    </row>
    <row r="9409" spans="7:16" x14ac:dyDescent="0.2">
      <c r="G9409" s="199"/>
      <c r="I9409" s="199"/>
      <c r="K9409" s="199"/>
      <c r="M9409" s="199"/>
      <c r="N9409" s="200"/>
      <c r="P9409" s="199"/>
    </row>
    <row r="9410" spans="7:16" x14ac:dyDescent="0.2">
      <c r="G9410" s="199"/>
      <c r="I9410" s="199"/>
      <c r="K9410" s="199"/>
      <c r="M9410" s="199"/>
      <c r="N9410" s="200"/>
      <c r="P9410" s="199"/>
    </row>
    <row r="9411" spans="7:16" x14ac:dyDescent="0.2">
      <c r="G9411" s="199"/>
      <c r="I9411" s="199"/>
      <c r="K9411" s="199"/>
      <c r="M9411" s="199"/>
      <c r="N9411" s="200"/>
      <c r="P9411" s="199"/>
    </row>
    <row r="9412" spans="7:16" x14ac:dyDescent="0.2">
      <c r="G9412" s="199"/>
      <c r="I9412" s="199"/>
      <c r="K9412" s="199"/>
      <c r="M9412" s="199"/>
      <c r="N9412" s="200"/>
      <c r="P9412" s="199"/>
    </row>
    <row r="9413" spans="7:16" x14ac:dyDescent="0.2">
      <c r="G9413" s="199"/>
      <c r="I9413" s="199"/>
      <c r="K9413" s="199"/>
      <c r="M9413" s="199"/>
      <c r="N9413" s="200"/>
      <c r="P9413" s="199"/>
    </row>
    <row r="9414" spans="7:16" x14ac:dyDescent="0.2">
      <c r="G9414" s="199"/>
      <c r="I9414" s="199"/>
      <c r="K9414" s="199"/>
      <c r="M9414" s="199"/>
      <c r="N9414" s="200"/>
      <c r="P9414" s="199"/>
    </row>
    <row r="9415" spans="7:16" x14ac:dyDescent="0.2">
      <c r="G9415" s="199"/>
      <c r="I9415" s="199"/>
      <c r="K9415" s="199"/>
      <c r="M9415" s="199"/>
      <c r="N9415" s="200"/>
      <c r="P9415" s="199"/>
    </row>
    <row r="9416" spans="7:16" x14ac:dyDescent="0.2">
      <c r="G9416" s="199"/>
      <c r="I9416" s="199"/>
      <c r="K9416" s="199"/>
      <c r="M9416" s="199"/>
      <c r="N9416" s="200"/>
      <c r="P9416" s="199"/>
    </row>
    <row r="9417" spans="7:16" x14ac:dyDescent="0.2">
      <c r="G9417" s="199"/>
      <c r="I9417" s="199"/>
      <c r="K9417" s="199"/>
      <c r="M9417" s="199"/>
      <c r="N9417" s="200"/>
      <c r="P9417" s="199"/>
    </row>
    <row r="9418" spans="7:16" x14ac:dyDescent="0.2">
      <c r="G9418" s="199"/>
      <c r="I9418" s="199"/>
      <c r="K9418" s="199"/>
      <c r="M9418" s="199"/>
      <c r="N9418" s="200"/>
      <c r="P9418" s="199"/>
    </row>
    <row r="9419" spans="7:16" x14ac:dyDescent="0.2">
      <c r="G9419" s="199"/>
      <c r="I9419" s="199"/>
      <c r="K9419" s="199"/>
      <c r="M9419" s="199"/>
      <c r="N9419" s="200"/>
      <c r="P9419" s="199"/>
    </row>
    <row r="9420" spans="7:16" x14ac:dyDescent="0.2">
      <c r="G9420" s="199"/>
      <c r="I9420" s="199"/>
      <c r="K9420" s="199"/>
      <c r="M9420" s="199"/>
      <c r="N9420" s="200"/>
      <c r="P9420" s="199"/>
    </row>
    <row r="9421" spans="7:16" x14ac:dyDescent="0.2">
      <c r="G9421" s="199"/>
      <c r="I9421" s="199"/>
      <c r="K9421" s="199"/>
      <c r="M9421" s="199"/>
      <c r="N9421" s="200"/>
      <c r="P9421" s="199"/>
    </row>
    <row r="9422" spans="7:16" x14ac:dyDescent="0.2">
      <c r="G9422" s="199"/>
      <c r="I9422" s="199"/>
      <c r="K9422" s="199"/>
      <c r="M9422" s="199"/>
      <c r="N9422" s="200"/>
      <c r="P9422" s="199"/>
    </row>
    <row r="9423" spans="7:16" x14ac:dyDescent="0.2">
      <c r="G9423" s="199"/>
      <c r="I9423" s="199"/>
      <c r="K9423" s="199"/>
      <c r="M9423" s="199"/>
      <c r="N9423" s="200"/>
      <c r="P9423" s="199"/>
    </row>
    <row r="9424" spans="7:16" x14ac:dyDescent="0.2">
      <c r="G9424" s="199"/>
      <c r="I9424" s="199"/>
      <c r="K9424" s="199"/>
      <c r="M9424" s="199"/>
      <c r="N9424" s="200"/>
      <c r="P9424" s="199"/>
    </row>
    <row r="9425" spans="7:16" x14ac:dyDescent="0.2">
      <c r="G9425" s="199"/>
      <c r="I9425" s="199"/>
      <c r="K9425" s="199"/>
      <c r="M9425" s="199"/>
      <c r="N9425" s="200"/>
      <c r="P9425" s="199"/>
    </row>
    <row r="9426" spans="7:16" x14ac:dyDescent="0.2">
      <c r="G9426" s="199"/>
      <c r="I9426" s="199"/>
      <c r="K9426" s="199"/>
      <c r="M9426" s="199"/>
      <c r="N9426" s="200"/>
      <c r="P9426" s="199"/>
    </row>
    <row r="9427" spans="7:16" x14ac:dyDescent="0.2">
      <c r="G9427" s="199"/>
      <c r="I9427" s="199"/>
      <c r="K9427" s="199"/>
      <c r="M9427" s="199"/>
      <c r="N9427" s="200"/>
      <c r="P9427" s="199"/>
    </row>
    <row r="9428" spans="7:16" x14ac:dyDescent="0.2">
      <c r="G9428" s="199"/>
      <c r="I9428" s="199"/>
      <c r="K9428" s="199"/>
      <c r="M9428" s="199"/>
      <c r="N9428" s="200"/>
      <c r="P9428" s="199"/>
    </row>
    <row r="9429" spans="7:16" x14ac:dyDescent="0.2">
      <c r="G9429" s="199"/>
      <c r="I9429" s="199"/>
      <c r="K9429" s="199"/>
      <c r="M9429" s="199"/>
      <c r="N9429" s="200"/>
      <c r="P9429" s="199"/>
    </row>
    <row r="9430" spans="7:16" x14ac:dyDescent="0.2">
      <c r="G9430" s="199"/>
      <c r="I9430" s="199"/>
      <c r="K9430" s="199"/>
      <c r="M9430" s="199"/>
      <c r="N9430" s="200"/>
      <c r="P9430" s="199"/>
    </row>
    <row r="9431" spans="7:16" x14ac:dyDescent="0.2">
      <c r="G9431" s="199"/>
      <c r="I9431" s="199"/>
      <c r="K9431" s="199"/>
      <c r="M9431" s="199"/>
      <c r="N9431" s="200"/>
      <c r="P9431" s="199"/>
    </row>
    <row r="9432" spans="7:16" x14ac:dyDescent="0.2">
      <c r="G9432" s="199"/>
      <c r="I9432" s="199"/>
      <c r="K9432" s="199"/>
      <c r="M9432" s="199"/>
      <c r="N9432" s="200"/>
      <c r="P9432" s="199"/>
    </row>
    <row r="9433" spans="7:16" x14ac:dyDescent="0.2">
      <c r="G9433" s="199"/>
      <c r="I9433" s="199"/>
      <c r="K9433" s="199"/>
      <c r="M9433" s="199"/>
      <c r="N9433" s="200"/>
      <c r="P9433" s="199"/>
    </row>
    <row r="9434" spans="7:16" x14ac:dyDescent="0.2">
      <c r="G9434" s="199"/>
      <c r="I9434" s="199"/>
      <c r="K9434" s="199"/>
      <c r="M9434" s="199"/>
      <c r="N9434" s="200"/>
      <c r="P9434" s="199"/>
    </row>
    <row r="9435" spans="7:16" x14ac:dyDescent="0.2">
      <c r="G9435" s="199"/>
      <c r="I9435" s="199"/>
      <c r="K9435" s="199"/>
      <c r="M9435" s="199"/>
      <c r="N9435" s="200"/>
      <c r="P9435" s="199"/>
    </row>
    <row r="9436" spans="7:16" x14ac:dyDescent="0.2">
      <c r="G9436" s="199"/>
      <c r="I9436" s="199"/>
      <c r="K9436" s="199"/>
      <c r="M9436" s="199"/>
      <c r="N9436" s="200"/>
      <c r="P9436" s="199"/>
    </row>
    <row r="9437" spans="7:16" x14ac:dyDescent="0.2">
      <c r="G9437" s="199"/>
      <c r="I9437" s="199"/>
      <c r="K9437" s="199"/>
      <c r="M9437" s="199"/>
      <c r="N9437" s="200"/>
      <c r="P9437" s="199"/>
    </row>
    <row r="9438" spans="7:16" x14ac:dyDescent="0.2">
      <c r="G9438" s="199"/>
      <c r="I9438" s="199"/>
      <c r="K9438" s="199"/>
      <c r="M9438" s="199"/>
      <c r="N9438" s="200"/>
      <c r="P9438" s="199"/>
    </row>
    <row r="9439" spans="7:16" x14ac:dyDescent="0.2">
      <c r="G9439" s="199"/>
      <c r="I9439" s="199"/>
      <c r="K9439" s="199"/>
      <c r="M9439" s="199"/>
      <c r="N9439" s="200"/>
      <c r="P9439" s="199"/>
    </row>
    <row r="9440" spans="7:16" x14ac:dyDescent="0.2">
      <c r="G9440" s="199"/>
      <c r="I9440" s="199"/>
      <c r="K9440" s="199"/>
      <c r="M9440" s="199"/>
      <c r="N9440" s="200"/>
      <c r="P9440" s="199"/>
    </row>
    <row r="9441" spans="7:16" x14ac:dyDescent="0.2">
      <c r="G9441" s="199"/>
      <c r="I9441" s="199"/>
      <c r="K9441" s="199"/>
      <c r="M9441" s="199"/>
      <c r="N9441" s="200"/>
      <c r="P9441" s="199"/>
    </row>
    <row r="9442" spans="7:16" x14ac:dyDescent="0.2">
      <c r="G9442" s="199"/>
      <c r="I9442" s="199"/>
      <c r="K9442" s="199"/>
      <c r="M9442" s="199"/>
      <c r="N9442" s="200"/>
      <c r="P9442" s="199"/>
    </row>
    <row r="9443" spans="7:16" x14ac:dyDescent="0.2">
      <c r="G9443" s="199"/>
      <c r="I9443" s="199"/>
      <c r="K9443" s="199"/>
      <c r="M9443" s="199"/>
      <c r="N9443" s="200"/>
      <c r="P9443" s="199"/>
    </row>
    <row r="9444" spans="7:16" x14ac:dyDescent="0.2">
      <c r="G9444" s="199"/>
      <c r="I9444" s="199"/>
      <c r="K9444" s="199"/>
      <c r="M9444" s="199"/>
      <c r="N9444" s="200"/>
      <c r="P9444" s="199"/>
    </row>
    <row r="9445" spans="7:16" x14ac:dyDescent="0.2">
      <c r="G9445" s="199"/>
      <c r="I9445" s="199"/>
      <c r="K9445" s="199"/>
      <c r="M9445" s="199"/>
      <c r="N9445" s="200"/>
      <c r="P9445" s="199"/>
    </row>
    <row r="9446" spans="7:16" x14ac:dyDescent="0.2">
      <c r="G9446" s="199"/>
      <c r="I9446" s="199"/>
      <c r="K9446" s="199"/>
      <c r="M9446" s="199"/>
      <c r="N9446" s="200"/>
      <c r="P9446" s="199"/>
    </row>
    <row r="9447" spans="7:16" x14ac:dyDescent="0.2">
      <c r="G9447" s="199"/>
      <c r="I9447" s="199"/>
      <c r="K9447" s="199"/>
      <c r="M9447" s="199"/>
      <c r="N9447" s="200"/>
      <c r="P9447" s="199"/>
    </row>
    <row r="9448" spans="7:16" x14ac:dyDescent="0.2">
      <c r="G9448" s="199"/>
      <c r="I9448" s="199"/>
      <c r="K9448" s="199"/>
      <c r="M9448" s="199"/>
      <c r="N9448" s="200"/>
      <c r="P9448" s="199"/>
    </row>
    <row r="9449" spans="7:16" x14ac:dyDescent="0.2">
      <c r="G9449" s="199"/>
      <c r="I9449" s="199"/>
      <c r="K9449" s="199"/>
      <c r="M9449" s="199"/>
      <c r="N9449" s="200"/>
      <c r="P9449" s="199"/>
    </row>
    <row r="9450" spans="7:16" x14ac:dyDescent="0.2">
      <c r="G9450" s="199"/>
      <c r="I9450" s="199"/>
      <c r="K9450" s="199"/>
      <c r="M9450" s="199"/>
      <c r="N9450" s="200"/>
      <c r="P9450" s="199"/>
    </row>
    <row r="9451" spans="7:16" x14ac:dyDescent="0.2">
      <c r="G9451" s="199"/>
      <c r="I9451" s="199"/>
      <c r="K9451" s="199"/>
      <c r="M9451" s="199"/>
      <c r="N9451" s="200"/>
      <c r="P9451" s="199"/>
    </row>
    <row r="9452" spans="7:16" x14ac:dyDescent="0.2">
      <c r="G9452" s="199"/>
      <c r="I9452" s="199"/>
      <c r="K9452" s="199"/>
      <c r="M9452" s="199"/>
      <c r="N9452" s="200"/>
      <c r="P9452" s="199"/>
    </row>
    <row r="9453" spans="7:16" x14ac:dyDescent="0.2">
      <c r="G9453" s="199"/>
      <c r="I9453" s="199"/>
      <c r="K9453" s="199"/>
      <c r="M9453" s="199"/>
      <c r="N9453" s="200"/>
      <c r="P9453" s="199"/>
    </row>
    <row r="9454" spans="7:16" x14ac:dyDescent="0.2">
      <c r="G9454" s="199"/>
      <c r="I9454" s="199"/>
      <c r="K9454" s="199"/>
      <c r="M9454" s="199"/>
      <c r="N9454" s="200"/>
      <c r="P9454" s="199"/>
    </row>
    <row r="9455" spans="7:16" x14ac:dyDescent="0.2">
      <c r="G9455" s="199"/>
      <c r="I9455" s="199"/>
      <c r="K9455" s="199"/>
      <c r="M9455" s="199"/>
      <c r="N9455" s="200"/>
      <c r="P9455" s="199"/>
    </row>
    <row r="9456" spans="7:16" x14ac:dyDescent="0.2">
      <c r="G9456" s="199"/>
      <c r="I9456" s="199"/>
      <c r="K9456" s="199"/>
      <c r="M9456" s="199"/>
      <c r="N9456" s="200"/>
      <c r="P9456" s="199"/>
    </row>
    <row r="9457" spans="7:16" x14ac:dyDescent="0.2">
      <c r="G9457" s="199"/>
      <c r="I9457" s="199"/>
      <c r="K9457" s="199"/>
      <c r="M9457" s="199"/>
      <c r="N9457" s="200"/>
      <c r="P9457" s="199"/>
    </row>
    <row r="9458" spans="7:16" x14ac:dyDescent="0.2">
      <c r="G9458" s="199"/>
      <c r="I9458" s="199"/>
      <c r="K9458" s="199"/>
      <c r="M9458" s="199"/>
      <c r="N9458" s="200"/>
      <c r="P9458" s="199"/>
    </row>
    <row r="9459" spans="7:16" x14ac:dyDescent="0.2">
      <c r="G9459" s="199"/>
      <c r="I9459" s="199"/>
      <c r="K9459" s="199"/>
      <c r="M9459" s="199"/>
      <c r="N9459" s="200"/>
      <c r="P9459" s="199"/>
    </row>
    <row r="9460" spans="7:16" x14ac:dyDescent="0.2">
      <c r="G9460" s="199"/>
      <c r="I9460" s="199"/>
      <c r="K9460" s="199"/>
      <c r="M9460" s="199"/>
      <c r="N9460" s="200"/>
      <c r="P9460" s="199"/>
    </row>
    <row r="9461" spans="7:16" x14ac:dyDescent="0.2">
      <c r="G9461" s="199"/>
      <c r="I9461" s="199"/>
      <c r="K9461" s="199"/>
      <c r="M9461" s="199"/>
      <c r="N9461" s="200"/>
      <c r="P9461" s="199"/>
    </row>
    <row r="9462" spans="7:16" x14ac:dyDescent="0.2">
      <c r="G9462" s="199"/>
      <c r="I9462" s="199"/>
      <c r="K9462" s="199"/>
      <c r="M9462" s="199"/>
      <c r="N9462" s="200"/>
      <c r="P9462" s="199"/>
    </row>
    <row r="9463" spans="7:16" x14ac:dyDescent="0.2">
      <c r="G9463" s="199"/>
      <c r="I9463" s="199"/>
      <c r="K9463" s="199"/>
      <c r="M9463" s="199"/>
      <c r="N9463" s="200"/>
      <c r="P9463" s="199"/>
    </row>
    <row r="9464" spans="7:16" x14ac:dyDescent="0.2">
      <c r="G9464" s="199"/>
      <c r="I9464" s="199"/>
      <c r="K9464" s="199"/>
      <c r="M9464" s="199"/>
      <c r="N9464" s="200"/>
      <c r="P9464" s="199"/>
    </row>
    <row r="9465" spans="7:16" x14ac:dyDescent="0.2">
      <c r="G9465" s="199"/>
      <c r="I9465" s="199"/>
      <c r="K9465" s="199"/>
      <c r="M9465" s="199"/>
      <c r="N9465" s="200"/>
      <c r="P9465" s="199"/>
    </row>
    <row r="9466" spans="7:16" x14ac:dyDescent="0.2">
      <c r="G9466" s="199"/>
      <c r="I9466" s="199"/>
      <c r="K9466" s="199"/>
      <c r="M9466" s="199"/>
      <c r="N9466" s="200"/>
      <c r="P9466" s="199"/>
    </row>
    <row r="9467" spans="7:16" x14ac:dyDescent="0.2">
      <c r="G9467" s="199"/>
      <c r="I9467" s="199"/>
      <c r="K9467" s="199"/>
      <c r="M9467" s="199"/>
      <c r="N9467" s="200"/>
      <c r="P9467" s="199"/>
    </row>
    <row r="9468" spans="7:16" x14ac:dyDescent="0.2">
      <c r="G9468" s="199"/>
      <c r="I9468" s="199"/>
      <c r="K9468" s="199"/>
      <c r="M9468" s="199"/>
      <c r="N9468" s="200"/>
      <c r="P9468" s="199"/>
    </row>
    <row r="9469" spans="7:16" x14ac:dyDescent="0.2">
      <c r="G9469" s="199"/>
      <c r="I9469" s="199"/>
      <c r="K9469" s="199"/>
      <c r="M9469" s="199"/>
      <c r="N9469" s="200"/>
      <c r="P9469" s="199"/>
    </row>
    <row r="9470" spans="7:16" x14ac:dyDescent="0.2">
      <c r="G9470" s="199"/>
      <c r="I9470" s="199"/>
      <c r="K9470" s="199"/>
      <c r="M9470" s="199"/>
      <c r="N9470" s="200"/>
      <c r="P9470" s="199"/>
    </row>
    <row r="9471" spans="7:16" x14ac:dyDescent="0.2">
      <c r="G9471" s="199"/>
      <c r="I9471" s="199"/>
      <c r="K9471" s="199"/>
      <c r="M9471" s="199"/>
      <c r="N9471" s="200"/>
      <c r="P9471" s="199"/>
    </row>
    <row r="9472" spans="7:16" x14ac:dyDescent="0.2">
      <c r="G9472" s="199"/>
      <c r="I9472" s="199"/>
      <c r="K9472" s="199"/>
      <c r="M9472" s="199"/>
      <c r="N9472" s="200"/>
      <c r="P9472" s="199"/>
    </row>
    <row r="9473" spans="7:16" x14ac:dyDescent="0.2">
      <c r="G9473" s="199"/>
      <c r="I9473" s="199"/>
      <c r="K9473" s="199"/>
      <c r="M9473" s="199"/>
      <c r="N9473" s="200"/>
      <c r="P9473" s="199"/>
    </row>
    <row r="9474" spans="7:16" x14ac:dyDescent="0.2">
      <c r="G9474" s="199"/>
      <c r="I9474" s="199"/>
      <c r="K9474" s="199"/>
      <c r="M9474" s="199"/>
      <c r="N9474" s="200"/>
      <c r="P9474" s="199"/>
    </row>
    <row r="9475" spans="7:16" x14ac:dyDescent="0.2">
      <c r="G9475" s="199"/>
      <c r="I9475" s="199"/>
      <c r="K9475" s="199"/>
      <c r="M9475" s="199"/>
      <c r="N9475" s="200"/>
      <c r="P9475" s="199"/>
    </row>
    <row r="9476" spans="7:16" x14ac:dyDescent="0.2">
      <c r="G9476" s="199"/>
      <c r="I9476" s="199"/>
      <c r="K9476" s="199"/>
      <c r="M9476" s="199"/>
      <c r="N9476" s="200"/>
      <c r="P9476" s="199"/>
    </row>
    <row r="9477" spans="7:16" x14ac:dyDescent="0.2">
      <c r="G9477" s="199"/>
      <c r="I9477" s="199"/>
      <c r="K9477" s="199"/>
      <c r="M9477" s="199"/>
      <c r="N9477" s="200"/>
      <c r="P9477" s="199"/>
    </row>
    <row r="9478" spans="7:16" x14ac:dyDescent="0.2">
      <c r="G9478" s="199"/>
      <c r="I9478" s="199"/>
      <c r="K9478" s="199"/>
      <c r="M9478" s="199"/>
      <c r="N9478" s="200"/>
      <c r="P9478" s="199"/>
    </row>
    <row r="9479" spans="7:16" x14ac:dyDescent="0.2">
      <c r="G9479" s="199"/>
      <c r="I9479" s="199"/>
      <c r="K9479" s="199"/>
      <c r="M9479" s="199"/>
      <c r="N9479" s="200"/>
      <c r="P9479" s="199"/>
    </row>
    <row r="9480" spans="7:16" x14ac:dyDescent="0.2">
      <c r="G9480" s="199"/>
      <c r="I9480" s="199"/>
      <c r="K9480" s="199"/>
      <c r="M9480" s="199"/>
      <c r="N9480" s="200"/>
      <c r="P9480" s="199"/>
    </row>
    <row r="9481" spans="7:16" x14ac:dyDescent="0.2">
      <c r="G9481" s="199"/>
      <c r="I9481" s="199"/>
      <c r="K9481" s="199"/>
      <c r="M9481" s="199"/>
      <c r="N9481" s="200"/>
      <c r="P9481" s="199"/>
    </row>
    <row r="9482" spans="7:16" x14ac:dyDescent="0.2">
      <c r="G9482" s="199"/>
      <c r="I9482" s="199"/>
      <c r="K9482" s="199"/>
      <c r="M9482" s="199"/>
      <c r="N9482" s="200"/>
      <c r="P9482" s="199"/>
    </row>
    <row r="9483" spans="7:16" x14ac:dyDescent="0.2">
      <c r="G9483" s="199"/>
      <c r="I9483" s="199"/>
      <c r="K9483" s="199"/>
      <c r="M9483" s="199"/>
      <c r="N9483" s="200"/>
      <c r="P9483" s="199"/>
    </row>
    <row r="9484" spans="7:16" x14ac:dyDescent="0.2">
      <c r="G9484" s="199"/>
      <c r="I9484" s="199"/>
      <c r="K9484" s="199"/>
      <c r="M9484" s="199"/>
      <c r="N9484" s="200"/>
      <c r="P9484" s="199"/>
    </row>
    <row r="9485" spans="7:16" x14ac:dyDescent="0.2">
      <c r="G9485" s="199"/>
      <c r="I9485" s="199"/>
      <c r="K9485" s="199"/>
      <c r="M9485" s="199"/>
      <c r="N9485" s="200"/>
      <c r="P9485" s="199"/>
    </row>
    <row r="9486" spans="7:16" x14ac:dyDescent="0.2">
      <c r="G9486" s="199"/>
      <c r="I9486" s="199"/>
      <c r="K9486" s="199"/>
      <c r="M9486" s="199"/>
      <c r="N9486" s="200"/>
      <c r="P9486" s="199"/>
    </row>
    <row r="9487" spans="7:16" x14ac:dyDescent="0.2">
      <c r="G9487" s="199"/>
      <c r="I9487" s="199"/>
      <c r="K9487" s="199"/>
      <c r="M9487" s="199"/>
      <c r="N9487" s="200"/>
      <c r="P9487" s="199"/>
    </row>
    <row r="9488" spans="7:16" x14ac:dyDescent="0.2">
      <c r="G9488" s="199"/>
      <c r="I9488" s="199"/>
      <c r="K9488" s="199"/>
      <c r="M9488" s="199"/>
      <c r="N9488" s="200"/>
      <c r="P9488" s="199"/>
    </row>
    <row r="9489" spans="7:16" x14ac:dyDescent="0.2">
      <c r="G9489" s="199"/>
      <c r="I9489" s="199"/>
      <c r="K9489" s="199"/>
      <c r="M9489" s="199"/>
      <c r="N9489" s="200"/>
      <c r="P9489" s="199"/>
    </row>
    <row r="9490" spans="7:16" x14ac:dyDescent="0.2">
      <c r="G9490" s="199"/>
      <c r="I9490" s="199"/>
      <c r="K9490" s="199"/>
      <c r="M9490" s="199"/>
      <c r="N9490" s="200"/>
      <c r="P9490" s="199"/>
    </row>
    <row r="9491" spans="7:16" x14ac:dyDescent="0.2">
      <c r="G9491" s="199"/>
      <c r="I9491" s="199"/>
      <c r="K9491" s="199"/>
      <c r="M9491" s="199"/>
      <c r="N9491" s="200"/>
      <c r="P9491" s="199"/>
    </row>
    <row r="9492" spans="7:16" x14ac:dyDescent="0.2">
      <c r="G9492" s="199"/>
      <c r="I9492" s="199"/>
      <c r="K9492" s="199"/>
      <c r="M9492" s="199"/>
      <c r="N9492" s="200"/>
      <c r="P9492" s="199"/>
    </row>
    <row r="9493" spans="7:16" x14ac:dyDescent="0.2">
      <c r="G9493" s="199"/>
      <c r="I9493" s="199"/>
      <c r="K9493" s="199"/>
      <c r="M9493" s="199"/>
      <c r="N9493" s="200"/>
      <c r="P9493" s="199"/>
    </row>
    <row r="9494" spans="7:16" x14ac:dyDescent="0.2">
      <c r="G9494" s="199"/>
      <c r="I9494" s="199"/>
      <c r="K9494" s="199"/>
      <c r="M9494" s="199"/>
      <c r="N9494" s="200"/>
      <c r="P9494" s="199"/>
    </row>
    <row r="9495" spans="7:16" x14ac:dyDescent="0.2">
      <c r="G9495" s="199"/>
      <c r="I9495" s="199"/>
      <c r="K9495" s="199"/>
      <c r="M9495" s="199"/>
      <c r="N9495" s="200"/>
      <c r="P9495" s="199"/>
    </row>
    <row r="9496" spans="7:16" x14ac:dyDescent="0.2">
      <c r="G9496" s="199"/>
      <c r="I9496" s="199"/>
      <c r="K9496" s="199"/>
      <c r="M9496" s="199"/>
      <c r="N9496" s="200"/>
      <c r="P9496" s="199"/>
    </row>
    <row r="9497" spans="7:16" x14ac:dyDescent="0.2">
      <c r="G9497" s="199"/>
      <c r="I9497" s="199"/>
      <c r="K9497" s="199"/>
      <c r="M9497" s="199"/>
      <c r="N9497" s="200"/>
      <c r="P9497" s="199"/>
    </row>
    <row r="9498" spans="7:16" x14ac:dyDescent="0.2">
      <c r="G9498" s="199"/>
      <c r="I9498" s="199"/>
      <c r="K9498" s="199"/>
      <c r="M9498" s="199"/>
      <c r="N9498" s="200"/>
      <c r="P9498" s="199"/>
    </row>
    <row r="9499" spans="7:16" x14ac:dyDescent="0.2">
      <c r="G9499" s="199"/>
      <c r="I9499" s="199"/>
      <c r="K9499" s="199"/>
      <c r="M9499" s="199"/>
      <c r="N9499" s="200"/>
      <c r="P9499" s="199"/>
    </row>
    <row r="9500" spans="7:16" x14ac:dyDescent="0.2">
      <c r="G9500" s="199"/>
      <c r="I9500" s="199"/>
      <c r="K9500" s="199"/>
      <c r="M9500" s="199"/>
      <c r="N9500" s="200"/>
      <c r="P9500" s="199"/>
    </row>
    <row r="9501" spans="7:16" x14ac:dyDescent="0.2">
      <c r="G9501" s="199"/>
      <c r="I9501" s="199"/>
      <c r="K9501" s="199"/>
      <c r="M9501" s="199"/>
      <c r="N9501" s="200"/>
      <c r="P9501" s="199"/>
    </row>
    <row r="9502" spans="7:16" x14ac:dyDescent="0.2">
      <c r="G9502" s="199"/>
      <c r="I9502" s="199"/>
      <c r="K9502" s="199"/>
      <c r="M9502" s="199"/>
      <c r="N9502" s="200"/>
      <c r="P9502" s="199"/>
    </row>
    <row r="9503" spans="7:16" x14ac:dyDescent="0.2">
      <c r="G9503" s="199"/>
      <c r="I9503" s="199"/>
      <c r="K9503" s="199"/>
      <c r="M9503" s="199"/>
      <c r="N9503" s="200"/>
      <c r="P9503" s="199"/>
    </row>
    <row r="9504" spans="7:16" x14ac:dyDescent="0.2">
      <c r="G9504" s="199"/>
      <c r="I9504" s="199"/>
      <c r="K9504" s="199"/>
      <c r="M9504" s="199"/>
      <c r="N9504" s="200"/>
      <c r="P9504" s="199"/>
    </row>
    <row r="9505" spans="7:16" x14ac:dyDescent="0.2">
      <c r="G9505" s="199"/>
      <c r="I9505" s="199"/>
      <c r="K9505" s="199"/>
      <c r="M9505" s="199"/>
      <c r="N9505" s="200"/>
      <c r="P9505" s="199"/>
    </row>
    <row r="9506" spans="7:16" x14ac:dyDescent="0.2">
      <c r="G9506" s="199"/>
      <c r="I9506" s="199"/>
      <c r="K9506" s="199"/>
      <c r="M9506" s="199"/>
      <c r="N9506" s="200"/>
      <c r="P9506" s="199"/>
    </row>
    <row r="9507" spans="7:16" x14ac:dyDescent="0.2">
      <c r="G9507" s="199"/>
      <c r="I9507" s="199"/>
      <c r="K9507" s="199"/>
      <c r="M9507" s="199"/>
      <c r="N9507" s="200"/>
      <c r="P9507" s="199"/>
    </row>
    <row r="9508" spans="7:16" x14ac:dyDescent="0.2">
      <c r="G9508" s="199"/>
      <c r="I9508" s="199"/>
      <c r="K9508" s="199"/>
      <c r="M9508" s="199"/>
      <c r="N9508" s="200"/>
      <c r="P9508" s="199"/>
    </row>
    <row r="9509" spans="7:16" x14ac:dyDescent="0.2">
      <c r="G9509" s="199"/>
      <c r="I9509" s="199"/>
      <c r="K9509" s="199"/>
      <c r="M9509" s="199"/>
      <c r="N9509" s="200"/>
      <c r="P9509" s="199"/>
    </row>
    <row r="9510" spans="7:16" x14ac:dyDescent="0.2">
      <c r="G9510" s="199"/>
      <c r="I9510" s="199"/>
      <c r="K9510" s="199"/>
      <c r="M9510" s="199"/>
      <c r="N9510" s="200"/>
      <c r="P9510" s="199"/>
    </row>
    <row r="9511" spans="7:16" x14ac:dyDescent="0.2">
      <c r="G9511" s="199"/>
      <c r="I9511" s="199"/>
      <c r="K9511" s="199"/>
      <c r="M9511" s="199"/>
      <c r="N9511" s="200"/>
      <c r="P9511" s="199"/>
    </row>
    <row r="9512" spans="7:16" x14ac:dyDescent="0.2">
      <c r="G9512" s="199"/>
      <c r="I9512" s="199"/>
      <c r="K9512" s="199"/>
      <c r="M9512" s="199"/>
      <c r="N9512" s="200"/>
      <c r="P9512" s="199"/>
    </row>
    <row r="9513" spans="7:16" x14ac:dyDescent="0.2">
      <c r="G9513" s="199"/>
      <c r="I9513" s="199"/>
      <c r="K9513" s="199"/>
      <c r="M9513" s="199"/>
      <c r="N9513" s="200"/>
      <c r="P9513" s="199"/>
    </row>
    <row r="9514" spans="7:16" x14ac:dyDescent="0.2">
      <c r="G9514" s="199"/>
      <c r="I9514" s="199"/>
      <c r="K9514" s="199"/>
      <c r="M9514" s="199"/>
      <c r="N9514" s="200"/>
      <c r="P9514" s="199"/>
    </row>
    <row r="9515" spans="7:16" x14ac:dyDescent="0.2">
      <c r="G9515" s="199"/>
      <c r="I9515" s="199"/>
      <c r="K9515" s="199"/>
      <c r="M9515" s="199"/>
      <c r="N9515" s="200"/>
      <c r="P9515" s="199"/>
    </row>
    <row r="9516" spans="7:16" x14ac:dyDescent="0.2">
      <c r="G9516" s="199"/>
      <c r="I9516" s="199"/>
      <c r="K9516" s="199"/>
      <c r="M9516" s="199"/>
      <c r="N9516" s="200"/>
      <c r="P9516" s="199"/>
    </row>
    <row r="9517" spans="7:16" x14ac:dyDescent="0.2">
      <c r="G9517" s="199"/>
      <c r="I9517" s="199"/>
      <c r="K9517" s="199"/>
      <c r="M9517" s="199"/>
      <c r="N9517" s="200"/>
      <c r="P9517" s="199"/>
    </row>
    <row r="9518" spans="7:16" x14ac:dyDescent="0.2">
      <c r="G9518" s="199"/>
      <c r="I9518" s="199"/>
      <c r="K9518" s="199"/>
      <c r="M9518" s="199"/>
      <c r="N9518" s="200"/>
      <c r="P9518" s="199"/>
    </row>
    <row r="9519" spans="7:16" x14ac:dyDescent="0.2">
      <c r="G9519" s="199"/>
      <c r="I9519" s="199"/>
      <c r="K9519" s="199"/>
      <c r="M9519" s="199"/>
      <c r="N9519" s="200"/>
      <c r="P9519" s="199"/>
    </row>
    <row r="9520" spans="7:16" x14ac:dyDescent="0.2">
      <c r="G9520" s="199"/>
      <c r="I9520" s="199"/>
      <c r="K9520" s="199"/>
      <c r="M9520" s="199"/>
      <c r="N9520" s="200"/>
      <c r="P9520" s="199"/>
    </row>
    <row r="9521" spans="7:16" x14ac:dyDescent="0.2">
      <c r="G9521" s="199"/>
      <c r="I9521" s="199"/>
      <c r="K9521" s="199"/>
      <c r="M9521" s="199"/>
      <c r="N9521" s="200"/>
      <c r="P9521" s="199"/>
    </row>
    <row r="9522" spans="7:16" x14ac:dyDescent="0.2">
      <c r="G9522" s="199"/>
      <c r="I9522" s="199"/>
      <c r="K9522" s="199"/>
      <c r="M9522" s="199"/>
      <c r="N9522" s="200"/>
      <c r="P9522" s="199"/>
    </row>
    <row r="9523" spans="7:16" x14ac:dyDescent="0.2">
      <c r="G9523" s="199"/>
      <c r="I9523" s="199"/>
      <c r="K9523" s="199"/>
      <c r="M9523" s="199"/>
      <c r="N9523" s="200"/>
      <c r="P9523" s="199"/>
    </row>
    <row r="9524" spans="7:16" x14ac:dyDescent="0.2">
      <c r="G9524" s="199"/>
      <c r="I9524" s="199"/>
      <c r="K9524" s="199"/>
      <c r="M9524" s="199"/>
      <c r="N9524" s="200"/>
      <c r="P9524" s="199"/>
    </row>
    <row r="9525" spans="7:16" x14ac:dyDescent="0.2">
      <c r="G9525" s="199"/>
      <c r="I9525" s="199"/>
      <c r="K9525" s="199"/>
      <c r="M9525" s="199"/>
      <c r="N9525" s="200"/>
      <c r="P9525" s="199"/>
    </row>
    <row r="9526" spans="7:16" x14ac:dyDescent="0.2">
      <c r="G9526" s="199"/>
      <c r="I9526" s="199"/>
      <c r="K9526" s="199"/>
      <c r="M9526" s="199"/>
      <c r="N9526" s="200"/>
      <c r="P9526" s="199"/>
    </row>
    <row r="9527" spans="7:16" x14ac:dyDescent="0.2">
      <c r="G9527" s="199"/>
      <c r="I9527" s="199"/>
      <c r="K9527" s="199"/>
      <c r="M9527" s="199"/>
      <c r="N9527" s="200"/>
      <c r="P9527" s="199"/>
    </row>
    <row r="9528" spans="7:16" x14ac:dyDescent="0.2">
      <c r="G9528" s="199"/>
      <c r="I9528" s="199"/>
      <c r="K9528" s="199"/>
      <c r="M9528" s="199"/>
      <c r="N9528" s="200"/>
      <c r="P9528" s="199"/>
    </row>
    <row r="9529" spans="7:16" x14ac:dyDescent="0.2">
      <c r="G9529" s="199"/>
      <c r="I9529" s="199"/>
      <c r="K9529" s="199"/>
      <c r="M9529" s="199"/>
      <c r="N9529" s="200"/>
      <c r="P9529" s="199"/>
    </row>
    <row r="9530" spans="7:16" x14ac:dyDescent="0.2">
      <c r="G9530" s="199"/>
      <c r="I9530" s="199"/>
      <c r="K9530" s="199"/>
      <c r="M9530" s="199"/>
      <c r="N9530" s="200"/>
      <c r="P9530" s="199"/>
    </row>
    <row r="9531" spans="7:16" x14ac:dyDescent="0.2">
      <c r="G9531" s="199"/>
      <c r="I9531" s="199"/>
      <c r="K9531" s="199"/>
      <c r="M9531" s="199"/>
      <c r="N9531" s="200"/>
      <c r="P9531" s="199"/>
    </row>
    <row r="9532" spans="7:16" x14ac:dyDescent="0.2">
      <c r="G9532" s="199"/>
      <c r="I9532" s="199"/>
      <c r="K9532" s="199"/>
      <c r="M9532" s="199"/>
      <c r="N9532" s="200"/>
      <c r="P9532" s="199"/>
    </row>
    <row r="9533" spans="7:16" x14ac:dyDescent="0.2">
      <c r="G9533" s="199"/>
      <c r="I9533" s="199"/>
      <c r="K9533" s="199"/>
      <c r="M9533" s="199"/>
      <c r="N9533" s="200"/>
      <c r="P9533" s="199"/>
    </row>
    <row r="9534" spans="7:16" x14ac:dyDescent="0.2">
      <c r="G9534" s="199"/>
      <c r="I9534" s="199"/>
      <c r="K9534" s="199"/>
      <c r="M9534" s="199"/>
      <c r="N9534" s="200"/>
      <c r="P9534" s="199"/>
    </row>
    <row r="9535" spans="7:16" x14ac:dyDescent="0.2">
      <c r="G9535" s="199"/>
      <c r="I9535" s="199"/>
      <c r="K9535" s="199"/>
      <c r="M9535" s="199"/>
      <c r="N9535" s="200"/>
      <c r="P9535" s="199"/>
    </row>
    <row r="9536" spans="7:16" x14ac:dyDescent="0.2">
      <c r="G9536" s="199"/>
      <c r="I9536" s="199"/>
      <c r="K9536" s="199"/>
      <c r="M9536" s="199"/>
      <c r="N9536" s="200"/>
      <c r="P9536" s="199"/>
    </row>
    <row r="9537" spans="7:16" x14ac:dyDescent="0.2">
      <c r="G9537" s="199"/>
      <c r="I9537" s="199"/>
      <c r="K9537" s="199"/>
      <c r="M9537" s="199"/>
      <c r="N9537" s="200"/>
      <c r="P9537" s="199"/>
    </row>
    <row r="9538" spans="7:16" x14ac:dyDescent="0.2">
      <c r="G9538" s="199"/>
      <c r="I9538" s="199"/>
      <c r="K9538" s="199"/>
      <c r="M9538" s="199"/>
      <c r="N9538" s="200"/>
      <c r="P9538" s="199"/>
    </row>
    <row r="9539" spans="7:16" x14ac:dyDescent="0.2">
      <c r="G9539" s="199"/>
      <c r="I9539" s="199"/>
      <c r="K9539" s="199"/>
      <c r="M9539" s="199"/>
      <c r="N9539" s="200"/>
      <c r="P9539" s="199"/>
    </row>
    <row r="9540" spans="7:16" x14ac:dyDescent="0.2">
      <c r="G9540" s="199"/>
      <c r="I9540" s="199"/>
      <c r="K9540" s="199"/>
      <c r="M9540" s="199"/>
      <c r="N9540" s="200"/>
      <c r="P9540" s="199"/>
    </row>
    <row r="9541" spans="7:16" x14ac:dyDescent="0.2">
      <c r="G9541" s="199"/>
      <c r="I9541" s="199"/>
      <c r="K9541" s="199"/>
      <c r="M9541" s="199"/>
      <c r="N9541" s="200"/>
      <c r="P9541" s="199"/>
    </row>
    <row r="9542" spans="7:16" x14ac:dyDescent="0.2">
      <c r="G9542" s="199"/>
      <c r="I9542" s="199"/>
      <c r="K9542" s="199"/>
      <c r="M9542" s="199"/>
      <c r="N9542" s="200"/>
      <c r="P9542" s="199"/>
    </row>
    <row r="9543" spans="7:16" x14ac:dyDescent="0.2">
      <c r="G9543" s="199"/>
      <c r="I9543" s="199"/>
      <c r="K9543" s="199"/>
      <c r="M9543" s="199"/>
      <c r="N9543" s="200"/>
      <c r="P9543" s="199"/>
    </row>
    <row r="9544" spans="7:16" x14ac:dyDescent="0.2">
      <c r="G9544" s="199"/>
      <c r="I9544" s="199"/>
      <c r="K9544" s="199"/>
      <c r="M9544" s="199"/>
      <c r="N9544" s="200"/>
      <c r="P9544" s="199"/>
    </row>
    <row r="9545" spans="7:16" x14ac:dyDescent="0.2">
      <c r="G9545" s="199"/>
      <c r="I9545" s="199"/>
      <c r="K9545" s="199"/>
      <c r="M9545" s="199"/>
      <c r="N9545" s="200"/>
      <c r="P9545" s="199"/>
    </row>
    <row r="9546" spans="7:16" x14ac:dyDescent="0.2">
      <c r="G9546" s="199"/>
      <c r="I9546" s="199"/>
      <c r="K9546" s="199"/>
      <c r="M9546" s="199"/>
      <c r="N9546" s="200"/>
      <c r="P9546" s="199"/>
    </row>
    <row r="9547" spans="7:16" x14ac:dyDescent="0.2">
      <c r="G9547" s="199"/>
      <c r="I9547" s="199"/>
      <c r="K9547" s="199"/>
      <c r="M9547" s="199"/>
      <c r="N9547" s="200"/>
      <c r="P9547" s="199"/>
    </row>
    <row r="9548" spans="7:16" x14ac:dyDescent="0.2">
      <c r="G9548" s="199"/>
      <c r="I9548" s="199"/>
      <c r="K9548" s="199"/>
      <c r="M9548" s="199"/>
      <c r="N9548" s="200"/>
      <c r="P9548" s="199"/>
    </row>
    <row r="9549" spans="7:16" x14ac:dyDescent="0.2">
      <c r="G9549" s="199"/>
      <c r="I9549" s="199"/>
      <c r="K9549" s="199"/>
      <c r="M9549" s="199"/>
      <c r="N9549" s="200"/>
      <c r="P9549" s="199"/>
    </row>
    <row r="9550" spans="7:16" x14ac:dyDescent="0.2">
      <c r="G9550" s="199"/>
      <c r="I9550" s="199"/>
      <c r="K9550" s="199"/>
      <c r="M9550" s="199"/>
      <c r="N9550" s="200"/>
      <c r="P9550" s="199"/>
    </row>
    <row r="9551" spans="7:16" x14ac:dyDescent="0.2">
      <c r="G9551" s="199"/>
      <c r="I9551" s="199"/>
      <c r="K9551" s="199"/>
      <c r="M9551" s="199"/>
      <c r="N9551" s="200"/>
      <c r="P9551" s="199"/>
    </row>
    <row r="9552" spans="7:16" x14ac:dyDescent="0.2">
      <c r="G9552" s="199"/>
      <c r="I9552" s="199"/>
      <c r="K9552" s="199"/>
      <c r="M9552" s="199"/>
      <c r="N9552" s="200"/>
      <c r="P9552" s="199"/>
    </row>
    <row r="9553" spans="7:16" x14ac:dyDescent="0.2">
      <c r="G9553" s="199"/>
      <c r="I9553" s="199"/>
      <c r="K9553" s="199"/>
      <c r="M9553" s="199"/>
      <c r="N9553" s="200"/>
      <c r="P9553" s="199"/>
    </row>
    <row r="9554" spans="7:16" x14ac:dyDescent="0.2">
      <c r="G9554" s="199"/>
      <c r="I9554" s="199"/>
      <c r="K9554" s="199"/>
      <c r="M9554" s="199"/>
      <c r="N9554" s="200"/>
      <c r="P9554" s="199"/>
    </row>
    <row r="9555" spans="7:16" x14ac:dyDescent="0.2">
      <c r="G9555" s="199"/>
      <c r="I9555" s="199"/>
      <c r="K9555" s="199"/>
      <c r="M9555" s="199"/>
      <c r="N9555" s="200"/>
      <c r="P9555" s="199"/>
    </row>
    <row r="9556" spans="7:16" x14ac:dyDescent="0.2">
      <c r="G9556" s="199"/>
      <c r="I9556" s="199"/>
      <c r="K9556" s="199"/>
      <c r="M9556" s="199"/>
      <c r="N9556" s="200"/>
      <c r="P9556" s="199"/>
    </row>
    <row r="9557" spans="7:16" x14ac:dyDescent="0.2">
      <c r="G9557" s="199"/>
      <c r="I9557" s="199"/>
      <c r="K9557" s="199"/>
      <c r="M9557" s="199"/>
      <c r="N9557" s="200"/>
      <c r="P9557" s="199"/>
    </row>
    <row r="9558" spans="7:16" x14ac:dyDescent="0.2">
      <c r="G9558" s="199"/>
      <c r="I9558" s="199"/>
      <c r="K9558" s="199"/>
      <c r="M9558" s="199"/>
      <c r="N9558" s="200"/>
      <c r="P9558" s="199"/>
    </row>
    <row r="9559" spans="7:16" x14ac:dyDescent="0.2">
      <c r="G9559" s="199"/>
      <c r="I9559" s="199"/>
      <c r="K9559" s="199"/>
      <c r="M9559" s="199"/>
      <c r="N9559" s="200"/>
      <c r="P9559" s="199"/>
    </row>
    <row r="9560" spans="7:16" x14ac:dyDescent="0.2">
      <c r="G9560" s="199"/>
      <c r="I9560" s="199"/>
      <c r="K9560" s="199"/>
      <c r="M9560" s="199"/>
      <c r="N9560" s="200"/>
      <c r="P9560" s="199"/>
    </row>
    <row r="9561" spans="7:16" x14ac:dyDescent="0.2">
      <c r="G9561" s="199"/>
      <c r="I9561" s="199"/>
      <c r="K9561" s="199"/>
      <c r="M9561" s="199"/>
      <c r="N9561" s="200"/>
      <c r="P9561" s="199"/>
    </row>
    <row r="9562" spans="7:16" x14ac:dyDescent="0.2">
      <c r="G9562" s="199"/>
      <c r="I9562" s="199"/>
      <c r="K9562" s="199"/>
      <c r="M9562" s="199"/>
      <c r="N9562" s="200"/>
      <c r="P9562" s="199"/>
    </row>
    <row r="9563" spans="7:16" x14ac:dyDescent="0.2">
      <c r="G9563" s="199"/>
      <c r="I9563" s="199"/>
      <c r="K9563" s="199"/>
      <c r="M9563" s="199"/>
      <c r="N9563" s="200"/>
      <c r="P9563" s="199"/>
    </row>
    <row r="9564" spans="7:16" x14ac:dyDescent="0.2">
      <c r="G9564" s="199"/>
      <c r="I9564" s="199"/>
      <c r="K9564" s="199"/>
      <c r="M9564" s="199"/>
      <c r="N9564" s="200"/>
      <c r="P9564" s="199"/>
    </row>
    <row r="9565" spans="7:16" x14ac:dyDescent="0.2">
      <c r="G9565" s="199"/>
      <c r="I9565" s="199"/>
      <c r="K9565" s="199"/>
      <c r="M9565" s="199"/>
      <c r="N9565" s="200"/>
      <c r="P9565" s="199"/>
    </row>
    <row r="9566" spans="7:16" x14ac:dyDescent="0.2">
      <c r="G9566" s="199"/>
      <c r="I9566" s="199"/>
      <c r="K9566" s="199"/>
      <c r="M9566" s="199"/>
      <c r="N9566" s="200"/>
      <c r="P9566" s="199"/>
    </row>
    <row r="9567" spans="7:16" x14ac:dyDescent="0.2">
      <c r="G9567" s="199"/>
      <c r="I9567" s="199"/>
      <c r="K9567" s="199"/>
      <c r="M9567" s="199"/>
      <c r="N9567" s="200"/>
      <c r="P9567" s="199"/>
    </row>
    <row r="9568" spans="7:16" x14ac:dyDescent="0.2">
      <c r="G9568" s="199"/>
      <c r="I9568" s="199"/>
      <c r="K9568" s="199"/>
      <c r="M9568" s="199"/>
      <c r="N9568" s="200"/>
      <c r="P9568" s="199"/>
    </row>
    <row r="9569" spans="7:16" x14ac:dyDescent="0.2">
      <c r="G9569" s="199"/>
      <c r="I9569" s="199"/>
      <c r="K9569" s="199"/>
      <c r="M9569" s="199"/>
      <c r="N9569" s="200"/>
      <c r="P9569" s="199"/>
    </row>
    <row r="9570" spans="7:16" x14ac:dyDescent="0.2">
      <c r="G9570" s="199"/>
      <c r="I9570" s="199"/>
      <c r="K9570" s="199"/>
      <c r="M9570" s="199"/>
      <c r="N9570" s="200"/>
      <c r="P9570" s="199"/>
    </row>
    <row r="9571" spans="7:16" x14ac:dyDescent="0.2">
      <c r="G9571" s="199"/>
      <c r="I9571" s="199"/>
      <c r="K9571" s="199"/>
      <c r="M9571" s="199"/>
      <c r="N9571" s="200"/>
      <c r="P9571" s="199"/>
    </row>
    <row r="9572" spans="7:16" x14ac:dyDescent="0.2">
      <c r="G9572" s="199"/>
      <c r="I9572" s="199"/>
      <c r="K9572" s="199"/>
      <c r="M9572" s="199"/>
      <c r="N9572" s="200"/>
      <c r="P9572" s="199"/>
    </row>
    <row r="9573" spans="7:16" x14ac:dyDescent="0.2">
      <c r="G9573" s="199"/>
      <c r="I9573" s="199"/>
      <c r="K9573" s="199"/>
      <c r="M9573" s="199"/>
      <c r="N9573" s="200"/>
      <c r="P9573" s="199"/>
    </row>
    <row r="9574" spans="7:16" x14ac:dyDescent="0.2">
      <c r="G9574" s="199"/>
      <c r="I9574" s="199"/>
      <c r="K9574" s="199"/>
      <c r="M9574" s="199"/>
      <c r="N9574" s="200"/>
      <c r="P9574" s="199"/>
    </row>
    <row r="9575" spans="7:16" x14ac:dyDescent="0.2">
      <c r="G9575" s="199"/>
      <c r="I9575" s="199"/>
      <c r="K9575" s="199"/>
      <c r="M9575" s="199"/>
      <c r="N9575" s="200"/>
      <c r="P9575" s="199"/>
    </row>
    <row r="9576" spans="7:16" x14ac:dyDescent="0.2">
      <c r="G9576" s="199"/>
      <c r="I9576" s="199"/>
      <c r="K9576" s="199"/>
      <c r="M9576" s="199"/>
      <c r="N9576" s="200"/>
      <c r="P9576" s="199"/>
    </row>
    <row r="9577" spans="7:16" x14ac:dyDescent="0.2">
      <c r="G9577" s="199"/>
      <c r="I9577" s="199"/>
      <c r="K9577" s="199"/>
      <c r="M9577" s="199"/>
      <c r="N9577" s="200"/>
      <c r="P9577" s="199"/>
    </row>
    <row r="9578" spans="7:16" x14ac:dyDescent="0.2">
      <c r="G9578" s="199"/>
      <c r="I9578" s="199"/>
      <c r="K9578" s="199"/>
      <c r="M9578" s="199"/>
      <c r="N9578" s="200"/>
      <c r="P9578" s="199"/>
    </row>
    <row r="9579" spans="7:16" x14ac:dyDescent="0.2">
      <c r="G9579" s="199"/>
      <c r="I9579" s="199"/>
      <c r="K9579" s="199"/>
      <c r="M9579" s="199"/>
      <c r="N9579" s="200"/>
      <c r="P9579" s="199"/>
    </row>
    <row r="9580" spans="7:16" x14ac:dyDescent="0.2">
      <c r="G9580" s="199"/>
      <c r="I9580" s="199"/>
      <c r="K9580" s="199"/>
      <c r="M9580" s="199"/>
      <c r="N9580" s="200"/>
      <c r="P9580" s="199"/>
    </row>
    <row r="9581" spans="7:16" x14ac:dyDescent="0.2">
      <c r="G9581" s="199"/>
      <c r="I9581" s="199"/>
      <c r="K9581" s="199"/>
      <c r="M9581" s="199"/>
      <c r="N9581" s="200"/>
      <c r="P9581" s="199"/>
    </row>
    <row r="9582" spans="7:16" x14ac:dyDescent="0.2">
      <c r="G9582" s="199"/>
      <c r="I9582" s="199"/>
      <c r="K9582" s="199"/>
      <c r="M9582" s="199"/>
      <c r="N9582" s="200"/>
      <c r="P9582" s="199"/>
    </row>
    <row r="9583" spans="7:16" x14ac:dyDescent="0.2">
      <c r="G9583" s="199"/>
      <c r="I9583" s="199"/>
      <c r="K9583" s="199"/>
      <c r="M9583" s="199"/>
      <c r="N9583" s="200"/>
      <c r="P9583" s="199"/>
    </row>
    <row r="9584" spans="7:16" x14ac:dyDescent="0.2">
      <c r="G9584" s="199"/>
      <c r="I9584" s="199"/>
      <c r="K9584" s="199"/>
      <c r="M9584" s="199"/>
      <c r="N9584" s="200"/>
      <c r="P9584" s="199"/>
    </row>
    <row r="9585" spans="7:16" x14ac:dyDescent="0.2">
      <c r="G9585" s="199"/>
      <c r="I9585" s="199"/>
      <c r="K9585" s="199"/>
      <c r="M9585" s="199"/>
      <c r="N9585" s="200"/>
      <c r="P9585" s="199"/>
    </row>
    <row r="9586" spans="7:16" x14ac:dyDescent="0.2">
      <c r="G9586" s="199"/>
      <c r="I9586" s="199"/>
      <c r="K9586" s="199"/>
      <c r="M9586" s="199"/>
      <c r="N9586" s="200"/>
      <c r="P9586" s="199"/>
    </row>
    <row r="9587" spans="7:16" x14ac:dyDescent="0.2">
      <c r="G9587" s="199"/>
      <c r="I9587" s="199"/>
      <c r="K9587" s="199"/>
      <c r="M9587" s="199"/>
      <c r="N9587" s="200"/>
      <c r="P9587" s="199"/>
    </row>
    <row r="9588" spans="7:16" x14ac:dyDescent="0.2">
      <c r="G9588" s="199"/>
      <c r="I9588" s="199"/>
      <c r="K9588" s="199"/>
      <c r="M9588" s="199"/>
      <c r="N9588" s="200"/>
      <c r="P9588" s="199"/>
    </row>
    <row r="9589" spans="7:16" x14ac:dyDescent="0.2">
      <c r="G9589" s="199"/>
      <c r="I9589" s="199"/>
      <c r="K9589" s="199"/>
      <c r="M9589" s="199"/>
      <c r="N9589" s="200"/>
      <c r="P9589" s="199"/>
    </row>
    <row r="9590" spans="7:16" x14ac:dyDescent="0.2">
      <c r="G9590" s="199"/>
      <c r="I9590" s="199"/>
      <c r="K9590" s="199"/>
      <c r="M9590" s="199"/>
      <c r="N9590" s="200"/>
      <c r="P9590" s="199"/>
    </row>
    <row r="9591" spans="7:16" x14ac:dyDescent="0.2">
      <c r="G9591" s="199"/>
      <c r="I9591" s="199"/>
      <c r="K9591" s="199"/>
      <c r="M9591" s="199"/>
      <c r="N9591" s="200"/>
      <c r="P9591" s="199"/>
    </row>
    <row r="9592" spans="7:16" x14ac:dyDescent="0.2">
      <c r="G9592" s="199"/>
      <c r="I9592" s="199"/>
      <c r="K9592" s="199"/>
      <c r="M9592" s="199"/>
      <c r="N9592" s="200"/>
      <c r="P9592" s="199"/>
    </row>
    <row r="9593" spans="7:16" x14ac:dyDescent="0.2">
      <c r="G9593" s="199"/>
      <c r="I9593" s="199"/>
      <c r="K9593" s="199"/>
      <c r="M9593" s="199"/>
      <c r="N9593" s="200"/>
      <c r="P9593" s="199"/>
    </row>
    <row r="9594" spans="7:16" x14ac:dyDescent="0.2">
      <c r="G9594" s="199"/>
      <c r="I9594" s="199"/>
      <c r="K9594" s="199"/>
      <c r="M9594" s="199"/>
      <c r="N9594" s="200"/>
      <c r="P9594" s="199"/>
    </row>
    <row r="9595" spans="7:16" x14ac:dyDescent="0.2">
      <c r="G9595" s="199"/>
      <c r="I9595" s="199"/>
      <c r="K9595" s="199"/>
      <c r="M9595" s="199"/>
      <c r="N9595" s="200"/>
      <c r="P9595" s="199"/>
    </row>
    <row r="9596" spans="7:16" x14ac:dyDescent="0.2">
      <c r="G9596" s="199"/>
      <c r="I9596" s="199"/>
      <c r="K9596" s="199"/>
      <c r="M9596" s="199"/>
      <c r="N9596" s="200"/>
      <c r="P9596" s="199"/>
    </row>
    <row r="9597" spans="7:16" x14ac:dyDescent="0.2">
      <c r="G9597" s="199"/>
      <c r="I9597" s="199"/>
      <c r="K9597" s="199"/>
      <c r="M9597" s="199"/>
      <c r="N9597" s="200"/>
      <c r="P9597" s="199"/>
    </row>
    <row r="9598" spans="7:16" x14ac:dyDescent="0.2">
      <c r="G9598" s="199"/>
      <c r="I9598" s="199"/>
      <c r="K9598" s="199"/>
      <c r="M9598" s="199"/>
      <c r="N9598" s="200"/>
      <c r="P9598" s="199"/>
    </row>
    <row r="9599" spans="7:16" x14ac:dyDescent="0.2">
      <c r="G9599" s="199"/>
      <c r="I9599" s="199"/>
      <c r="K9599" s="199"/>
      <c r="M9599" s="199"/>
      <c r="N9599" s="200"/>
      <c r="P9599" s="199"/>
    </row>
    <row r="9600" spans="7:16" x14ac:dyDescent="0.2">
      <c r="G9600" s="199"/>
      <c r="I9600" s="199"/>
      <c r="K9600" s="199"/>
      <c r="M9600" s="199"/>
      <c r="N9600" s="200"/>
      <c r="P9600" s="199"/>
    </row>
    <row r="9601" spans="7:16" x14ac:dyDescent="0.2">
      <c r="G9601" s="199"/>
      <c r="I9601" s="199"/>
      <c r="K9601" s="199"/>
      <c r="M9601" s="199"/>
      <c r="N9601" s="200"/>
      <c r="P9601" s="199"/>
    </row>
    <row r="9602" spans="7:16" x14ac:dyDescent="0.2">
      <c r="G9602" s="199"/>
      <c r="I9602" s="199"/>
      <c r="K9602" s="199"/>
      <c r="M9602" s="199"/>
      <c r="N9602" s="200"/>
      <c r="P9602" s="199"/>
    </row>
    <row r="9603" spans="7:16" x14ac:dyDescent="0.2">
      <c r="G9603" s="199"/>
      <c r="I9603" s="199"/>
      <c r="K9603" s="199"/>
      <c r="M9603" s="199"/>
      <c r="N9603" s="200"/>
      <c r="P9603" s="199"/>
    </row>
    <row r="9604" spans="7:16" x14ac:dyDescent="0.2">
      <c r="G9604" s="199"/>
      <c r="I9604" s="199"/>
      <c r="K9604" s="199"/>
      <c r="M9604" s="199"/>
      <c r="N9604" s="200"/>
      <c r="P9604" s="199"/>
    </row>
    <row r="9605" spans="7:16" x14ac:dyDescent="0.2">
      <c r="G9605" s="199"/>
      <c r="I9605" s="199"/>
      <c r="K9605" s="199"/>
      <c r="M9605" s="199"/>
      <c r="N9605" s="200"/>
      <c r="P9605" s="199"/>
    </row>
    <row r="9606" spans="7:16" x14ac:dyDescent="0.2">
      <c r="G9606" s="199"/>
      <c r="I9606" s="199"/>
      <c r="K9606" s="199"/>
      <c r="M9606" s="199"/>
      <c r="N9606" s="200"/>
      <c r="P9606" s="199"/>
    </row>
    <row r="9607" spans="7:16" x14ac:dyDescent="0.2">
      <c r="G9607" s="199"/>
      <c r="I9607" s="199"/>
      <c r="K9607" s="199"/>
      <c r="M9607" s="199"/>
      <c r="N9607" s="200"/>
      <c r="P9607" s="199"/>
    </row>
    <row r="9608" spans="7:16" x14ac:dyDescent="0.2">
      <c r="G9608" s="199"/>
      <c r="I9608" s="199"/>
      <c r="K9608" s="199"/>
      <c r="M9608" s="199"/>
      <c r="N9608" s="200"/>
      <c r="P9608" s="199"/>
    </row>
    <row r="9609" spans="7:16" x14ac:dyDescent="0.2">
      <c r="G9609" s="199"/>
      <c r="I9609" s="199"/>
      <c r="K9609" s="199"/>
      <c r="M9609" s="199"/>
      <c r="N9609" s="200"/>
      <c r="P9609" s="199"/>
    </row>
    <row r="9610" spans="7:16" x14ac:dyDescent="0.2">
      <c r="G9610" s="199"/>
      <c r="I9610" s="199"/>
      <c r="K9610" s="199"/>
      <c r="M9610" s="199"/>
      <c r="N9610" s="200"/>
      <c r="P9610" s="199"/>
    </row>
    <row r="9611" spans="7:16" x14ac:dyDescent="0.2">
      <c r="G9611" s="199"/>
      <c r="I9611" s="199"/>
      <c r="K9611" s="199"/>
      <c r="M9611" s="199"/>
      <c r="N9611" s="200"/>
      <c r="P9611" s="199"/>
    </row>
    <row r="9612" spans="7:16" x14ac:dyDescent="0.2">
      <c r="G9612" s="199"/>
      <c r="I9612" s="199"/>
      <c r="K9612" s="199"/>
      <c r="M9612" s="199"/>
      <c r="N9612" s="200"/>
      <c r="P9612" s="199"/>
    </row>
    <row r="9613" spans="7:16" x14ac:dyDescent="0.2">
      <c r="G9613" s="199"/>
      <c r="I9613" s="199"/>
      <c r="K9613" s="199"/>
      <c r="M9613" s="199"/>
      <c r="N9613" s="200"/>
      <c r="P9613" s="199"/>
    </row>
    <row r="9614" spans="7:16" x14ac:dyDescent="0.2">
      <c r="G9614" s="199"/>
      <c r="I9614" s="199"/>
      <c r="K9614" s="199"/>
      <c r="M9614" s="199"/>
      <c r="N9614" s="200"/>
      <c r="P9614" s="199"/>
    </row>
    <row r="9615" spans="7:16" x14ac:dyDescent="0.2">
      <c r="G9615" s="199"/>
      <c r="I9615" s="199"/>
      <c r="K9615" s="199"/>
      <c r="M9615" s="199"/>
      <c r="N9615" s="200"/>
      <c r="P9615" s="199"/>
    </row>
    <row r="9616" spans="7:16" x14ac:dyDescent="0.2">
      <c r="G9616" s="199"/>
      <c r="I9616" s="199"/>
      <c r="K9616" s="199"/>
      <c r="M9616" s="199"/>
      <c r="N9616" s="200"/>
      <c r="P9616" s="199"/>
    </row>
    <row r="9617" spans="7:16" x14ac:dyDescent="0.2">
      <c r="G9617" s="199"/>
      <c r="I9617" s="199"/>
      <c r="K9617" s="199"/>
      <c r="M9617" s="199"/>
      <c r="N9617" s="200"/>
      <c r="P9617" s="199"/>
    </row>
    <row r="9618" spans="7:16" x14ac:dyDescent="0.2">
      <c r="G9618" s="199"/>
      <c r="I9618" s="199"/>
      <c r="K9618" s="199"/>
      <c r="M9618" s="199"/>
      <c r="N9618" s="200"/>
      <c r="P9618" s="199"/>
    </row>
    <row r="9619" spans="7:16" x14ac:dyDescent="0.2">
      <c r="G9619" s="199"/>
      <c r="I9619" s="199"/>
      <c r="K9619" s="199"/>
      <c r="M9619" s="199"/>
      <c r="N9619" s="200"/>
      <c r="P9619" s="199"/>
    </row>
    <row r="9620" spans="7:16" x14ac:dyDescent="0.2">
      <c r="G9620" s="199"/>
      <c r="I9620" s="199"/>
      <c r="K9620" s="199"/>
      <c r="M9620" s="199"/>
      <c r="N9620" s="200"/>
      <c r="P9620" s="199"/>
    </row>
    <row r="9621" spans="7:16" x14ac:dyDescent="0.2">
      <c r="G9621" s="199"/>
      <c r="I9621" s="199"/>
      <c r="K9621" s="199"/>
      <c r="M9621" s="199"/>
      <c r="N9621" s="200"/>
      <c r="P9621" s="199"/>
    </row>
    <row r="9622" spans="7:16" x14ac:dyDescent="0.2">
      <c r="G9622" s="199"/>
      <c r="I9622" s="199"/>
      <c r="K9622" s="199"/>
      <c r="M9622" s="199"/>
      <c r="N9622" s="200"/>
      <c r="P9622" s="199"/>
    </row>
    <row r="9623" spans="7:16" x14ac:dyDescent="0.2">
      <c r="G9623" s="199"/>
      <c r="I9623" s="199"/>
      <c r="K9623" s="199"/>
      <c r="M9623" s="199"/>
      <c r="N9623" s="200"/>
      <c r="P9623" s="199"/>
    </row>
    <row r="9624" spans="7:16" x14ac:dyDescent="0.2">
      <c r="G9624" s="199"/>
      <c r="I9624" s="199"/>
      <c r="K9624" s="199"/>
      <c r="M9624" s="199"/>
      <c r="N9624" s="200"/>
      <c r="P9624" s="199"/>
    </row>
    <row r="9625" spans="7:16" x14ac:dyDescent="0.2">
      <c r="G9625" s="199"/>
      <c r="I9625" s="199"/>
      <c r="K9625" s="199"/>
      <c r="M9625" s="199"/>
      <c r="N9625" s="200"/>
      <c r="P9625" s="199"/>
    </row>
    <row r="9626" spans="7:16" x14ac:dyDescent="0.2">
      <c r="G9626" s="199"/>
      <c r="I9626" s="199"/>
      <c r="K9626" s="199"/>
      <c r="M9626" s="199"/>
      <c r="N9626" s="200"/>
      <c r="P9626" s="199"/>
    </row>
    <row r="9627" spans="7:16" x14ac:dyDescent="0.2">
      <c r="G9627" s="199"/>
      <c r="I9627" s="199"/>
      <c r="K9627" s="199"/>
      <c r="M9627" s="199"/>
      <c r="N9627" s="200"/>
      <c r="P9627" s="199"/>
    </row>
    <row r="9628" spans="7:16" x14ac:dyDescent="0.2">
      <c r="G9628" s="199"/>
      <c r="I9628" s="199"/>
      <c r="K9628" s="199"/>
      <c r="M9628" s="199"/>
      <c r="N9628" s="200"/>
      <c r="P9628" s="199"/>
    </row>
    <row r="9629" spans="7:16" x14ac:dyDescent="0.2">
      <c r="G9629" s="199"/>
      <c r="I9629" s="199"/>
      <c r="K9629" s="199"/>
      <c r="M9629" s="199"/>
      <c r="N9629" s="200"/>
      <c r="P9629" s="199"/>
    </row>
    <row r="9630" spans="7:16" x14ac:dyDescent="0.2">
      <c r="G9630" s="199"/>
      <c r="I9630" s="199"/>
      <c r="K9630" s="199"/>
      <c r="M9630" s="199"/>
      <c r="N9630" s="200"/>
      <c r="P9630" s="199"/>
    </row>
    <row r="9631" spans="7:16" x14ac:dyDescent="0.2">
      <c r="G9631" s="199"/>
      <c r="I9631" s="199"/>
      <c r="K9631" s="199"/>
      <c r="M9631" s="199"/>
      <c r="N9631" s="200"/>
      <c r="P9631" s="199"/>
    </row>
    <row r="9632" spans="7:16" x14ac:dyDescent="0.2">
      <c r="G9632" s="199"/>
      <c r="I9632" s="199"/>
      <c r="K9632" s="199"/>
      <c r="M9632" s="199"/>
      <c r="N9632" s="200"/>
      <c r="P9632" s="199"/>
    </row>
    <row r="9633" spans="7:16" x14ac:dyDescent="0.2">
      <c r="G9633" s="199"/>
      <c r="I9633" s="199"/>
      <c r="K9633" s="199"/>
      <c r="M9633" s="199"/>
      <c r="N9633" s="200"/>
      <c r="P9633" s="199"/>
    </row>
    <row r="9634" spans="7:16" x14ac:dyDescent="0.2">
      <c r="G9634" s="199"/>
      <c r="I9634" s="199"/>
      <c r="K9634" s="199"/>
      <c r="M9634" s="199"/>
      <c r="N9634" s="200"/>
      <c r="P9634" s="199"/>
    </row>
    <row r="9635" spans="7:16" x14ac:dyDescent="0.2">
      <c r="G9635" s="199"/>
      <c r="I9635" s="199"/>
      <c r="K9635" s="199"/>
      <c r="M9635" s="199"/>
      <c r="N9635" s="200"/>
      <c r="P9635" s="199"/>
    </row>
    <row r="9636" spans="7:16" x14ac:dyDescent="0.2">
      <c r="G9636" s="199"/>
      <c r="I9636" s="199"/>
      <c r="K9636" s="199"/>
      <c r="M9636" s="199"/>
      <c r="N9636" s="200"/>
      <c r="P9636" s="199"/>
    </row>
    <row r="9637" spans="7:16" x14ac:dyDescent="0.2">
      <c r="G9637" s="199"/>
      <c r="I9637" s="199"/>
      <c r="K9637" s="199"/>
      <c r="M9637" s="199"/>
      <c r="N9637" s="200"/>
      <c r="P9637" s="199"/>
    </row>
    <row r="9638" spans="7:16" x14ac:dyDescent="0.2">
      <c r="G9638" s="199"/>
      <c r="I9638" s="199"/>
      <c r="K9638" s="199"/>
      <c r="M9638" s="199"/>
      <c r="N9638" s="200"/>
      <c r="P9638" s="199"/>
    </row>
    <row r="9639" spans="7:16" x14ac:dyDescent="0.2">
      <c r="G9639" s="199"/>
      <c r="I9639" s="199"/>
      <c r="K9639" s="199"/>
      <c r="M9639" s="199"/>
      <c r="N9639" s="200"/>
      <c r="P9639" s="199"/>
    </row>
    <row r="9640" spans="7:16" x14ac:dyDescent="0.2">
      <c r="G9640" s="199"/>
      <c r="I9640" s="199"/>
      <c r="K9640" s="199"/>
      <c r="M9640" s="199"/>
      <c r="N9640" s="200"/>
      <c r="P9640" s="199"/>
    </row>
    <row r="9641" spans="7:16" x14ac:dyDescent="0.2">
      <c r="G9641" s="199"/>
      <c r="I9641" s="199"/>
      <c r="K9641" s="199"/>
      <c r="M9641" s="199"/>
      <c r="N9641" s="200"/>
      <c r="P9641" s="199"/>
    </row>
    <row r="9642" spans="7:16" x14ac:dyDescent="0.2">
      <c r="G9642" s="199"/>
      <c r="I9642" s="199"/>
      <c r="K9642" s="199"/>
      <c r="M9642" s="199"/>
      <c r="N9642" s="200"/>
      <c r="P9642" s="199"/>
    </row>
    <row r="9643" spans="7:16" x14ac:dyDescent="0.2">
      <c r="G9643" s="199"/>
      <c r="I9643" s="199"/>
      <c r="K9643" s="199"/>
      <c r="M9643" s="199"/>
      <c r="N9643" s="200"/>
      <c r="P9643" s="199"/>
    </row>
    <row r="9644" spans="7:16" x14ac:dyDescent="0.2">
      <c r="G9644" s="199"/>
      <c r="I9644" s="199"/>
      <c r="K9644" s="199"/>
      <c r="M9644" s="199"/>
      <c r="N9644" s="200"/>
      <c r="P9644" s="199"/>
    </row>
    <row r="9645" spans="7:16" x14ac:dyDescent="0.2">
      <c r="G9645" s="199"/>
      <c r="I9645" s="199"/>
      <c r="K9645" s="199"/>
      <c r="M9645" s="199"/>
      <c r="N9645" s="200"/>
      <c r="P9645" s="199"/>
    </row>
    <row r="9646" spans="7:16" x14ac:dyDescent="0.2">
      <c r="G9646" s="199"/>
      <c r="I9646" s="199"/>
      <c r="K9646" s="199"/>
      <c r="M9646" s="199"/>
      <c r="N9646" s="200"/>
      <c r="P9646" s="199"/>
    </row>
    <row r="9647" spans="7:16" x14ac:dyDescent="0.2">
      <c r="G9647" s="199"/>
      <c r="I9647" s="199"/>
      <c r="K9647" s="199"/>
      <c r="M9647" s="199"/>
      <c r="N9647" s="200"/>
      <c r="P9647" s="199"/>
    </row>
    <row r="9648" spans="7:16" x14ac:dyDescent="0.2">
      <c r="G9648" s="199"/>
      <c r="I9648" s="199"/>
      <c r="K9648" s="199"/>
      <c r="M9648" s="199"/>
      <c r="N9648" s="200"/>
      <c r="P9648" s="199"/>
    </row>
    <row r="9649" spans="7:16" x14ac:dyDescent="0.2">
      <c r="G9649" s="199"/>
      <c r="I9649" s="199"/>
      <c r="K9649" s="199"/>
      <c r="M9649" s="199"/>
      <c r="N9649" s="200"/>
      <c r="P9649" s="199"/>
    </row>
    <row r="9650" spans="7:16" x14ac:dyDescent="0.2">
      <c r="G9650" s="199"/>
      <c r="I9650" s="199"/>
      <c r="K9650" s="199"/>
      <c r="M9650" s="199"/>
      <c r="N9650" s="200"/>
      <c r="P9650" s="199"/>
    </row>
    <row r="9651" spans="7:16" x14ac:dyDescent="0.2">
      <c r="G9651" s="199"/>
      <c r="I9651" s="199"/>
      <c r="K9651" s="199"/>
      <c r="M9651" s="199"/>
      <c r="N9651" s="200"/>
      <c r="P9651" s="199"/>
    </row>
    <row r="9652" spans="7:16" x14ac:dyDescent="0.2">
      <c r="G9652" s="199"/>
      <c r="I9652" s="199"/>
      <c r="K9652" s="199"/>
      <c r="M9652" s="199"/>
      <c r="N9652" s="200"/>
      <c r="P9652" s="199"/>
    </row>
    <row r="9653" spans="7:16" x14ac:dyDescent="0.2">
      <c r="G9653" s="199"/>
      <c r="I9653" s="199"/>
      <c r="K9653" s="199"/>
      <c r="M9653" s="199"/>
      <c r="N9653" s="200"/>
      <c r="P9653" s="199"/>
    </row>
    <row r="9654" spans="7:16" x14ac:dyDescent="0.2">
      <c r="G9654" s="199"/>
      <c r="I9654" s="199"/>
      <c r="K9654" s="199"/>
      <c r="M9654" s="199"/>
      <c r="N9654" s="200"/>
      <c r="P9654" s="199"/>
    </row>
    <row r="9655" spans="7:16" x14ac:dyDescent="0.2">
      <c r="G9655" s="199"/>
      <c r="I9655" s="199"/>
      <c r="K9655" s="199"/>
      <c r="M9655" s="199"/>
      <c r="N9655" s="200"/>
      <c r="P9655" s="199"/>
    </row>
    <row r="9656" spans="7:16" x14ac:dyDescent="0.2">
      <c r="G9656" s="199"/>
      <c r="I9656" s="199"/>
      <c r="K9656" s="199"/>
      <c r="M9656" s="199"/>
      <c r="N9656" s="200"/>
      <c r="P9656" s="199"/>
    </row>
    <row r="9657" spans="7:16" x14ac:dyDescent="0.2">
      <c r="G9657" s="199"/>
      <c r="I9657" s="199"/>
      <c r="K9657" s="199"/>
      <c r="M9657" s="199"/>
      <c r="N9657" s="200"/>
      <c r="P9657" s="199"/>
    </row>
    <row r="9658" spans="7:16" x14ac:dyDescent="0.2">
      <c r="G9658" s="199"/>
      <c r="I9658" s="199"/>
      <c r="K9658" s="199"/>
      <c r="M9658" s="199"/>
      <c r="N9658" s="200"/>
      <c r="P9658" s="199"/>
    </row>
    <row r="9659" spans="7:16" x14ac:dyDescent="0.2">
      <c r="G9659" s="199"/>
      <c r="I9659" s="199"/>
      <c r="K9659" s="199"/>
      <c r="M9659" s="199"/>
      <c r="N9659" s="200"/>
      <c r="P9659" s="199"/>
    </row>
    <row r="9660" spans="7:16" x14ac:dyDescent="0.2">
      <c r="G9660" s="199"/>
      <c r="I9660" s="199"/>
      <c r="K9660" s="199"/>
      <c r="M9660" s="199"/>
      <c r="N9660" s="200"/>
      <c r="P9660" s="199"/>
    </row>
    <row r="9661" spans="7:16" x14ac:dyDescent="0.2">
      <c r="G9661" s="199"/>
      <c r="I9661" s="199"/>
      <c r="K9661" s="199"/>
      <c r="M9661" s="199"/>
      <c r="N9661" s="200"/>
      <c r="P9661" s="199"/>
    </row>
    <row r="9662" spans="7:16" x14ac:dyDescent="0.2">
      <c r="G9662" s="199"/>
      <c r="I9662" s="199"/>
      <c r="K9662" s="199"/>
      <c r="M9662" s="199"/>
      <c r="N9662" s="200"/>
      <c r="P9662" s="199"/>
    </row>
    <row r="9663" spans="7:16" x14ac:dyDescent="0.2">
      <c r="G9663" s="199"/>
      <c r="I9663" s="199"/>
      <c r="K9663" s="199"/>
      <c r="M9663" s="199"/>
      <c r="N9663" s="200"/>
      <c r="P9663" s="199"/>
    </row>
    <row r="9664" spans="7:16" x14ac:dyDescent="0.2">
      <c r="G9664" s="199"/>
      <c r="I9664" s="199"/>
      <c r="K9664" s="199"/>
      <c r="M9664" s="199"/>
      <c r="N9664" s="200"/>
      <c r="P9664" s="199"/>
    </row>
    <row r="9665" spans="7:16" x14ac:dyDescent="0.2">
      <c r="G9665" s="199"/>
      <c r="I9665" s="199"/>
      <c r="K9665" s="199"/>
      <c r="M9665" s="199"/>
      <c r="N9665" s="200"/>
      <c r="P9665" s="199"/>
    </row>
    <row r="9666" spans="7:16" x14ac:dyDescent="0.2">
      <c r="G9666" s="199"/>
      <c r="I9666" s="199"/>
      <c r="K9666" s="199"/>
      <c r="M9666" s="199"/>
      <c r="N9666" s="200"/>
      <c r="P9666" s="199"/>
    </row>
    <row r="9667" spans="7:16" x14ac:dyDescent="0.2">
      <c r="G9667" s="199"/>
      <c r="I9667" s="199"/>
      <c r="K9667" s="199"/>
      <c r="M9667" s="199"/>
      <c r="N9667" s="200"/>
      <c r="P9667" s="199"/>
    </row>
    <row r="9668" spans="7:16" x14ac:dyDescent="0.2">
      <c r="G9668" s="199"/>
      <c r="I9668" s="199"/>
      <c r="K9668" s="199"/>
      <c r="M9668" s="199"/>
      <c r="N9668" s="200"/>
      <c r="P9668" s="199"/>
    </row>
    <row r="9669" spans="7:16" x14ac:dyDescent="0.2">
      <c r="G9669" s="199"/>
      <c r="I9669" s="199"/>
      <c r="K9669" s="199"/>
      <c r="M9669" s="199"/>
      <c r="N9669" s="200"/>
      <c r="P9669" s="199"/>
    </row>
    <row r="9670" spans="7:16" x14ac:dyDescent="0.2">
      <c r="G9670" s="199"/>
      <c r="I9670" s="199"/>
      <c r="K9670" s="199"/>
      <c r="M9670" s="199"/>
      <c r="N9670" s="200"/>
      <c r="P9670" s="199"/>
    </row>
    <row r="9671" spans="7:16" x14ac:dyDescent="0.2">
      <c r="G9671" s="199"/>
      <c r="I9671" s="199"/>
      <c r="K9671" s="199"/>
      <c r="M9671" s="199"/>
      <c r="N9671" s="200"/>
      <c r="P9671" s="199"/>
    </row>
    <row r="9672" spans="7:16" x14ac:dyDescent="0.2">
      <c r="G9672" s="199"/>
      <c r="I9672" s="199"/>
      <c r="K9672" s="199"/>
      <c r="M9672" s="199"/>
      <c r="N9672" s="200"/>
      <c r="P9672" s="199"/>
    </row>
    <row r="9673" spans="7:16" x14ac:dyDescent="0.2">
      <c r="G9673" s="199"/>
      <c r="I9673" s="199"/>
      <c r="K9673" s="199"/>
      <c r="M9673" s="199"/>
      <c r="N9673" s="200"/>
      <c r="P9673" s="199"/>
    </row>
    <row r="9674" spans="7:16" x14ac:dyDescent="0.2">
      <c r="G9674" s="199"/>
      <c r="I9674" s="199"/>
      <c r="K9674" s="199"/>
      <c r="M9674" s="199"/>
      <c r="N9674" s="200"/>
      <c r="P9674" s="199"/>
    </row>
    <row r="9675" spans="7:16" x14ac:dyDescent="0.2">
      <c r="G9675" s="199"/>
      <c r="I9675" s="199"/>
      <c r="K9675" s="199"/>
      <c r="M9675" s="199"/>
      <c r="N9675" s="200"/>
      <c r="P9675" s="199"/>
    </row>
    <row r="9676" spans="7:16" x14ac:dyDescent="0.2">
      <c r="G9676" s="199"/>
      <c r="I9676" s="199"/>
      <c r="K9676" s="199"/>
      <c r="M9676" s="199"/>
      <c r="N9676" s="200"/>
      <c r="P9676" s="199"/>
    </row>
    <row r="9677" spans="7:16" x14ac:dyDescent="0.2">
      <c r="G9677" s="199"/>
      <c r="I9677" s="199"/>
      <c r="K9677" s="199"/>
      <c r="M9677" s="199"/>
      <c r="N9677" s="200"/>
      <c r="P9677" s="199"/>
    </row>
    <row r="9678" spans="7:16" x14ac:dyDescent="0.2">
      <c r="G9678" s="199"/>
      <c r="I9678" s="199"/>
      <c r="K9678" s="199"/>
      <c r="M9678" s="199"/>
      <c r="N9678" s="200"/>
      <c r="P9678" s="199"/>
    </row>
    <row r="9679" spans="7:16" x14ac:dyDescent="0.2">
      <c r="G9679" s="199"/>
      <c r="I9679" s="199"/>
      <c r="K9679" s="199"/>
      <c r="M9679" s="199"/>
      <c r="N9679" s="200"/>
      <c r="P9679" s="199"/>
    </row>
    <row r="9680" spans="7:16" x14ac:dyDescent="0.2">
      <c r="G9680" s="199"/>
      <c r="I9680" s="199"/>
      <c r="K9680" s="199"/>
      <c r="M9680" s="199"/>
      <c r="N9680" s="200"/>
      <c r="P9680" s="199"/>
    </row>
    <row r="9681" spans="7:16" x14ac:dyDescent="0.2">
      <c r="G9681" s="199"/>
      <c r="I9681" s="199"/>
      <c r="K9681" s="199"/>
      <c r="M9681" s="199"/>
      <c r="N9681" s="200"/>
      <c r="P9681" s="199"/>
    </row>
    <row r="9682" spans="7:16" x14ac:dyDescent="0.2">
      <c r="G9682" s="199"/>
      <c r="I9682" s="199"/>
      <c r="K9682" s="199"/>
      <c r="M9682" s="199"/>
      <c r="N9682" s="200"/>
      <c r="P9682" s="199"/>
    </row>
    <row r="9683" spans="7:16" x14ac:dyDescent="0.2">
      <c r="G9683" s="199"/>
      <c r="I9683" s="199"/>
      <c r="K9683" s="199"/>
      <c r="M9683" s="199"/>
      <c r="N9683" s="200"/>
      <c r="P9683" s="199"/>
    </row>
    <row r="9684" spans="7:16" x14ac:dyDescent="0.2">
      <c r="G9684" s="199"/>
      <c r="I9684" s="199"/>
      <c r="K9684" s="199"/>
      <c r="M9684" s="199"/>
      <c r="N9684" s="200"/>
      <c r="P9684" s="199"/>
    </row>
    <row r="9685" spans="7:16" x14ac:dyDescent="0.2">
      <c r="G9685" s="199"/>
      <c r="I9685" s="199"/>
      <c r="K9685" s="199"/>
      <c r="M9685" s="199"/>
      <c r="N9685" s="200"/>
      <c r="P9685" s="199"/>
    </row>
    <row r="9686" spans="7:16" x14ac:dyDescent="0.2">
      <c r="G9686" s="199"/>
      <c r="I9686" s="199"/>
      <c r="K9686" s="199"/>
      <c r="M9686" s="199"/>
      <c r="N9686" s="200"/>
      <c r="P9686" s="199"/>
    </row>
    <row r="9687" spans="7:16" x14ac:dyDescent="0.2">
      <c r="G9687" s="199"/>
      <c r="I9687" s="199"/>
      <c r="K9687" s="199"/>
      <c r="M9687" s="199"/>
      <c r="N9687" s="200"/>
      <c r="P9687" s="199"/>
    </row>
    <row r="9688" spans="7:16" x14ac:dyDescent="0.2">
      <c r="G9688" s="199"/>
      <c r="I9688" s="199"/>
      <c r="K9688" s="199"/>
      <c r="M9688" s="199"/>
      <c r="N9688" s="200"/>
      <c r="P9688" s="199"/>
    </row>
    <row r="9689" spans="7:16" x14ac:dyDescent="0.2">
      <c r="G9689" s="199"/>
      <c r="I9689" s="199"/>
      <c r="K9689" s="199"/>
      <c r="M9689" s="199"/>
      <c r="N9689" s="200"/>
      <c r="P9689" s="199"/>
    </row>
    <row r="9690" spans="7:16" x14ac:dyDescent="0.2">
      <c r="G9690" s="199"/>
      <c r="I9690" s="199"/>
      <c r="K9690" s="199"/>
      <c r="M9690" s="199"/>
      <c r="N9690" s="200"/>
      <c r="P9690" s="199"/>
    </row>
    <row r="9691" spans="7:16" x14ac:dyDescent="0.2">
      <c r="G9691" s="199"/>
      <c r="I9691" s="199"/>
      <c r="K9691" s="199"/>
      <c r="M9691" s="199"/>
      <c r="N9691" s="200"/>
      <c r="P9691" s="199"/>
    </row>
    <row r="9692" spans="7:16" x14ac:dyDescent="0.2">
      <c r="G9692" s="199"/>
      <c r="I9692" s="199"/>
      <c r="K9692" s="199"/>
      <c r="M9692" s="199"/>
      <c r="N9692" s="200"/>
      <c r="P9692" s="199"/>
    </row>
    <row r="9693" spans="7:16" x14ac:dyDescent="0.2">
      <c r="G9693" s="199"/>
      <c r="I9693" s="199"/>
      <c r="K9693" s="199"/>
      <c r="M9693" s="199"/>
      <c r="N9693" s="200"/>
      <c r="P9693" s="199"/>
    </row>
    <row r="9694" spans="7:16" x14ac:dyDescent="0.2">
      <c r="G9694" s="199"/>
      <c r="I9694" s="199"/>
      <c r="K9694" s="199"/>
      <c r="M9694" s="199"/>
      <c r="N9694" s="200"/>
      <c r="P9694" s="199"/>
    </row>
    <row r="9695" spans="7:16" x14ac:dyDescent="0.2">
      <c r="G9695" s="199"/>
      <c r="I9695" s="199"/>
      <c r="K9695" s="199"/>
      <c r="M9695" s="199"/>
      <c r="N9695" s="200"/>
      <c r="P9695" s="199"/>
    </row>
    <row r="9696" spans="7:16" x14ac:dyDescent="0.2">
      <c r="G9696" s="199"/>
      <c r="I9696" s="199"/>
      <c r="K9696" s="199"/>
      <c r="M9696" s="199"/>
      <c r="N9696" s="200"/>
      <c r="P9696" s="199"/>
    </row>
    <row r="9697" spans="7:16" x14ac:dyDescent="0.2">
      <c r="G9697" s="199"/>
      <c r="I9697" s="199"/>
      <c r="K9697" s="199"/>
      <c r="M9697" s="199"/>
      <c r="N9697" s="200"/>
      <c r="P9697" s="199"/>
    </row>
    <row r="9698" spans="7:16" x14ac:dyDescent="0.2">
      <c r="G9698" s="199"/>
      <c r="I9698" s="199"/>
      <c r="K9698" s="199"/>
      <c r="M9698" s="199"/>
      <c r="N9698" s="200"/>
      <c r="P9698" s="199"/>
    </row>
    <row r="9699" spans="7:16" x14ac:dyDescent="0.2">
      <c r="G9699" s="199"/>
      <c r="I9699" s="199"/>
      <c r="K9699" s="199"/>
      <c r="M9699" s="199"/>
      <c r="N9699" s="200"/>
      <c r="P9699" s="199"/>
    </row>
    <row r="9700" spans="7:16" x14ac:dyDescent="0.2">
      <c r="G9700" s="199"/>
      <c r="I9700" s="199"/>
      <c r="K9700" s="199"/>
      <c r="M9700" s="199"/>
      <c r="N9700" s="200"/>
      <c r="P9700" s="199"/>
    </row>
    <row r="9701" spans="7:16" x14ac:dyDescent="0.2">
      <c r="G9701" s="199"/>
      <c r="I9701" s="199"/>
      <c r="K9701" s="199"/>
      <c r="M9701" s="199"/>
      <c r="N9701" s="200"/>
      <c r="P9701" s="199"/>
    </row>
    <row r="9702" spans="7:16" x14ac:dyDescent="0.2">
      <c r="G9702" s="199"/>
      <c r="I9702" s="199"/>
      <c r="K9702" s="199"/>
      <c r="M9702" s="199"/>
      <c r="N9702" s="200"/>
      <c r="P9702" s="199"/>
    </row>
    <row r="9703" spans="7:16" x14ac:dyDescent="0.2">
      <c r="G9703" s="199"/>
      <c r="I9703" s="199"/>
      <c r="K9703" s="199"/>
      <c r="M9703" s="199"/>
      <c r="N9703" s="200"/>
      <c r="P9703" s="199"/>
    </row>
    <row r="9704" spans="7:16" x14ac:dyDescent="0.2">
      <c r="G9704" s="199"/>
      <c r="I9704" s="199"/>
      <c r="K9704" s="199"/>
      <c r="M9704" s="199"/>
      <c r="N9704" s="200"/>
      <c r="P9704" s="199"/>
    </row>
    <row r="9705" spans="7:16" x14ac:dyDescent="0.2">
      <c r="G9705" s="199"/>
      <c r="I9705" s="199"/>
      <c r="K9705" s="199"/>
      <c r="M9705" s="199"/>
      <c r="N9705" s="200"/>
      <c r="P9705" s="199"/>
    </row>
    <row r="9706" spans="7:16" x14ac:dyDescent="0.2">
      <c r="G9706" s="199"/>
      <c r="I9706" s="199"/>
      <c r="K9706" s="199"/>
      <c r="M9706" s="199"/>
      <c r="N9706" s="200"/>
      <c r="P9706" s="199"/>
    </row>
    <row r="9707" spans="7:16" x14ac:dyDescent="0.2">
      <c r="G9707" s="199"/>
      <c r="I9707" s="199"/>
      <c r="K9707" s="199"/>
      <c r="M9707" s="199"/>
      <c r="N9707" s="200"/>
      <c r="P9707" s="199"/>
    </row>
    <row r="9708" spans="7:16" x14ac:dyDescent="0.2">
      <c r="G9708" s="199"/>
      <c r="I9708" s="199"/>
      <c r="K9708" s="199"/>
      <c r="M9708" s="199"/>
      <c r="N9708" s="200"/>
      <c r="P9708" s="199"/>
    </row>
    <row r="9709" spans="7:16" x14ac:dyDescent="0.2">
      <c r="G9709" s="199"/>
      <c r="I9709" s="199"/>
      <c r="K9709" s="199"/>
      <c r="M9709" s="199"/>
      <c r="N9709" s="200"/>
      <c r="P9709" s="199"/>
    </row>
    <row r="9710" spans="7:16" x14ac:dyDescent="0.2">
      <c r="G9710" s="199"/>
      <c r="I9710" s="199"/>
      <c r="K9710" s="199"/>
      <c r="M9710" s="199"/>
      <c r="N9710" s="200"/>
      <c r="P9710" s="199"/>
    </row>
    <row r="9711" spans="7:16" x14ac:dyDescent="0.2">
      <c r="G9711" s="199"/>
      <c r="I9711" s="199"/>
      <c r="K9711" s="199"/>
      <c r="M9711" s="199"/>
      <c r="N9711" s="200"/>
      <c r="P9711" s="199"/>
    </row>
    <row r="9712" spans="7:16" x14ac:dyDescent="0.2">
      <c r="G9712" s="199"/>
      <c r="I9712" s="199"/>
      <c r="K9712" s="199"/>
      <c r="M9712" s="199"/>
      <c r="N9712" s="200"/>
      <c r="P9712" s="199"/>
    </row>
    <row r="9713" spans="7:16" x14ac:dyDescent="0.2">
      <c r="G9713" s="199"/>
      <c r="I9713" s="199"/>
      <c r="K9713" s="199"/>
      <c r="M9713" s="199"/>
      <c r="N9713" s="200"/>
      <c r="P9713" s="199"/>
    </row>
    <row r="9714" spans="7:16" x14ac:dyDescent="0.2">
      <c r="G9714" s="199"/>
      <c r="I9714" s="199"/>
      <c r="K9714" s="199"/>
      <c r="M9714" s="199"/>
      <c r="N9714" s="200"/>
      <c r="P9714" s="199"/>
    </row>
    <row r="9715" spans="7:16" x14ac:dyDescent="0.2">
      <c r="G9715" s="199"/>
      <c r="I9715" s="199"/>
      <c r="K9715" s="199"/>
      <c r="M9715" s="199"/>
      <c r="N9715" s="200"/>
      <c r="P9715" s="199"/>
    </row>
    <row r="9716" spans="7:16" x14ac:dyDescent="0.2">
      <c r="G9716" s="199"/>
      <c r="I9716" s="199"/>
      <c r="K9716" s="199"/>
      <c r="M9716" s="199"/>
      <c r="N9716" s="200"/>
      <c r="P9716" s="199"/>
    </row>
    <row r="9717" spans="7:16" x14ac:dyDescent="0.2">
      <c r="G9717" s="199"/>
      <c r="I9717" s="199"/>
      <c r="K9717" s="199"/>
      <c r="M9717" s="199"/>
      <c r="N9717" s="200"/>
      <c r="P9717" s="199"/>
    </row>
    <row r="9718" spans="7:16" x14ac:dyDescent="0.2">
      <c r="G9718" s="199"/>
      <c r="I9718" s="199"/>
      <c r="K9718" s="199"/>
      <c r="M9718" s="199"/>
      <c r="N9718" s="200"/>
      <c r="P9718" s="199"/>
    </row>
    <row r="9719" spans="7:16" x14ac:dyDescent="0.2">
      <c r="G9719" s="199"/>
      <c r="I9719" s="199"/>
      <c r="K9719" s="199"/>
      <c r="M9719" s="199"/>
      <c r="N9719" s="200"/>
      <c r="P9719" s="199"/>
    </row>
    <row r="9720" spans="7:16" x14ac:dyDescent="0.2">
      <c r="G9720" s="199"/>
      <c r="I9720" s="199"/>
      <c r="K9720" s="199"/>
      <c r="M9720" s="199"/>
      <c r="N9720" s="200"/>
      <c r="P9720" s="199"/>
    </row>
    <row r="9721" spans="7:16" x14ac:dyDescent="0.2">
      <c r="G9721" s="199"/>
      <c r="I9721" s="199"/>
      <c r="K9721" s="199"/>
      <c r="M9721" s="199"/>
      <c r="N9721" s="200"/>
      <c r="P9721" s="199"/>
    </row>
    <row r="9722" spans="7:16" x14ac:dyDescent="0.2">
      <c r="G9722" s="199"/>
      <c r="I9722" s="199"/>
      <c r="K9722" s="199"/>
      <c r="M9722" s="199"/>
      <c r="N9722" s="200"/>
      <c r="P9722" s="199"/>
    </row>
    <row r="9723" spans="7:16" x14ac:dyDescent="0.2">
      <c r="G9723" s="199"/>
      <c r="I9723" s="199"/>
      <c r="K9723" s="199"/>
      <c r="M9723" s="199"/>
      <c r="N9723" s="200"/>
      <c r="P9723" s="199"/>
    </row>
    <row r="9724" spans="7:16" x14ac:dyDescent="0.2">
      <c r="G9724" s="199"/>
      <c r="I9724" s="199"/>
      <c r="K9724" s="199"/>
      <c r="M9724" s="199"/>
      <c r="N9724" s="200"/>
      <c r="P9724" s="199"/>
    </row>
    <row r="9725" spans="7:16" x14ac:dyDescent="0.2">
      <c r="G9725" s="199"/>
      <c r="I9725" s="199"/>
      <c r="K9725" s="199"/>
      <c r="M9725" s="199"/>
      <c r="N9725" s="200"/>
      <c r="P9725" s="199"/>
    </row>
    <row r="9726" spans="7:16" x14ac:dyDescent="0.2">
      <c r="G9726" s="199"/>
      <c r="I9726" s="199"/>
      <c r="K9726" s="199"/>
      <c r="M9726" s="199"/>
      <c r="N9726" s="200"/>
      <c r="P9726" s="199"/>
    </row>
    <row r="9727" spans="7:16" x14ac:dyDescent="0.2">
      <c r="G9727" s="199"/>
      <c r="I9727" s="199"/>
      <c r="K9727" s="199"/>
      <c r="M9727" s="199"/>
      <c r="N9727" s="200"/>
      <c r="P9727" s="199"/>
    </row>
    <row r="9728" spans="7:16" x14ac:dyDescent="0.2">
      <c r="G9728" s="199"/>
      <c r="I9728" s="199"/>
      <c r="K9728" s="199"/>
      <c r="M9728" s="199"/>
      <c r="N9728" s="200"/>
      <c r="P9728" s="199"/>
    </row>
    <row r="9729" spans="7:16" x14ac:dyDescent="0.2">
      <c r="G9729" s="199"/>
      <c r="I9729" s="199"/>
      <c r="K9729" s="199"/>
      <c r="M9729" s="199"/>
      <c r="N9729" s="200"/>
      <c r="P9729" s="199"/>
    </row>
    <row r="9730" spans="7:16" x14ac:dyDescent="0.2">
      <c r="G9730" s="199"/>
      <c r="I9730" s="199"/>
      <c r="K9730" s="199"/>
      <c r="M9730" s="199"/>
      <c r="N9730" s="200"/>
      <c r="P9730" s="199"/>
    </row>
    <row r="9731" spans="7:16" x14ac:dyDescent="0.2">
      <c r="G9731" s="199"/>
      <c r="I9731" s="199"/>
      <c r="K9731" s="199"/>
      <c r="M9731" s="199"/>
      <c r="N9731" s="200"/>
      <c r="P9731" s="199"/>
    </row>
    <row r="9732" spans="7:16" x14ac:dyDescent="0.2">
      <c r="G9732" s="199"/>
      <c r="I9732" s="199"/>
      <c r="K9732" s="199"/>
      <c r="M9732" s="199"/>
      <c r="N9732" s="200"/>
      <c r="P9732" s="199"/>
    </row>
    <row r="9733" spans="7:16" x14ac:dyDescent="0.2">
      <c r="G9733" s="199"/>
      <c r="I9733" s="199"/>
      <c r="K9733" s="199"/>
      <c r="M9733" s="199"/>
      <c r="N9733" s="200"/>
      <c r="P9733" s="199"/>
    </row>
    <row r="9734" spans="7:16" x14ac:dyDescent="0.2">
      <c r="G9734" s="199"/>
      <c r="I9734" s="199"/>
      <c r="K9734" s="199"/>
      <c r="M9734" s="199"/>
      <c r="N9734" s="200"/>
      <c r="P9734" s="199"/>
    </row>
    <row r="9735" spans="7:16" x14ac:dyDescent="0.2">
      <c r="G9735" s="199"/>
      <c r="I9735" s="199"/>
      <c r="K9735" s="199"/>
      <c r="M9735" s="199"/>
      <c r="N9735" s="200"/>
      <c r="P9735" s="199"/>
    </row>
    <row r="9736" spans="7:16" x14ac:dyDescent="0.2">
      <c r="G9736" s="199"/>
      <c r="I9736" s="199"/>
      <c r="K9736" s="199"/>
      <c r="M9736" s="199"/>
      <c r="N9736" s="200"/>
      <c r="P9736" s="199"/>
    </row>
    <row r="9737" spans="7:16" x14ac:dyDescent="0.2">
      <c r="G9737" s="199"/>
      <c r="I9737" s="199"/>
      <c r="K9737" s="199"/>
      <c r="M9737" s="199"/>
      <c r="N9737" s="200"/>
      <c r="P9737" s="199"/>
    </row>
    <row r="9738" spans="7:16" x14ac:dyDescent="0.2">
      <c r="G9738" s="199"/>
      <c r="I9738" s="199"/>
      <c r="K9738" s="199"/>
      <c r="M9738" s="199"/>
      <c r="N9738" s="200"/>
      <c r="P9738" s="199"/>
    </row>
    <row r="9739" spans="7:16" x14ac:dyDescent="0.2">
      <c r="G9739" s="199"/>
      <c r="I9739" s="199"/>
      <c r="K9739" s="199"/>
      <c r="M9739" s="199"/>
      <c r="N9739" s="200"/>
      <c r="P9739" s="199"/>
    </row>
    <row r="9740" spans="7:16" x14ac:dyDescent="0.2">
      <c r="G9740" s="199"/>
      <c r="I9740" s="199"/>
      <c r="K9740" s="199"/>
      <c r="M9740" s="199"/>
      <c r="N9740" s="200"/>
      <c r="P9740" s="199"/>
    </row>
    <row r="9741" spans="7:16" x14ac:dyDescent="0.2">
      <c r="G9741" s="199"/>
      <c r="I9741" s="199"/>
      <c r="K9741" s="199"/>
      <c r="M9741" s="199"/>
      <c r="N9741" s="200"/>
      <c r="P9741" s="199"/>
    </row>
    <row r="9742" spans="7:16" x14ac:dyDescent="0.2">
      <c r="G9742" s="199"/>
      <c r="I9742" s="199"/>
      <c r="K9742" s="199"/>
      <c r="M9742" s="199"/>
      <c r="N9742" s="200"/>
      <c r="P9742" s="199"/>
    </row>
    <row r="9743" spans="7:16" x14ac:dyDescent="0.2">
      <c r="G9743" s="199"/>
      <c r="I9743" s="199"/>
      <c r="K9743" s="199"/>
      <c r="M9743" s="199"/>
      <c r="N9743" s="200"/>
      <c r="P9743" s="199"/>
    </row>
    <row r="9744" spans="7:16" x14ac:dyDescent="0.2">
      <c r="G9744" s="199"/>
      <c r="I9744" s="199"/>
      <c r="K9744" s="199"/>
      <c r="M9744" s="199"/>
      <c r="N9744" s="200"/>
      <c r="P9744" s="199"/>
    </row>
    <row r="9745" spans="7:16" x14ac:dyDescent="0.2">
      <c r="G9745" s="199"/>
      <c r="I9745" s="199"/>
      <c r="K9745" s="199"/>
      <c r="M9745" s="199"/>
      <c r="N9745" s="200"/>
      <c r="P9745" s="199"/>
    </row>
    <row r="9746" spans="7:16" x14ac:dyDescent="0.2">
      <c r="G9746" s="199"/>
      <c r="I9746" s="199"/>
      <c r="K9746" s="199"/>
      <c r="M9746" s="199"/>
      <c r="N9746" s="200"/>
      <c r="P9746" s="199"/>
    </row>
    <row r="9747" spans="7:16" x14ac:dyDescent="0.2">
      <c r="G9747" s="199"/>
      <c r="I9747" s="199"/>
      <c r="K9747" s="199"/>
      <c r="M9747" s="199"/>
      <c r="N9747" s="200"/>
      <c r="P9747" s="199"/>
    </row>
    <row r="9748" spans="7:16" x14ac:dyDescent="0.2">
      <c r="G9748" s="199"/>
      <c r="I9748" s="199"/>
      <c r="K9748" s="199"/>
      <c r="M9748" s="199"/>
      <c r="N9748" s="200"/>
      <c r="P9748" s="199"/>
    </row>
    <row r="9749" spans="7:16" x14ac:dyDescent="0.2">
      <c r="G9749" s="199"/>
      <c r="I9749" s="199"/>
      <c r="K9749" s="199"/>
      <c r="M9749" s="199"/>
      <c r="N9749" s="200"/>
      <c r="P9749" s="199"/>
    </row>
    <row r="9750" spans="7:16" x14ac:dyDescent="0.2">
      <c r="G9750" s="199"/>
      <c r="I9750" s="199"/>
      <c r="K9750" s="199"/>
      <c r="M9750" s="199"/>
      <c r="N9750" s="200"/>
      <c r="P9750" s="199"/>
    </row>
    <row r="9751" spans="7:16" x14ac:dyDescent="0.2">
      <c r="G9751" s="199"/>
      <c r="I9751" s="199"/>
      <c r="K9751" s="199"/>
      <c r="M9751" s="199"/>
      <c r="N9751" s="200"/>
      <c r="P9751" s="199"/>
    </row>
    <row r="9752" spans="7:16" x14ac:dyDescent="0.2">
      <c r="G9752" s="199"/>
      <c r="I9752" s="199"/>
      <c r="K9752" s="199"/>
      <c r="M9752" s="199"/>
      <c r="N9752" s="200"/>
      <c r="P9752" s="199"/>
    </row>
    <row r="9753" spans="7:16" x14ac:dyDescent="0.2">
      <c r="G9753" s="199"/>
      <c r="I9753" s="199"/>
      <c r="K9753" s="199"/>
      <c r="M9753" s="199"/>
      <c r="N9753" s="200"/>
      <c r="P9753" s="199"/>
    </row>
    <row r="9754" spans="7:16" x14ac:dyDescent="0.2">
      <c r="G9754" s="199"/>
      <c r="I9754" s="199"/>
      <c r="K9754" s="199"/>
      <c r="M9754" s="199"/>
      <c r="N9754" s="200"/>
      <c r="P9754" s="199"/>
    </row>
    <row r="9755" spans="7:16" x14ac:dyDescent="0.2">
      <c r="G9755" s="199"/>
      <c r="I9755" s="199"/>
      <c r="K9755" s="199"/>
      <c r="M9755" s="199"/>
      <c r="N9755" s="200"/>
      <c r="P9755" s="199"/>
    </row>
    <row r="9756" spans="7:16" x14ac:dyDescent="0.2">
      <c r="G9756" s="199"/>
      <c r="I9756" s="199"/>
      <c r="K9756" s="199"/>
      <c r="M9756" s="199"/>
      <c r="N9756" s="200"/>
      <c r="P9756" s="199"/>
    </row>
    <row r="9757" spans="7:16" x14ac:dyDescent="0.2">
      <c r="G9757" s="199"/>
      <c r="I9757" s="199"/>
      <c r="K9757" s="199"/>
      <c r="M9757" s="199"/>
      <c r="N9757" s="200"/>
      <c r="P9757" s="199"/>
    </row>
    <row r="9758" spans="7:16" x14ac:dyDescent="0.2">
      <c r="G9758" s="199"/>
      <c r="I9758" s="199"/>
      <c r="K9758" s="199"/>
      <c r="M9758" s="199"/>
      <c r="N9758" s="200"/>
      <c r="P9758" s="199"/>
    </row>
    <row r="9759" spans="7:16" x14ac:dyDescent="0.2">
      <c r="G9759" s="199"/>
      <c r="I9759" s="199"/>
      <c r="K9759" s="199"/>
      <c r="M9759" s="199"/>
      <c r="N9759" s="200"/>
      <c r="P9759" s="199"/>
    </row>
    <row r="9760" spans="7:16" x14ac:dyDescent="0.2">
      <c r="G9760" s="199"/>
      <c r="I9760" s="199"/>
      <c r="K9760" s="199"/>
      <c r="M9760" s="199"/>
      <c r="N9760" s="200"/>
      <c r="P9760" s="199"/>
    </row>
    <row r="9761" spans="7:16" x14ac:dyDescent="0.2">
      <c r="G9761" s="199"/>
      <c r="I9761" s="199"/>
      <c r="K9761" s="199"/>
      <c r="M9761" s="199"/>
      <c r="N9761" s="200"/>
      <c r="P9761" s="199"/>
    </row>
    <row r="9762" spans="7:16" x14ac:dyDescent="0.2">
      <c r="G9762" s="199"/>
      <c r="I9762" s="199"/>
      <c r="K9762" s="199"/>
      <c r="M9762" s="199"/>
      <c r="N9762" s="200"/>
      <c r="P9762" s="199"/>
    </row>
    <row r="9763" spans="7:16" x14ac:dyDescent="0.2">
      <c r="G9763" s="199"/>
      <c r="I9763" s="199"/>
      <c r="K9763" s="199"/>
      <c r="M9763" s="199"/>
      <c r="N9763" s="200"/>
      <c r="P9763" s="199"/>
    </row>
    <row r="9764" spans="7:16" x14ac:dyDescent="0.2">
      <c r="G9764" s="199"/>
      <c r="I9764" s="199"/>
      <c r="K9764" s="199"/>
      <c r="M9764" s="199"/>
      <c r="N9764" s="200"/>
      <c r="P9764" s="199"/>
    </row>
    <row r="9765" spans="7:16" x14ac:dyDescent="0.2">
      <c r="G9765" s="199"/>
      <c r="I9765" s="199"/>
      <c r="K9765" s="199"/>
      <c r="M9765" s="199"/>
      <c r="N9765" s="200"/>
      <c r="P9765" s="199"/>
    </row>
    <row r="9766" spans="7:16" x14ac:dyDescent="0.2">
      <c r="G9766" s="199"/>
      <c r="I9766" s="199"/>
      <c r="K9766" s="199"/>
      <c r="M9766" s="199"/>
      <c r="N9766" s="200"/>
      <c r="P9766" s="199"/>
    </row>
    <row r="9767" spans="7:16" x14ac:dyDescent="0.2">
      <c r="G9767" s="199"/>
      <c r="I9767" s="199"/>
      <c r="K9767" s="199"/>
      <c r="M9767" s="199"/>
      <c r="N9767" s="200"/>
      <c r="P9767" s="199"/>
    </row>
    <row r="9768" spans="7:16" x14ac:dyDescent="0.2">
      <c r="G9768" s="199"/>
      <c r="I9768" s="199"/>
      <c r="K9768" s="199"/>
      <c r="M9768" s="199"/>
      <c r="N9768" s="200"/>
      <c r="P9768" s="199"/>
    </row>
    <row r="9769" spans="7:16" x14ac:dyDescent="0.2">
      <c r="G9769" s="199"/>
      <c r="I9769" s="199"/>
      <c r="K9769" s="199"/>
      <c r="M9769" s="199"/>
      <c r="N9769" s="200"/>
      <c r="P9769" s="199"/>
    </row>
    <row r="9770" spans="7:16" x14ac:dyDescent="0.2">
      <c r="G9770" s="199"/>
      <c r="I9770" s="199"/>
      <c r="K9770" s="199"/>
      <c r="M9770" s="199"/>
      <c r="N9770" s="200"/>
      <c r="P9770" s="199"/>
    </row>
    <row r="9771" spans="7:16" x14ac:dyDescent="0.2">
      <c r="G9771" s="199"/>
      <c r="I9771" s="199"/>
      <c r="K9771" s="199"/>
      <c r="M9771" s="199"/>
      <c r="N9771" s="200"/>
      <c r="P9771" s="199"/>
    </row>
    <row r="9772" spans="7:16" x14ac:dyDescent="0.2">
      <c r="G9772" s="199"/>
      <c r="I9772" s="199"/>
      <c r="K9772" s="199"/>
      <c r="M9772" s="199"/>
      <c r="N9772" s="200"/>
      <c r="P9772" s="199"/>
    </row>
    <row r="9773" spans="7:16" x14ac:dyDescent="0.2">
      <c r="G9773" s="199"/>
      <c r="I9773" s="199"/>
      <c r="K9773" s="199"/>
      <c r="M9773" s="199"/>
      <c r="N9773" s="200"/>
      <c r="P9773" s="199"/>
    </row>
    <row r="9774" spans="7:16" x14ac:dyDescent="0.2">
      <c r="G9774" s="199"/>
      <c r="I9774" s="199"/>
      <c r="K9774" s="199"/>
      <c r="M9774" s="199"/>
      <c r="N9774" s="200"/>
      <c r="P9774" s="199"/>
    </row>
    <row r="9775" spans="7:16" x14ac:dyDescent="0.2">
      <c r="G9775" s="199"/>
      <c r="I9775" s="199"/>
      <c r="K9775" s="199"/>
      <c r="M9775" s="199"/>
      <c r="N9775" s="200"/>
      <c r="P9775" s="199"/>
    </row>
    <row r="9776" spans="7:16" x14ac:dyDescent="0.2">
      <c r="G9776" s="199"/>
      <c r="I9776" s="199"/>
      <c r="K9776" s="199"/>
      <c r="M9776" s="199"/>
      <c r="N9776" s="200"/>
      <c r="P9776" s="199"/>
    </row>
    <row r="9777" spans="7:16" x14ac:dyDescent="0.2">
      <c r="G9777" s="199"/>
      <c r="I9777" s="199"/>
      <c r="K9777" s="199"/>
      <c r="M9777" s="199"/>
      <c r="N9777" s="200"/>
      <c r="P9777" s="199"/>
    </row>
    <row r="9778" spans="7:16" x14ac:dyDescent="0.2">
      <c r="G9778" s="199"/>
      <c r="I9778" s="199"/>
      <c r="K9778" s="199"/>
      <c r="M9778" s="199"/>
      <c r="N9778" s="200"/>
      <c r="P9778" s="199"/>
    </row>
    <row r="9779" spans="7:16" x14ac:dyDescent="0.2">
      <c r="G9779" s="199"/>
      <c r="I9779" s="199"/>
      <c r="K9779" s="199"/>
      <c r="M9779" s="199"/>
      <c r="N9779" s="200"/>
      <c r="P9779" s="199"/>
    </row>
    <row r="9780" spans="7:16" x14ac:dyDescent="0.2">
      <c r="G9780" s="199"/>
      <c r="I9780" s="199"/>
      <c r="K9780" s="199"/>
      <c r="M9780" s="199"/>
      <c r="N9780" s="200"/>
      <c r="P9780" s="199"/>
    </row>
    <row r="9781" spans="7:16" x14ac:dyDescent="0.2">
      <c r="G9781" s="199"/>
      <c r="I9781" s="199"/>
      <c r="K9781" s="199"/>
      <c r="M9781" s="199"/>
      <c r="N9781" s="200"/>
      <c r="P9781" s="199"/>
    </row>
    <row r="9782" spans="7:16" x14ac:dyDescent="0.2">
      <c r="G9782" s="199"/>
      <c r="I9782" s="199"/>
      <c r="K9782" s="199"/>
      <c r="M9782" s="199"/>
      <c r="N9782" s="200"/>
      <c r="P9782" s="199"/>
    </row>
    <row r="9783" spans="7:16" x14ac:dyDescent="0.2">
      <c r="G9783" s="199"/>
      <c r="I9783" s="199"/>
      <c r="K9783" s="199"/>
      <c r="M9783" s="199"/>
      <c r="N9783" s="200"/>
      <c r="P9783" s="199"/>
    </row>
    <row r="9784" spans="7:16" x14ac:dyDescent="0.2">
      <c r="G9784" s="199"/>
      <c r="I9784" s="199"/>
      <c r="K9784" s="199"/>
      <c r="M9784" s="199"/>
      <c r="N9784" s="200"/>
      <c r="P9784" s="199"/>
    </row>
    <row r="9785" spans="7:16" x14ac:dyDescent="0.2">
      <c r="G9785" s="199"/>
      <c r="I9785" s="199"/>
      <c r="K9785" s="199"/>
      <c r="M9785" s="199"/>
      <c r="N9785" s="200"/>
      <c r="P9785" s="199"/>
    </row>
    <row r="9786" spans="7:16" x14ac:dyDescent="0.2">
      <c r="G9786" s="199"/>
      <c r="I9786" s="199"/>
      <c r="K9786" s="199"/>
      <c r="M9786" s="199"/>
      <c r="N9786" s="200"/>
      <c r="P9786" s="199"/>
    </row>
    <row r="9787" spans="7:16" x14ac:dyDescent="0.2">
      <c r="G9787" s="199"/>
      <c r="I9787" s="199"/>
      <c r="K9787" s="199"/>
      <c r="M9787" s="199"/>
      <c r="N9787" s="200"/>
      <c r="P9787" s="199"/>
    </row>
    <row r="9788" spans="7:16" x14ac:dyDescent="0.2">
      <c r="G9788" s="199"/>
      <c r="I9788" s="199"/>
      <c r="K9788" s="199"/>
      <c r="M9788" s="199"/>
      <c r="N9788" s="200"/>
      <c r="P9788" s="199"/>
    </row>
    <row r="9789" spans="7:16" x14ac:dyDescent="0.2">
      <c r="G9789" s="199"/>
      <c r="I9789" s="199"/>
      <c r="K9789" s="199"/>
      <c r="M9789" s="199"/>
      <c r="N9789" s="200"/>
      <c r="P9789" s="199"/>
    </row>
    <row r="9790" spans="7:16" x14ac:dyDescent="0.2">
      <c r="G9790" s="199"/>
      <c r="I9790" s="199"/>
      <c r="K9790" s="199"/>
      <c r="M9790" s="199"/>
      <c r="N9790" s="200"/>
      <c r="P9790" s="199"/>
    </row>
    <row r="9791" spans="7:16" x14ac:dyDescent="0.2">
      <c r="G9791" s="199"/>
      <c r="I9791" s="199"/>
      <c r="K9791" s="199"/>
      <c r="M9791" s="199"/>
      <c r="N9791" s="200"/>
      <c r="P9791" s="199"/>
    </row>
    <row r="9792" spans="7:16" x14ac:dyDescent="0.2">
      <c r="G9792" s="199"/>
      <c r="I9792" s="199"/>
      <c r="K9792" s="199"/>
      <c r="M9792" s="199"/>
      <c r="N9792" s="200"/>
      <c r="P9792" s="199"/>
    </row>
    <row r="9793" spans="7:16" x14ac:dyDescent="0.2">
      <c r="G9793" s="199"/>
      <c r="I9793" s="199"/>
      <c r="K9793" s="199"/>
      <c r="M9793" s="199"/>
      <c r="N9793" s="200"/>
      <c r="P9793" s="199"/>
    </row>
    <row r="9794" spans="7:16" x14ac:dyDescent="0.2">
      <c r="G9794" s="199"/>
      <c r="I9794" s="199"/>
      <c r="K9794" s="199"/>
      <c r="M9794" s="199"/>
      <c r="N9794" s="200"/>
      <c r="P9794" s="199"/>
    </row>
    <row r="9795" spans="7:16" x14ac:dyDescent="0.2">
      <c r="G9795" s="199"/>
      <c r="I9795" s="199"/>
      <c r="K9795" s="199"/>
      <c r="M9795" s="199"/>
      <c r="N9795" s="200"/>
      <c r="P9795" s="199"/>
    </row>
    <row r="9796" spans="7:16" x14ac:dyDescent="0.2">
      <c r="G9796" s="199"/>
      <c r="I9796" s="199"/>
      <c r="K9796" s="199"/>
      <c r="M9796" s="199"/>
      <c r="N9796" s="200"/>
      <c r="P9796" s="199"/>
    </row>
    <row r="9797" spans="7:16" x14ac:dyDescent="0.2">
      <c r="G9797" s="199"/>
      <c r="I9797" s="199"/>
      <c r="K9797" s="199"/>
      <c r="M9797" s="199"/>
      <c r="N9797" s="200"/>
      <c r="P9797" s="199"/>
    </row>
    <row r="9798" spans="7:16" x14ac:dyDescent="0.2">
      <c r="G9798" s="199"/>
      <c r="I9798" s="199"/>
      <c r="K9798" s="199"/>
      <c r="M9798" s="199"/>
      <c r="N9798" s="200"/>
      <c r="P9798" s="199"/>
    </row>
    <row r="9799" spans="7:16" x14ac:dyDescent="0.2">
      <c r="G9799" s="199"/>
      <c r="I9799" s="199"/>
      <c r="K9799" s="199"/>
      <c r="M9799" s="199"/>
      <c r="N9799" s="200"/>
      <c r="P9799" s="199"/>
    </row>
    <row r="9800" spans="7:16" x14ac:dyDescent="0.2">
      <c r="G9800" s="199"/>
      <c r="I9800" s="199"/>
      <c r="K9800" s="199"/>
      <c r="M9800" s="199"/>
      <c r="N9800" s="200"/>
      <c r="P9800" s="199"/>
    </row>
    <row r="9801" spans="7:16" x14ac:dyDescent="0.2">
      <c r="G9801" s="199"/>
      <c r="I9801" s="199"/>
      <c r="K9801" s="199"/>
      <c r="M9801" s="199"/>
      <c r="N9801" s="200"/>
      <c r="P9801" s="199"/>
    </row>
    <row r="9802" spans="7:16" x14ac:dyDescent="0.2">
      <c r="G9802" s="199"/>
      <c r="I9802" s="199"/>
      <c r="K9802" s="199"/>
      <c r="M9802" s="199"/>
      <c r="N9802" s="200"/>
      <c r="P9802" s="199"/>
    </row>
    <row r="9803" spans="7:16" x14ac:dyDescent="0.2">
      <c r="G9803" s="199"/>
      <c r="I9803" s="199"/>
      <c r="K9803" s="199"/>
      <c r="M9803" s="199"/>
      <c r="N9803" s="200"/>
      <c r="P9803" s="199"/>
    </row>
    <row r="9804" spans="7:16" x14ac:dyDescent="0.2">
      <c r="G9804" s="199"/>
      <c r="I9804" s="199"/>
      <c r="K9804" s="199"/>
      <c r="M9804" s="199"/>
      <c r="N9804" s="200"/>
      <c r="P9804" s="199"/>
    </row>
    <row r="9805" spans="7:16" x14ac:dyDescent="0.2">
      <c r="G9805" s="199"/>
      <c r="I9805" s="199"/>
      <c r="K9805" s="199"/>
      <c r="M9805" s="199"/>
      <c r="N9805" s="200"/>
      <c r="P9805" s="199"/>
    </row>
    <row r="9806" spans="7:16" x14ac:dyDescent="0.2">
      <c r="G9806" s="199"/>
      <c r="I9806" s="199"/>
      <c r="K9806" s="199"/>
      <c r="M9806" s="199"/>
      <c r="N9806" s="200"/>
      <c r="P9806" s="199"/>
    </row>
    <row r="9807" spans="7:16" x14ac:dyDescent="0.2">
      <c r="G9807" s="199"/>
      <c r="I9807" s="199"/>
      <c r="K9807" s="199"/>
      <c r="M9807" s="199"/>
      <c r="N9807" s="200"/>
      <c r="P9807" s="199"/>
    </row>
    <row r="9808" spans="7:16" x14ac:dyDescent="0.2">
      <c r="G9808" s="199"/>
      <c r="I9808" s="199"/>
      <c r="K9808" s="199"/>
      <c r="M9808" s="199"/>
      <c r="N9808" s="200"/>
      <c r="P9808" s="199"/>
    </row>
    <row r="9809" spans="7:16" x14ac:dyDescent="0.2">
      <c r="G9809" s="199"/>
      <c r="I9809" s="199"/>
      <c r="K9809" s="199"/>
      <c r="M9809" s="199"/>
      <c r="N9809" s="200"/>
      <c r="P9809" s="199"/>
    </row>
    <row r="9810" spans="7:16" x14ac:dyDescent="0.2">
      <c r="G9810" s="199"/>
      <c r="I9810" s="199"/>
      <c r="K9810" s="199"/>
      <c r="M9810" s="199"/>
      <c r="N9810" s="200"/>
      <c r="P9810" s="199"/>
    </row>
    <row r="9811" spans="7:16" x14ac:dyDescent="0.2">
      <c r="G9811" s="199"/>
      <c r="I9811" s="199"/>
      <c r="K9811" s="199"/>
      <c r="M9811" s="199"/>
      <c r="N9811" s="200"/>
      <c r="P9811" s="199"/>
    </row>
    <row r="9812" spans="7:16" x14ac:dyDescent="0.2">
      <c r="G9812" s="199"/>
      <c r="I9812" s="199"/>
      <c r="K9812" s="199"/>
      <c r="M9812" s="199"/>
      <c r="N9812" s="200"/>
      <c r="P9812" s="199"/>
    </row>
    <row r="9813" spans="7:16" x14ac:dyDescent="0.2">
      <c r="G9813" s="199"/>
      <c r="I9813" s="199"/>
      <c r="K9813" s="199"/>
      <c r="M9813" s="199"/>
      <c r="N9813" s="200"/>
      <c r="P9813" s="199"/>
    </row>
    <row r="9814" spans="7:16" x14ac:dyDescent="0.2">
      <c r="G9814" s="199"/>
      <c r="I9814" s="199"/>
      <c r="K9814" s="199"/>
      <c r="M9814" s="199"/>
      <c r="N9814" s="200"/>
      <c r="P9814" s="199"/>
    </row>
    <row r="9815" spans="7:16" x14ac:dyDescent="0.2">
      <c r="G9815" s="199"/>
      <c r="I9815" s="199"/>
      <c r="K9815" s="199"/>
      <c r="M9815" s="199"/>
      <c r="N9815" s="200"/>
      <c r="P9815" s="199"/>
    </row>
    <row r="9816" spans="7:16" x14ac:dyDescent="0.2">
      <c r="G9816" s="199"/>
      <c r="I9816" s="199"/>
      <c r="K9816" s="199"/>
      <c r="M9816" s="199"/>
      <c r="N9816" s="200"/>
      <c r="P9816" s="199"/>
    </row>
    <row r="9817" spans="7:16" x14ac:dyDescent="0.2">
      <c r="G9817" s="199"/>
      <c r="I9817" s="199"/>
      <c r="K9817" s="199"/>
      <c r="M9817" s="199"/>
      <c r="N9817" s="200"/>
      <c r="P9817" s="199"/>
    </row>
    <row r="9818" spans="7:16" x14ac:dyDescent="0.2">
      <c r="G9818" s="199"/>
      <c r="I9818" s="199"/>
      <c r="K9818" s="199"/>
      <c r="M9818" s="199"/>
      <c r="N9818" s="200"/>
      <c r="P9818" s="199"/>
    </row>
    <row r="9819" spans="7:16" x14ac:dyDescent="0.2">
      <c r="G9819" s="199"/>
      <c r="I9819" s="199"/>
      <c r="K9819" s="199"/>
      <c r="M9819" s="199"/>
      <c r="N9819" s="200"/>
      <c r="P9819" s="199"/>
    </row>
    <row r="9820" spans="7:16" x14ac:dyDescent="0.2">
      <c r="G9820" s="199"/>
      <c r="I9820" s="199"/>
      <c r="K9820" s="199"/>
      <c r="M9820" s="199"/>
      <c r="N9820" s="200"/>
      <c r="P9820" s="199"/>
    </row>
    <row r="9821" spans="7:16" x14ac:dyDescent="0.2">
      <c r="G9821" s="199"/>
      <c r="I9821" s="199"/>
      <c r="K9821" s="199"/>
      <c r="M9821" s="199"/>
      <c r="N9821" s="200"/>
      <c r="P9821" s="199"/>
    </row>
    <row r="9822" spans="7:16" x14ac:dyDescent="0.2">
      <c r="G9822" s="199"/>
      <c r="I9822" s="199"/>
      <c r="K9822" s="199"/>
      <c r="M9822" s="199"/>
      <c r="N9822" s="200"/>
      <c r="P9822" s="199"/>
    </row>
    <row r="9823" spans="7:16" x14ac:dyDescent="0.2">
      <c r="G9823" s="199"/>
      <c r="I9823" s="199"/>
      <c r="K9823" s="199"/>
      <c r="M9823" s="199"/>
      <c r="N9823" s="200"/>
      <c r="P9823" s="199"/>
    </row>
    <row r="9824" spans="7:16" x14ac:dyDescent="0.2">
      <c r="G9824" s="199"/>
      <c r="I9824" s="199"/>
      <c r="K9824" s="199"/>
      <c r="M9824" s="199"/>
      <c r="N9824" s="200"/>
      <c r="P9824" s="199"/>
    </row>
    <row r="9825" spans="7:16" x14ac:dyDescent="0.2">
      <c r="G9825" s="199"/>
      <c r="I9825" s="199"/>
      <c r="K9825" s="199"/>
      <c r="M9825" s="199"/>
      <c r="N9825" s="200"/>
      <c r="P9825" s="199"/>
    </row>
    <row r="9826" spans="7:16" x14ac:dyDescent="0.2">
      <c r="G9826" s="199"/>
      <c r="I9826" s="199"/>
      <c r="K9826" s="199"/>
      <c r="M9826" s="199"/>
      <c r="N9826" s="200"/>
      <c r="P9826" s="199"/>
    </row>
    <row r="9827" spans="7:16" x14ac:dyDescent="0.2">
      <c r="G9827" s="199"/>
      <c r="I9827" s="199"/>
      <c r="K9827" s="199"/>
      <c r="M9827" s="199"/>
      <c r="N9827" s="200"/>
      <c r="P9827" s="199"/>
    </row>
    <row r="9828" spans="7:16" x14ac:dyDescent="0.2">
      <c r="G9828" s="199"/>
      <c r="I9828" s="199"/>
      <c r="K9828" s="199"/>
      <c r="M9828" s="199"/>
      <c r="N9828" s="200"/>
      <c r="P9828" s="199"/>
    </row>
    <row r="9829" spans="7:16" x14ac:dyDescent="0.2">
      <c r="G9829" s="199"/>
      <c r="I9829" s="199"/>
      <c r="K9829" s="199"/>
      <c r="M9829" s="199"/>
      <c r="N9829" s="200"/>
      <c r="P9829" s="199"/>
    </row>
    <row r="9830" spans="7:16" x14ac:dyDescent="0.2">
      <c r="G9830" s="199"/>
      <c r="I9830" s="199"/>
      <c r="K9830" s="199"/>
      <c r="M9830" s="199"/>
      <c r="N9830" s="200"/>
      <c r="P9830" s="199"/>
    </row>
    <row r="9831" spans="7:16" x14ac:dyDescent="0.2">
      <c r="G9831" s="199"/>
      <c r="I9831" s="199"/>
      <c r="K9831" s="199"/>
      <c r="M9831" s="199"/>
      <c r="N9831" s="200"/>
      <c r="P9831" s="199"/>
    </row>
    <row r="9832" spans="7:16" x14ac:dyDescent="0.2">
      <c r="G9832" s="199"/>
      <c r="I9832" s="199"/>
      <c r="K9832" s="199"/>
      <c r="M9832" s="199"/>
      <c r="N9832" s="200"/>
      <c r="P9832" s="199"/>
    </row>
    <row r="9833" spans="7:16" x14ac:dyDescent="0.2">
      <c r="G9833" s="199"/>
      <c r="I9833" s="199"/>
      <c r="K9833" s="199"/>
      <c r="M9833" s="199"/>
      <c r="N9833" s="200"/>
      <c r="P9833" s="199"/>
    </row>
    <row r="9834" spans="7:16" x14ac:dyDescent="0.2">
      <c r="G9834" s="199"/>
      <c r="I9834" s="199"/>
      <c r="K9834" s="199"/>
      <c r="M9834" s="199"/>
      <c r="N9834" s="200"/>
      <c r="P9834" s="199"/>
    </row>
    <row r="9835" spans="7:16" x14ac:dyDescent="0.2">
      <c r="G9835" s="199"/>
      <c r="I9835" s="199"/>
      <c r="K9835" s="199"/>
      <c r="M9835" s="199"/>
      <c r="N9835" s="200"/>
      <c r="P9835" s="199"/>
    </row>
    <row r="9836" spans="7:16" x14ac:dyDescent="0.2">
      <c r="G9836" s="199"/>
      <c r="I9836" s="199"/>
      <c r="K9836" s="199"/>
      <c r="M9836" s="199"/>
      <c r="N9836" s="200"/>
      <c r="P9836" s="199"/>
    </row>
    <row r="9837" spans="7:16" x14ac:dyDescent="0.2">
      <c r="G9837" s="199"/>
      <c r="I9837" s="199"/>
      <c r="K9837" s="199"/>
      <c r="M9837" s="199"/>
      <c r="N9837" s="200"/>
      <c r="P9837" s="199"/>
    </row>
    <row r="9838" spans="7:16" x14ac:dyDescent="0.2">
      <c r="G9838" s="199"/>
      <c r="I9838" s="199"/>
      <c r="K9838" s="199"/>
      <c r="M9838" s="199"/>
      <c r="N9838" s="200"/>
      <c r="P9838" s="199"/>
    </row>
    <row r="9839" spans="7:16" x14ac:dyDescent="0.2">
      <c r="G9839" s="199"/>
      <c r="I9839" s="199"/>
      <c r="K9839" s="199"/>
      <c r="M9839" s="199"/>
      <c r="N9839" s="200"/>
      <c r="P9839" s="199"/>
    </row>
    <row r="9840" spans="7:16" x14ac:dyDescent="0.2">
      <c r="G9840" s="199"/>
      <c r="I9840" s="199"/>
      <c r="K9840" s="199"/>
      <c r="M9840" s="199"/>
      <c r="N9840" s="200"/>
      <c r="P9840" s="199"/>
    </row>
    <row r="9841" spans="7:16" x14ac:dyDescent="0.2">
      <c r="G9841" s="199"/>
      <c r="I9841" s="199"/>
      <c r="K9841" s="199"/>
      <c r="M9841" s="199"/>
      <c r="N9841" s="200"/>
      <c r="P9841" s="199"/>
    </row>
    <row r="9842" spans="7:16" x14ac:dyDescent="0.2">
      <c r="G9842" s="199"/>
      <c r="I9842" s="199"/>
      <c r="K9842" s="199"/>
      <c r="M9842" s="199"/>
      <c r="N9842" s="200"/>
      <c r="P9842" s="199"/>
    </row>
    <row r="9843" spans="7:16" x14ac:dyDescent="0.2">
      <c r="G9843" s="199"/>
      <c r="I9843" s="199"/>
      <c r="K9843" s="199"/>
      <c r="M9843" s="199"/>
      <c r="N9843" s="200"/>
      <c r="P9843" s="199"/>
    </row>
    <row r="9844" spans="7:16" x14ac:dyDescent="0.2">
      <c r="G9844" s="199"/>
      <c r="I9844" s="199"/>
      <c r="K9844" s="199"/>
      <c r="M9844" s="199"/>
      <c r="N9844" s="200"/>
      <c r="P9844" s="199"/>
    </row>
    <row r="9845" spans="7:16" x14ac:dyDescent="0.2">
      <c r="G9845" s="199"/>
      <c r="I9845" s="199"/>
      <c r="K9845" s="199"/>
      <c r="M9845" s="199"/>
      <c r="N9845" s="200"/>
      <c r="P9845" s="199"/>
    </row>
    <row r="9846" spans="7:16" x14ac:dyDescent="0.2">
      <c r="G9846" s="199"/>
      <c r="I9846" s="199"/>
      <c r="K9846" s="199"/>
      <c r="M9846" s="199"/>
      <c r="N9846" s="200"/>
      <c r="P9846" s="199"/>
    </row>
    <row r="9847" spans="7:16" x14ac:dyDescent="0.2">
      <c r="G9847" s="199"/>
      <c r="I9847" s="199"/>
      <c r="K9847" s="199"/>
      <c r="M9847" s="199"/>
      <c r="N9847" s="200"/>
      <c r="P9847" s="199"/>
    </row>
    <row r="9848" spans="7:16" x14ac:dyDescent="0.2">
      <c r="G9848" s="199"/>
      <c r="I9848" s="199"/>
      <c r="K9848" s="199"/>
      <c r="M9848" s="199"/>
      <c r="N9848" s="200"/>
      <c r="P9848" s="199"/>
    </row>
    <row r="9849" spans="7:16" x14ac:dyDescent="0.2">
      <c r="G9849" s="199"/>
      <c r="I9849" s="199"/>
      <c r="K9849" s="199"/>
      <c r="M9849" s="199"/>
      <c r="N9849" s="200"/>
      <c r="P9849" s="199"/>
    </row>
    <row r="9850" spans="7:16" x14ac:dyDescent="0.2">
      <c r="G9850" s="199"/>
      <c r="I9850" s="199"/>
      <c r="K9850" s="199"/>
      <c r="M9850" s="199"/>
      <c r="N9850" s="200"/>
      <c r="P9850" s="199"/>
    </row>
    <row r="9851" spans="7:16" x14ac:dyDescent="0.2">
      <c r="G9851" s="199"/>
      <c r="I9851" s="199"/>
      <c r="K9851" s="199"/>
      <c r="M9851" s="199"/>
      <c r="N9851" s="200"/>
      <c r="P9851" s="199"/>
    </row>
    <row r="9852" spans="7:16" x14ac:dyDescent="0.2">
      <c r="G9852" s="199"/>
      <c r="I9852" s="199"/>
      <c r="K9852" s="199"/>
      <c r="M9852" s="199"/>
      <c r="N9852" s="200"/>
      <c r="P9852" s="199"/>
    </row>
    <row r="9853" spans="7:16" x14ac:dyDescent="0.2">
      <c r="G9853" s="199"/>
      <c r="I9853" s="199"/>
      <c r="K9853" s="199"/>
      <c r="M9853" s="199"/>
      <c r="N9853" s="200"/>
      <c r="P9853" s="199"/>
    </row>
    <row r="9854" spans="7:16" x14ac:dyDescent="0.2">
      <c r="G9854" s="199"/>
      <c r="I9854" s="199"/>
      <c r="K9854" s="199"/>
      <c r="M9854" s="199"/>
      <c r="N9854" s="200"/>
      <c r="P9854" s="199"/>
    </row>
    <row r="9855" spans="7:16" x14ac:dyDescent="0.2">
      <c r="G9855" s="199"/>
      <c r="I9855" s="199"/>
      <c r="K9855" s="199"/>
      <c r="M9855" s="199"/>
      <c r="N9855" s="200"/>
      <c r="P9855" s="199"/>
    </row>
    <row r="9856" spans="7:16" x14ac:dyDescent="0.2">
      <c r="G9856" s="199"/>
      <c r="I9856" s="199"/>
      <c r="K9856" s="199"/>
      <c r="M9856" s="199"/>
      <c r="N9856" s="200"/>
      <c r="P9856" s="199"/>
    </row>
    <row r="9857" spans="7:16" x14ac:dyDescent="0.2">
      <c r="G9857" s="199"/>
      <c r="I9857" s="199"/>
      <c r="K9857" s="199"/>
      <c r="M9857" s="199"/>
      <c r="N9857" s="200"/>
      <c r="P9857" s="199"/>
    </row>
    <row r="9858" spans="7:16" x14ac:dyDescent="0.2">
      <c r="G9858" s="199"/>
      <c r="I9858" s="199"/>
      <c r="K9858" s="199"/>
      <c r="M9858" s="199"/>
      <c r="N9858" s="200"/>
      <c r="P9858" s="199"/>
    </row>
    <row r="9859" spans="7:16" x14ac:dyDescent="0.2">
      <c r="G9859" s="199"/>
      <c r="I9859" s="199"/>
      <c r="K9859" s="199"/>
      <c r="M9859" s="199"/>
      <c r="N9859" s="200"/>
      <c r="P9859" s="199"/>
    </row>
    <row r="9860" spans="7:16" x14ac:dyDescent="0.2">
      <c r="G9860" s="199"/>
      <c r="I9860" s="199"/>
      <c r="K9860" s="199"/>
      <c r="M9860" s="199"/>
      <c r="N9860" s="200"/>
      <c r="P9860" s="199"/>
    </row>
    <row r="9861" spans="7:16" x14ac:dyDescent="0.2">
      <c r="G9861" s="199"/>
      <c r="I9861" s="199"/>
      <c r="K9861" s="199"/>
      <c r="M9861" s="199"/>
      <c r="N9861" s="200"/>
      <c r="P9861" s="199"/>
    </row>
    <row r="9862" spans="7:16" x14ac:dyDescent="0.2">
      <c r="G9862" s="199"/>
      <c r="I9862" s="199"/>
      <c r="K9862" s="199"/>
      <c r="M9862" s="199"/>
      <c r="N9862" s="200"/>
      <c r="P9862" s="199"/>
    </row>
    <row r="9863" spans="7:16" x14ac:dyDescent="0.2">
      <c r="G9863" s="199"/>
      <c r="I9863" s="199"/>
      <c r="K9863" s="199"/>
      <c r="M9863" s="199"/>
      <c r="N9863" s="200"/>
      <c r="P9863" s="199"/>
    </row>
    <row r="9864" spans="7:16" x14ac:dyDescent="0.2">
      <c r="G9864" s="199"/>
      <c r="I9864" s="199"/>
      <c r="K9864" s="199"/>
      <c r="M9864" s="199"/>
      <c r="N9864" s="200"/>
      <c r="P9864" s="199"/>
    </row>
    <row r="9865" spans="7:16" x14ac:dyDescent="0.2">
      <c r="G9865" s="199"/>
      <c r="I9865" s="199"/>
      <c r="K9865" s="199"/>
      <c r="M9865" s="199"/>
      <c r="N9865" s="200"/>
      <c r="P9865" s="199"/>
    </row>
    <row r="9866" spans="7:16" x14ac:dyDescent="0.2">
      <c r="G9866" s="199"/>
      <c r="I9866" s="199"/>
      <c r="K9866" s="199"/>
      <c r="M9866" s="199"/>
      <c r="N9866" s="200"/>
      <c r="P9866" s="199"/>
    </row>
    <row r="9867" spans="7:16" x14ac:dyDescent="0.2">
      <c r="G9867" s="199"/>
      <c r="I9867" s="199"/>
      <c r="K9867" s="199"/>
      <c r="M9867" s="199"/>
      <c r="N9867" s="200"/>
      <c r="P9867" s="199"/>
    </row>
    <row r="9868" spans="7:16" x14ac:dyDescent="0.2">
      <c r="G9868" s="199"/>
      <c r="I9868" s="199"/>
      <c r="K9868" s="199"/>
      <c r="M9868" s="199"/>
      <c r="N9868" s="200"/>
      <c r="P9868" s="199"/>
    </row>
    <row r="9869" spans="7:16" x14ac:dyDescent="0.2">
      <c r="G9869" s="199"/>
      <c r="I9869" s="199"/>
      <c r="K9869" s="199"/>
      <c r="M9869" s="199"/>
      <c r="N9869" s="200"/>
      <c r="P9869" s="199"/>
    </row>
    <row r="9870" spans="7:16" x14ac:dyDescent="0.2">
      <c r="G9870" s="199"/>
      <c r="I9870" s="199"/>
      <c r="K9870" s="199"/>
      <c r="M9870" s="199"/>
      <c r="N9870" s="200"/>
      <c r="P9870" s="199"/>
    </row>
    <row r="9871" spans="7:16" x14ac:dyDescent="0.2">
      <c r="G9871" s="199"/>
      <c r="I9871" s="199"/>
      <c r="K9871" s="199"/>
      <c r="M9871" s="199"/>
      <c r="N9871" s="200"/>
      <c r="P9871" s="199"/>
    </row>
    <row r="9872" spans="7:16" x14ac:dyDescent="0.2">
      <c r="G9872" s="199"/>
      <c r="I9872" s="199"/>
      <c r="K9872" s="199"/>
      <c r="M9872" s="199"/>
      <c r="N9872" s="200"/>
      <c r="P9872" s="199"/>
    </row>
    <row r="9873" spans="7:16" x14ac:dyDescent="0.2">
      <c r="G9873" s="199"/>
      <c r="I9873" s="199"/>
      <c r="K9873" s="199"/>
      <c r="M9873" s="199"/>
      <c r="N9873" s="200"/>
      <c r="P9873" s="199"/>
    </row>
    <row r="9874" spans="7:16" x14ac:dyDescent="0.2">
      <c r="G9874" s="199"/>
      <c r="I9874" s="199"/>
      <c r="K9874" s="199"/>
      <c r="M9874" s="199"/>
      <c r="N9874" s="200"/>
      <c r="P9874" s="199"/>
    </row>
    <row r="9875" spans="7:16" x14ac:dyDescent="0.2">
      <c r="G9875" s="199"/>
      <c r="I9875" s="199"/>
      <c r="K9875" s="199"/>
      <c r="M9875" s="199"/>
      <c r="N9875" s="200"/>
      <c r="P9875" s="199"/>
    </row>
    <row r="9876" spans="7:16" x14ac:dyDescent="0.2">
      <c r="G9876" s="199"/>
      <c r="I9876" s="199"/>
      <c r="K9876" s="199"/>
      <c r="M9876" s="199"/>
      <c r="N9876" s="200"/>
      <c r="P9876" s="199"/>
    </row>
    <row r="9877" spans="7:16" x14ac:dyDescent="0.2">
      <c r="G9877" s="199"/>
      <c r="I9877" s="199"/>
      <c r="K9877" s="199"/>
      <c r="M9877" s="199"/>
      <c r="N9877" s="200"/>
      <c r="P9877" s="199"/>
    </row>
    <row r="9878" spans="7:16" x14ac:dyDescent="0.2">
      <c r="G9878" s="199"/>
      <c r="I9878" s="199"/>
      <c r="K9878" s="199"/>
      <c r="M9878" s="199"/>
      <c r="N9878" s="200"/>
      <c r="P9878" s="199"/>
    </row>
    <row r="9879" spans="7:16" x14ac:dyDescent="0.2">
      <c r="G9879" s="199"/>
      <c r="I9879" s="199"/>
      <c r="K9879" s="199"/>
      <c r="M9879" s="199"/>
      <c r="N9879" s="200"/>
      <c r="P9879" s="199"/>
    </row>
    <row r="9880" spans="7:16" x14ac:dyDescent="0.2">
      <c r="G9880" s="199"/>
      <c r="I9880" s="199"/>
      <c r="K9880" s="199"/>
      <c r="M9880" s="199"/>
      <c r="N9880" s="200"/>
      <c r="P9880" s="199"/>
    </row>
    <row r="9881" spans="7:16" x14ac:dyDescent="0.2">
      <c r="G9881" s="199"/>
      <c r="I9881" s="199"/>
      <c r="K9881" s="199"/>
      <c r="M9881" s="199"/>
      <c r="N9881" s="200"/>
      <c r="P9881" s="199"/>
    </row>
    <row r="9882" spans="7:16" x14ac:dyDescent="0.2">
      <c r="G9882" s="199"/>
      <c r="I9882" s="199"/>
      <c r="K9882" s="199"/>
      <c r="M9882" s="199"/>
      <c r="N9882" s="200"/>
      <c r="P9882" s="199"/>
    </row>
    <row r="9883" spans="7:16" x14ac:dyDescent="0.2">
      <c r="G9883" s="199"/>
      <c r="I9883" s="199"/>
      <c r="K9883" s="199"/>
      <c r="M9883" s="199"/>
      <c r="N9883" s="200"/>
      <c r="P9883" s="199"/>
    </row>
    <row r="9884" spans="7:16" x14ac:dyDescent="0.2">
      <c r="G9884" s="199"/>
      <c r="I9884" s="199"/>
      <c r="K9884" s="199"/>
      <c r="M9884" s="199"/>
      <c r="N9884" s="200"/>
      <c r="P9884" s="199"/>
    </row>
    <row r="9885" spans="7:16" x14ac:dyDescent="0.2">
      <c r="G9885" s="199"/>
      <c r="I9885" s="199"/>
      <c r="K9885" s="199"/>
      <c r="M9885" s="199"/>
      <c r="N9885" s="200"/>
      <c r="P9885" s="199"/>
    </row>
    <row r="9886" spans="7:16" x14ac:dyDescent="0.2">
      <c r="G9886" s="199"/>
      <c r="I9886" s="199"/>
      <c r="K9886" s="199"/>
      <c r="M9886" s="199"/>
      <c r="N9886" s="200"/>
      <c r="P9886" s="199"/>
    </row>
    <row r="9887" spans="7:16" x14ac:dyDescent="0.2">
      <c r="G9887" s="199"/>
      <c r="I9887" s="199"/>
      <c r="K9887" s="199"/>
      <c r="M9887" s="199"/>
      <c r="N9887" s="200"/>
      <c r="P9887" s="199"/>
    </row>
    <row r="9888" spans="7:16" x14ac:dyDescent="0.2">
      <c r="G9888" s="199"/>
      <c r="I9888" s="199"/>
      <c r="K9888" s="199"/>
      <c r="M9888" s="199"/>
      <c r="N9888" s="200"/>
      <c r="P9888" s="199"/>
    </row>
    <row r="9889" spans="7:16" x14ac:dyDescent="0.2">
      <c r="G9889" s="199"/>
      <c r="I9889" s="199"/>
      <c r="K9889" s="199"/>
      <c r="M9889" s="199"/>
      <c r="N9889" s="200"/>
      <c r="P9889" s="199"/>
    </row>
    <row r="9890" spans="7:16" x14ac:dyDescent="0.2">
      <c r="G9890" s="199"/>
      <c r="I9890" s="199"/>
      <c r="K9890" s="199"/>
      <c r="M9890" s="199"/>
      <c r="N9890" s="200"/>
      <c r="P9890" s="199"/>
    </row>
    <row r="9891" spans="7:16" x14ac:dyDescent="0.2">
      <c r="G9891" s="199"/>
      <c r="I9891" s="199"/>
      <c r="K9891" s="199"/>
      <c r="M9891" s="199"/>
      <c r="N9891" s="200"/>
      <c r="P9891" s="199"/>
    </row>
    <row r="9892" spans="7:16" x14ac:dyDescent="0.2">
      <c r="G9892" s="199"/>
      <c r="I9892" s="199"/>
      <c r="K9892" s="199"/>
      <c r="M9892" s="199"/>
      <c r="N9892" s="200"/>
      <c r="P9892" s="199"/>
    </row>
    <row r="9893" spans="7:16" x14ac:dyDescent="0.2">
      <c r="G9893" s="199"/>
      <c r="I9893" s="199"/>
      <c r="K9893" s="199"/>
      <c r="M9893" s="199"/>
      <c r="N9893" s="200"/>
      <c r="P9893" s="199"/>
    </row>
    <row r="9894" spans="7:16" x14ac:dyDescent="0.2">
      <c r="G9894" s="199"/>
      <c r="I9894" s="199"/>
      <c r="K9894" s="199"/>
      <c r="M9894" s="199"/>
      <c r="N9894" s="200"/>
      <c r="P9894" s="199"/>
    </row>
    <row r="9895" spans="7:16" x14ac:dyDescent="0.2">
      <c r="G9895" s="199"/>
      <c r="I9895" s="199"/>
      <c r="K9895" s="199"/>
      <c r="M9895" s="199"/>
      <c r="N9895" s="200"/>
      <c r="P9895" s="199"/>
    </row>
    <row r="9896" spans="7:16" x14ac:dyDescent="0.2">
      <c r="G9896" s="199"/>
      <c r="I9896" s="199"/>
      <c r="K9896" s="199"/>
      <c r="M9896" s="199"/>
      <c r="N9896" s="200"/>
      <c r="P9896" s="199"/>
    </row>
    <row r="9897" spans="7:16" x14ac:dyDescent="0.2">
      <c r="G9897" s="199"/>
      <c r="I9897" s="199"/>
      <c r="K9897" s="199"/>
      <c r="M9897" s="199"/>
      <c r="N9897" s="200"/>
      <c r="P9897" s="199"/>
    </row>
    <row r="9898" spans="7:16" x14ac:dyDescent="0.2">
      <c r="G9898" s="199"/>
      <c r="I9898" s="199"/>
      <c r="K9898" s="199"/>
      <c r="M9898" s="199"/>
      <c r="N9898" s="200"/>
      <c r="P9898" s="199"/>
    </row>
    <row r="9899" spans="7:16" x14ac:dyDescent="0.2">
      <c r="G9899" s="199"/>
      <c r="I9899" s="199"/>
      <c r="K9899" s="199"/>
      <c r="M9899" s="199"/>
      <c r="N9899" s="200"/>
      <c r="P9899" s="199"/>
    </row>
    <row r="9900" spans="7:16" x14ac:dyDescent="0.2">
      <c r="G9900" s="199"/>
      <c r="I9900" s="199"/>
      <c r="K9900" s="199"/>
      <c r="M9900" s="199"/>
      <c r="N9900" s="200"/>
      <c r="P9900" s="199"/>
    </row>
    <row r="9901" spans="7:16" x14ac:dyDescent="0.2">
      <c r="G9901" s="199"/>
      <c r="I9901" s="199"/>
      <c r="K9901" s="199"/>
      <c r="M9901" s="199"/>
      <c r="N9901" s="200"/>
      <c r="P9901" s="199"/>
    </row>
    <row r="9902" spans="7:16" x14ac:dyDescent="0.2">
      <c r="G9902" s="199"/>
      <c r="I9902" s="199"/>
      <c r="K9902" s="199"/>
      <c r="M9902" s="199"/>
      <c r="N9902" s="200"/>
      <c r="P9902" s="199"/>
    </row>
    <row r="9903" spans="7:16" x14ac:dyDescent="0.2">
      <c r="G9903" s="199"/>
      <c r="I9903" s="199"/>
      <c r="K9903" s="199"/>
      <c r="M9903" s="199"/>
      <c r="N9903" s="200"/>
      <c r="P9903" s="199"/>
    </row>
    <row r="9904" spans="7:16" x14ac:dyDescent="0.2">
      <c r="G9904" s="199"/>
      <c r="I9904" s="199"/>
      <c r="K9904" s="199"/>
      <c r="M9904" s="199"/>
      <c r="N9904" s="200"/>
      <c r="P9904" s="199"/>
    </row>
    <row r="9905" spans="7:16" x14ac:dyDescent="0.2">
      <c r="G9905" s="199"/>
      <c r="I9905" s="199"/>
      <c r="K9905" s="199"/>
      <c r="M9905" s="199"/>
      <c r="N9905" s="200"/>
      <c r="P9905" s="199"/>
    </row>
    <row r="9906" spans="7:16" x14ac:dyDescent="0.2">
      <c r="G9906" s="199"/>
      <c r="I9906" s="199"/>
      <c r="K9906" s="199"/>
      <c r="M9906" s="199"/>
      <c r="N9906" s="200"/>
      <c r="P9906" s="199"/>
    </row>
    <row r="9907" spans="7:16" x14ac:dyDescent="0.2">
      <c r="G9907" s="199"/>
      <c r="I9907" s="199"/>
      <c r="K9907" s="199"/>
      <c r="M9907" s="199"/>
      <c r="N9907" s="200"/>
      <c r="P9907" s="199"/>
    </row>
    <row r="9908" spans="7:16" x14ac:dyDescent="0.2">
      <c r="G9908" s="199"/>
      <c r="I9908" s="199"/>
      <c r="K9908" s="199"/>
      <c r="M9908" s="199"/>
      <c r="N9908" s="200"/>
      <c r="P9908" s="199"/>
    </row>
    <row r="9909" spans="7:16" x14ac:dyDescent="0.2">
      <c r="G9909" s="199"/>
      <c r="I9909" s="199"/>
      <c r="K9909" s="199"/>
      <c r="M9909" s="199"/>
      <c r="N9909" s="200"/>
      <c r="P9909" s="199"/>
    </row>
    <row r="9910" spans="7:16" x14ac:dyDescent="0.2">
      <c r="G9910" s="199"/>
      <c r="I9910" s="199"/>
      <c r="K9910" s="199"/>
      <c r="M9910" s="199"/>
      <c r="N9910" s="200"/>
      <c r="P9910" s="199"/>
    </row>
    <row r="9911" spans="7:16" x14ac:dyDescent="0.2">
      <c r="G9911" s="199"/>
      <c r="I9911" s="199"/>
      <c r="K9911" s="199"/>
      <c r="M9911" s="199"/>
      <c r="N9911" s="200"/>
      <c r="P9911" s="199"/>
    </row>
    <row r="9912" spans="7:16" x14ac:dyDescent="0.2">
      <c r="G9912" s="199"/>
      <c r="I9912" s="199"/>
      <c r="K9912" s="199"/>
      <c r="M9912" s="199"/>
      <c r="N9912" s="200"/>
      <c r="P9912" s="199"/>
    </row>
    <row r="9913" spans="7:16" x14ac:dyDescent="0.2">
      <c r="G9913" s="199"/>
      <c r="I9913" s="199"/>
      <c r="K9913" s="199"/>
      <c r="M9913" s="199"/>
      <c r="N9913" s="200"/>
      <c r="P9913" s="199"/>
    </row>
    <row r="9914" spans="7:16" x14ac:dyDescent="0.2">
      <c r="G9914" s="199"/>
      <c r="I9914" s="199"/>
      <c r="K9914" s="199"/>
      <c r="M9914" s="199"/>
      <c r="N9914" s="200"/>
      <c r="P9914" s="199"/>
    </row>
    <row r="9915" spans="7:16" x14ac:dyDescent="0.2">
      <c r="G9915" s="199"/>
      <c r="I9915" s="199"/>
      <c r="K9915" s="199"/>
      <c r="M9915" s="199"/>
      <c r="N9915" s="200"/>
      <c r="P9915" s="199"/>
    </row>
    <row r="9916" spans="7:16" x14ac:dyDescent="0.2">
      <c r="G9916" s="199"/>
      <c r="I9916" s="199"/>
      <c r="K9916" s="199"/>
      <c r="M9916" s="199"/>
      <c r="N9916" s="200"/>
      <c r="P9916" s="199"/>
    </row>
    <row r="9917" spans="7:16" x14ac:dyDescent="0.2">
      <c r="G9917" s="199"/>
      <c r="I9917" s="199"/>
      <c r="K9917" s="199"/>
      <c r="M9917" s="199"/>
      <c r="N9917" s="200"/>
      <c r="P9917" s="199"/>
    </row>
    <row r="9918" spans="7:16" x14ac:dyDescent="0.2">
      <c r="G9918" s="199"/>
      <c r="I9918" s="199"/>
      <c r="K9918" s="199"/>
      <c r="M9918" s="199"/>
      <c r="N9918" s="200"/>
      <c r="P9918" s="199"/>
    </row>
    <row r="9919" spans="7:16" x14ac:dyDescent="0.2">
      <c r="G9919" s="199"/>
      <c r="I9919" s="199"/>
      <c r="K9919" s="199"/>
      <c r="M9919" s="199"/>
      <c r="N9919" s="200"/>
      <c r="P9919" s="199"/>
    </row>
    <row r="9920" spans="7:16" x14ac:dyDescent="0.2">
      <c r="G9920" s="199"/>
      <c r="I9920" s="199"/>
      <c r="K9920" s="199"/>
      <c r="M9920" s="199"/>
      <c r="N9920" s="200"/>
      <c r="P9920" s="199"/>
    </row>
    <row r="9921" spans="7:16" x14ac:dyDescent="0.2">
      <c r="G9921" s="199"/>
      <c r="I9921" s="199"/>
      <c r="K9921" s="199"/>
      <c r="M9921" s="199"/>
      <c r="N9921" s="200"/>
      <c r="P9921" s="199"/>
    </row>
    <row r="9922" spans="7:16" x14ac:dyDescent="0.2">
      <c r="G9922" s="199"/>
      <c r="I9922" s="199"/>
      <c r="K9922" s="199"/>
      <c r="M9922" s="199"/>
      <c r="N9922" s="200"/>
      <c r="P9922" s="199"/>
    </row>
    <row r="9923" spans="7:16" x14ac:dyDescent="0.2">
      <c r="G9923" s="199"/>
      <c r="I9923" s="199"/>
      <c r="K9923" s="199"/>
      <c r="M9923" s="199"/>
      <c r="N9923" s="200"/>
      <c r="P9923" s="199"/>
    </row>
    <row r="9924" spans="7:16" x14ac:dyDescent="0.2">
      <c r="G9924" s="199"/>
      <c r="I9924" s="199"/>
      <c r="K9924" s="199"/>
      <c r="M9924" s="199"/>
      <c r="N9924" s="200"/>
      <c r="P9924" s="199"/>
    </row>
    <row r="9925" spans="7:16" x14ac:dyDescent="0.2">
      <c r="G9925" s="199"/>
      <c r="I9925" s="199"/>
      <c r="K9925" s="199"/>
      <c r="M9925" s="199"/>
      <c r="N9925" s="200"/>
      <c r="P9925" s="199"/>
    </row>
    <row r="9926" spans="7:16" x14ac:dyDescent="0.2">
      <c r="G9926" s="199"/>
      <c r="I9926" s="199"/>
      <c r="K9926" s="199"/>
      <c r="M9926" s="199"/>
      <c r="N9926" s="200"/>
      <c r="P9926" s="199"/>
    </row>
    <row r="9927" spans="7:16" x14ac:dyDescent="0.2">
      <c r="G9927" s="199"/>
      <c r="I9927" s="199"/>
      <c r="K9927" s="199"/>
      <c r="M9927" s="199"/>
      <c r="N9927" s="200"/>
      <c r="P9927" s="199"/>
    </row>
    <row r="9928" spans="7:16" x14ac:dyDescent="0.2">
      <c r="G9928" s="199"/>
      <c r="I9928" s="199"/>
      <c r="K9928" s="199"/>
      <c r="M9928" s="199"/>
      <c r="N9928" s="200"/>
      <c r="P9928" s="199"/>
    </row>
    <row r="9929" spans="7:16" x14ac:dyDescent="0.2">
      <c r="G9929" s="199"/>
      <c r="I9929" s="199"/>
      <c r="K9929" s="199"/>
      <c r="M9929" s="199"/>
      <c r="N9929" s="200"/>
      <c r="P9929" s="199"/>
    </row>
    <row r="9930" spans="7:16" x14ac:dyDescent="0.2">
      <c r="G9930" s="199"/>
      <c r="I9930" s="199"/>
      <c r="K9930" s="199"/>
      <c r="M9930" s="199"/>
      <c r="N9930" s="200"/>
      <c r="P9930" s="199"/>
    </row>
    <row r="9931" spans="7:16" x14ac:dyDescent="0.2">
      <c r="G9931" s="199"/>
      <c r="I9931" s="199"/>
      <c r="K9931" s="199"/>
      <c r="M9931" s="199"/>
      <c r="N9931" s="200"/>
      <c r="P9931" s="199"/>
    </row>
    <row r="9932" spans="7:16" x14ac:dyDescent="0.2">
      <c r="G9932" s="199"/>
      <c r="I9932" s="199"/>
      <c r="K9932" s="199"/>
      <c r="M9932" s="199"/>
      <c r="N9932" s="200"/>
      <c r="P9932" s="199"/>
    </row>
    <row r="9933" spans="7:16" x14ac:dyDescent="0.2">
      <c r="G9933" s="199"/>
      <c r="I9933" s="199"/>
      <c r="K9933" s="199"/>
      <c r="M9933" s="199"/>
      <c r="N9933" s="200"/>
      <c r="P9933" s="199"/>
    </row>
    <row r="9934" spans="7:16" x14ac:dyDescent="0.2">
      <c r="G9934" s="199"/>
      <c r="I9934" s="199"/>
      <c r="K9934" s="199"/>
      <c r="M9934" s="199"/>
      <c r="N9934" s="200"/>
      <c r="P9934" s="199"/>
    </row>
    <row r="9935" spans="7:16" x14ac:dyDescent="0.2">
      <c r="G9935" s="199"/>
      <c r="I9935" s="199"/>
      <c r="K9935" s="199"/>
      <c r="M9935" s="199"/>
      <c r="N9935" s="200"/>
      <c r="P9935" s="199"/>
    </row>
    <row r="9936" spans="7:16" x14ac:dyDescent="0.2">
      <c r="G9936" s="199"/>
      <c r="I9936" s="199"/>
      <c r="K9936" s="199"/>
      <c r="M9936" s="199"/>
      <c r="N9936" s="200"/>
      <c r="P9936" s="199"/>
    </row>
    <row r="9937" spans="7:16" x14ac:dyDescent="0.2">
      <c r="G9937" s="199"/>
      <c r="I9937" s="199"/>
      <c r="K9937" s="199"/>
      <c r="M9937" s="199"/>
      <c r="N9937" s="200"/>
      <c r="P9937" s="199"/>
    </row>
    <row r="9938" spans="7:16" x14ac:dyDescent="0.2">
      <c r="G9938" s="199"/>
      <c r="I9938" s="199"/>
      <c r="K9938" s="199"/>
      <c r="M9938" s="199"/>
      <c r="N9938" s="200"/>
      <c r="P9938" s="199"/>
    </row>
    <row r="9939" spans="7:16" x14ac:dyDescent="0.2">
      <c r="G9939" s="199"/>
      <c r="I9939" s="199"/>
      <c r="K9939" s="199"/>
      <c r="M9939" s="199"/>
      <c r="N9939" s="200"/>
      <c r="P9939" s="199"/>
    </row>
    <row r="9940" spans="7:16" x14ac:dyDescent="0.2">
      <c r="G9940" s="199"/>
      <c r="I9940" s="199"/>
      <c r="K9940" s="199"/>
      <c r="M9940" s="199"/>
      <c r="N9940" s="200"/>
      <c r="P9940" s="199"/>
    </row>
    <row r="9941" spans="7:16" x14ac:dyDescent="0.2">
      <c r="G9941" s="199"/>
      <c r="I9941" s="199"/>
      <c r="K9941" s="199"/>
      <c r="M9941" s="199"/>
      <c r="N9941" s="200"/>
      <c r="P9941" s="199"/>
    </row>
    <row r="9942" spans="7:16" x14ac:dyDescent="0.2">
      <c r="G9942" s="199"/>
      <c r="I9942" s="199"/>
      <c r="K9942" s="199"/>
      <c r="M9942" s="199"/>
      <c r="N9942" s="200"/>
      <c r="P9942" s="199"/>
    </row>
    <row r="9943" spans="7:16" x14ac:dyDescent="0.2">
      <c r="G9943" s="199"/>
      <c r="I9943" s="199"/>
      <c r="K9943" s="199"/>
      <c r="M9943" s="199"/>
      <c r="N9943" s="200"/>
      <c r="P9943" s="199"/>
    </row>
    <row r="9944" spans="7:16" x14ac:dyDescent="0.2">
      <c r="G9944" s="199"/>
      <c r="I9944" s="199"/>
      <c r="K9944" s="199"/>
      <c r="M9944" s="199"/>
      <c r="N9944" s="200"/>
      <c r="P9944" s="199"/>
    </row>
    <row r="9945" spans="7:16" x14ac:dyDescent="0.2">
      <c r="G9945" s="199"/>
      <c r="I9945" s="199"/>
      <c r="K9945" s="199"/>
      <c r="M9945" s="199"/>
      <c r="N9945" s="200"/>
      <c r="P9945" s="199"/>
    </row>
    <row r="9946" spans="7:16" x14ac:dyDescent="0.2">
      <c r="G9946" s="199"/>
      <c r="I9946" s="199"/>
      <c r="K9946" s="199"/>
      <c r="M9946" s="199"/>
      <c r="N9946" s="200"/>
      <c r="P9946" s="199"/>
    </row>
    <row r="9947" spans="7:16" x14ac:dyDescent="0.2">
      <c r="G9947" s="199"/>
      <c r="I9947" s="199"/>
      <c r="K9947" s="199"/>
      <c r="M9947" s="199"/>
      <c r="N9947" s="200"/>
      <c r="P9947" s="199"/>
    </row>
    <row r="9948" spans="7:16" x14ac:dyDescent="0.2">
      <c r="G9948" s="199"/>
      <c r="I9948" s="199"/>
      <c r="K9948" s="199"/>
      <c r="M9948" s="199"/>
      <c r="N9948" s="200"/>
      <c r="P9948" s="199"/>
    </row>
    <row r="9949" spans="7:16" x14ac:dyDescent="0.2">
      <c r="G9949" s="199"/>
      <c r="I9949" s="199"/>
      <c r="K9949" s="199"/>
      <c r="M9949" s="199"/>
      <c r="N9949" s="200"/>
      <c r="P9949" s="199"/>
    </row>
    <row r="9950" spans="7:16" x14ac:dyDescent="0.2">
      <c r="G9950" s="199"/>
      <c r="I9950" s="199"/>
      <c r="K9950" s="199"/>
      <c r="M9950" s="199"/>
      <c r="N9950" s="200"/>
      <c r="P9950" s="199"/>
    </row>
    <row r="9951" spans="7:16" x14ac:dyDescent="0.2">
      <c r="G9951" s="199"/>
      <c r="I9951" s="199"/>
      <c r="K9951" s="199"/>
      <c r="M9951" s="199"/>
      <c r="N9951" s="200"/>
      <c r="P9951" s="199"/>
    </row>
    <row r="9952" spans="7:16" x14ac:dyDescent="0.2">
      <c r="G9952" s="199"/>
      <c r="I9952" s="199"/>
      <c r="K9952" s="199"/>
      <c r="M9952" s="199"/>
      <c r="N9952" s="200"/>
      <c r="P9952" s="199"/>
    </row>
    <row r="9953" spans="7:16" x14ac:dyDescent="0.2">
      <c r="G9953" s="199"/>
      <c r="I9953" s="199"/>
      <c r="K9953" s="199"/>
      <c r="M9953" s="199"/>
      <c r="N9953" s="200"/>
      <c r="P9953" s="199"/>
    </row>
    <row r="9954" spans="7:16" x14ac:dyDescent="0.2">
      <c r="G9954" s="199"/>
      <c r="I9954" s="199"/>
      <c r="K9954" s="199"/>
      <c r="M9954" s="199"/>
      <c r="N9954" s="200"/>
      <c r="P9954" s="199"/>
    </row>
    <row r="9955" spans="7:16" x14ac:dyDescent="0.2">
      <c r="G9955" s="199"/>
      <c r="I9955" s="199"/>
      <c r="K9955" s="199"/>
      <c r="M9955" s="199"/>
      <c r="N9955" s="200"/>
      <c r="P9955" s="199"/>
    </row>
    <row r="9956" spans="7:16" x14ac:dyDescent="0.2">
      <c r="G9956" s="199"/>
      <c r="I9956" s="199"/>
      <c r="K9956" s="199"/>
      <c r="M9956" s="199"/>
      <c r="N9956" s="200"/>
      <c r="P9956" s="199"/>
    </row>
    <row r="9957" spans="7:16" x14ac:dyDescent="0.2">
      <c r="G9957" s="199"/>
      <c r="I9957" s="199"/>
      <c r="K9957" s="199"/>
      <c r="M9957" s="199"/>
      <c r="N9957" s="200"/>
      <c r="P9957" s="199"/>
    </row>
    <row r="9958" spans="7:16" x14ac:dyDescent="0.2">
      <c r="G9958" s="199"/>
      <c r="I9958" s="199"/>
      <c r="K9958" s="199"/>
      <c r="M9958" s="199"/>
      <c r="N9958" s="200"/>
      <c r="P9958" s="199"/>
    </row>
    <row r="9959" spans="7:16" x14ac:dyDescent="0.2">
      <c r="G9959" s="199"/>
      <c r="I9959" s="199"/>
      <c r="K9959" s="199"/>
      <c r="M9959" s="199"/>
      <c r="N9959" s="200"/>
      <c r="P9959" s="199"/>
    </row>
    <row r="9960" spans="7:16" x14ac:dyDescent="0.2">
      <c r="G9960" s="199"/>
      <c r="I9960" s="199"/>
      <c r="K9960" s="199"/>
      <c r="M9960" s="199"/>
      <c r="N9960" s="200"/>
      <c r="P9960" s="199"/>
    </row>
    <row r="9961" spans="7:16" x14ac:dyDescent="0.2">
      <c r="G9961" s="199"/>
      <c r="I9961" s="199"/>
      <c r="K9961" s="199"/>
      <c r="M9961" s="199"/>
      <c r="N9961" s="200"/>
      <c r="P9961" s="199"/>
    </row>
    <row r="9962" spans="7:16" x14ac:dyDescent="0.2">
      <c r="G9962" s="199"/>
      <c r="I9962" s="199"/>
      <c r="K9962" s="199"/>
      <c r="M9962" s="199"/>
      <c r="N9962" s="200"/>
      <c r="P9962" s="199"/>
    </row>
    <row r="9963" spans="7:16" x14ac:dyDescent="0.2">
      <c r="G9963" s="199"/>
      <c r="I9963" s="199"/>
      <c r="K9963" s="199"/>
      <c r="M9963" s="199"/>
      <c r="N9963" s="200"/>
      <c r="P9963" s="199"/>
    </row>
    <row r="9964" spans="7:16" x14ac:dyDescent="0.2">
      <c r="G9964" s="199"/>
      <c r="I9964" s="199"/>
      <c r="K9964" s="199"/>
      <c r="M9964" s="199"/>
      <c r="N9964" s="200"/>
      <c r="P9964" s="199"/>
    </row>
    <row r="9965" spans="7:16" x14ac:dyDescent="0.2">
      <c r="G9965" s="199"/>
      <c r="I9965" s="199"/>
      <c r="K9965" s="199"/>
      <c r="M9965" s="199"/>
      <c r="N9965" s="200"/>
      <c r="P9965" s="199"/>
    </row>
    <row r="9966" spans="7:16" x14ac:dyDescent="0.2">
      <c r="G9966" s="199"/>
      <c r="I9966" s="199"/>
      <c r="K9966" s="199"/>
      <c r="M9966" s="199"/>
      <c r="N9966" s="200"/>
      <c r="P9966" s="199"/>
    </row>
    <row r="9967" spans="7:16" x14ac:dyDescent="0.2">
      <c r="G9967" s="199"/>
      <c r="I9967" s="199"/>
      <c r="K9967" s="199"/>
      <c r="M9967" s="199"/>
      <c r="N9967" s="200"/>
      <c r="P9967" s="199"/>
    </row>
    <row r="9968" spans="7:16" x14ac:dyDescent="0.2">
      <c r="G9968" s="199"/>
      <c r="I9968" s="199"/>
      <c r="K9968" s="199"/>
      <c r="M9968" s="199"/>
      <c r="N9968" s="200"/>
      <c r="P9968" s="199"/>
    </row>
    <row r="9969" spans="7:16" x14ac:dyDescent="0.2">
      <c r="G9969" s="199"/>
      <c r="I9969" s="199"/>
      <c r="K9969" s="199"/>
      <c r="M9969" s="199"/>
      <c r="N9969" s="200"/>
      <c r="P9969" s="199"/>
    </row>
    <row r="9970" spans="7:16" x14ac:dyDescent="0.2">
      <c r="G9970" s="199"/>
      <c r="I9970" s="199"/>
      <c r="K9970" s="199"/>
      <c r="M9970" s="199"/>
      <c r="N9970" s="200"/>
      <c r="P9970" s="199"/>
    </row>
    <row r="9971" spans="7:16" x14ac:dyDescent="0.2">
      <c r="G9971" s="199"/>
      <c r="I9971" s="199"/>
      <c r="K9971" s="199"/>
      <c r="M9971" s="199"/>
      <c r="N9971" s="200"/>
      <c r="P9971" s="199"/>
    </row>
    <row r="9972" spans="7:16" x14ac:dyDescent="0.2">
      <c r="G9972" s="199"/>
      <c r="I9972" s="199"/>
      <c r="K9972" s="199"/>
      <c r="M9972" s="199"/>
      <c r="N9972" s="200"/>
      <c r="P9972" s="199"/>
    </row>
    <row r="9973" spans="7:16" x14ac:dyDescent="0.2">
      <c r="G9973" s="199"/>
      <c r="I9973" s="199"/>
      <c r="K9973" s="199"/>
      <c r="M9973" s="199"/>
      <c r="N9973" s="200"/>
      <c r="P9973" s="199"/>
    </row>
    <row r="9974" spans="7:16" x14ac:dyDescent="0.2">
      <c r="G9974" s="199"/>
      <c r="I9974" s="199"/>
      <c r="K9974" s="199"/>
      <c r="M9974" s="199"/>
      <c r="N9974" s="200"/>
      <c r="P9974" s="199"/>
    </row>
    <row r="9975" spans="7:16" x14ac:dyDescent="0.2">
      <c r="G9975" s="199"/>
      <c r="I9975" s="199"/>
      <c r="K9975" s="199"/>
      <c r="M9975" s="199"/>
      <c r="N9975" s="200"/>
      <c r="P9975" s="199"/>
    </row>
    <row r="9976" spans="7:16" x14ac:dyDescent="0.2">
      <c r="G9976" s="199"/>
      <c r="I9976" s="199"/>
      <c r="K9976" s="199"/>
      <c r="M9976" s="199"/>
      <c r="N9976" s="200"/>
      <c r="P9976" s="199"/>
    </row>
    <row r="9977" spans="7:16" x14ac:dyDescent="0.2">
      <c r="G9977" s="199"/>
      <c r="I9977" s="199"/>
      <c r="K9977" s="199"/>
      <c r="M9977" s="199"/>
      <c r="N9977" s="200"/>
      <c r="P9977" s="199"/>
    </row>
    <row r="9978" spans="7:16" x14ac:dyDescent="0.2">
      <c r="G9978" s="199"/>
      <c r="I9978" s="199"/>
      <c r="K9978" s="199"/>
      <c r="M9978" s="199"/>
      <c r="N9978" s="200"/>
      <c r="P9978" s="199"/>
    </row>
    <row r="9979" spans="7:16" x14ac:dyDescent="0.2">
      <c r="G9979" s="199"/>
      <c r="I9979" s="199"/>
      <c r="K9979" s="199"/>
      <c r="M9979" s="199"/>
      <c r="N9979" s="200"/>
      <c r="P9979" s="199"/>
    </row>
    <row r="9980" spans="7:16" x14ac:dyDescent="0.2">
      <c r="G9980" s="199"/>
      <c r="I9980" s="199"/>
      <c r="K9980" s="199"/>
      <c r="M9980" s="199"/>
      <c r="N9980" s="200"/>
      <c r="P9980" s="199"/>
    </row>
    <row r="9981" spans="7:16" x14ac:dyDescent="0.2">
      <c r="G9981" s="199"/>
      <c r="I9981" s="199"/>
      <c r="K9981" s="199"/>
      <c r="M9981" s="199"/>
      <c r="N9981" s="200"/>
      <c r="P9981" s="199"/>
    </row>
    <row r="9982" spans="7:16" x14ac:dyDescent="0.2">
      <c r="G9982" s="199"/>
      <c r="I9982" s="199"/>
      <c r="K9982" s="199"/>
      <c r="M9982" s="199"/>
      <c r="N9982" s="200"/>
      <c r="P9982" s="199"/>
    </row>
    <row r="9983" spans="7:16" x14ac:dyDescent="0.2">
      <c r="G9983" s="199"/>
      <c r="I9983" s="199"/>
      <c r="K9983" s="199"/>
      <c r="M9983" s="199"/>
      <c r="N9983" s="200"/>
      <c r="P9983" s="199"/>
    </row>
    <row r="9984" spans="7:16" x14ac:dyDescent="0.2">
      <c r="G9984" s="199"/>
      <c r="I9984" s="199"/>
      <c r="K9984" s="199"/>
      <c r="M9984" s="199"/>
      <c r="N9984" s="200"/>
      <c r="P9984" s="199"/>
    </row>
    <row r="9985" spans="7:16" x14ac:dyDescent="0.2">
      <c r="G9985" s="199"/>
      <c r="I9985" s="199"/>
      <c r="K9985" s="199"/>
      <c r="M9985" s="199"/>
      <c r="N9985" s="200"/>
      <c r="P9985" s="199"/>
    </row>
    <row r="9986" spans="7:16" x14ac:dyDescent="0.2">
      <c r="G9986" s="199"/>
      <c r="I9986" s="199"/>
      <c r="K9986" s="199"/>
      <c r="M9986" s="199"/>
      <c r="N9986" s="200"/>
      <c r="P9986" s="199"/>
    </row>
    <row r="9987" spans="7:16" x14ac:dyDescent="0.2">
      <c r="G9987" s="199"/>
      <c r="I9987" s="199"/>
      <c r="K9987" s="199"/>
      <c r="M9987" s="199"/>
      <c r="N9987" s="200"/>
      <c r="P9987" s="199"/>
    </row>
    <row r="9988" spans="7:16" x14ac:dyDescent="0.2">
      <c r="G9988" s="199"/>
      <c r="I9988" s="199"/>
      <c r="K9988" s="199"/>
      <c r="M9988" s="199"/>
      <c r="N9988" s="200"/>
      <c r="P9988" s="199"/>
    </row>
    <row r="9989" spans="7:16" x14ac:dyDescent="0.2">
      <c r="G9989" s="199"/>
      <c r="I9989" s="199"/>
      <c r="K9989" s="199"/>
      <c r="M9989" s="199"/>
      <c r="N9989" s="200"/>
      <c r="P9989" s="199"/>
    </row>
    <row r="9990" spans="7:16" x14ac:dyDescent="0.2">
      <c r="G9990" s="199"/>
      <c r="I9990" s="199"/>
      <c r="K9990" s="199"/>
      <c r="M9990" s="199"/>
      <c r="N9990" s="200"/>
      <c r="P9990" s="199"/>
    </row>
    <row r="9991" spans="7:16" x14ac:dyDescent="0.2">
      <c r="G9991" s="199"/>
      <c r="I9991" s="199"/>
      <c r="K9991" s="199"/>
      <c r="M9991" s="199"/>
      <c r="N9991" s="200"/>
      <c r="P9991" s="199"/>
    </row>
    <row r="9992" spans="7:16" x14ac:dyDescent="0.2">
      <c r="G9992" s="199"/>
      <c r="I9992" s="199"/>
      <c r="K9992" s="199"/>
      <c r="M9992" s="199"/>
      <c r="N9992" s="200"/>
      <c r="P9992" s="199"/>
    </row>
    <row r="9993" spans="7:16" x14ac:dyDescent="0.2">
      <c r="G9993" s="199"/>
      <c r="I9993" s="199"/>
      <c r="K9993" s="199"/>
      <c r="M9993" s="199"/>
      <c r="N9993" s="200"/>
      <c r="P9993" s="199"/>
    </row>
    <row r="9994" spans="7:16" x14ac:dyDescent="0.2">
      <c r="G9994" s="199"/>
      <c r="I9994" s="199"/>
      <c r="K9994" s="199"/>
      <c r="M9994" s="199"/>
      <c r="N9994" s="200"/>
      <c r="P9994" s="199"/>
    </row>
    <row r="9995" spans="7:16" x14ac:dyDescent="0.2">
      <c r="G9995" s="199"/>
      <c r="I9995" s="199"/>
      <c r="K9995" s="199"/>
      <c r="M9995" s="199"/>
      <c r="N9995" s="200"/>
      <c r="P9995" s="199"/>
    </row>
    <row r="9996" spans="7:16" x14ac:dyDescent="0.2">
      <c r="G9996" s="199"/>
      <c r="I9996" s="199"/>
      <c r="K9996" s="199"/>
      <c r="M9996" s="199"/>
      <c r="N9996" s="200"/>
      <c r="P9996" s="199"/>
    </row>
    <row r="9997" spans="7:16" x14ac:dyDescent="0.2">
      <c r="G9997" s="199"/>
      <c r="I9997" s="199"/>
      <c r="K9997" s="199"/>
      <c r="M9997" s="199"/>
      <c r="N9997" s="200"/>
      <c r="P9997" s="199"/>
    </row>
    <row r="9998" spans="7:16" x14ac:dyDescent="0.2">
      <c r="G9998" s="199"/>
      <c r="I9998" s="199"/>
      <c r="K9998" s="199"/>
      <c r="M9998" s="199"/>
      <c r="N9998" s="200"/>
      <c r="P9998" s="199"/>
    </row>
    <row r="9999" spans="7:16" x14ac:dyDescent="0.2">
      <c r="G9999" s="199"/>
      <c r="I9999" s="199"/>
      <c r="K9999" s="199"/>
      <c r="M9999" s="199"/>
      <c r="N9999" s="200"/>
      <c r="P9999" s="199"/>
    </row>
    <row r="10000" spans="7:16" x14ac:dyDescent="0.2">
      <c r="G10000" s="199"/>
      <c r="I10000" s="199"/>
      <c r="K10000" s="199"/>
      <c r="M10000" s="199"/>
      <c r="N10000" s="200"/>
      <c r="P10000" s="199"/>
    </row>
    <row r="10001" spans="7:16" x14ac:dyDescent="0.2">
      <c r="G10001" s="199"/>
      <c r="I10001" s="199"/>
      <c r="K10001" s="199"/>
      <c r="M10001" s="199"/>
      <c r="N10001" s="200"/>
      <c r="P10001" s="199"/>
    </row>
    <row r="10002" spans="7:16" x14ac:dyDescent="0.2">
      <c r="G10002" s="199"/>
      <c r="I10002" s="199"/>
      <c r="K10002" s="199"/>
      <c r="M10002" s="199"/>
      <c r="N10002" s="200"/>
      <c r="P10002" s="199"/>
    </row>
    <row r="10003" spans="7:16" x14ac:dyDescent="0.2">
      <c r="G10003" s="199"/>
      <c r="I10003" s="199"/>
      <c r="K10003" s="199"/>
      <c r="M10003" s="199"/>
      <c r="N10003" s="200"/>
      <c r="P10003" s="199"/>
    </row>
    <row r="10004" spans="7:16" x14ac:dyDescent="0.2">
      <c r="G10004" s="199"/>
      <c r="I10004" s="199"/>
      <c r="K10004" s="199"/>
      <c r="M10004" s="199"/>
      <c r="N10004" s="200"/>
      <c r="P10004" s="199"/>
    </row>
    <row r="10005" spans="7:16" x14ac:dyDescent="0.2">
      <c r="G10005" s="199"/>
      <c r="I10005" s="199"/>
      <c r="K10005" s="199"/>
      <c r="M10005" s="199"/>
      <c r="N10005" s="200"/>
      <c r="P10005" s="199"/>
    </row>
    <row r="10006" spans="7:16" x14ac:dyDescent="0.2">
      <c r="G10006" s="199"/>
      <c r="I10006" s="199"/>
      <c r="K10006" s="199"/>
      <c r="M10006" s="199"/>
      <c r="N10006" s="200"/>
      <c r="P10006" s="199"/>
    </row>
    <row r="10007" spans="7:16" x14ac:dyDescent="0.2">
      <c r="G10007" s="199"/>
      <c r="I10007" s="199"/>
      <c r="K10007" s="199"/>
      <c r="M10007" s="199"/>
      <c r="N10007" s="200"/>
      <c r="P10007" s="199"/>
    </row>
    <row r="10008" spans="7:16" x14ac:dyDescent="0.2">
      <c r="G10008" s="199"/>
      <c r="I10008" s="199"/>
      <c r="K10008" s="199"/>
      <c r="M10008" s="199"/>
      <c r="N10008" s="200"/>
      <c r="P10008" s="199"/>
    </row>
    <row r="10009" spans="7:16" x14ac:dyDescent="0.2">
      <c r="G10009" s="199"/>
      <c r="I10009" s="199"/>
      <c r="K10009" s="199"/>
      <c r="M10009" s="199"/>
      <c r="N10009" s="200"/>
      <c r="P10009" s="199"/>
    </row>
    <row r="10010" spans="7:16" x14ac:dyDescent="0.2">
      <c r="G10010" s="199"/>
      <c r="I10010" s="199"/>
      <c r="K10010" s="199"/>
      <c r="M10010" s="199"/>
      <c r="N10010" s="200"/>
      <c r="P10010" s="199"/>
    </row>
    <row r="10011" spans="7:16" x14ac:dyDescent="0.2">
      <c r="G10011" s="199"/>
      <c r="I10011" s="199"/>
      <c r="K10011" s="199"/>
      <c r="M10011" s="199"/>
      <c r="N10011" s="200"/>
      <c r="P10011" s="199"/>
    </row>
    <row r="10012" spans="7:16" x14ac:dyDescent="0.2">
      <c r="G10012" s="199"/>
      <c r="I10012" s="199"/>
      <c r="K10012" s="199"/>
      <c r="M10012" s="199"/>
      <c r="N10012" s="200"/>
      <c r="P10012" s="199"/>
    </row>
    <row r="10013" spans="7:16" x14ac:dyDescent="0.2">
      <c r="G10013" s="199"/>
      <c r="I10013" s="199"/>
      <c r="K10013" s="199"/>
      <c r="M10013" s="199"/>
      <c r="N10013" s="200"/>
      <c r="P10013" s="199"/>
    </row>
    <row r="10014" spans="7:16" x14ac:dyDescent="0.2">
      <c r="G10014" s="199"/>
      <c r="I10014" s="199"/>
      <c r="K10014" s="199"/>
      <c r="M10014" s="199"/>
      <c r="N10014" s="200"/>
      <c r="P10014" s="199"/>
    </row>
    <row r="10015" spans="7:16" x14ac:dyDescent="0.2">
      <c r="G10015" s="199"/>
      <c r="I10015" s="199"/>
      <c r="K10015" s="199"/>
      <c r="M10015" s="199"/>
      <c r="N10015" s="200"/>
      <c r="P10015" s="199"/>
    </row>
    <row r="10016" spans="7:16" x14ac:dyDescent="0.2">
      <c r="G10016" s="199"/>
      <c r="I10016" s="199"/>
      <c r="K10016" s="199"/>
      <c r="M10016" s="199"/>
      <c r="N10016" s="200"/>
      <c r="P10016" s="199"/>
    </row>
    <row r="10017" spans="7:16" x14ac:dyDescent="0.2">
      <c r="G10017" s="199"/>
      <c r="I10017" s="199"/>
      <c r="K10017" s="199"/>
      <c r="M10017" s="199"/>
      <c r="N10017" s="200"/>
      <c r="P10017" s="199"/>
    </row>
    <row r="10018" spans="7:16" x14ac:dyDescent="0.2">
      <c r="G10018" s="199"/>
      <c r="I10018" s="199"/>
      <c r="K10018" s="199"/>
      <c r="M10018" s="199"/>
      <c r="N10018" s="200"/>
      <c r="P10018" s="199"/>
    </row>
    <row r="10019" spans="7:16" x14ac:dyDescent="0.2">
      <c r="G10019" s="199"/>
      <c r="I10019" s="199"/>
      <c r="K10019" s="199"/>
      <c r="M10019" s="199"/>
      <c r="N10019" s="200"/>
      <c r="P10019" s="199"/>
    </row>
    <row r="10020" spans="7:16" x14ac:dyDescent="0.2">
      <c r="G10020" s="199"/>
      <c r="I10020" s="199"/>
      <c r="K10020" s="199"/>
      <c r="M10020" s="199"/>
      <c r="N10020" s="200"/>
      <c r="P10020" s="199"/>
    </row>
    <row r="10021" spans="7:16" x14ac:dyDescent="0.2">
      <c r="G10021" s="199"/>
      <c r="I10021" s="199"/>
      <c r="K10021" s="199"/>
      <c r="M10021" s="199"/>
      <c r="N10021" s="200"/>
      <c r="P10021" s="199"/>
    </row>
    <row r="10022" spans="7:16" x14ac:dyDescent="0.2">
      <c r="G10022" s="199"/>
      <c r="I10022" s="199"/>
      <c r="K10022" s="199"/>
      <c r="M10022" s="199"/>
      <c r="N10022" s="200"/>
      <c r="P10022" s="199"/>
    </row>
    <row r="10023" spans="7:16" x14ac:dyDescent="0.2">
      <c r="G10023" s="199"/>
      <c r="I10023" s="199"/>
      <c r="K10023" s="199"/>
      <c r="M10023" s="199"/>
      <c r="N10023" s="200"/>
      <c r="P10023" s="199"/>
    </row>
    <row r="10024" spans="7:16" x14ac:dyDescent="0.2">
      <c r="G10024" s="199"/>
      <c r="I10024" s="199"/>
      <c r="K10024" s="199"/>
      <c r="M10024" s="199"/>
      <c r="N10024" s="200"/>
      <c r="P10024" s="199"/>
    </row>
    <row r="10025" spans="7:16" x14ac:dyDescent="0.2">
      <c r="G10025" s="199"/>
      <c r="I10025" s="199"/>
      <c r="K10025" s="199"/>
      <c r="M10025" s="199"/>
      <c r="N10025" s="200"/>
      <c r="P10025" s="199"/>
    </row>
    <row r="10026" spans="7:16" x14ac:dyDescent="0.2">
      <c r="G10026" s="199"/>
      <c r="I10026" s="199"/>
      <c r="K10026" s="199"/>
      <c r="M10026" s="199"/>
      <c r="N10026" s="200"/>
      <c r="P10026" s="199"/>
    </row>
    <row r="10027" spans="7:16" x14ac:dyDescent="0.2">
      <c r="G10027" s="199"/>
      <c r="I10027" s="199"/>
      <c r="K10027" s="199"/>
      <c r="M10027" s="199"/>
      <c r="N10027" s="200"/>
      <c r="P10027" s="199"/>
    </row>
    <row r="10028" spans="7:16" x14ac:dyDescent="0.2">
      <c r="G10028" s="199"/>
      <c r="I10028" s="199"/>
      <c r="K10028" s="199"/>
      <c r="M10028" s="199"/>
      <c r="N10028" s="200"/>
      <c r="P10028" s="199"/>
    </row>
    <row r="10029" spans="7:16" x14ac:dyDescent="0.2">
      <c r="G10029" s="199"/>
      <c r="I10029" s="199"/>
      <c r="K10029" s="199"/>
      <c r="M10029" s="199"/>
      <c r="N10029" s="200"/>
      <c r="P10029" s="199"/>
    </row>
    <row r="10030" spans="7:16" x14ac:dyDescent="0.2">
      <c r="G10030" s="199"/>
      <c r="I10030" s="199"/>
      <c r="K10030" s="199"/>
      <c r="M10030" s="199"/>
      <c r="N10030" s="200"/>
      <c r="P10030" s="199"/>
    </row>
    <row r="10031" spans="7:16" x14ac:dyDescent="0.2">
      <c r="G10031" s="199"/>
      <c r="I10031" s="199"/>
      <c r="K10031" s="199"/>
      <c r="M10031" s="199"/>
      <c r="N10031" s="200"/>
      <c r="P10031" s="199"/>
    </row>
    <row r="10032" spans="7:16" x14ac:dyDescent="0.2">
      <c r="G10032" s="199"/>
      <c r="I10032" s="199"/>
      <c r="K10032" s="199"/>
      <c r="M10032" s="199"/>
      <c r="N10032" s="200"/>
      <c r="P10032" s="199"/>
    </row>
    <row r="10033" spans="7:16" x14ac:dyDescent="0.2">
      <c r="G10033" s="199"/>
      <c r="I10033" s="199"/>
      <c r="K10033" s="199"/>
      <c r="M10033" s="199"/>
      <c r="N10033" s="200"/>
      <c r="P10033" s="199"/>
    </row>
    <row r="10034" spans="7:16" x14ac:dyDescent="0.2">
      <c r="G10034" s="199"/>
      <c r="I10034" s="199"/>
      <c r="K10034" s="199"/>
      <c r="M10034" s="199"/>
      <c r="N10034" s="200"/>
      <c r="P10034" s="199"/>
    </row>
    <row r="10035" spans="7:16" x14ac:dyDescent="0.2">
      <c r="G10035" s="199"/>
      <c r="I10035" s="199"/>
      <c r="K10035" s="199"/>
      <c r="M10035" s="199"/>
      <c r="N10035" s="200"/>
      <c r="P10035" s="199"/>
    </row>
    <row r="10036" spans="7:16" x14ac:dyDescent="0.2">
      <c r="G10036" s="199"/>
      <c r="I10036" s="199"/>
      <c r="K10036" s="199"/>
      <c r="M10036" s="199"/>
      <c r="N10036" s="200"/>
      <c r="P10036" s="199"/>
    </row>
    <row r="10037" spans="7:16" x14ac:dyDescent="0.2">
      <c r="G10037" s="199"/>
      <c r="I10037" s="199"/>
      <c r="K10037" s="199"/>
      <c r="M10037" s="199"/>
      <c r="N10037" s="200"/>
      <c r="P10037" s="199"/>
    </row>
    <row r="10038" spans="7:16" x14ac:dyDescent="0.2">
      <c r="G10038" s="199"/>
      <c r="I10038" s="199"/>
      <c r="K10038" s="199"/>
      <c r="M10038" s="199"/>
      <c r="N10038" s="200"/>
      <c r="P10038" s="199"/>
    </row>
    <row r="10039" spans="7:16" x14ac:dyDescent="0.2">
      <c r="G10039" s="199"/>
      <c r="I10039" s="199"/>
      <c r="K10039" s="199"/>
      <c r="M10039" s="199"/>
      <c r="N10039" s="200"/>
      <c r="P10039" s="199"/>
    </row>
    <row r="10040" spans="7:16" x14ac:dyDescent="0.2">
      <c r="G10040" s="199"/>
      <c r="I10040" s="199"/>
      <c r="K10040" s="199"/>
      <c r="M10040" s="199"/>
      <c r="N10040" s="200"/>
      <c r="P10040" s="199"/>
    </row>
    <row r="10041" spans="7:16" x14ac:dyDescent="0.2">
      <c r="G10041" s="199"/>
      <c r="I10041" s="199"/>
      <c r="K10041" s="199"/>
      <c r="M10041" s="199"/>
      <c r="N10041" s="200"/>
      <c r="P10041" s="199"/>
    </row>
    <row r="10042" spans="7:16" x14ac:dyDescent="0.2">
      <c r="G10042" s="199"/>
      <c r="I10042" s="199"/>
      <c r="K10042" s="199"/>
      <c r="M10042" s="199"/>
      <c r="N10042" s="200"/>
      <c r="P10042" s="199"/>
    </row>
    <row r="10043" spans="7:16" x14ac:dyDescent="0.2">
      <c r="G10043" s="199"/>
      <c r="I10043" s="199"/>
      <c r="K10043" s="199"/>
      <c r="M10043" s="199"/>
      <c r="N10043" s="200"/>
      <c r="P10043" s="199"/>
    </row>
    <row r="10044" spans="7:16" x14ac:dyDescent="0.2">
      <c r="G10044" s="199"/>
      <c r="I10044" s="199"/>
      <c r="K10044" s="199"/>
      <c r="M10044" s="199"/>
      <c r="N10044" s="200"/>
      <c r="P10044" s="199"/>
    </row>
    <row r="10045" spans="7:16" x14ac:dyDescent="0.2">
      <c r="G10045" s="199"/>
      <c r="I10045" s="199"/>
      <c r="K10045" s="199"/>
      <c r="M10045" s="199"/>
      <c r="N10045" s="200"/>
      <c r="P10045" s="199"/>
    </row>
    <row r="10046" spans="7:16" x14ac:dyDescent="0.2">
      <c r="G10046" s="199"/>
      <c r="I10046" s="199"/>
      <c r="K10046" s="199"/>
      <c r="M10046" s="199"/>
      <c r="N10046" s="200"/>
      <c r="P10046" s="199"/>
    </row>
    <row r="10047" spans="7:16" x14ac:dyDescent="0.2">
      <c r="G10047" s="199"/>
      <c r="I10047" s="199"/>
      <c r="K10047" s="199"/>
      <c r="M10047" s="199"/>
      <c r="N10047" s="200"/>
      <c r="P10047" s="199"/>
    </row>
    <row r="10048" spans="7:16" x14ac:dyDescent="0.2">
      <c r="G10048" s="199"/>
      <c r="I10048" s="199"/>
      <c r="K10048" s="199"/>
      <c r="M10048" s="199"/>
      <c r="N10048" s="200"/>
      <c r="P10048" s="199"/>
    </row>
    <row r="10049" spans="7:16" x14ac:dyDescent="0.2">
      <c r="G10049" s="199"/>
      <c r="I10049" s="199"/>
      <c r="K10049" s="199"/>
      <c r="M10049" s="199"/>
      <c r="N10049" s="200"/>
      <c r="P10049" s="199"/>
    </row>
    <row r="10050" spans="7:16" x14ac:dyDescent="0.2">
      <c r="G10050" s="199"/>
      <c r="I10050" s="199"/>
      <c r="K10050" s="199"/>
      <c r="M10050" s="199"/>
      <c r="N10050" s="200"/>
      <c r="P10050" s="199"/>
    </row>
    <row r="10051" spans="7:16" x14ac:dyDescent="0.2">
      <c r="G10051" s="199"/>
      <c r="I10051" s="199"/>
      <c r="K10051" s="199"/>
      <c r="M10051" s="199"/>
      <c r="N10051" s="200"/>
      <c r="P10051" s="199"/>
    </row>
    <row r="10052" spans="7:16" x14ac:dyDescent="0.2">
      <c r="G10052" s="199"/>
      <c r="I10052" s="199"/>
      <c r="K10052" s="199"/>
      <c r="M10052" s="199"/>
      <c r="N10052" s="200"/>
      <c r="P10052" s="199"/>
    </row>
    <row r="10053" spans="7:16" x14ac:dyDescent="0.2">
      <c r="G10053" s="199"/>
      <c r="I10053" s="199"/>
      <c r="K10053" s="199"/>
      <c r="M10053" s="199"/>
      <c r="N10053" s="200"/>
      <c r="P10053" s="199"/>
    </row>
    <row r="10054" spans="7:16" x14ac:dyDescent="0.2">
      <c r="G10054" s="199"/>
      <c r="I10054" s="199"/>
      <c r="K10054" s="199"/>
      <c r="M10054" s="199"/>
      <c r="N10054" s="200"/>
      <c r="P10054" s="199"/>
    </row>
    <row r="10055" spans="7:16" x14ac:dyDescent="0.2">
      <c r="G10055" s="199"/>
      <c r="I10055" s="199"/>
      <c r="K10055" s="199"/>
      <c r="M10055" s="199"/>
      <c r="N10055" s="200"/>
      <c r="P10055" s="199"/>
    </row>
    <row r="10056" spans="7:16" x14ac:dyDescent="0.2">
      <c r="G10056" s="199"/>
      <c r="I10056" s="199"/>
      <c r="K10056" s="199"/>
      <c r="M10056" s="199"/>
      <c r="N10056" s="200"/>
      <c r="P10056" s="199"/>
    </row>
    <row r="10057" spans="7:16" x14ac:dyDescent="0.2">
      <c r="G10057" s="199"/>
      <c r="I10057" s="199"/>
      <c r="K10057" s="199"/>
      <c r="M10057" s="199"/>
      <c r="N10057" s="200"/>
      <c r="P10057" s="199"/>
    </row>
    <row r="10058" spans="7:16" x14ac:dyDescent="0.2">
      <c r="G10058" s="199"/>
      <c r="I10058" s="199"/>
      <c r="K10058" s="199"/>
      <c r="M10058" s="199"/>
      <c r="N10058" s="200"/>
      <c r="P10058" s="199"/>
    </row>
    <row r="10059" spans="7:16" x14ac:dyDescent="0.2">
      <c r="G10059" s="199"/>
      <c r="I10059" s="199"/>
      <c r="K10059" s="199"/>
      <c r="M10059" s="199"/>
      <c r="N10059" s="200"/>
      <c r="P10059" s="199"/>
    </row>
    <row r="10060" spans="7:16" x14ac:dyDescent="0.2">
      <c r="G10060" s="199"/>
      <c r="I10060" s="199"/>
      <c r="K10060" s="199"/>
      <c r="M10060" s="199"/>
      <c r="N10060" s="200"/>
      <c r="P10060" s="199"/>
    </row>
    <row r="10061" spans="7:16" x14ac:dyDescent="0.2">
      <c r="G10061" s="199"/>
      <c r="I10061" s="199"/>
      <c r="K10061" s="199"/>
      <c r="M10061" s="199"/>
      <c r="N10061" s="200"/>
      <c r="P10061" s="199"/>
    </row>
    <row r="10062" spans="7:16" x14ac:dyDescent="0.2">
      <c r="G10062" s="199"/>
      <c r="I10062" s="199"/>
      <c r="K10062" s="199"/>
      <c r="M10062" s="199"/>
      <c r="N10062" s="200"/>
      <c r="P10062" s="199"/>
    </row>
    <row r="10063" spans="7:16" x14ac:dyDescent="0.2">
      <c r="G10063" s="199"/>
      <c r="I10063" s="199"/>
      <c r="K10063" s="199"/>
      <c r="M10063" s="199"/>
      <c r="N10063" s="200"/>
      <c r="P10063" s="199"/>
    </row>
    <row r="10064" spans="7:16" x14ac:dyDescent="0.2">
      <c r="G10064" s="199"/>
      <c r="I10064" s="199"/>
      <c r="K10064" s="199"/>
      <c r="M10064" s="199"/>
      <c r="N10064" s="200"/>
      <c r="P10064" s="199"/>
    </row>
    <row r="10065" spans="7:16" x14ac:dyDescent="0.2">
      <c r="G10065" s="199"/>
      <c r="I10065" s="199"/>
      <c r="K10065" s="199"/>
      <c r="M10065" s="199"/>
      <c r="N10065" s="200"/>
      <c r="P10065" s="199"/>
    </row>
    <row r="10066" spans="7:16" x14ac:dyDescent="0.2">
      <c r="G10066" s="199"/>
      <c r="I10066" s="199"/>
      <c r="K10066" s="199"/>
      <c r="M10066" s="199"/>
      <c r="N10066" s="200"/>
      <c r="P10066" s="199"/>
    </row>
    <row r="10067" spans="7:16" x14ac:dyDescent="0.2">
      <c r="G10067" s="199"/>
      <c r="I10067" s="199"/>
      <c r="K10067" s="199"/>
      <c r="M10067" s="199"/>
      <c r="N10067" s="200"/>
      <c r="P10067" s="199"/>
    </row>
    <row r="10068" spans="7:16" x14ac:dyDescent="0.2">
      <c r="G10068" s="199"/>
      <c r="I10068" s="199"/>
      <c r="K10068" s="199"/>
      <c r="M10068" s="199"/>
      <c r="N10068" s="200"/>
      <c r="P10068" s="199"/>
    </row>
    <row r="10069" spans="7:16" x14ac:dyDescent="0.2">
      <c r="G10069" s="199"/>
      <c r="I10069" s="199"/>
      <c r="K10069" s="199"/>
      <c r="M10069" s="199"/>
      <c r="N10069" s="200"/>
      <c r="P10069" s="199"/>
    </row>
    <row r="10070" spans="7:16" x14ac:dyDescent="0.2">
      <c r="G10070" s="199"/>
      <c r="I10070" s="199"/>
      <c r="K10070" s="199"/>
      <c r="M10070" s="199"/>
      <c r="N10070" s="200"/>
      <c r="P10070" s="199"/>
    </row>
    <row r="10071" spans="7:16" x14ac:dyDescent="0.2">
      <c r="G10071" s="199"/>
      <c r="I10071" s="199"/>
      <c r="K10071" s="199"/>
      <c r="M10071" s="199"/>
      <c r="N10071" s="200"/>
      <c r="P10071" s="199"/>
    </row>
    <row r="10072" spans="7:16" x14ac:dyDescent="0.2">
      <c r="G10072" s="199"/>
      <c r="I10072" s="199"/>
      <c r="K10072" s="199"/>
      <c r="M10072" s="199"/>
      <c r="N10072" s="200"/>
      <c r="P10072" s="199"/>
    </row>
    <row r="10073" spans="7:16" x14ac:dyDescent="0.2">
      <c r="G10073" s="199"/>
      <c r="I10073" s="199"/>
      <c r="K10073" s="199"/>
      <c r="M10073" s="199"/>
      <c r="N10073" s="200"/>
      <c r="P10073" s="199"/>
    </row>
    <row r="10074" spans="7:16" x14ac:dyDescent="0.2">
      <c r="G10074" s="199"/>
      <c r="I10074" s="199"/>
      <c r="K10074" s="199"/>
      <c r="M10074" s="199"/>
      <c r="N10074" s="200"/>
      <c r="P10074" s="199"/>
    </row>
    <row r="10075" spans="7:16" x14ac:dyDescent="0.2">
      <c r="G10075" s="199"/>
      <c r="I10075" s="199"/>
      <c r="K10075" s="199"/>
      <c r="M10075" s="199"/>
      <c r="N10075" s="200"/>
      <c r="P10075" s="199"/>
    </row>
    <row r="10076" spans="7:16" x14ac:dyDescent="0.2">
      <c r="G10076" s="199"/>
      <c r="I10076" s="199"/>
      <c r="K10076" s="199"/>
      <c r="M10076" s="199"/>
      <c r="N10076" s="200"/>
      <c r="P10076" s="199"/>
    </row>
    <row r="10077" spans="7:16" x14ac:dyDescent="0.2">
      <c r="G10077" s="199"/>
      <c r="I10077" s="199"/>
      <c r="K10077" s="199"/>
      <c r="M10077" s="199"/>
      <c r="N10077" s="200"/>
      <c r="P10077" s="199"/>
    </row>
    <row r="10078" spans="7:16" x14ac:dyDescent="0.2">
      <c r="G10078" s="199"/>
      <c r="I10078" s="199"/>
      <c r="K10078" s="199"/>
      <c r="M10078" s="199"/>
      <c r="N10078" s="200"/>
      <c r="P10078" s="199"/>
    </row>
    <row r="10079" spans="7:16" x14ac:dyDescent="0.2">
      <c r="G10079" s="199"/>
      <c r="I10079" s="199"/>
      <c r="K10079" s="199"/>
      <c r="M10079" s="199"/>
      <c r="N10079" s="200"/>
      <c r="P10079" s="199"/>
    </row>
    <row r="10080" spans="7:16" x14ac:dyDescent="0.2">
      <c r="G10080" s="199"/>
      <c r="I10080" s="199"/>
      <c r="K10080" s="199"/>
      <c r="M10080" s="199"/>
      <c r="N10080" s="200"/>
      <c r="P10080" s="199"/>
    </row>
    <row r="10081" spans="7:16" x14ac:dyDescent="0.2">
      <c r="G10081" s="199"/>
      <c r="I10081" s="199"/>
      <c r="K10081" s="199"/>
      <c r="M10081" s="199"/>
      <c r="N10081" s="200"/>
      <c r="P10081" s="199"/>
    </row>
    <row r="10082" spans="7:16" x14ac:dyDescent="0.2">
      <c r="G10082" s="199"/>
      <c r="I10082" s="199"/>
      <c r="K10082" s="199"/>
      <c r="M10082" s="199"/>
      <c r="N10082" s="200"/>
      <c r="P10082" s="199"/>
    </row>
    <row r="10083" spans="7:16" x14ac:dyDescent="0.2">
      <c r="G10083" s="199"/>
      <c r="I10083" s="199"/>
      <c r="K10083" s="199"/>
      <c r="M10083" s="199"/>
      <c r="N10083" s="200"/>
      <c r="P10083" s="199"/>
    </row>
    <row r="10084" spans="7:16" x14ac:dyDescent="0.2">
      <c r="G10084" s="199"/>
      <c r="I10084" s="199"/>
      <c r="K10084" s="199"/>
      <c r="M10084" s="199"/>
      <c r="N10084" s="200"/>
      <c r="P10084" s="199"/>
    </row>
    <row r="10085" spans="7:16" x14ac:dyDescent="0.2">
      <c r="G10085" s="199"/>
      <c r="I10085" s="199"/>
      <c r="K10085" s="199"/>
      <c r="M10085" s="199"/>
      <c r="N10085" s="200"/>
      <c r="P10085" s="199"/>
    </row>
    <row r="10086" spans="7:16" x14ac:dyDescent="0.2">
      <c r="G10086" s="199"/>
      <c r="I10086" s="199"/>
      <c r="K10086" s="199"/>
      <c r="M10086" s="199"/>
      <c r="N10086" s="200"/>
      <c r="P10086" s="199"/>
    </row>
    <row r="10087" spans="7:16" x14ac:dyDescent="0.2">
      <c r="G10087" s="199"/>
      <c r="I10087" s="199"/>
      <c r="K10087" s="199"/>
      <c r="M10087" s="199"/>
      <c r="N10087" s="200"/>
      <c r="P10087" s="199"/>
    </row>
    <row r="10088" spans="7:16" x14ac:dyDescent="0.2">
      <c r="G10088" s="199"/>
      <c r="I10088" s="199"/>
      <c r="K10088" s="199"/>
      <c r="M10088" s="199"/>
      <c r="N10088" s="200"/>
      <c r="P10088" s="199"/>
    </row>
    <row r="10089" spans="7:16" x14ac:dyDescent="0.2">
      <c r="G10089" s="199"/>
      <c r="I10089" s="199"/>
      <c r="K10089" s="199"/>
      <c r="M10089" s="199"/>
      <c r="N10089" s="200"/>
      <c r="P10089" s="199"/>
    </row>
    <row r="10090" spans="7:16" x14ac:dyDescent="0.2">
      <c r="G10090" s="199"/>
      <c r="I10090" s="199"/>
      <c r="K10090" s="199"/>
      <c r="M10090" s="199"/>
      <c r="N10090" s="200"/>
      <c r="P10090" s="199"/>
    </row>
    <row r="10091" spans="7:16" x14ac:dyDescent="0.2">
      <c r="G10091" s="199"/>
      <c r="I10091" s="199"/>
      <c r="K10091" s="199"/>
      <c r="M10091" s="199"/>
      <c r="N10091" s="200"/>
      <c r="P10091" s="199"/>
    </row>
    <row r="10092" spans="7:16" x14ac:dyDescent="0.2">
      <c r="G10092" s="199"/>
      <c r="I10092" s="199"/>
      <c r="K10092" s="199"/>
      <c r="M10092" s="199"/>
      <c r="N10092" s="200"/>
      <c r="P10092" s="199"/>
    </row>
    <row r="10093" spans="7:16" x14ac:dyDescent="0.2">
      <c r="G10093" s="199"/>
      <c r="I10093" s="199"/>
      <c r="K10093" s="199"/>
      <c r="M10093" s="199"/>
      <c r="N10093" s="200"/>
      <c r="P10093" s="199"/>
    </row>
    <row r="10094" spans="7:16" x14ac:dyDescent="0.2">
      <c r="G10094" s="199"/>
      <c r="I10094" s="199"/>
      <c r="K10094" s="199"/>
      <c r="M10094" s="199"/>
      <c r="N10094" s="200"/>
      <c r="P10094" s="199"/>
    </row>
    <row r="10095" spans="7:16" x14ac:dyDescent="0.2">
      <c r="G10095" s="199"/>
      <c r="I10095" s="199"/>
      <c r="K10095" s="199"/>
      <c r="M10095" s="199"/>
      <c r="N10095" s="200"/>
      <c r="P10095" s="199"/>
    </row>
    <row r="10096" spans="7:16" x14ac:dyDescent="0.2">
      <c r="G10096" s="199"/>
      <c r="I10096" s="199"/>
      <c r="K10096" s="199"/>
      <c r="M10096" s="199"/>
      <c r="N10096" s="200"/>
      <c r="P10096" s="199"/>
    </row>
    <row r="10097" spans="7:16" x14ac:dyDescent="0.2">
      <c r="G10097" s="199"/>
      <c r="I10097" s="199"/>
      <c r="K10097" s="199"/>
      <c r="M10097" s="199"/>
      <c r="N10097" s="200"/>
      <c r="P10097" s="199"/>
    </row>
    <row r="10098" spans="7:16" x14ac:dyDescent="0.2">
      <c r="G10098" s="199"/>
      <c r="I10098" s="199"/>
      <c r="K10098" s="199"/>
      <c r="M10098" s="199"/>
      <c r="N10098" s="200"/>
      <c r="P10098" s="199"/>
    </row>
    <row r="10099" spans="7:16" x14ac:dyDescent="0.2">
      <c r="G10099" s="199"/>
      <c r="I10099" s="199"/>
      <c r="K10099" s="199"/>
      <c r="M10099" s="199"/>
      <c r="N10099" s="200"/>
      <c r="P10099" s="199"/>
    </row>
    <row r="10100" spans="7:16" x14ac:dyDescent="0.2">
      <c r="G10100" s="199"/>
      <c r="I10100" s="199"/>
      <c r="K10100" s="199"/>
      <c r="M10100" s="199"/>
      <c r="N10100" s="200"/>
      <c r="P10100" s="199"/>
    </row>
    <row r="10101" spans="7:16" x14ac:dyDescent="0.2">
      <c r="G10101" s="199"/>
      <c r="I10101" s="199"/>
      <c r="K10101" s="199"/>
      <c r="M10101" s="199"/>
      <c r="N10101" s="200"/>
      <c r="P10101" s="199"/>
    </row>
    <row r="10102" spans="7:16" x14ac:dyDescent="0.2">
      <c r="G10102" s="199"/>
      <c r="I10102" s="199"/>
      <c r="K10102" s="199"/>
      <c r="M10102" s="199"/>
      <c r="N10102" s="200"/>
      <c r="P10102" s="199"/>
    </row>
    <row r="10103" spans="7:16" x14ac:dyDescent="0.2">
      <c r="G10103" s="199"/>
      <c r="I10103" s="199"/>
      <c r="K10103" s="199"/>
      <c r="M10103" s="199"/>
      <c r="N10103" s="200"/>
      <c r="P10103" s="199"/>
    </row>
    <row r="10104" spans="7:16" x14ac:dyDescent="0.2">
      <c r="G10104" s="199"/>
      <c r="I10104" s="199"/>
      <c r="K10104" s="199"/>
      <c r="M10104" s="199"/>
      <c r="N10104" s="200"/>
      <c r="P10104" s="199"/>
    </row>
    <row r="10105" spans="7:16" x14ac:dyDescent="0.2">
      <c r="G10105" s="199"/>
      <c r="I10105" s="199"/>
      <c r="K10105" s="199"/>
      <c r="M10105" s="199"/>
      <c r="N10105" s="200"/>
      <c r="P10105" s="199"/>
    </row>
    <row r="10106" spans="7:16" x14ac:dyDescent="0.2">
      <c r="G10106" s="199"/>
      <c r="I10106" s="199"/>
      <c r="K10106" s="199"/>
      <c r="M10106" s="199"/>
      <c r="N10106" s="200"/>
      <c r="P10106" s="199"/>
    </row>
    <row r="10107" spans="7:16" x14ac:dyDescent="0.2">
      <c r="G10107" s="199"/>
      <c r="I10107" s="199"/>
      <c r="K10107" s="199"/>
      <c r="M10107" s="199"/>
      <c r="N10107" s="200"/>
      <c r="P10107" s="199"/>
    </row>
    <row r="10108" spans="7:16" x14ac:dyDescent="0.2">
      <c r="G10108" s="199"/>
      <c r="I10108" s="199"/>
      <c r="K10108" s="199"/>
      <c r="M10108" s="199"/>
      <c r="N10108" s="200"/>
      <c r="P10108" s="199"/>
    </row>
    <row r="10109" spans="7:16" x14ac:dyDescent="0.2">
      <c r="G10109" s="199"/>
      <c r="I10109" s="199"/>
      <c r="K10109" s="199"/>
      <c r="M10109" s="199"/>
      <c r="N10109" s="200"/>
      <c r="P10109" s="199"/>
    </row>
    <row r="10110" spans="7:16" x14ac:dyDescent="0.2">
      <c r="G10110" s="199"/>
      <c r="I10110" s="199"/>
      <c r="K10110" s="199"/>
      <c r="M10110" s="199"/>
      <c r="N10110" s="200"/>
      <c r="P10110" s="199"/>
    </row>
    <row r="10111" spans="7:16" x14ac:dyDescent="0.2">
      <c r="G10111" s="199"/>
      <c r="I10111" s="199"/>
      <c r="K10111" s="199"/>
      <c r="M10111" s="199"/>
      <c r="N10111" s="200"/>
      <c r="P10111" s="199"/>
    </row>
    <row r="10112" spans="7:16" x14ac:dyDescent="0.2">
      <c r="G10112" s="199"/>
      <c r="I10112" s="199"/>
      <c r="K10112" s="199"/>
      <c r="M10112" s="199"/>
      <c r="N10112" s="200"/>
      <c r="P10112" s="199"/>
    </row>
    <row r="10113" spans="7:16" x14ac:dyDescent="0.2">
      <c r="G10113" s="199"/>
      <c r="I10113" s="199"/>
      <c r="K10113" s="199"/>
      <c r="M10113" s="199"/>
      <c r="N10113" s="200"/>
      <c r="P10113" s="199"/>
    </row>
    <row r="10114" spans="7:16" x14ac:dyDescent="0.2">
      <c r="G10114" s="199"/>
      <c r="I10114" s="199"/>
      <c r="K10114" s="199"/>
      <c r="M10114" s="199"/>
      <c r="N10114" s="200"/>
      <c r="P10114" s="199"/>
    </row>
    <row r="10115" spans="7:16" x14ac:dyDescent="0.2">
      <c r="G10115" s="199"/>
      <c r="I10115" s="199"/>
      <c r="K10115" s="199"/>
      <c r="M10115" s="199"/>
      <c r="N10115" s="200"/>
      <c r="P10115" s="199"/>
    </row>
    <row r="10116" spans="7:16" x14ac:dyDescent="0.2">
      <c r="G10116" s="199"/>
      <c r="I10116" s="199"/>
      <c r="K10116" s="199"/>
      <c r="M10116" s="199"/>
      <c r="N10116" s="200"/>
      <c r="P10116" s="199"/>
    </row>
    <row r="10117" spans="7:16" x14ac:dyDescent="0.2">
      <c r="G10117" s="199"/>
      <c r="I10117" s="199"/>
      <c r="K10117" s="199"/>
      <c r="M10117" s="199"/>
      <c r="N10117" s="200"/>
      <c r="P10117" s="199"/>
    </row>
    <row r="10118" spans="7:16" x14ac:dyDescent="0.2">
      <c r="G10118" s="199"/>
      <c r="I10118" s="199"/>
      <c r="K10118" s="199"/>
      <c r="M10118" s="199"/>
      <c r="N10118" s="200"/>
      <c r="P10118" s="199"/>
    </row>
    <row r="10119" spans="7:16" x14ac:dyDescent="0.2">
      <c r="G10119" s="199"/>
      <c r="I10119" s="199"/>
      <c r="K10119" s="199"/>
      <c r="M10119" s="199"/>
      <c r="N10119" s="200"/>
      <c r="P10119" s="199"/>
    </row>
    <row r="10120" spans="7:16" x14ac:dyDescent="0.2">
      <c r="G10120" s="199"/>
      <c r="I10120" s="199"/>
      <c r="K10120" s="199"/>
      <c r="M10120" s="199"/>
      <c r="N10120" s="200"/>
      <c r="P10120" s="199"/>
    </row>
    <row r="10121" spans="7:16" x14ac:dyDescent="0.2">
      <c r="G10121" s="199"/>
      <c r="I10121" s="199"/>
      <c r="K10121" s="199"/>
      <c r="M10121" s="199"/>
      <c r="N10121" s="200"/>
      <c r="P10121" s="199"/>
    </row>
    <row r="10122" spans="7:16" x14ac:dyDescent="0.2">
      <c r="G10122" s="199"/>
      <c r="I10122" s="199"/>
      <c r="K10122" s="199"/>
      <c r="M10122" s="199"/>
      <c r="N10122" s="200"/>
      <c r="P10122" s="199"/>
    </row>
    <row r="10123" spans="7:16" x14ac:dyDescent="0.2">
      <c r="G10123" s="199"/>
      <c r="I10123" s="199"/>
      <c r="K10123" s="199"/>
      <c r="M10123" s="199"/>
      <c r="N10123" s="200"/>
      <c r="P10123" s="199"/>
    </row>
    <row r="10124" spans="7:16" x14ac:dyDescent="0.2">
      <c r="G10124" s="199"/>
      <c r="I10124" s="199"/>
      <c r="K10124" s="199"/>
      <c r="M10124" s="199"/>
      <c r="N10124" s="200"/>
      <c r="P10124" s="199"/>
    </row>
    <row r="10125" spans="7:16" x14ac:dyDescent="0.2">
      <c r="G10125" s="199"/>
      <c r="I10125" s="199"/>
      <c r="K10125" s="199"/>
      <c r="M10125" s="199"/>
      <c r="N10125" s="200"/>
      <c r="P10125" s="199"/>
    </row>
    <row r="10126" spans="7:16" x14ac:dyDescent="0.2">
      <c r="G10126" s="199"/>
      <c r="I10126" s="199"/>
      <c r="K10126" s="199"/>
      <c r="M10126" s="199"/>
      <c r="N10126" s="200"/>
      <c r="P10126" s="199"/>
    </row>
    <row r="10127" spans="7:16" x14ac:dyDescent="0.2">
      <c r="G10127" s="199"/>
      <c r="I10127" s="199"/>
      <c r="K10127" s="199"/>
      <c r="M10127" s="199"/>
      <c r="N10127" s="200"/>
      <c r="P10127" s="199"/>
    </row>
    <row r="10128" spans="7:16" x14ac:dyDescent="0.2">
      <c r="G10128" s="199"/>
      <c r="I10128" s="199"/>
      <c r="K10128" s="199"/>
      <c r="M10128" s="199"/>
      <c r="N10128" s="200"/>
      <c r="P10128" s="199"/>
    </row>
    <row r="10129" spans="7:16" x14ac:dyDescent="0.2">
      <c r="G10129" s="199"/>
      <c r="I10129" s="199"/>
      <c r="K10129" s="199"/>
      <c r="M10129" s="199"/>
      <c r="N10129" s="200"/>
      <c r="P10129" s="199"/>
    </row>
    <row r="10130" spans="7:16" x14ac:dyDescent="0.2">
      <c r="G10130" s="199"/>
      <c r="I10130" s="199"/>
      <c r="K10130" s="199"/>
      <c r="M10130" s="199"/>
      <c r="N10130" s="200"/>
      <c r="P10130" s="199"/>
    </row>
    <row r="10131" spans="7:16" x14ac:dyDescent="0.2">
      <c r="G10131" s="199"/>
      <c r="I10131" s="199"/>
      <c r="K10131" s="199"/>
      <c r="M10131" s="199"/>
      <c r="N10131" s="200"/>
      <c r="P10131" s="199"/>
    </row>
    <row r="10132" spans="7:16" x14ac:dyDescent="0.2">
      <c r="G10132" s="199"/>
      <c r="I10132" s="199"/>
      <c r="K10132" s="199"/>
      <c r="M10132" s="199"/>
      <c r="N10132" s="200"/>
      <c r="P10132" s="199"/>
    </row>
    <row r="10133" spans="7:16" x14ac:dyDescent="0.2">
      <c r="G10133" s="199"/>
      <c r="I10133" s="199"/>
      <c r="K10133" s="199"/>
      <c r="M10133" s="199"/>
      <c r="N10133" s="200"/>
      <c r="P10133" s="199"/>
    </row>
    <row r="10134" spans="7:16" x14ac:dyDescent="0.2">
      <c r="G10134" s="199"/>
      <c r="I10134" s="199"/>
      <c r="K10134" s="199"/>
      <c r="M10134" s="199"/>
      <c r="N10134" s="200"/>
      <c r="P10134" s="199"/>
    </row>
    <row r="10135" spans="7:16" x14ac:dyDescent="0.2">
      <c r="G10135" s="199"/>
      <c r="I10135" s="199"/>
      <c r="K10135" s="199"/>
      <c r="M10135" s="199"/>
      <c r="N10135" s="200"/>
      <c r="P10135" s="199"/>
    </row>
    <row r="10136" spans="7:16" x14ac:dyDescent="0.2">
      <c r="G10136" s="199"/>
      <c r="I10136" s="199"/>
      <c r="K10136" s="199"/>
      <c r="M10136" s="199"/>
      <c r="N10136" s="200"/>
      <c r="P10136" s="199"/>
    </row>
    <row r="10137" spans="7:16" x14ac:dyDescent="0.2">
      <c r="G10137" s="199"/>
      <c r="I10137" s="199"/>
      <c r="K10137" s="199"/>
      <c r="M10137" s="199"/>
      <c r="N10137" s="200"/>
      <c r="P10137" s="199"/>
    </row>
    <row r="10138" spans="7:16" x14ac:dyDescent="0.2">
      <c r="G10138" s="199"/>
      <c r="I10138" s="199"/>
      <c r="K10138" s="199"/>
      <c r="M10138" s="199"/>
      <c r="N10138" s="200"/>
      <c r="P10138" s="199"/>
    </row>
    <row r="10139" spans="7:16" x14ac:dyDescent="0.2">
      <c r="G10139" s="199"/>
      <c r="I10139" s="199"/>
      <c r="K10139" s="199"/>
      <c r="M10139" s="199"/>
      <c r="N10139" s="200"/>
      <c r="P10139" s="199"/>
    </row>
    <row r="10140" spans="7:16" x14ac:dyDescent="0.2">
      <c r="G10140" s="199"/>
      <c r="I10140" s="199"/>
      <c r="K10140" s="199"/>
      <c r="M10140" s="199"/>
      <c r="N10140" s="200"/>
      <c r="P10140" s="199"/>
    </row>
    <row r="10141" spans="7:16" x14ac:dyDescent="0.2">
      <c r="G10141" s="199"/>
      <c r="I10141" s="199"/>
      <c r="K10141" s="199"/>
      <c r="M10141" s="199"/>
      <c r="N10141" s="200"/>
      <c r="P10141" s="199"/>
    </row>
    <row r="10142" spans="7:16" x14ac:dyDescent="0.2">
      <c r="G10142" s="199"/>
      <c r="I10142" s="199"/>
      <c r="K10142" s="199"/>
      <c r="M10142" s="199"/>
      <c r="N10142" s="200"/>
      <c r="P10142" s="199"/>
    </row>
    <row r="10143" spans="7:16" x14ac:dyDescent="0.2">
      <c r="G10143" s="199"/>
      <c r="I10143" s="199"/>
      <c r="K10143" s="199"/>
      <c r="M10143" s="199"/>
      <c r="N10143" s="200"/>
      <c r="P10143" s="199"/>
    </row>
    <row r="10144" spans="7:16" x14ac:dyDescent="0.2">
      <c r="G10144" s="199"/>
      <c r="I10144" s="199"/>
      <c r="K10144" s="199"/>
      <c r="M10144" s="199"/>
      <c r="N10144" s="200"/>
      <c r="P10144" s="199"/>
    </row>
    <row r="10145" spans="7:16" x14ac:dyDescent="0.2">
      <c r="G10145" s="199"/>
      <c r="I10145" s="199"/>
      <c r="K10145" s="199"/>
      <c r="M10145" s="199"/>
      <c r="N10145" s="200"/>
      <c r="P10145" s="199"/>
    </row>
    <row r="10146" spans="7:16" x14ac:dyDescent="0.2">
      <c r="G10146" s="199"/>
      <c r="I10146" s="199"/>
      <c r="K10146" s="199"/>
      <c r="M10146" s="199"/>
      <c r="N10146" s="200"/>
      <c r="P10146" s="199"/>
    </row>
    <row r="10147" spans="7:16" x14ac:dyDescent="0.2">
      <c r="G10147" s="199"/>
      <c r="I10147" s="199"/>
      <c r="K10147" s="199"/>
      <c r="M10147" s="199"/>
      <c r="N10147" s="200"/>
      <c r="P10147" s="199"/>
    </row>
    <row r="10148" spans="7:16" x14ac:dyDescent="0.2">
      <c r="G10148" s="199"/>
      <c r="I10148" s="199"/>
      <c r="K10148" s="199"/>
      <c r="M10148" s="199"/>
      <c r="N10148" s="200"/>
      <c r="P10148" s="199"/>
    </row>
    <row r="10149" spans="7:16" x14ac:dyDescent="0.2">
      <c r="G10149" s="199"/>
      <c r="I10149" s="199"/>
      <c r="K10149" s="199"/>
      <c r="M10149" s="199"/>
      <c r="N10149" s="200"/>
      <c r="P10149" s="199"/>
    </row>
    <row r="10150" spans="7:16" x14ac:dyDescent="0.2">
      <c r="G10150" s="199"/>
      <c r="I10150" s="199"/>
      <c r="K10150" s="199"/>
      <c r="M10150" s="199"/>
      <c r="N10150" s="200"/>
      <c r="P10150" s="199"/>
    </row>
    <row r="10151" spans="7:16" x14ac:dyDescent="0.2">
      <c r="G10151" s="199"/>
      <c r="I10151" s="199"/>
      <c r="K10151" s="199"/>
      <c r="M10151" s="199"/>
      <c r="N10151" s="200"/>
      <c r="P10151" s="199"/>
    </row>
    <row r="10152" spans="7:16" x14ac:dyDescent="0.2">
      <c r="G10152" s="199"/>
      <c r="I10152" s="199"/>
      <c r="K10152" s="199"/>
      <c r="M10152" s="199"/>
      <c r="N10152" s="200"/>
      <c r="P10152" s="199"/>
    </row>
    <row r="10153" spans="7:16" x14ac:dyDescent="0.2">
      <c r="G10153" s="199"/>
      <c r="I10153" s="199"/>
      <c r="K10153" s="199"/>
      <c r="M10153" s="199"/>
      <c r="N10153" s="200"/>
      <c r="P10153" s="199"/>
    </row>
    <row r="10154" spans="7:16" x14ac:dyDescent="0.2">
      <c r="G10154" s="199"/>
      <c r="I10154" s="199"/>
      <c r="K10154" s="199"/>
      <c r="M10154" s="199"/>
      <c r="N10154" s="200"/>
      <c r="P10154" s="199"/>
    </row>
    <row r="10155" spans="7:16" x14ac:dyDescent="0.2">
      <c r="G10155" s="199"/>
      <c r="I10155" s="199"/>
      <c r="K10155" s="199"/>
      <c r="M10155" s="199"/>
      <c r="N10155" s="200"/>
      <c r="P10155" s="199"/>
    </row>
    <row r="10156" spans="7:16" x14ac:dyDescent="0.2">
      <c r="G10156" s="199"/>
      <c r="I10156" s="199"/>
      <c r="K10156" s="199"/>
      <c r="M10156" s="199"/>
      <c r="N10156" s="200"/>
      <c r="P10156" s="199"/>
    </row>
    <row r="10157" spans="7:16" x14ac:dyDescent="0.2">
      <c r="G10157" s="199"/>
      <c r="I10157" s="199"/>
      <c r="K10157" s="199"/>
      <c r="M10157" s="199"/>
      <c r="N10157" s="200"/>
      <c r="P10157" s="199"/>
    </row>
    <row r="10158" spans="7:16" x14ac:dyDescent="0.2">
      <c r="G10158" s="199"/>
      <c r="I10158" s="199"/>
      <c r="K10158" s="199"/>
      <c r="M10158" s="199"/>
      <c r="N10158" s="200"/>
      <c r="P10158" s="199"/>
    </row>
    <row r="10159" spans="7:16" x14ac:dyDescent="0.2">
      <c r="G10159" s="199"/>
      <c r="I10159" s="199"/>
      <c r="K10159" s="199"/>
      <c r="M10159" s="199"/>
      <c r="N10159" s="200"/>
      <c r="P10159" s="199"/>
    </row>
    <row r="10160" spans="7:16" x14ac:dyDescent="0.2">
      <c r="G10160" s="199"/>
      <c r="I10160" s="199"/>
      <c r="K10160" s="199"/>
      <c r="M10160" s="199"/>
      <c r="N10160" s="200"/>
      <c r="P10160" s="199"/>
    </row>
    <row r="10161" spans="7:16" x14ac:dyDescent="0.2">
      <c r="G10161" s="199"/>
      <c r="I10161" s="199"/>
      <c r="K10161" s="199"/>
      <c r="M10161" s="199"/>
      <c r="N10161" s="200"/>
      <c r="P10161" s="199"/>
    </row>
    <row r="10162" spans="7:16" x14ac:dyDescent="0.2">
      <c r="G10162" s="199"/>
      <c r="I10162" s="199"/>
      <c r="K10162" s="199"/>
      <c r="M10162" s="199"/>
      <c r="N10162" s="200"/>
      <c r="P10162" s="199"/>
    </row>
    <row r="10163" spans="7:16" x14ac:dyDescent="0.2">
      <c r="G10163" s="199"/>
      <c r="I10163" s="199"/>
      <c r="K10163" s="199"/>
      <c r="M10163" s="199"/>
      <c r="N10163" s="200"/>
      <c r="P10163" s="199"/>
    </row>
    <row r="10164" spans="7:16" x14ac:dyDescent="0.2">
      <c r="G10164" s="199"/>
      <c r="I10164" s="199"/>
      <c r="K10164" s="199"/>
      <c r="M10164" s="199"/>
      <c r="N10164" s="200"/>
      <c r="P10164" s="199"/>
    </row>
    <row r="10165" spans="7:16" x14ac:dyDescent="0.2">
      <c r="G10165" s="199"/>
      <c r="I10165" s="199"/>
      <c r="K10165" s="199"/>
      <c r="M10165" s="199"/>
      <c r="N10165" s="200"/>
      <c r="P10165" s="199"/>
    </row>
    <row r="10166" spans="7:16" x14ac:dyDescent="0.2">
      <c r="G10166" s="199"/>
      <c r="I10166" s="199"/>
      <c r="K10166" s="199"/>
      <c r="M10166" s="199"/>
      <c r="N10166" s="200"/>
      <c r="P10166" s="199"/>
    </row>
    <row r="10167" spans="7:16" x14ac:dyDescent="0.2">
      <c r="G10167" s="199"/>
      <c r="I10167" s="199"/>
      <c r="K10167" s="199"/>
      <c r="M10167" s="199"/>
      <c r="N10167" s="200"/>
      <c r="P10167" s="199"/>
    </row>
    <row r="10168" spans="7:16" x14ac:dyDescent="0.2">
      <c r="G10168" s="199"/>
      <c r="I10168" s="199"/>
      <c r="K10168" s="199"/>
      <c r="M10168" s="199"/>
      <c r="N10168" s="200"/>
      <c r="P10168" s="199"/>
    </row>
    <row r="10169" spans="7:16" x14ac:dyDescent="0.2">
      <c r="G10169" s="199"/>
      <c r="I10169" s="199"/>
      <c r="K10169" s="199"/>
      <c r="M10169" s="199"/>
      <c r="N10169" s="200"/>
      <c r="P10169" s="199"/>
    </row>
    <row r="10170" spans="7:16" x14ac:dyDescent="0.2">
      <c r="G10170" s="199"/>
      <c r="I10170" s="199"/>
      <c r="K10170" s="199"/>
      <c r="M10170" s="199"/>
      <c r="N10170" s="200"/>
      <c r="P10170" s="199"/>
    </row>
    <row r="10171" spans="7:16" x14ac:dyDescent="0.2">
      <c r="G10171" s="199"/>
      <c r="I10171" s="199"/>
      <c r="K10171" s="199"/>
      <c r="M10171" s="199"/>
      <c r="N10171" s="200"/>
      <c r="P10171" s="199"/>
    </row>
    <row r="10172" spans="7:16" x14ac:dyDescent="0.2">
      <c r="G10172" s="199"/>
      <c r="I10172" s="199"/>
      <c r="K10172" s="199"/>
      <c r="M10172" s="199"/>
      <c r="N10172" s="200"/>
      <c r="P10172" s="199"/>
    </row>
    <row r="10173" spans="7:16" x14ac:dyDescent="0.2">
      <c r="G10173" s="199"/>
      <c r="I10173" s="199"/>
      <c r="K10173" s="199"/>
      <c r="M10173" s="199"/>
      <c r="N10173" s="200"/>
      <c r="P10173" s="199"/>
    </row>
    <row r="10174" spans="7:16" x14ac:dyDescent="0.2">
      <c r="G10174" s="199"/>
      <c r="I10174" s="199"/>
      <c r="K10174" s="199"/>
      <c r="M10174" s="199"/>
      <c r="N10174" s="200"/>
      <c r="P10174" s="199"/>
    </row>
    <row r="10175" spans="7:16" x14ac:dyDescent="0.2">
      <c r="G10175" s="199"/>
      <c r="I10175" s="199"/>
      <c r="K10175" s="199"/>
      <c r="M10175" s="199"/>
      <c r="N10175" s="200"/>
      <c r="P10175" s="199"/>
    </row>
    <row r="10176" spans="7:16" x14ac:dyDescent="0.2">
      <c r="G10176" s="199"/>
      <c r="I10176" s="199"/>
      <c r="K10176" s="199"/>
      <c r="M10176" s="199"/>
      <c r="N10176" s="200"/>
      <c r="P10176" s="199"/>
    </row>
    <row r="10177" spans="7:16" x14ac:dyDescent="0.2">
      <c r="G10177" s="199"/>
      <c r="I10177" s="199"/>
      <c r="K10177" s="199"/>
      <c r="M10177" s="199"/>
      <c r="N10177" s="200"/>
      <c r="P10177" s="199"/>
    </row>
    <row r="10178" spans="7:16" x14ac:dyDescent="0.2">
      <c r="G10178" s="199"/>
      <c r="I10178" s="199"/>
      <c r="K10178" s="199"/>
      <c r="M10178" s="199"/>
      <c r="N10178" s="200"/>
      <c r="P10178" s="199"/>
    </row>
    <row r="10179" spans="7:16" x14ac:dyDescent="0.2">
      <c r="G10179" s="199"/>
      <c r="I10179" s="199"/>
      <c r="K10179" s="199"/>
      <c r="M10179" s="199"/>
      <c r="N10179" s="200"/>
      <c r="P10179" s="199"/>
    </row>
    <row r="10180" spans="7:16" x14ac:dyDescent="0.2">
      <c r="G10180" s="199"/>
      <c r="I10180" s="199"/>
      <c r="K10180" s="199"/>
      <c r="M10180" s="199"/>
      <c r="N10180" s="200"/>
      <c r="P10180" s="199"/>
    </row>
    <row r="10181" spans="7:16" x14ac:dyDescent="0.2">
      <c r="G10181" s="199"/>
      <c r="I10181" s="199"/>
      <c r="K10181" s="199"/>
      <c r="M10181" s="199"/>
      <c r="N10181" s="200"/>
      <c r="P10181" s="199"/>
    </row>
    <row r="10182" spans="7:16" x14ac:dyDescent="0.2">
      <c r="G10182" s="199"/>
      <c r="I10182" s="199"/>
      <c r="K10182" s="199"/>
      <c r="M10182" s="199"/>
      <c r="N10182" s="200"/>
      <c r="P10182" s="199"/>
    </row>
    <row r="10183" spans="7:16" x14ac:dyDescent="0.2">
      <c r="G10183" s="199"/>
      <c r="I10183" s="199"/>
      <c r="K10183" s="199"/>
      <c r="M10183" s="199"/>
      <c r="N10183" s="200"/>
      <c r="P10183" s="199"/>
    </row>
    <row r="10184" spans="7:16" x14ac:dyDescent="0.2">
      <c r="G10184" s="199"/>
      <c r="I10184" s="199"/>
      <c r="K10184" s="199"/>
      <c r="M10184" s="199"/>
      <c r="N10184" s="200"/>
      <c r="P10184" s="199"/>
    </row>
    <row r="10185" spans="7:16" x14ac:dyDescent="0.2">
      <c r="G10185" s="199"/>
      <c r="I10185" s="199"/>
      <c r="K10185" s="199"/>
      <c r="M10185" s="199"/>
      <c r="N10185" s="200"/>
      <c r="P10185" s="199"/>
    </row>
    <row r="10186" spans="7:16" x14ac:dyDescent="0.2">
      <c r="G10186" s="199"/>
      <c r="I10186" s="199"/>
      <c r="K10186" s="199"/>
      <c r="M10186" s="199"/>
      <c r="N10186" s="200"/>
      <c r="P10186" s="199"/>
    </row>
    <row r="10187" spans="7:16" x14ac:dyDescent="0.2">
      <c r="G10187" s="199"/>
      <c r="I10187" s="199"/>
      <c r="K10187" s="199"/>
      <c r="M10187" s="199"/>
      <c r="N10187" s="200"/>
      <c r="P10187" s="199"/>
    </row>
    <row r="10188" spans="7:16" x14ac:dyDescent="0.2">
      <c r="G10188" s="199"/>
      <c r="I10188" s="199"/>
      <c r="K10188" s="199"/>
      <c r="M10188" s="199"/>
      <c r="N10188" s="200"/>
      <c r="P10188" s="199"/>
    </row>
    <row r="10189" spans="7:16" x14ac:dyDescent="0.2">
      <c r="G10189" s="199"/>
      <c r="I10189" s="199"/>
      <c r="K10189" s="199"/>
      <c r="M10189" s="199"/>
      <c r="N10189" s="200"/>
      <c r="P10189" s="199"/>
    </row>
    <row r="10190" spans="7:16" x14ac:dyDescent="0.2">
      <c r="G10190" s="199"/>
      <c r="I10190" s="199"/>
      <c r="K10190" s="199"/>
      <c r="M10190" s="199"/>
      <c r="N10190" s="200"/>
      <c r="P10190" s="199"/>
    </row>
    <row r="10191" spans="7:16" x14ac:dyDescent="0.2">
      <c r="G10191" s="199"/>
      <c r="I10191" s="199"/>
      <c r="K10191" s="199"/>
      <c r="M10191" s="199"/>
      <c r="N10191" s="200"/>
      <c r="P10191" s="199"/>
    </row>
    <row r="10192" spans="7:16" x14ac:dyDescent="0.2">
      <c r="G10192" s="199"/>
      <c r="I10192" s="199"/>
      <c r="K10192" s="199"/>
      <c r="M10192" s="199"/>
      <c r="N10192" s="200"/>
      <c r="P10192" s="199"/>
    </row>
    <row r="10193" spans="7:16" x14ac:dyDescent="0.2">
      <c r="G10193" s="199"/>
      <c r="I10193" s="199"/>
      <c r="K10193" s="199"/>
      <c r="M10193" s="199"/>
      <c r="N10193" s="200"/>
      <c r="P10193" s="199"/>
    </row>
    <row r="10194" spans="7:16" x14ac:dyDescent="0.2">
      <c r="G10194" s="199"/>
      <c r="I10194" s="199"/>
      <c r="K10194" s="199"/>
      <c r="M10194" s="199"/>
      <c r="N10194" s="200"/>
      <c r="P10194" s="199"/>
    </row>
    <row r="10195" spans="7:16" x14ac:dyDescent="0.2">
      <c r="G10195" s="199"/>
      <c r="I10195" s="199"/>
      <c r="K10195" s="199"/>
      <c r="M10195" s="199"/>
      <c r="N10195" s="200"/>
      <c r="P10195" s="199"/>
    </row>
    <row r="10196" spans="7:16" x14ac:dyDescent="0.2">
      <c r="G10196" s="199"/>
      <c r="I10196" s="199"/>
      <c r="K10196" s="199"/>
      <c r="M10196" s="199"/>
      <c r="N10196" s="200"/>
      <c r="P10196" s="199"/>
    </row>
    <row r="10197" spans="7:16" x14ac:dyDescent="0.2">
      <c r="G10197" s="199"/>
      <c r="I10197" s="199"/>
      <c r="K10197" s="199"/>
      <c r="M10197" s="199"/>
      <c r="N10197" s="200"/>
      <c r="P10197" s="199"/>
    </row>
    <row r="10198" spans="7:16" x14ac:dyDescent="0.2">
      <c r="G10198" s="199"/>
      <c r="I10198" s="199"/>
      <c r="K10198" s="199"/>
      <c r="M10198" s="199"/>
      <c r="N10198" s="200"/>
      <c r="P10198" s="199"/>
    </row>
    <row r="10199" spans="7:16" x14ac:dyDescent="0.2">
      <c r="G10199" s="199"/>
      <c r="I10199" s="199"/>
      <c r="K10199" s="199"/>
      <c r="M10199" s="199"/>
      <c r="N10199" s="200"/>
      <c r="P10199" s="199"/>
    </row>
    <row r="10200" spans="7:16" x14ac:dyDescent="0.2">
      <c r="G10200" s="199"/>
      <c r="I10200" s="199"/>
      <c r="K10200" s="199"/>
      <c r="M10200" s="199"/>
      <c r="N10200" s="200"/>
      <c r="P10200" s="199"/>
    </row>
    <row r="10201" spans="7:16" x14ac:dyDescent="0.2">
      <c r="G10201" s="199"/>
      <c r="I10201" s="199"/>
      <c r="K10201" s="199"/>
      <c r="M10201" s="199"/>
      <c r="N10201" s="200"/>
      <c r="P10201" s="199"/>
    </row>
    <row r="10202" spans="7:16" x14ac:dyDescent="0.2">
      <c r="G10202" s="199"/>
      <c r="I10202" s="199"/>
      <c r="K10202" s="199"/>
      <c r="M10202" s="199"/>
      <c r="N10202" s="200"/>
      <c r="P10202" s="199"/>
    </row>
    <row r="10203" spans="7:16" x14ac:dyDescent="0.2">
      <c r="G10203" s="199"/>
      <c r="I10203" s="199"/>
      <c r="K10203" s="199"/>
      <c r="M10203" s="199"/>
      <c r="N10203" s="200"/>
      <c r="P10203" s="199"/>
    </row>
    <row r="10204" spans="7:16" x14ac:dyDescent="0.2">
      <c r="G10204" s="199"/>
      <c r="I10204" s="199"/>
      <c r="K10204" s="199"/>
      <c r="M10204" s="199"/>
      <c r="N10204" s="200"/>
      <c r="P10204" s="199"/>
    </row>
    <row r="10205" spans="7:16" x14ac:dyDescent="0.2">
      <c r="G10205" s="199"/>
      <c r="I10205" s="199"/>
      <c r="K10205" s="199"/>
      <c r="M10205" s="199"/>
      <c r="N10205" s="200"/>
      <c r="P10205" s="199"/>
    </row>
    <row r="10206" spans="7:16" x14ac:dyDescent="0.2">
      <c r="G10206" s="199"/>
      <c r="I10206" s="199"/>
      <c r="K10206" s="199"/>
      <c r="M10206" s="199"/>
      <c r="N10206" s="200"/>
      <c r="P10206" s="199"/>
    </row>
    <row r="10207" spans="7:16" x14ac:dyDescent="0.2">
      <c r="G10207" s="199"/>
      <c r="I10207" s="199"/>
      <c r="K10207" s="199"/>
      <c r="M10207" s="199"/>
      <c r="N10207" s="200"/>
      <c r="P10207" s="199"/>
    </row>
    <row r="10208" spans="7:16" x14ac:dyDescent="0.2">
      <c r="G10208" s="199"/>
      <c r="I10208" s="199"/>
      <c r="K10208" s="199"/>
      <c r="M10208" s="199"/>
      <c r="N10208" s="200"/>
      <c r="P10208" s="199"/>
    </row>
    <row r="10209" spans="7:16" x14ac:dyDescent="0.2">
      <c r="G10209" s="199"/>
      <c r="I10209" s="199"/>
      <c r="K10209" s="199"/>
      <c r="M10209" s="199"/>
      <c r="N10209" s="200"/>
      <c r="P10209" s="199"/>
    </row>
    <row r="10210" spans="7:16" x14ac:dyDescent="0.2">
      <c r="G10210" s="199"/>
      <c r="I10210" s="199"/>
      <c r="K10210" s="199"/>
      <c r="M10210" s="199"/>
      <c r="N10210" s="200"/>
      <c r="P10210" s="199"/>
    </row>
    <row r="10211" spans="7:16" x14ac:dyDescent="0.2">
      <c r="G10211" s="199"/>
      <c r="I10211" s="199"/>
      <c r="K10211" s="199"/>
      <c r="M10211" s="199"/>
      <c r="N10211" s="200"/>
      <c r="P10211" s="199"/>
    </row>
    <row r="10212" spans="7:16" x14ac:dyDescent="0.2">
      <c r="G10212" s="199"/>
      <c r="I10212" s="199"/>
      <c r="K10212" s="199"/>
      <c r="M10212" s="199"/>
      <c r="N10212" s="200"/>
      <c r="P10212" s="199"/>
    </row>
    <row r="10213" spans="7:16" x14ac:dyDescent="0.2">
      <c r="G10213" s="199"/>
      <c r="I10213" s="199"/>
      <c r="K10213" s="199"/>
      <c r="M10213" s="199"/>
      <c r="N10213" s="200"/>
      <c r="P10213" s="199"/>
    </row>
    <row r="10214" spans="7:16" x14ac:dyDescent="0.2">
      <c r="G10214" s="199"/>
      <c r="I10214" s="199"/>
      <c r="K10214" s="199"/>
      <c r="M10214" s="199"/>
      <c r="N10214" s="200"/>
      <c r="P10214" s="199"/>
    </row>
    <row r="10215" spans="7:16" x14ac:dyDescent="0.2">
      <c r="G10215" s="199"/>
      <c r="I10215" s="199"/>
      <c r="K10215" s="199"/>
      <c r="M10215" s="199"/>
      <c r="N10215" s="200"/>
      <c r="P10215" s="199"/>
    </row>
    <row r="10216" spans="7:16" x14ac:dyDescent="0.2">
      <c r="G10216" s="199"/>
      <c r="I10216" s="199"/>
      <c r="K10216" s="199"/>
      <c r="M10216" s="199"/>
      <c r="N10216" s="200"/>
      <c r="P10216" s="199"/>
    </row>
    <row r="10217" spans="7:16" x14ac:dyDescent="0.2">
      <c r="G10217" s="199"/>
      <c r="I10217" s="199"/>
      <c r="K10217" s="199"/>
      <c r="M10217" s="199"/>
      <c r="N10217" s="200"/>
      <c r="P10217" s="199"/>
    </row>
    <row r="10218" spans="7:16" x14ac:dyDescent="0.2">
      <c r="G10218" s="199"/>
      <c r="I10218" s="199"/>
      <c r="K10218" s="199"/>
      <c r="M10218" s="199"/>
      <c r="N10218" s="200"/>
      <c r="P10218" s="199"/>
    </row>
    <row r="10219" spans="7:16" x14ac:dyDescent="0.2">
      <c r="G10219" s="199"/>
      <c r="I10219" s="199"/>
      <c r="K10219" s="199"/>
      <c r="M10219" s="199"/>
      <c r="N10219" s="200"/>
      <c r="P10219" s="199"/>
    </row>
    <row r="10220" spans="7:16" x14ac:dyDescent="0.2">
      <c r="G10220" s="199"/>
      <c r="I10220" s="199"/>
      <c r="K10220" s="199"/>
      <c r="M10220" s="199"/>
      <c r="N10220" s="200"/>
      <c r="P10220" s="199"/>
    </row>
    <row r="10221" spans="7:16" x14ac:dyDescent="0.2">
      <c r="G10221" s="199"/>
      <c r="I10221" s="199"/>
      <c r="K10221" s="199"/>
      <c r="M10221" s="199"/>
      <c r="N10221" s="200"/>
      <c r="P10221" s="199"/>
    </row>
    <row r="10222" spans="7:16" x14ac:dyDescent="0.2">
      <c r="G10222" s="199"/>
      <c r="I10222" s="199"/>
      <c r="K10222" s="199"/>
      <c r="M10222" s="199"/>
      <c r="N10222" s="200"/>
      <c r="P10222" s="199"/>
    </row>
    <row r="10223" spans="7:16" x14ac:dyDescent="0.2">
      <c r="G10223" s="199"/>
      <c r="I10223" s="199"/>
      <c r="K10223" s="199"/>
      <c r="M10223" s="199"/>
      <c r="N10223" s="200"/>
      <c r="P10223" s="199"/>
    </row>
    <row r="10224" spans="7:16" x14ac:dyDescent="0.2">
      <c r="G10224" s="199"/>
      <c r="I10224" s="199"/>
      <c r="K10224" s="199"/>
      <c r="M10224" s="199"/>
      <c r="N10224" s="200"/>
      <c r="P10224" s="199"/>
    </row>
    <row r="10225" spans="7:16" x14ac:dyDescent="0.2">
      <c r="G10225" s="199"/>
      <c r="I10225" s="199"/>
      <c r="K10225" s="199"/>
      <c r="M10225" s="199"/>
      <c r="N10225" s="200"/>
      <c r="P10225" s="199"/>
    </row>
    <row r="10226" spans="7:16" x14ac:dyDescent="0.2">
      <c r="G10226" s="199"/>
      <c r="I10226" s="199"/>
      <c r="K10226" s="199"/>
      <c r="M10226" s="199"/>
      <c r="N10226" s="200"/>
      <c r="P10226" s="199"/>
    </row>
    <row r="10227" spans="7:16" x14ac:dyDescent="0.2">
      <c r="G10227" s="199"/>
      <c r="I10227" s="199"/>
      <c r="K10227" s="199"/>
      <c r="M10227" s="199"/>
      <c r="N10227" s="200"/>
      <c r="P10227" s="199"/>
    </row>
    <row r="10228" spans="7:16" x14ac:dyDescent="0.2">
      <c r="G10228" s="199"/>
      <c r="I10228" s="199"/>
      <c r="K10228" s="199"/>
      <c r="M10228" s="199"/>
      <c r="N10228" s="200"/>
      <c r="P10228" s="199"/>
    </row>
    <row r="10229" spans="7:16" x14ac:dyDescent="0.2">
      <c r="G10229" s="199"/>
      <c r="I10229" s="199"/>
      <c r="K10229" s="199"/>
      <c r="M10229" s="199"/>
      <c r="N10229" s="200"/>
      <c r="P10229" s="199"/>
    </row>
    <row r="10230" spans="7:16" x14ac:dyDescent="0.2">
      <c r="G10230" s="199"/>
      <c r="I10230" s="199"/>
      <c r="K10230" s="199"/>
      <c r="M10230" s="199"/>
      <c r="N10230" s="200"/>
      <c r="P10230" s="199"/>
    </row>
    <row r="10231" spans="7:16" x14ac:dyDescent="0.2">
      <c r="G10231" s="199"/>
      <c r="I10231" s="199"/>
      <c r="K10231" s="199"/>
      <c r="M10231" s="199"/>
      <c r="N10231" s="200"/>
      <c r="P10231" s="199"/>
    </row>
    <row r="10232" spans="7:16" x14ac:dyDescent="0.2">
      <c r="G10232" s="199"/>
      <c r="I10232" s="199"/>
      <c r="K10232" s="199"/>
      <c r="M10232" s="199"/>
      <c r="N10232" s="200"/>
      <c r="P10232" s="199"/>
    </row>
    <row r="10233" spans="7:16" x14ac:dyDescent="0.2">
      <c r="G10233" s="199"/>
      <c r="I10233" s="199"/>
      <c r="K10233" s="199"/>
      <c r="M10233" s="199"/>
      <c r="N10233" s="200"/>
      <c r="P10233" s="199"/>
    </row>
    <row r="10234" spans="7:16" x14ac:dyDescent="0.2">
      <c r="G10234" s="199"/>
      <c r="I10234" s="199"/>
      <c r="K10234" s="199"/>
      <c r="M10234" s="199"/>
      <c r="N10234" s="200"/>
      <c r="P10234" s="199"/>
    </row>
    <row r="10235" spans="7:16" x14ac:dyDescent="0.2">
      <c r="G10235" s="199"/>
      <c r="I10235" s="199"/>
      <c r="K10235" s="199"/>
      <c r="M10235" s="199"/>
      <c r="N10235" s="200"/>
      <c r="P10235" s="199"/>
    </row>
    <row r="10236" spans="7:16" x14ac:dyDescent="0.2">
      <c r="G10236" s="199"/>
      <c r="I10236" s="199"/>
      <c r="K10236" s="199"/>
      <c r="M10236" s="199"/>
      <c r="N10236" s="200"/>
      <c r="P10236" s="199"/>
    </row>
    <row r="10237" spans="7:16" x14ac:dyDescent="0.2">
      <c r="G10237" s="199"/>
      <c r="I10237" s="199"/>
      <c r="K10237" s="199"/>
      <c r="M10237" s="199"/>
      <c r="N10237" s="200"/>
      <c r="P10237" s="199"/>
    </row>
    <row r="10238" spans="7:16" x14ac:dyDescent="0.2">
      <c r="G10238" s="199"/>
      <c r="I10238" s="199"/>
      <c r="K10238" s="199"/>
      <c r="M10238" s="199"/>
      <c r="N10238" s="200"/>
      <c r="P10238" s="199"/>
    </row>
    <row r="10239" spans="7:16" x14ac:dyDescent="0.2">
      <c r="G10239" s="199"/>
      <c r="I10239" s="199"/>
      <c r="K10239" s="199"/>
      <c r="M10239" s="199"/>
      <c r="N10239" s="200"/>
      <c r="P10239" s="199"/>
    </row>
    <row r="10240" spans="7:16" x14ac:dyDescent="0.2">
      <c r="G10240" s="199"/>
      <c r="I10240" s="199"/>
      <c r="K10240" s="199"/>
      <c r="M10240" s="199"/>
      <c r="N10240" s="200"/>
      <c r="P10240" s="199"/>
    </row>
    <row r="10241" spans="7:16" x14ac:dyDescent="0.2">
      <c r="G10241" s="199"/>
      <c r="I10241" s="199"/>
      <c r="K10241" s="199"/>
      <c r="M10241" s="199"/>
      <c r="N10241" s="200"/>
      <c r="P10241" s="199"/>
    </row>
    <row r="10242" spans="7:16" x14ac:dyDescent="0.2">
      <c r="G10242" s="199"/>
      <c r="I10242" s="199"/>
      <c r="K10242" s="199"/>
      <c r="M10242" s="199"/>
      <c r="N10242" s="200"/>
      <c r="P10242" s="199"/>
    </row>
    <row r="10243" spans="7:16" x14ac:dyDescent="0.2">
      <c r="G10243" s="199"/>
      <c r="I10243" s="199"/>
      <c r="K10243" s="199"/>
      <c r="M10243" s="199"/>
      <c r="N10243" s="200"/>
      <c r="P10243" s="199"/>
    </row>
    <row r="10244" spans="7:16" x14ac:dyDescent="0.2">
      <c r="G10244" s="199"/>
      <c r="I10244" s="199"/>
      <c r="K10244" s="199"/>
      <c r="M10244" s="199"/>
      <c r="N10244" s="200"/>
      <c r="P10244" s="199"/>
    </row>
    <row r="10245" spans="7:16" x14ac:dyDescent="0.2">
      <c r="G10245" s="199"/>
      <c r="I10245" s="199"/>
      <c r="K10245" s="199"/>
      <c r="M10245" s="199"/>
      <c r="N10245" s="200"/>
      <c r="P10245" s="199"/>
    </row>
    <row r="10246" spans="7:16" x14ac:dyDescent="0.2">
      <c r="G10246" s="199"/>
      <c r="I10246" s="199"/>
      <c r="K10246" s="199"/>
      <c r="M10246" s="199"/>
      <c r="N10246" s="200"/>
      <c r="P10246" s="199"/>
    </row>
    <row r="10247" spans="7:16" x14ac:dyDescent="0.2">
      <c r="G10247" s="199"/>
      <c r="I10247" s="199"/>
      <c r="K10247" s="199"/>
      <c r="M10247" s="199"/>
      <c r="N10247" s="200"/>
      <c r="P10247" s="199"/>
    </row>
    <row r="10248" spans="7:16" x14ac:dyDescent="0.2">
      <c r="G10248" s="199"/>
      <c r="I10248" s="199"/>
      <c r="K10248" s="199"/>
      <c r="M10248" s="199"/>
      <c r="N10248" s="200"/>
      <c r="P10248" s="199"/>
    </row>
    <row r="10249" spans="7:16" x14ac:dyDescent="0.2">
      <c r="G10249" s="199"/>
      <c r="I10249" s="199"/>
      <c r="K10249" s="199"/>
      <c r="M10249" s="199"/>
      <c r="N10249" s="200"/>
      <c r="P10249" s="199"/>
    </row>
    <row r="10250" spans="7:16" x14ac:dyDescent="0.2">
      <c r="G10250" s="199"/>
      <c r="I10250" s="199"/>
      <c r="K10250" s="199"/>
      <c r="M10250" s="199"/>
      <c r="N10250" s="200"/>
      <c r="P10250" s="199"/>
    </row>
    <row r="10251" spans="7:16" x14ac:dyDescent="0.2">
      <c r="G10251" s="199"/>
      <c r="I10251" s="199"/>
      <c r="K10251" s="199"/>
      <c r="M10251" s="199"/>
      <c r="N10251" s="200"/>
      <c r="P10251" s="199"/>
    </row>
    <row r="10252" spans="7:16" x14ac:dyDescent="0.2">
      <c r="G10252" s="199"/>
      <c r="I10252" s="199"/>
      <c r="K10252" s="199"/>
      <c r="M10252" s="199"/>
      <c r="N10252" s="200"/>
      <c r="P10252" s="199"/>
    </row>
    <row r="10253" spans="7:16" x14ac:dyDescent="0.2">
      <c r="G10253" s="199"/>
      <c r="I10253" s="199"/>
      <c r="K10253" s="199"/>
      <c r="M10253" s="199"/>
      <c r="N10253" s="200"/>
      <c r="P10253" s="199"/>
    </row>
    <row r="10254" spans="7:16" x14ac:dyDescent="0.2">
      <c r="G10254" s="199"/>
      <c r="I10254" s="199"/>
      <c r="K10254" s="199"/>
      <c r="M10254" s="199"/>
      <c r="N10254" s="200"/>
      <c r="P10254" s="199"/>
    </row>
    <row r="10255" spans="7:16" x14ac:dyDescent="0.2">
      <c r="G10255" s="199"/>
      <c r="I10255" s="199"/>
      <c r="K10255" s="199"/>
      <c r="M10255" s="199"/>
      <c r="N10255" s="200"/>
      <c r="P10255" s="199"/>
    </row>
    <row r="10256" spans="7:16" x14ac:dyDescent="0.2">
      <c r="G10256" s="199"/>
      <c r="I10256" s="199"/>
      <c r="K10256" s="199"/>
      <c r="M10256" s="199"/>
      <c r="N10256" s="200"/>
      <c r="P10256" s="199"/>
    </row>
    <row r="10257" spans="7:16" x14ac:dyDescent="0.2">
      <c r="G10257" s="199"/>
      <c r="I10257" s="199"/>
      <c r="K10257" s="199"/>
      <c r="M10257" s="199"/>
      <c r="N10257" s="200"/>
      <c r="P10257" s="199"/>
    </row>
    <row r="10258" spans="7:16" x14ac:dyDescent="0.2">
      <c r="G10258" s="199"/>
      <c r="I10258" s="199"/>
      <c r="K10258" s="199"/>
      <c r="M10258" s="199"/>
      <c r="N10258" s="200"/>
      <c r="P10258" s="199"/>
    </row>
    <row r="10259" spans="7:16" x14ac:dyDescent="0.2">
      <c r="G10259" s="199"/>
      <c r="I10259" s="199"/>
      <c r="K10259" s="199"/>
      <c r="M10259" s="199"/>
      <c r="N10259" s="200"/>
      <c r="P10259" s="199"/>
    </row>
    <row r="10260" spans="7:16" x14ac:dyDescent="0.2">
      <c r="G10260" s="199"/>
      <c r="I10260" s="199"/>
      <c r="K10260" s="199"/>
      <c r="M10260" s="199"/>
      <c r="N10260" s="200"/>
      <c r="P10260" s="199"/>
    </row>
    <row r="10261" spans="7:16" x14ac:dyDescent="0.2">
      <c r="G10261" s="199"/>
      <c r="I10261" s="199"/>
      <c r="K10261" s="199"/>
      <c r="M10261" s="199"/>
      <c r="N10261" s="200"/>
      <c r="P10261" s="199"/>
    </row>
    <row r="10262" spans="7:16" x14ac:dyDescent="0.2">
      <c r="G10262" s="199"/>
      <c r="I10262" s="199"/>
      <c r="K10262" s="199"/>
      <c r="M10262" s="199"/>
      <c r="N10262" s="200"/>
      <c r="P10262" s="199"/>
    </row>
    <row r="10263" spans="7:16" x14ac:dyDescent="0.2">
      <c r="G10263" s="199"/>
      <c r="I10263" s="199"/>
      <c r="K10263" s="199"/>
      <c r="M10263" s="199"/>
      <c r="N10263" s="200"/>
      <c r="P10263" s="199"/>
    </row>
    <row r="10264" spans="7:16" x14ac:dyDescent="0.2">
      <c r="G10264" s="199"/>
      <c r="I10264" s="199"/>
      <c r="K10264" s="199"/>
      <c r="M10264" s="199"/>
      <c r="N10264" s="200"/>
      <c r="P10264" s="199"/>
    </row>
    <row r="10265" spans="7:16" x14ac:dyDescent="0.2">
      <c r="G10265" s="199"/>
      <c r="I10265" s="199"/>
      <c r="K10265" s="199"/>
      <c r="M10265" s="199"/>
      <c r="N10265" s="200"/>
      <c r="P10265" s="199"/>
    </row>
    <row r="10266" spans="7:16" x14ac:dyDescent="0.2">
      <c r="G10266" s="199"/>
      <c r="I10266" s="199"/>
      <c r="K10266" s="199"/>
      <c r="M10266" s="199"/>
      <c r="N10266" s="200"/>
      <c r="P10266" s="199"/>
    </row>
    <row r="10267" spans="7:16" x14ac:dyDescent="0.2">
      <c r="G10267" s="199"/>
      <c r="I10267" s="199"/>
      <c r="K10267" s="199"/>
      <c r="M10267" s="199"/>
      <c r="N10267" s="200"/>
      <c r="P10267" s="199"/>
    </row>
    <row r="10268" spans="7:16" x14ac:dyDescent="0.2">
      <c r="G10268" s="199"/>
      <c r="I10268" s="199"/>
      <c r="K10268" s="199"/>
      <c r="M10268" s="199"/>
      <c r="N10268" s="200"/>
      <c r="P10268" s="199"/>
    </row>
    <row r="10269" spans="7:16" x14ac:dyDescent="0.2">
      <c r="G10269" s="199"/>
      <c r="I10269" s="199"/>
      <c r="K10269" s="199"/>
      <c r="M10269" s="199"/>
      <c r="N10269" s="200"/>
      <c r="P10269" s="199"/>
    </row>
    <row r="10270" spans="7:16" x14ac:dyDescent="0.2">
      <c r="G10270" s="199"/>
      <c r="I10270" s="199"/>
      <c r="K10270" s="199"/>
      <c r="M10270" s="199"/>
      <c r="N10270" s="200"/>
      <c r="P10270" s="199"/>
    </row>
    <row r="10271" spans="7:16" x14ac:dyDescent="0.2">
      <c r="G10271" s="199"/>
      <c r="I10271" s="199"/>
      <c r="K10271" s="199"/>
      <c r="M10271" s="199"/>
      <c r="N10271" s="200"/>
      <c r="P10271" s="199"/>
    </row>
    <row r="10272" spans="7:16" x14ac:dyDescent="0.2">
      <c r="G10272" s="199"/>
      <c r="I10272" s="199"/>
      <c r="K10272" s="199"/>
      <c r="M10272" s="199"/>
      <c r="N10272" s="200"/>
      <c r="P10272" s="199"/>
    </row>
    <row r="10273" spans="7:16" x14ac:dyDescent="0.2">
      <c r="G10273" s="199"/>
      <c r="I10273" s="199"/>
      <c r="K10273" s="199"/>
      <c r="M10273" s="199"/>
      <c r="N10273" s="200"/>
      <c r="P10273" s="199"/>
    </row>
    <row r="10274" spans="7:16" x14ac:dyDescent="0.2">
      <c r="G10274" s="199"/>
      <c r="I10274" s="199"/>
      <c r="K10274" s="199"/>
      <c r="M10274" s="199"/>
      <c r="N10274" s="200"/>
      <c r="P10274" s="199"/>
    </row>
    <row r="10275" spans="7:16" x14ac:dyDescent="0.2">
      <c r="G10275" s="199"/>
      <c r="I10275" s="199"/>
      <c r="K10275" s="199"/>
      <c r="M10275" s="199"/>
      <c r="N10275" s="200"/>
      <c r="P10275" s="199"/>
    </row>
    <row r="10276" spans="7:16" x14ac:dyDescent="0.2">
      <c r="G10276" s="199"/>
      <c r="I10276" s="199"/>
      <c r="K10276" s="199"/>
      <c r="M10276" s="199"/>
      <c r="N10276" s="200"/>
      <c r="P10276" s="199"/>
    </row>
    <row r="10277" spans="7:16" x14ac:dyDescent="0.2">
      <c r="G10277" s="199"/>
      <c r="I10277" s="199"/>
      <c r="K10277" s="199"/>
      <c r="M10277" s="199"/>
      <c r="N10277" s="200"/>
      <c r="P10277" s="199"/>
    </row>
    <row r="10278" spans="7:16" x14ac:dyDescent="0.2">
      <c r="G10278" s="199"/>
      <c r="I10278" s="199"/>
      <c r="K10278" s="199"/>
      <c r="M10278" s="199"/>
      <c r="N10278" s="200"/>
      <c r="P10278" s="199"/>
    </row>
    <row r="10279" spans="7:16" x14ac:dyDescent="0.2">
      <c r="G10279" s="199"/>
      <c r="I10279" s="199"/>
      <c r="K10279" s="199"/>
      <c r="M10279" s="199"/>
      <c r="N10279" s="200"/>
      <c r="P10279" s="199"/>
    </row>
    <row r="10280" spans="7:16" x14ac:dyDescent="0.2">
      <c r="G10280" s="199"/>
      <c r="I10280" s="199"/>
      <c r="K10280" s="199"/>
      <c r="M10280" s="199"/>
      <c r="N10280" s="200"/>
      <c r="P10280" s="199"/>
    </row>
    <row r="10281" spans="7:16" x14ac:dyDescent="0.2">
      <c r="G10281" s="199"/>
      <c r="I10281" s="199"/>
      <c r="K10281" s="199"/>
      <c r="M10281" s="199"/>
      <c r="N10281" s="200"/>
      <c r="P10281" s="199"/>
    </row>
    <row r="10282" spans="7:16" x14ac:dyDescent="0.2">
      <c r="G10282" s="199"/>
      <c r="I10282" s="199"/>
      <c r="K10282" s="199"/>
      <c r="M10282" s="199"/>
      <c r="N10282" s="200"/>
      <c r="P10282" s="199"/>
    </row>
    <row r="10283" spans="7:16" x14ac:dyDescent="0.2">
      <c r="G10283" s="199"/>
      <c r="I10283" s="199"/>
      <c r="K10283" s="199"/>
      <c r="M10283" s="199"/>
      <c r="N10283" s="200"/>
      <c r="P10283" s="199"/>
    </row>
    <row r="10284" spans="7:16" x14ac:dyDescent="0.2">
      <c r="G10284" s="199"/>
      <c r="I10284" s="199"/>
      <c r="K10284" s="199"/>
      <c r="M10284" s="199"/>
      <c r="N10284" s="200"/>
      <c r="P10284" s="199"/>
    </row>
    <row r="10285" spans="7:16" x14ac:dyDescent="0.2">
      <c r="G10285" s="199"/>
      <c r="I10285" s="199"/>
      <c r="K10285" s="199"/>
      <c r="M10285" s="199"/>
      <c r="N10285" s="200"/>
      <c r="P10285" s="199"/>
    </row>
    <row r="10286" spans="7:16" x14ac:dyDescent="0.2">
      <c r="G10286" s="199"/>
      <c r="I10286" s="199"/>
      <c r="K10286" s="199"/>
      <c r="M10286" s="199"/>
      <c r="N10286" s="200"/>
      <c r="P10286" s="199"/>
    </row>
    <row r="10287" spans="7:16" x14ac:dyDescent="0.2">
      <c r="G10287" s="199"/>
      <c r="I10287" s="199"/>
      <c r="K10287" s="199"/>
      <c r="M10287" s="199"/>
      <c r="N10287" s="200"/>
      <c r="P10287" s="199"/>
    </row>
    <row r="10288" spans="7:16" x14ac:dyDescent="0.2">
      <c r="G10288" s="199"/>
      <c r="I10288" s="199"/>
      <c r="K10288" s="199"/>
      <c r="M10288" s="199"/>
      <c r="N10288" s="200"/>
      <c r="P10288" s="199"/>
    </row>
    <row r="10289" spans="7:16" x14ac:dyDescent="0.2">
      <c r="G10289" s="199"/>
      <c r="I10289" s="199"/>
      <c r="K10289" s="199"/>
      <c r="M10289" s="199"/>
      <c r="N10289" s="200"/>
      <c r="P10289" s="199"/>
    </row>
    <row r="10290" spans="7:16" x14ac:dyDescent="0.2">
      <c r="G10290" s="199"/>
      <c r="I10290" s="199"/>
      <c r="K10290" s="199"/>
      <c r="M10290" s="199"/>
      <c r="N10290" s="200"/>
      <c r="P10290" s="199"/>
    </row>
    <row r="10291" spans="7:16" x14ac:dyDescent="0.2">
      <c r="G10291" s="199"/>
      <c r="I10291" s="199"/>
      <c r="K10291" s="199"/>
      <c r="M10291" s="199"/>
      <c r="N10291" s="200"/>
      <c r="P10291" s="199"/>
    </row>
    <row r="10292" spans="7:16" x14ac:dyDescent="0.2">
      <c r="G10292" s="199"/>
      <c r="I10292" s="199"/>
      <c r="K10292" s="199"/>
      <c r="M10292" s="199"/>
      <c r="N10292" s="200"/>
      <c r="P10292" s="199"/>
    </row>
    <row r="10293" spans="7:16" x14ac:dyDescent="0.2">
      <c r="G10293" s="199"/>
      <c r="I10293" s="199"/>
      <c r="K10293" s="199"/>
      <c r="M10293" s="199"/>
      <c r="N10293" s="200"/>
      <c r="P10293" s="199"/>
    </row>
    <row r="10294" spans="7:16" x14ac:dyDescent="0.2">
      <c r="G10294" s="199"/>
      <c r="I10294" s="199"/>
      <c r="K10294" s="199"/>
      <c r="M10294" s="199"/>
      <c r="N10294" s="200"/>
      <c r="P10294" s="199"/>
    </row>
    <row r="10295" spans="7:16" x14ac:dyDescent="0.2">
      <c r="G10295" s="199"/>
      <c r="I10295" s="199"/>
      <c r="K10295" s="199"/>
      <c r="M10295" s="199"/>
      <c r="N10295" s="200"/>
      <c r="P10295" s="199"/>
    </row>
    <row r="10296" spans="7:16" x14ac:dyDescent="0.2">
      <c r="G10296" s="199"/>
      <c r="I10296" s="199"/>
      <c r="K10296" s="199"/>
      <c r="M10296" s="199"/>
      <c r="N10296" s="200"/>
      <c r="P10296" s="199"/>
    </row>
    <row r="10297" spans="7:16" x14ac:dyDescent="0.2">
      <c r="G10297" s="199"/>
      <c r="I10297" s="199"/>
      <c r="K10297" s="199"/>
      <c r="M10297" s="199"/>
      <c r="N10297" s="200"/>
      <c r="P10297" s="199"/>
    </row>
    <row r="10298" spans="7:16" x14ac:dyDescent="0.2">
      <c r="G10298" s="199"/>
      <c r="I10298" s="199"/>
      <c r="K10298" s="199"/>
      <c r="M10298" s="199"/>
      <c r="N10298" s="200"/>
      <c r="P10298" s="199"/>
    </row>
    <row r="10299" spans="7:16" x14ac:dyDescent="0.2">
      <c r="G10299" s="199"/>
      <c r="I10299" s="199"/>
      <c r="K10299" s="199"/>
      <c r="M10299" s="199"/>
      <c r="N10299" s="200"/>
      <c r="P10299" s="199"/>
    </row>
    <row r="10300" spans="7:16" x14ac:dyDescent="0.2">
      <c r="G10300" s="199"/>
      <c r="I10300" s="199"/>
      <c r="K10300" s="199"/>
      <c r="M10300" s="199"/>
      <c r="N10300" s="200"/>
      <c r="P10300" s="199"/>
    </row>
    <row r="10301" spans="7:16" x14ac:dyDescent="0.2">
      <c r="G10301" s="199"/>
      <c r="I10301" s="199"/>
      <c r="K10301" s="199"/>
      <c r="M10301" s="199"/>
      <c r="N10301" s="200"/>
      <c r="P10301" s="199"/>
    </row>
    <row r="10302" spans="7:16" x14ac:dyDescent="0.2">
      <c r="G10302" s="199"/>
      <c r="I10302" s="199"/>
      <c r="K10302" s="199"/>
      <c r="M10302" s="199"/>
      <c r="N10302" s="200"/>
      <c r="P10302" s="199"/>
    </row>
    <row r="10303" spans="7:16" x14ac:dyDescent="0.2">
      <c r="G10303" s="199"/>
      <c r="I10303" s="199"/>
      <c r="K10303" s="199"/>
      <c r="M10303" s="199"/>
      <c r="N10303" s="200"/>
      <c r="P10303" s="199"/>
    </row>
    <row r="10304" spans="7:16" x14ac:dyDescent="0.2">
      <c r="G10304" s="199"/>
      <c r="I10304" s="199"/>
      <c r="K10304" s="199"/>
      <c r="M10304" s="199"/>
      <c r="N10304" s="200"/>
      <c r="P10304" s="199"/>
    </row>
    <row r="10305" spans="7:16" x14ac:dyDescent="0.2">
      <c r="G10305" s="199"/>
      <c r="I10305" s="199"/>
      <c r="K10305" s="199"/>
      <c r="M10305" s="199"/>
      <c r="N10305" s="200"/>
      <c r="P10305" s="199"/>
    </row>
    <row r="10306" spans="7:16" x14ac:dyDescent="0.2">
      <c r="G10306" s="199"/>
      <c r="I10306" s="199"/>
      <c r="K10306" s="199"/>
      <c r="M10306" s="199"/>
      <c r="N10306" s="200"/>
      <c r="P10306" s="199"/>
    </row>
    <row r="10307" spans="7:16" x14ac:dyDescent="0.2">
      <c r="G10307" s="199"/>
      <c r="I10307" s="199"/>
      <c r="K10307" s="199"/>
      <c r="M10307" s="199"/>
      <c r="N10307" s="200"/>
      <c r="P10307" s="199"/>
    </row>
    <row r="10308" spans="7:16" x14ac:dyDescent="0.2">
      <c r="G10308" s="199"/>
      <c r="I10308" s="199"/>
      <c r="K10308" s="199"/>
      <c r="M10308" s="199"/>
      <c r="N10308" s="200"/>
      <c r="P10308" s="199"/>
    </row>
    <row r="10309" spans="7:16" x14ac:dyDescent="0.2">
      <c r="G10309" s="199"/>
      <c r="I10309" s="199"/>
      <c r="K10309" s="199"/>
      <c r="M10309" s="199"/>
      <c r="N10309" s="200"/>
      <c r="P10309" s="199"/>
    </row>
    <row r="10310" spans="7:16" x14ac:dyDescent="0.2">
      <c r="G10310" s="199"/>
      <c r="I10310" s="199"/>
      <c r="K10310" s="199"/>
      <c r="M10310" s="199"/>
      <c r="N10310" s="200"/>
      <c r="P10310" s="199"/>
    </row>
    <row r="10311" spans="7:16" x14ac:dyDescent="0.2">
      <c r="G10311" s="199"/>
      <c r="I10311" s="199"/>
      <c r="K10311" s="199"/>
      <c r="M10311" s="199"/>
      <c r="N10311" s="200"/>
      <c r="P10311" s="199"/>
    </row>
    <row r="10312" spans="7:16" x14ac:dyDescent="0.2">
      <c r="G10312" s="199"/>
      <c r="I10312" s="199"/>
      <c r="K10312" s="199"/>
      <c r="M10312" s="199"/>
      <c r="N10312" s="200"/>
      <c r="P10312" s="199"/>
    </row>
    <row r="10313" spans="7:16" x14ac:dyDescent="0.2">
      <c r="G10313" s="199"/>
      <c r="I10313" s="199"/>
      <c r="K10313" s="199"/>
      <c r="M10313" s="199"/>
      <c r="N10313" s="200"/>
      <c r="P10313" s="199"/>
    </row>
    <row r="10314" spans="7:16" x14ac:dyDescent="0.2">
      <c r="G10314" s="199"/>
      <c r="I10314" s="199"/>
      <c r="K10314" s="199"/>
      <c r="M10314" s="199"/>
      <c r="N10314" s="200"/>
      <c r="P10314" s="199"/>
    </row>
    <row r="10315" spans="7:16" x14ac:dyDescent="0.2">
      <c r="G10315" s="199"/>
      <c r="I10315" s="199"/>
      <c r="K10315" s="199"/>
      <c r="M10315" s="199"/>
      <c r="N10315" s="200"/>
      <c r="P10315" s="199"/>
    </row>
    <row r="10316" spans="7:16" x14ac:dyDescent="0.2">
      <c r="G10316" s="199"/>
      <c r="I10316" s="199"/>
      <c r="K10316" s="199"/>
      <c r="M10316" s="199"/>
      <c r="N10316" s="200"/>
      <c r="P10316" s="199"/>
    </row>
    <row r="10317" spans="7:16" x14ac:dyDescent="0.2">
      <c r="G10317" s="199"/>
      <c r="I10317" s="199"/>
      <c r="K10317" s="199"/>
      <c r="M10317" s="199"/>
      <c r="N10317" s="200"/>
      <c r="P10317" s="199"/>
    </row>
    <row r="10318" spans="7:16" x14ac:dyDescent="0.2">
      <c r="G10318" s="199"/>
      <c r="I10318" s="199"/>
      <c r="K10318" s="199"/>
      <c r="M10318" s="199"/>
      <c r="N10318" s="200"/>
      <c r="P10318" s="199"/>
    </row>
    <row r="10319" spans="7:16" x14ac:dyDescent="0.2">
      <c r="G10319" s="199"/>
      <c r="I10319" s="199"/>
      <c r="K10319" s="199"/>
      <c r="M10319" s="199"/>
      <c r="N10319" s="200"/>
      <c r="P10319" s="199"/>
    </row>
    <row r="10320" spans="7:16" x14ac:dyDescent="0.2">
      <c r="G10320" s="199"/>
      <c r="I10320" s="199"/>
      <c r="K10320" s="199"/>
      <c r="M10320" s="199"/>
      <c r="N10320" s="200"/>
      <c r="P10320" s="199"/>
    </row>
    <row r="10321" spans="7:16" x14ac:dyDescent="0.2">
      <c r="G10321" s="199"/>
      <c r="I10321" s="199"/>
      <c r="K10321" s="199"/>
      <c r="M10321" s="199"/>
      <c r="N10321" s="200"/>
      <c r="P10321" s="199"/>
    </row>
    <row r="10322" spans="7:16" x14ac:dyDescent="0.2">
      <c r="G10322" s="199"/>
      <c r="I10322" s="199"/>
      <c r="K10322" s="199"/>
      <c r="M10322" s="199"/>
      <c r="N10322" s="200"/>
      <c r="P10322" s="199"/>
    </row>
    <row r="10323" spans="7:16" x14ac:dyDescent="0.2">
      <c r="G10323" s="199"/>
      <c r="I10323" s="199"/>
      <c r="K10323" s="199"/>
      <c r="M10323" s="199"/>
      <c r="N10323" s="200"/>
      <c r="P10323" s="199"/>
    </row>
    <row r="10324" spans="7:16" x14ac:dyDescent="0.2">
      <c r="G10324" s="199"/>
      <c r="I10324" s="199"/>
      <c r="K10324" s="199"/>
      <c r="M10324" s="199"/>
      <c r="N10324" s="200"/>
      <c r="P10324" s="199"/>
    </row>
    <row r="10325" spans="7:16" x14ac:dyDescent="0.2">
      <c r="G10325" s="199"/>
      <c r="I10325" s="199"/>
      <c r="K10325" s="199"/>
      <c r="M10325" s="199"/>
      <c r="N10325" s="200"/>
      <c r="P10325" s="199"/>
    </row>
    <row r="10326" spans="7:16" x14ac:dyDescent="0.2">
      <c r="G10326" s="199"/>
      <c r="I10326" s="199"/>
      <c r="K10326" s="199"/>
      <c r="M10326" s="199"/>
      <c r="N10326" s="200"/>
      <c r="P10326" s="199"/>
    </row>
    <row r="10327" spans="7:16" x14ac:dyDescent="0.2">
      <c r="G10327" s="199"/>
      <c r="I10327" s="199"/>
      <c r="K10327" s="199"/>
      <c r="M10327" s="199"/>
      <c r="N10327" s="200"/>
      <c r="P10327" s="199"/>
    </row>
    <row r="10328" spans="7:16" x14ac:dyDescent="0.2">
      <c r="G10328" s="199"/>
      <c r="I10328" s="199"/>
      <c r="K10328" s="199"/>
      <c r="M10328" s="199"/>
      <c r="N10328" s="200"/>
      <c r="P10328" s="199"/>
    </row>
    <row r="10329" spans="7:16" x14ac:dyDescent="0.2">
      <c r="G10329" s="199"/>
      <c r="I10329" s="199"/>
      <c r="K10329" s="199"/>
      <c r="M10329" s="199"/>
      <c r="N10329" s="200"/>
      <c r="P10329" s="199"/>
    </row>
    <row r="10330" spans="7:16" x14ac:dyDescent="0.2">
      <c r="G10330" s="199"/>
      <c r="I10330" s="199"/>
      <c r="K10330" s="199"/>
      <c r="M10330" s="199"/>
      <c r="N10330" s="200"/>
      <c r="P10330" s="199"/>
    </row>
    <row r="10331" spans="7:16" x14ac:dyDescent="0.2">
      <c r="G10331" s="199"/>
      <c r="I10331" s="199"/>
      <c r="K10331" s="199"/>
      <c r="M10331" s="199"/>
      <c r="N10331" s="200"/>
      <c r="P10331" s="199"/>
    </row>
    <row r="10332" spans="7:16" x14ac:dyDescent="0.2">
      <c r="G10332" s="199"/>
      <c r="I10332" s="199"/>
      <c r="K10332" s="199"/>
      <c r="M10332" s="199"/>
      <c r="N10332" s="200"/>
      <c r="P10332" s="199"/>
    </row>
    <row r="10333" spans="7:16" x14ac:dyDescent="0.2">
      <c r="G10333" s="199"/>
      <c r="I10333" s="199"/>
      <c r="K10333" s="199"/>
      <c r="M10333" s="199"/>
      <c r="N10333" s="200"/>
      <c r="P10333" s="199"/>
    </row>
    <row r="10334" spans="7:16" x14ac:dyDescent="0.2">
      <c r="G10334" s="199"/>
      <c r="I10334" s="199"/>
      <c r="K10334" s="199"/>
      <c r="M10334" s="199"/>
      <c r="N10334" s="200"/>
      <c r="P10334" s="199"/>
    </row>
    <row r="10335" spans="7:16" x14ac:dyDescent="0.2">
      <c r="G10335" s="199"/>
      <c r="I10335" s="199"/>
      <c r="K10335" s="199"/>
      <c r="M10335" s="199"/>
      <c r="N10335" s="200"/>
      <c r="P10335" s="199"/>
    </row>
    <row r="10336" spans="7:16" x14ac:dyDescent="0.2">
      <c r="G10336" s="199"/>
      <c r="I10336" s="199"/>
      <c r="K10336" s="199"/>
      <c r="M10336" s="199"/>
      <c r="N10336" s="200"/>
      <c r="P10336" s="199"/>
    </row>
    <row r="10337" spans="7:16" x14ac:dyDescent="0.2">
      <c r="G10337" s="199"/>
      <c r="I10337" s="199"/>
      <c r="K10337" s="199"/>
      <c r="M10337" s="199"/>
      <c r="N10337" s="200"/>
      <c r="P10337" s="199"/>
    </row>
    <row r="10338" spans="7:16" x14ac:dyDescent="0.2">
      <c r="G10338" s="199"/>
      <c r="I10338" s="199"/>
      <c r="K10338" s="199"/>
      <c r="M10338" s="199"/>
      <c r="N10338" s="200"/>
      <c r="P10338" s="199"/>
    </row>
    <row r="10339" spans="7:16" x14ac:dyDescent="0.2">
      <c r="G10339" s="199"/>
      <c r="I10339" s="199"/>
      <c r="K10339" s="199"/>
      <c r="M10339" s="199"/>
      <c r="N10339" s="200"/>
      <c r="P10339" s="199"/>
    </row>
    <row r="10340" spans="7:16" x14ac:dyDescent="0.2">
      <c r="G10340" s="199"/>
      <c r="I10340" s="199"/>
      <c r="K10340" s="199"/>
      <c r="M10340" s="199"/>
      <c r="N10340" s="200"/>
      <c r="P10340" s="199"/>
    </row>
    <row r="10341" spans="7:16" x14ac:dyDescent="0.2">
      <c r="G10341" s="199"/>
      <c r="I10341" s="199"/>
      <c r="K10341" s="199"/>
      <c r="M10341" s="199"/>
      <c r="N10341" s="200"/>
      <c r="P10341" s="199"/>
    </row>
    <row r="10342" spans="7:16" x14ac:dyDescent="0.2">
      <c r="G10342" s="199"/>
      <c r="I10342" s="199"/>
      <c r="K10342" s="199"/>
      <c r="M10342" s="199"/>
      <c r="N10342" s="200"/>
      <c r="P10342" s="199"/>
    </row>
    <row r="10343" spans="7:16" x14ac:dyDescent="0.2">
      <c r="G10343" s="199"/>
      <c r="I10343" s="199"/>
      <c r="K10343" s="199"/>
      <c r="M10343" s="199"/>
      <c r="N10343" s="200"/>
      <c r="P10343" s="199"/>
    </row>
    <row r="10344" spans="7:16" x14ac:dyDescent="0.2">
      <c r="G10344" s="199"/>
      <c r="I10344" s="199"/>
      <c r="K10344" s="199"/>
      <c r="M10344" s="199"/>
      <c r="N10344" s="200"/>
      <c r="P10344" s="199"/>
    </row>
    <row r="10345" spans="7:16" x14ac:dyDescent="0.2">
      <c r="G10345" s="199"/>
      <c r="I10345" s="199"/>
      <c r="K10345" s="199"/>
      <c r="M10345" s="199"/>
      <c r="N10345" s="200"/>
      <c r="P10345" s="199"/>
    </row>
    <row r="10346" spans="7:16" x14ac:dyDescent="0.2">
      <c r="G10346" s="199"/>
      <c r="I10346" s="199"/>
      <c r="K10346" s="199"/>
      <c r="M10346" s="199"/>
      <c r="N10346" s="200"/>
      <c r="P10346" s="199"/>
    </row>
    <row r="10347" spans="7:16" x14ac:dyDescent="0.2">
      <c r="G10347" s="199"/>
      <c r="I10347" s="199"/>
      <c r="K10347" s="199"/>
      <c r="M10347" s="199"/>
      <c r="N10347" s="200"/>
      <c r="P10347" s="199"/>
    </row>
    <row r="10348" spans="7:16" x14ac:dyDescent="0.2">
      <c r="G10348" s="199"/>
      <c r="I10348" s="199"/>
      <c r="K10348" s="199"/>
      <c r="M10348" s="199"/>
      <c r="N10348" s="200"/>
      <c r="P10348" s="199"/>
    </row>
    <row r="10349" spans="7:16" x14ac:dyDescent="0.2">
      <c r="G10349" s="199"/>
      <c r="I10349" s="199"/>
      <c r="K10349" s="199"/>
      <c r="M10349" s="199"/>
      <c r="N10349" s="200"/>
      <c r="P10349" s="199"/>
    </row>
    <row r="10350" spans="7:16" x14ac:dyDescent="0.2">
      <c r="G10350" s="199"/>
      <c r="I10350" s="199"/>
      <c r="K10350" s="199"/>
      <c r="M10350" s="199"/>
      <c r="N10350" s="200"/>
      <c r="P10350" s="199"/>
    </row>
    <row r="10351" spans="7:16" x14ac:dyDescent="0.2">
      <c r="G10351" s="199"/>
      <c r="I10351" s="199"/>
      <c r="K10351" s="199"/>
      <c r="M10351" s="199"/>
      <c r="N10351" s="200"/>
      <c r="P10351" s="199"/>
    </row>
    <row r="10352" spans="7:16" x14ac:dyDescent="0.2">
      <c r="G10352" s="199"/>
      <c r="I10352" s="199"/>
      <c r="K10352" s="199"/>
      <c r="M10352" s="199"/>
      <c r="N10352" s="200"/>
      <c r="P10352" s="199"/>
    </row>
    <row r="10353" spans="7:16" x14ac:dyDescent="0.2">
      <c r="G10353" s="199"/>
      <c r="I10353" s="199"/>
      <c r="K10353" s="199"/>
      <c r="M10353" s="199"/>
      <c r="N10353" s="200"/>
      <c r="P10353" s="199"/>
    </row>
    <row r="10354" spans="7:16" x14ac:dyDescent="0.2">
      <c r="G10354" s="199"/>
      <c r="I10354" s="199"/>
      <c r="K10354" s="199"/>
      <c r="M10354" s="199"/>
      <c r="N10354" s="200"/>
      <c r="P10354" s="199"/>
    </row>
    <row r="10355" spans="7:16" x14ac:dyDescent="0.2">
      <c r="G10355" s="199"/>
      <c r="I10355" s="199"/>
      <c r="K10355" s="199"/>
      <c r="M10355" s="199"/>
      <c r="N10355" s="200"/>
      <c r="P10355" s="199"/>
    </row>
    <row r="10356" spans="7:16" x14ac:dyDescent="0.2">
      <c r="G10356" s="199"/>
      <c r="I10356" s="199"/>
      <c r="K10356" s="199"/>
      <c r="M10356" s="199"/>
      <c r="N10356" s="200"/>
      <c r="P10356" s="199"/>
    </row>
    <row r="10357" spans="7:16" x14ac:dyDescent="0.2">
      <c r="G10357" s="199"/>
      <c r="I10357" s="199"/>
      <c r="K10357" s="199"/>
      <c r="M10357" s="199"/>
      <c r="N10357" s="200"/>
      <c r="P10357" s="199"/>
    </row>
    <row r="10358" spans="7:16" x14ac:dyDescent="0.2">
      <c r="G10358" s="199"/>
      <c r="I10358" s="199"/>
      <c r="K10358" s="199"/>
      <c r="M10358" s="199"/>
      <c r="N10358" s="200"/>
      <c r="P10358" s="199"/>
    </row>
    <row r="10359" spans="7:16" x14ac:dyDescent="0.2">
      <c r="G10359" s="199"/>
      <c r="I10359" s="199"/>
      <c r="K10359" s="199"/>
      <c r="M10359" s="199"/>
      <c r="N10359" s="200"/>
      <c r="P10359" s="199"/>
    </row>
    <row r="10360" spans="7:16" x14ac:dyDescent="0.2">
      <c r="G10360" s="199"/>
      <c r="I10360" s="199"/>
      <c r="K10360" s="199"/>
      <c r="M10360" s="199"/>
      <c r="N10360" s="200"/>
      <c r="P10360" s="199"/>
    </row>
    <row r="10361" spans="7:16" x14ac:dyDescent="0.2">
      <c r="G10361" s="199"/>
      <c r="I10361" s="199"/>
      <c r="K10361" s="199"/>
      <c r="M10361" s="199"/>
      <c r="N10361" s="200"/>
      <c r="P10361" s="199"/>
    </row>
    <row r="10362" spans="7:16" x14ac:dyDescent="0.2">
      <c r="G10362" s="199"/>
      <c r="I10362" s="199"/>
      <c r="K10362" s="199"/>
      <c r="M10362" s="199"/>
      <c r="N10362" s="200"/>
      <c r="P10362" s="199"/>
    </row>
    <row r="10363" spans="7:16" x14ac:dyDescent="0.2">
      <c r="G10363" s="199"/>
      <c r="I10363" s="199"/>
      <c r="K10363" s="199"/>
      <c r="M10363" s="199"/>
      <c r="N10363" s="200"/>
      <c r="P10363" s="199"/>
    </row>
    <row r="10364" spans="7:16" x14ac:dyDescent="0.2">
      <c r="G10364" s="199"/>
      <c r="I10364" s="199"/>
      <c r="K10364" s="199"/>
      <c r="M10364" s="199"/>
      <c r="N10364" s="200"/>
      <c r="P10364" s="199"/>
    </row>
    <row r="10365" spans="7:16" x14ac:dyDescent="0.2">
      <c r="G10365" s="199"/>
      <c r="I10365" s="199"/>
      <c r="K10365" s="199"/>
      <c r="M10365" s="199"/>
      <c r="N10365" s="200"/>
      <c r="P10365" s="199"/>
    </row>
    <row r="10366" spans="7:16" x14ac:dyDescent="0.2">
      <c r="G10366" s="199"/>
      <c r="I10366" s="199"/>
      <c r="K10366" s="199"/>
      <c r="M10366" s="199"/>
      <c r="N10366" s="200"/>
      <c r="P10366" s="199"/>
    </row>
    <row r="10367" spans="7:16" x14ac:dyDescent="0.2">
      <c r="G10367" s="199"/>
      <c r="I10367" s="199"/>
      <c r="K10367" s="199"/>
      <c r="M10367" s="199"/>
      <c r="N10367" s="200"/>
      <c r="P10367" s="199"/>
    </row>
    <row r="10368" spans="7:16" x14ac:dyDescent="0.2">
      <c r="G10368" s="199"/>
      <c r="I10368" s="199"/>
      <c r="K10368" s="199"/>
      <c r="M10368" s="199"/>
      <c r="N10368" s="200"/>
      <c r="P10368" s="199"/>
    </row>
    <row r="10369" spans="7:16" x14ac:dyDescent="0.2">
      <c r="G10369" s="199"/>
      <c r="I10369" s="199"/>
      <c r="K10369" s="199"/>
      <c r="M10369" s="199"/>
      <c r="N10369" s="200"/>
      <c r="P10369" s="199"/>
    </row>
    <row r="10370" spans="7:16" x14ac:dyDescent="0.2">
      <c r="G10370" s="199"/>
      <c r="I10370" s="199"/>
      <c r="K10370" s="199"/>
      <c r="M10370" s="199"/>
      <c r="N10370" s="200"/>
      <c r="P10370" s="199"/>
    </row>
    <row r="10371" spans="7:16" x14ac:dyDescent="0.2">
      <c r="G10371" s="199"/>
      <c r="I10371" s="199"/>
      <c r="K10371" s="199"/>
      <c r="M10371" s="199"/>
      <c r="N10371" s="200"/>
      <c r="P10371" s="199"/>
    </row>
    <row r="10372" spans="7:16" x14ac:dyDescent="0.2">
      <c r="G10372" s="199"/>
      <c r="I10372" s="199"/>
      <c r="K10372" s="199"/>
      <c r="M10372" s="199"/>
      <c r="N10372" s="200"/>
      <c r="P10372" s="199"/>
    </row>
    <row r="10373" spans="7:16" x14ac:dyDescent="0.2">
      <c r="G10373" s="199"/>
      <c r="I10373" s="199"/>
      <c r="K10373" s="199"/>
      <c r="M10373" s="199"/>
      <c r="N10373" s="200"/>
      <c r="P10373" s="199"/>
    </row>
    <row r="10374" spans="7:16" x14ac:dyDescent="0.2">
      <c r="G10374" s="199"/>
      <c r="I10374" s="199"/>
      <c r="K10374" s="199"/>
      <c r="M10374" s="199"/>
      <c r="N10374" s="200"/>
      <c r="P10374" s="199"/>
    </row>
    <row r="10375" spans="7:16" x14ac:dyDescent="0.2">
      <c r="G10375" s="199"/>
      <c r="I10375" s="199"/>
      <c r="K10375" s="199"/>
      <c r="M10375" s="199"/>
      <c r="N10375" s="200"/>
      <c r="P10375" s="199"/>
    </row>
    <row r="10376" spans="7:16" x14ac:dyDescent="0.2">
      <c r="G10376" s="199"/>
      <c r="I10376" s="199"/>
      <c r="K10376" s="199"/>
      <c r="M10376" s="199"/>
      <c r="N10376" s="200"/>
      <c r="P10376" s="199"/>
    </row>
    <row r="10377" spans="7:16" x14ac:dyDescent="0.2">
      <c r="G10377" s="199"/>
      <c r="I10377" s="199"/>
      <c r="K10377" s="199"/>
      <c r="M10377" s="199"/>
      <c r="N10377" s="200"/>
      <c r="P10377" s="199"/>
    </row>
    <row r="10378" spans="7:16" x14ac:dyDescent="0.2">
      <c r="G10378" s="199"/>
      <c r="I10378" s="199"/>
      <c r="K10378" s="199"/>
      <c r="M10378" s="199"/>
      <c r="N10378" s="200"/>
      <c r="P10378" s="199"/>
    </row>
    <row r="10379" spans="7:16" x14ac:dyDescent="0.2">
      <c r="G10379" s="199"/>
      <c r="I10379" s="199"/>
      <c r="K10379" s="199"/>
      <c r="M10379" s="199"/>
      <c r="N10379" s="200"/>
      <c r="P10379" s="199"/>
    </row>
    <row r="10380" spans="7:16" x14ac:dyDescent="0.2">
      <c r="G10380" s="199"/>
      <c r="I10380" s="199"/>
      <c r="K10380" s="199"/>
      <c r="M10380" s="199"/>
      <c r="N10380" s="200"/>
      <c r="P10380" s="199"/>
    </row>
    <row r="10381" spans="7:16" x14ac:dyDescent="0.2">
      <c r="G10381" s="199"/>
      <c r="I10381" s="199"/>
      <c r="K10381" s="199"/>
      <c r="M10381" s="199"/>
      <c r="N10381" s="200"/>
      <c r="P10381" s="199"/>
    </row>
    <row r="10382" spans="7:16" x14ac:dyDescent="0.2">
      <c r="G10382" s="199"/>
      <c r="I10382" s="199"/>
      <c r="K10382" s="199"/>
      <c r="M10382" s="199"/>
      <c r="N10382" s="200"/>
      <c r="P10382" s="199"/>
    </row>
    <row r="10383" spans="7:16" x14ac:dyDescent="0.2">
      <c r="G10383" s="199"/>
      <c r="I10383" s="199"/>
      <c r="K10383" s="199"/>
      <c r="M10383" s="199"/>
      <c r="N10383" s="200"/>
      <c r="P10383" s="199"/>
    </row>
    <row r="10384" spans="7:16" x14ac:dyDescent="0.2">
      <c r="G10384" s="199"/>
      <c r="I10384" s="199"/>
      <c r="K10384" s="199"/>
      <c r="M10384" s="199"/>
      <c r="N10384" s="200"/>
      <c r="P10384" s="199"/>
    </row>
    <row r="10385" spans="7:16" x14ac:dyDescent="0.2">
      <c r="G10385" s="199"/>
      <c r="I10385" s="199"/>
      <c r="K10385" s="199"/>
      <c r="M10385" s="199"/>
      <c r="N10385" s="200"/>
      <c r="P10385" s="199"/>
    </row>
    <row r="10386" spans="7:16" x14ac:dyDescent="0.2">
      <c r="G10386" s="199"/>
      <c r="I10386" s="199"/>
      <c r="K10386" s="199"/>
      <c r="M10386" s="199"/>
      <c r="N10386" s="200"/>
      <c r="P10386" s="199"/>
    </row>
    <row r="10387" spans="7:16" x14ac:dyDescent="0.2">
      <c r="G10387" s="199"/>
      <c r="I10387" s="199"/>
      <c r="K10387" s="199"/>
      <c r="M10387" s="199"/>
      <c r="N10387" s="200"/>
      <c r="P10387" s="199"/>
    </row>
    <row r="10388" spans="7:16" x14ac:dyDescent="0.2">
      <c r="G10388" s="199"/>
      <c r="I10388" s="199"/>
      <c r="K10388" s="199"/>
      <c r="M10388" s="199"/>
      <c r="N10388" s="200"/>
      <c r="P10388" s="199"/>
    </row>
    <row r="10389" spans="7:16" x14ac:dyDescent="0.2">
      <c r="G10389" s="199"/>
      <c r="I10389" s="199"/>
      <c r="K10389" s="199"/>
      <c r="M10389" s="199"/>
      <c r="N10389" s="200"/>
      <c r="P10389" s="199"/>
    </row>
    <row r="10390" spans="7:16" x14ac:dyDescent="0.2">
      <c r="G10390" s="199"/>
      <c r="I10390" s="199"/>
      <c r="K10390" s="199"/>
      <c r="M10390" s="199"/>
      <c r="N10390" s="200"/>
      <c r="P10390" s="199"/>
    </row>
    <row r="10391" spans="7:16" x14ac:dyDescent="0.2">
      <c r="G10391" s="199"/>
      <c r="I10391" s="199"/>
      <c r="K10391" s="199"/>
      <c r="M10391" s="199"/>
      <c r="N10391" s="200"/>
      <c r="P10391" s="199"/>
    </row>
    <row r="10392" spans="7:16" x14ac:dyDescent="0.2">
      <c r="G10392" s="199"/>
      <c r="I10392" s="199"/>
      <c r="K10392" s="199"/>
      <c r="M10392" s="199"/>
      <c r="N10392" s="200"/>
      <c r="P10392" s="199"/>
    </row>
    <row r="10393" spans="7:16" x14ac:dyDescent="0.2">
      <c r="G10393" s="199"/>
      <c r="I10393" s="199"/>
      <c r="K10393" s="199"/>
      <c r="M10393" s="199"/>
      <c r="N10393" s="200"/>
      <c r="P10393" s="199"/>
    </row>
    <row r="10394" spans="7:16" x14ac:dyDescent="0.2">
      <c r="G10394" s="199"/>
      <c r="I10394" s="199"/>
      <c r="K10394" s="199"/>
      <c r="M10394" s="199"/>
      <c r="N10394" s="200"/>
      <c r="P10394" s="199"/>
    </row>
    <row r="10395" spans="7:16" x14ac:dyDescent="0.2">
      <c r="G10395" s="199"/>
      <c r="I10395" s="199"/>
      <c r="K10395" s="199"/>
      <c r="M10395" s="199"/>
      <c r="N10395" s="200"/>
      <c r="P10395" s="199"/>
    </row>
    <row r="10396" spans="7:16" x14ac:dyDescent="0.2">
      <c r="G10396" s="199"/>
      <c r="I10396" s="199"/>
      <c r="K10396" s="199"/>
      <c r="M10396" s="199"/>
      <c r="N10396" s="200"/>
      <c r="P10396" s="199"/>
    </row>
    <row r="10397" spans="7:16" x14ac:dyDescent="0.2">
      <c r="G10397" s="199"/>
      <c r="I10397" s="199"/>
      <c r="K10397" s="199"/>
      <c r="M10397" s="199"/>
      <c r="N10397" s="200"/>
      <c r="P10397" s="199"/>
    </row>
    <row r="10398" spans="7:16" x14ac:dyDescent="0.2">
      <c r="G10398" s="199"/>
      <c r="I10398" s="199"/>
      <c r="K10398" s="199"/>
      <c r="M10398" s="199"/>
      <c r="N10398" s="200"/>
      <c r="P10398" s="199"/>
    </row>
    <row r="10399" spans="7:16" x14ac:dyDescent="0.2">
      <c r="G10399" s="199"/>
      <c r="I10399" s="199"/>
      <c r="K10399" s="199"/>
      <c r="M10399" s="199"/>
      <c r="N10399" s="200"/>
      <c r="P10399" s="199"/>
    </row>
    <row r="10400" spans="7:16" x14ac:dyDescent="0.2">
      <c r="G10400" s="199"/>
      <c r="I10400" s="199"/>
      <c r="K10400" s="199"/>
      <c r="M10400" s="199"/>
      <c r="N10400" s="200"/>
      <c r="P10400" s="199"/>
    </row>
    <row r="10401" spans="7:16" x14ac:dyDescent="0.2">
      <c r="G10401" s="199"/>
      <c r="I10401" s="199"/>
      <c r="K10401" s="199"/>
      <c r="M10401" s="199"/>
      <c r="N10401" s="200"/>
      <c r="P10401" s="199"/>
    </row>
    <row r="10402" spans="7:16" x14ac:dyDescent="0.2">
      <c r="G10402" s="199"/>
      <c r="I10402" s="199"/>
      <c r="K10402" s="199"/>
      <c r="M10402" s="199"/>
      <c r="N10402" s="200"/>
      <c r="P10402" s="199"/>
    </row>
    <row r="10403" spans="7:16" x14ac:dyDescent="0.2">
      <c r="G10403" s="199"/>
      <c r="I10403" s="199"/>
      <c r="K10403" s="199"/>
      <c r="M10403" s="199"/>
      <c r="N10403" s="200"/>
      <c r="P10403" s="199"/>
    </row>
    <row r="10404" spans="7:16" x14ac:dyDescent="0.2">
      <c r="G10404" s="199"/>
      <c r="I10404" s="199"/>
      <c r="K10404" s="199"/>
      <c r="M10404" s="199"/>
      <c r="N10404" s="200"/>
      <c r="P10404" s="199"/>
    </row>
    <row r="10405" spans="7:16" x14ac:dyDescent="0.2">
      <c r="G10405" s="199"/>
      <c r="I10405" s="199"/>
      <c r="K10405" s="199"/>
      <c r="M10405" s="199"/>
      <c r="N10405" s="200"/>
      <c r="P10405" s="199"/>
    </row>
    <row r="10406" spans="7:16" x14ac:dyDescent="0.2">
      <c r="G10406" s="199"/>
      <c r="I10406" s="199"/>
      <c r="K10406" s="199"/>
      <c r="M10406" s="199"/>
      <c r="N10406" s="200"/>
      <c r="P10406" s="199"/>
    </row>
    <row r="10407" spans="7:16" x14ac:dyDescent="0.2">
      <c r="G10407" s="199"/>
      <c r="I10407" s="199"/>
      <c r="K10407" s="199"/>
      <c r="M10407" s="199"/>
      <c r="N10407" s="200"/>
      <c r="P10407" s="199"/>
    </row>
    <row r="10408" spans="7:16" x14ac:dyDescent="0.2">
      <c r="G10408" s="199"/>
      <c r="I10408" s="199"/>
      <c r="K10408" s="199"/>
      <c r="M10408" s="199"/>
      <c r="N10408" s="200"/>
      <c r="P10408" s="199"/>
    </row>
    <row r="10409" spans="7:16" x14ac:dyDescent="0.2">
      <c r="G10409" s="199"/>
      <c r="I10409" s="199"/>
      <c r="K10409" s="199"/>
      <c r="M10409" s="199"/>
      <c r="N10409" s="200"/>
      <c r="P10409" s="199"/>
    </row>
    <row r="10410" spans="7:16" x14ac:dyDescent="0.2">
      <c r="G10410" s="199"/>
      <c r="I10410" s="199"/>
      <c r="K10410" s="199"/>
      <c r="M10410" s="199"/>
      <c r="N10410" s="200"/>
      <c r="P10410" s="199"/>
    </row>
    <row r="10411" spans="7:16" x14ac:dyDescent="0.2">
      <c r="G10411" s="199"/>
      <c r="I10411" s="199"/>
      <c r="K10411" s="199"/>
      <c r="M10411" s="199"/>
      <c r="N10411" s="200"/>
      <c r="P10411" s="199"/>
    </row>
    <row r="10412" spans="7:16" x14ac:dyDescent="0.2">
      <c r="G10412" s="199"/>
      <c r="I10412" s="199"/>
      <c r="K10412" s="199"/>
      <c r="M10412" s="199"/>
      <c r="N10412" s="200"/>
      <c r="P10412" s="199"/>
    </row>
    <row r="10413" spans="7:16" x14ac:dyDescent="0.2">
      <c r="G10413" s="199"/>
      <c r="I10413" s="199"/>
      <c r="K10413" s="199"/>
      <c r="M10413" s="199"/>
      <c r="N10413" s="200"/>
      <c r="P10413" s="199"/>
    </row>
    <row r="10414" spans="7:16" x14ac:dyDescent="0.2">
      <c r="G10414" s="199"/>
      <c r="I10414" s="199"/>
      <c r="K10414" s="199"/>
      <c r="M10414" s="199"/>
      <c r="N10414" s="200"/>
      <c r="P10414" s="199"/>
    </row>
    <row r="10415" spans="7:16" x14ac:dyDescent="0.2">
      <c r="G10415" s="199"/>
      <c r="I10415" s="199"/>
      <c r="K10415" s="199"/>
      <c r="M10415" s="199"/>
      <c r="N10415" s="200"/>
      <c r="P10415" s="199"/>
    </row>
    <row r="10416" spans="7:16" x14ac:dyDescent="0.2">
      <c r="G10416" s="199"/>
      <c r="I10416" s="199"/>
      <c r="K10416" s="199"/>
      <c r="M10416" s="199"/>
      <c r="N10416" s="200"/>
      <c r="P10416" s="199"/>
    </row>
    <row r="10417" spans="7:16" x14ac:dyDescent="0.2">
      <c r="G10417" s="199"/>
      <c r="I10417" s="199"/>
      <c r="K10417" s="199"/>
      <c r="M10417" s="199"/>
      <c r="N10417" s="200"/>
      <c r="P10417" s="199"/>
    </row>
    <row r="10418" spans="7:16" x14ac:dyDescent="0.2">
      <c r="G10418" s="199"/>
      <c r="I10418" s="199"/>
      <c r="K10418" s="199"/>
      <c r="M10418" s="199"/>
      <c r="N10418" s="200"/>
      <c r="P10418" s="199"/>
    </row>
    <row r="10419" spans="7:16" x14ac:dyDescent="0.2">
      <c r="G10419" s="199"/>
      <c r="I10419" s="199"/>
      <c r="K10419" s="199"/>
      <c r="M10419" s="199"/>
      <c r="N10419" s="200"/>
      <c r="P10419" s="199"/>
    </row>
    <row r="10420" spans="7:16" x14ac:dyDescent="0.2">
      <c r="G10420" s="199"/>
      <c r="I10420" s="199"/>
      <c r="K10420" s="199"/>
      <c r="M10420" s="199"/>
      <c r="N10420" s="200"/>
      <c r="P10420" s="199"/>
    </row>
    <row r="10421" spans="7:16" x14ac:dyDescent="0.2">
      <c r="G10421" s="199"/>
      <c r="I10421" s="199"/>
      <c r="K10421" s="199"/>
      <c r="M10421" s="199"/>
      <c r="N10421" s="200"/>
      <c r="P10421" s="199"/>
    </row>
    <row r="10422" spans="7:16" x14ac:dyDescent="0.2">
      <c r="G10422" s="199"/>
      <c r="I10422" s="199"/>
      <c r="K10422" s="199"/>
      <c r="M10422" s="199"/>
      <c r="N10422" s="200"/>
      <c r="P10422" s="199"/>
    </row>
    <row r="10423" spans="7:16" x14ac:dyDescent="0.2">
      <c r="G10423" s="199"/>
      <c r="I10423" s="199"/>
      <c r="K10423" s="199"/>
      <c r="M10423" s="199"/>
      <c r="N10423" s="200"/>
      <c r="P10423" s="199"/>
    </row>
    <row r="10424" spans="7:16" x14ac:dyDescent="0.2">
      <c r="G10424" s="199"/>
      <c r="I10424" s="199"/>
      <c r="K10424" s="199"/>
      <c r="M10424" s="199"/>
      <c r="N10424" s="200"/>
      <c r="P10424" s="199"/>
    </row>
    <row r="10425" spans="7:16" x14ac:dyDescent="0.2">
      <c r="G10425" s="199"/>
      <c r="I10425" s="199"/>
      <c r="K10425" s="199"/>
      <c r="M10425" s="199"/>
      <c r="N10425" s="200"/>
      <c r="P10425" s="199"/>
    </row>
    <row r="10426" spans="7:16" x14ac:dyDescent="0.2">
      <c r="G10426" s="199"/>
      <c r="I10426" s="199"/>
      <c r="K10426" s="199"/>
      <c r="M10426" s="199"/>
      <c r="N10426" s="200"/>
      <c r="P10426" s="199"/>
    </row>
    <row r="10427" spans="7:16" x14ac:dyDescent="0.2">
      <c r="G10427" s="199"/>
      <c r="I10427" s="199"/>
      <c r="K10427" s="199"/>
      <c r="M10427" s="199"/>
      <c r="N10427" s="200"/>
      <c r="P10427" s="199"/>
    </row>
    <row r="10428" spans="7:16" x14ac:dyDescent="0.2">
      <c r="G10428" s="199"/>
      <c r="I10428" s="199"/>
      <c r="K10428" s="199"/>
      <c r="M10428" s="199"/>
      <c r="N10428" s="200"/>
      <c r="P10428" s="199"/>
    </row>
    <row r="10429" spans="7:16" x14ac:dyDescent="0.2">
      <c r="G10429" s="199"/>
      <c r="I10429" s="199"/>
      <c r="K10429" s="199"/>
      <c r="M10429" s="199"/>
      <c r="N10429" s="200"/>
      <c r="P10429" s="199"/>
    </row>
    <row r="10430" spans="7:16" x14ac:dyDescent="0.2">
      <c r="G10430" s="199"/>
      <c r="I10430" s="199"/>
      <c r="K10430" s="199"/>
      <c r="M10430" s="199"/>
      <c r="N10430" s="200"/>
      <c r="P10430" s="199"/>
    </row>
    <row r="10431" spans="7:16" x14ac:dyDescent="0.2">
      <c r="G10431" s="199"/>
      <c r="I10431" s="199"/>
      <c r="K10431" s="199"/>
      <c r="M10431" s="199"/>
      <c r="N10431" s="200"/>
      <c r="P10431" s="199"/>
    </row>
    <row r="10432" spans="7:16" x14ac:dyDescent="0.2">
      <c r="G10432" s="199"/>
      <c r="I10432" s="199"/>
      <c r="K10432" s="199"/>
      <c r="M10432" s="199"/>
      <c r="N10432" s="200"/>
      <c r="P10432" s="199"/>
    </row>
    <row r="10433" spans="7:16" x14ac:dyDescent="0.2">
      <c r="G10433" s="199"/>
      <c r="I10433" s="199"/>
      <c r="K10433" s="199"/>
      <c r="M10433" s="199"/>
      <c r="N10433" s="200"/>
      <c r="P10433" s="199"/>
    </row>
    <row r="10434" spans="7:16" x14ac:dyDescent="0.2">
      <c r="G10434" s="199"/>
      <c r="I10434" s="199"/>
      <c r="K10434" s="199"/>
      <c r="M10434" s="199"/>
      <c r="N10434" s="200"/>
      <c r="P10434" s="199"/>
    </row>
    <row r="10435" spans="7:16" x14ac:dyDescent="0.2">
      <c r="G10435" s="199"/>
      <c r="I10435" s="199"/>
      <c r="K10435" s="199"/>
      <c r="M10435" s="199"/>
      <c r="N10435" s="200"/>
      <c r="P10435" s="199"/>
    </row>
    <row r="10436" spans="7:16" x14ac:dyDescent="0.2">
      <c r="G10436" s="199"/>
      <c r="I10436" s="199"/>
      <c r="K10436" s="199"/>
      <c r="M10436" s="199"/>
      <c r="N10436" s="200"/>
      <c r="P10436" s="199"/>
    </row>
    <row r="10437" spans="7:16" x14ac:dyDescent="0.2">
      <c r="G10437" s="199"/>
      <c r="I10437" s="199"/>
      <c r="K10437" s="199"/>
      <c r="M10437" s="199"/>
      <c r="N10437" s="200"/>
      <c r="P10437" s="199"/>
    </row>
    <row r="10438" spans="7:16" x14ac:dyDescent="0.2">
      <c r="G10438" s="199"/>
      <c r="I10438" s="199"/>
      <c r="K10438" s="199"/>
      <c r="M10438" s="199"/>
      <c r="N10438" s="200"/>
      <c r="P10438" s="199"/>
    </row>
    <row r="10439" spans="7:16" x14ac:dyDescent="0.2">
      <c r="G10439" s="199"/>
      <c r="I10439" s="199"/>
      <c r="K10439" s="199"/>
      <c r="M10439" s="199"/>
      <c r="N10439" s="200"/>
      <c r="P10439" s="199"/>
    </row>
    <row r="10440" spans="7:16" x14ac:dyDescent="0.2">
      <c r="G10440" s="199"/>
      <c r="I10440" s="199"/>
      <c r="K10440" s="199"/>
      <c r="M10440" s="199"/>
      <c r="N10440" s="200"/>
      <c r="P10440" s="199"/>
    </row>
    <row r="10441" spans="7:16" x14ac:dyDescent="0.2">
      <c r="G10441" s="199"/>
      <c r="I10441" s="199"/>
      <c r="K10441" s="199"/>
      <c r="M10441" s="199"/>
      <c r="N10441" s="200"/>
      <c r="P10441" s="199"/>
    </row>
    <row r="10442" spans="7:16" x14ac:dyDescent="0.2">
      <c r="G10442" s="199"/>
      <c r="I10442" s="199"/>
      <c r="K10442" s="199"/>
      <c r="M10442" s="199"/>
      <c r="N10442" s="200"/>
      <c r="P10442" s="199"/>
    </row>
    <row r="10443" spans="7:16" x14ac:dyDescent="0.2">
      <c r="G10443" s="199"/>
      <c r="I10443" s="199"/>
      <c r="K10443" s="199"/>
      <c r="M10443" s="199"/>
      <c r="N10443" s="200"/>
      <c r="P10443" s="199"/>
    </row>
    <row r="10444" spans="7:16" x14ac:dyDescent="0.2">
      <c r="G10444" s="199"/>
      <c r="I10444" s="199"/>
      <c r="K10444" s="199"/>
      <c r="M10444" s="199"/>
      <c r="N10444" s="200"/>
      <c r="P10444" s="199"/>
    </row>
    <row r="10445" spans="7:16" x14ac:dyDescent="0.2">
      <c r="G10445" s="199"/>
      <c r="I10445" s="199"/>
      <c r="K10445" s="199"/>
      <c r="M10445" s="199"/>
      <c r="N10445" s="200"/>
      <c r="P10445" s="199"/>
    </row>
    <row r="10446" spans="7:16" x14ac:dyDescent="0.2">
      <c r="G10446" s="199"/>
      <c r="I10446" s="199"/>
      <c r="K10446" s="199"/>
      <c r="M10446" s="199"/>
      <c r="N10446" s="200"/>
      <c r="P10446" s="199"/>
    </row>
    <row r="10447" spans="7:16" x14ac:dyDescent="0.2">
      <c r="G10447" s="199"/>
      <c r="I10447" s="199"/>
      <c r="K10447" s="199"/>
      <c r="M10447" s="199"/>
      <c r="N10447" s="200"/>
      <c r="P10447" s="199"/>
    </row>
    <row r="10448" spans="7:16" x14ac:dyDescent="0.2">
      <c r="G10448" s="199"/>
      <c r="I10448" s="199"/>
      <c r="K10448" s="199"/>
      <c r="M10448" s="199"/>
      <c r="N10448" s="200"/>
      <c r="P10448" s="199"/>
    </row>
    <row r="10449" spans="7:16" x14ac:dyDescent="0.2">
      <c r="G10449" s="199"/>
      <c r="I10449" s="199"/>
      <c r="K10449" s="199"/>
      <c r="M10449" s="199"/>
      <c r="N10449" s="200"/>
      <c r="P10449" s="199"/>
    </row>
    <row r="10450" spans="7:16" x14ac:dyDescent="0.2">
      <c r="G10450" s="199"/>
      <c r="I10450" s="199"/>
      <c r="K10450" s="199"/>
      <c r="M10450" s="199"/>
      <c r="N10450" s="200"/>
      <c r="P10450" s="199"/>
    </row>
    <row r="10451" spans="7:16" x14ac:dyDescent="0.2">
      <c r="G10451" s="199"/>
      <c r="I10451" s="199"/>
      <c r="K10451" s="199"/>
      <c r="M10451" s="199"/>
      <c r="N10451" s="200"/>
      <c r="P10451" s="199"/>
    </row>
    <row r="10452" spans="7:16" x14ac:dyDescent="0.2">
      <c r="G10452" s="199"/>
      <c r="I10452" s="199"/>
      <c r="K10452" s="199"/>
      <c r="M10452" s="199"/>
      <c r="N10452" s="200"/>
      <c r="P10452" s="199"/>
    </row>
    <row r="10453" spans="7:16" x14ac:dyDescent="0.2">
      <c r="G10453" s="199"/>
      <c r="I10453" s="199"/>
      <c r="K10453" s="199"/>
      <c r="M10453" s="199"/>
      <c r="N10453" s="200"/>
      <c r="P10453" s="199"/>
    </row>
    <row r="10454" spans="7:16" x14ac:dyDescent="0.2">
      <c r="G10454" s="199"/>
      <c r="I10454" s="199"/>
      <c r="K10454" s="199"/>
      <c r="M10454" s="199"/>
      <c r="N10454" s="200"/>
      <c r="P10454" s="199"/>
    </row>
    <row r="10455" spans="7:16" x14ac:dyDescent="0.2">
      <c r="G10455" s="199"/>
      <c r="I10455" s="199"/>
      <c r="K10455" s="199"/>
      <c r="M10455" s="199"/>
      <c r="N10455" s="200"/>
      <c r="P10455" s="199"/>
    </row>
    <row r="10456" spans="7:16" x14ac:dyDescent="0.2">
      <c r="G10456" s="199"/>
      <c r="I10456" s="199"/>
      <c r="K10456" s="199"/>
      <c r="M10456" s="199"/>
      <c r="N10456" s="200"/>
      <c r="P10456" s="199"/>
    </row>
    <row r="10457" spans="7:16" x14ac:dyDescent="0.2">
      <c r="G10457" s="199"/>
      <c r="I10457" s="199"/>
      <c r="K10457" s="199"/>
      <c r="M10457" s="199"/>
      <c r="N10457" s="200"/>
      <c r="P10457" s="199"/>
    </row>
    <row r="10458" spans="7:16" x14ac:dyDescent="0.2">
      <c r="G10458" s="199"/>
      <c r="I10458" s="199"/>
      <c r="K10458" s="199"/>
      <c r="M10458" s="199"/>
      <c r="N10458" s="200"/>
      <c r="P10458" s="199"/>
    </row>
    <row r="10459" spans="7:16" x14ac:dyDescent="0.2">
      <c r="G10459" s="199"/>
      <c r="I10459" s="199"/>
      <c r="K10459" s="199"/>
      <c r="M10459" s="199"/>
      <c r="N10459" s="200"/>
      <c r="P10459" s="199"/>
    </row>
    <row r="10460" spans="7:16" x14ac:dyDescent="0.2">
      <c r="G10460" s="199"/>
      <c r="I10460" s="199"/>
      <c r="K10460" s="199"/>
      <c r="M10460" s="199"/>
      <c r="N10460" s="200"/>
      <c r="P10460" s="199"/>
    </row>
    <row r="10461" spans="7:16" x14ac:dyDescent="0.2">
      <c r="G10461" s="199"/>
      <c r="I10461" s="199"/>
      <c r="K10461" s="199"/>
      <c r="M10461" s="199"/>
      <c r="N10461" s="200"/>
      <c r="P10461" s="199"/>
    </row>
    <row r="10462" spans="7:16" x14ac:dyDescent="0.2">
      <c r="G10462" s="199"/>
      <c r="I10462" s="199"/>
      <c r="K10462" s="199"/>
      <c r="M10462" s="199"/>
      <c r="N10462" s="200"/>
      <c r="P10462" s="199"/>
    </row>
    <row r="10463" spans="7:16" x14ac:dyDescent="0.2">
      <c r="G10463" s="199"/>
      <c r="I10463" s="199"/>
      <c r="K10463" s="199"/>
      <c r="M10463" s="199"/>
      <c r="N10463" s="200"/>
      <c r="P10463" s="199"/>
    </row>
    <row r="10464" spans="7:16" x14ac:dyDescent="0.2">
      <c r="G10464" s="199"/>
      <c r="I10464" s="199"/>
      <c r="K10464" s="199"/>
      <c r="M10464" s="199"/>
      <c r="N10464" s="200"/>
      <c r="P10464" s="199"/>
    </row>
    <row r="10465" spans="7:16" x14ac:dyDescent="0.2">
      <c r="G10465" s="199"/>
      <c r="I10465" s="199"/>
      <c r="K10465" s="199"/>
      <c r="M10465" s="199"/>
      <c r="N10465" s="200"/>
      <c r="P10465" s="199"/>
    </row>
    <row r="10466" spans="7:16" x14ac:dyDescent="0.2">
      <c r="G10466" s="199"/>
      <c r="I10466" s="199"/>
      <c r="K10466" s="199"/>
      <c r="M10466" s="199"/>
      <c r="N10466" s="200"/>
      <c r="P10466" s="199"/>
    </row>
    <row r="10467" spans="7:16" x14ac:dyDescent="0.2">
      <c r="G10467" s="199"/>
      <c r="I10467" s="199"/>
      <c r="K10467" s="199"/>
      <c r="M10467" s="199"/>
      <c r="N10467" s="200"/>
      <c r="P10467" s="199"/>
    </row>
    <row r="10468" spans="7:16" x14ac:dyDescent="0.2">
      <c r="G10468" s="199"/>
      <c r="I10468" s="199"/>
      <c r="K10468" s="199"/>
      <c r="M10468" s="199"/>
      <c r="N10468" s="200"/>
      <c r="P10468" s="199"/>
    </row>
    <row r="10469" spans="7:16" x14ac:dyDescent="0.2">
      <c r="G10469" s="199"/>
      <c r="I10469" s="199"/>
      <c r="K10469" s="199"/>
      <c r="M10469" s="199"/>
      <c r="N10469" s="200"/>
      <c r="P10469" s="199"/>
    </row>
    <row r="10470" spans="7:16" x14ac:dyDescent="0.2">
      <c r="G10470" s="199"/>
      <c r="I10470" s="199"/>
      <c r="K10470" s="199"/>
      <c r="M10470" s="199"/>
      <c r="N10470" s="200"/>
      <c r="P10470" s="199"/>
    </row>
    <row r="10471" spans="7:16" x14ac:dyDescent="0.2">
      <c r="G10471" s="199"/>
      <c r="I10471" s="199"/>
      <c r="K10471" s="199"/>
      <c r="M10471" s="199"/>
      <c r="N10471" s="200"/>
      <c r="P10471" s="199"/>
    </row>
    <row r="10472" spans="7:16" x14ac:dyDescent="0.2">
      <c r="G10472" s="199"/>
      <c r="I10472" s="199"/>
      <c r="K10472" s="199"/>
      <c r="M10472" s="199"/>
      <c r="N10472" s="200"/>
      <c r="P10472" s="199"/>
    </row>
    <row r="10473" spans="7:16" x14ac:dyDescent="0.2">
      <c r="G10473" s="199"/>
      <c r="I10473" s="199"/>
      <c r="K10473" s="199"/>
      <c r="M10473" s="199"/>
      <c r="N10473" s="200"/>
      <c r="P10473" s="199"/>
    </row>
    <row r="10474" spans="7:16" x14ac:dyDescent="0.2">
      <c r="G10474" s="199"/>
      <c r="I10474" s="199"/>
      <c r="K10474" s="199"/>
      <c r="M10474" s="199"/>
      <c r="N10474" s="200"/>
      <c r="P10474" s="199"/>
    </row>
    <row r="10475" spans="7:16" x14ac:dyDescent="0.2">
      <c r="G10475" s="199"/>
      <c r="I10475" s="199"/>
      <c r="K10475" s="199"/>
      <c r="M10475" s="199"/>
      <c r="N10475" s="200"/>
      <c r="P10475" s="199"/>
    </row>
    <row r="10476" spans="7:16" x14ac:dyDescent="0.2">
      <c r="G10476" s="199"/>
      <c r="I10476" s="199"/>
      <c r="K10476" s="199"/>
      <c r="M10476" s="199"/>
      <c r="N10476" s="200"/>
      <c r="P10476" s="199"/>
    </row>
    <row r="10477" spans="7:16" x14ac:dyDescent="0.2">
      <c r="G10477" s="199"/>
      <c r="I10477" s="199"/>
      <c r="K10477" s="199"/>
      <c r="M10477" s="199"/>
      <c r="N10477" s="200"/>
      <c r="P10477" s="199"/>
    </row>
    <row r="10478" spans="7:16" x14ac:dyDescent="0.2">
      <c r="G10478" s="199"/>
      <c r="I10478" s="199"/>
      <c r="K10478" s="199"/>
      <c r="M10478" s="199"/>
      <c r="N10478" s="200"/>
      <c r="P10478" s="199"/>
    </row>
    <row r="10479" spans="7:16" x14ac:dyDescent="0.2">
      <c r="G10479" s="199"/>
      <c r="I10479" s="199"/>
      <c r="K10479" s="199"/>
      <c r="M10479" s="199"/>
      <c r="N10479" s="200"/>
      <c r="P10479" s="199"/>
    </row>
    <row r="10480" spans="7:16" x14ac:dyDescent="0.2">
      <c r="G10480" s="199"/>
      <c r="I10480" s="199"/>
      <c r="K10480" s="199"/>
      <c r="M10480" s="199"/>
      <c r="N10480" s="200"/>
      <c r="P10480" s="199"/>
    </row>
    <row r="10481" spans="7:16" x14ac:dyDescent="0.2">
      <c r="G10481" s="199"/>
      <c r="I10481" s="199"/>
      <c r="K10481" s="199"/>
      <c r="M10481" s="199"/>
      <c r="N10481" s="200"/>
      <c r="P10481" s="199"/>
    </row>
    <row r="10482" spans="7:16" x14ac:dyDescent="0.2">
      <c r="G10482" s="199"/>
      <c r="I10482" s="199"/>
      <c r="K10482" s="199"/>
      <c r="M10482" s="199"/>
      <c r="N10482" s="200"/>
      <c r="P10482" s="199"/>
    </row>
    <row r="10483" spans="7:16" x14ac:dyDescent="0.2">
      <c r="G10483" s="199"/>
      <c r="I10483" s="199"/>
      <c r="K10483" s="199"/>
      <c r="M10483" s="199"/>
      <c r="N10483" s="200"/>
      <c r="P10483" s="199"/>
    </row>
    <row r="10484" spans="7:16" x14ac:dyDescent="0.2">
      <c r="G10484" s="199"/>
      <c r="I10484" s="199"/>
      <c r="K10484" s="199"/>
      <c r="M10484" s="199"/>
      <c r="N10484" s="200"/>
      <c r="P10484" s="199"/>
    </row>
    <row r="10485" spans="7:16" x14ac:dyDescent="0.2">
      <c r="G10485" s="199"/>
      <c r="I10485" s="199"/>
      <c r="K10485" s="199"/>
      <c r="M10485" s="199"/>
      <c r="N10485" s="200"/>
      <c r="P10485" s="199"/>
    </row>
    <row r="10486" spans="7:16" x14ac:dyDescent="0.2">
      <c r="G10486" s="199"/>
      <c r="I10486" s="199"/>
      <c r="K10486" s="199"/>
      <c r="M10486" s="199"/>
      <c r="N10486" s="200"/>
      <c r="P10486" s="199"/>
    </row>
    <row r="10487" spans="7:16" x14ac:dyDescent="0.2">
      <c r="G10487" s="199"/>
      <c r="I10487" s="199"/>
      <c r="K10487" s="199"/>
      <c r="M10487" s="199"/>
      <c r="N10487" s="200"/>
      <c r="P10487" s="199"/>
    </row>
    <row r="10488" spans="7:16" x14ac:dyDescent="0.2">
      <c r="G10488" s="199"/>
      <c r="I10488" s="199"/>
      <c r="K10488" s="199"/>
      <c r="M10488" s="199"/>
      <c r="N10488" s="200"/>
      <c r="P10488" s="199"/>
    </row>
    <row r="10489" spans="7:16" x14ac:dyDescent="0.2">
      <c r="G10489" s="199"/>
      <c r="I10489" s="199"/>
      <c r="K10489" s="199"/>
      <c r="M10489" s="199"/>
      <c r="N10489" s="200"/>
      <c r="P10489" s="199"/>
    </row>
    <row r="10490" spans="7:16" x14ac:dyDescent="0.2">
      <c r="G10490" s="199"/>
      <c r="I10490" s="199"/>
      <c r="K10490" s="199"/>
      <c r="M10490" s="199"/>
      <c r="N10490" s="200"/>
      <c r="P10490" s="199"/>
    </row>
    <row r="10491" spans="7:16" x14ac:dyDescent="0.2">
      <c r="G10491" s="199"/>
      <c r="I10491" s="199"/>
      <c r="K10491" s="199"/>
      <c r="M10491" s="199"/>
      <c r="N10491" s="200"/>
      <c r="P10491" s="199"/>
    </row>
    <row r="10492" spans="7:16" x14ac:dyDescent="0.2">
      <c r="G10492" s="199"/>
      <c r="I10492" s="199"/>
      <c r="K10492" s="199"/>
      <c r="M10492" s="199"/>
      <c r="N10492" s="200"/>
      <c r="P10492" s="199"/>
    </row>
    <row r="10493" spans="7:16" x14ac:dyDescent="0.2">
      <c r="G10493" s="199"/>
      <c r="I10493" s="199"/>
      <c r="K10493" s="199"/>
      <c r="M10493" s="199"/>
      <c r="N10493" s="200"/>
      <c r="P10493" s="199"/>
    </row>
    <row r="10494" spans="7:16" x14ac:dyDescent="0.2">
      <c r="G10494" s="199"/>
      <c r="I10494" s="199"/>
      <c r="K10494" s="199"/>
      <c r="M10494" s="199"/>
      <c r="N10494" s="200"/>
      <c r="P10494" s="199"/>
    </row>
    <row r="10495" spans="7:16" x14ac:dyDescent="0.2">
      <c r="G10495" s="199"/>
      <c r="I10495" s="199"/>
      <c r="K10495" s="199"/>
      <c r="M10495" s="199"/>
      <c r="N10495" s="200"/>
      <c r="P10495" s="199"/>
    </row>
    <row r="10496" spans="7:16" x14ac:dyDescent="0.2">
      <c r="G10496" s="199"/>
      <c r="I10496" s="199"/>
      <c r="K10496" s="199"/>
      <c r="M10496" s="199"/>
      <c r="N10496" s="200"/>
      <c r="P10496" s="199"/>
    </row>
    <row r="10497" spans="7:16" x14ac:dyDescent="0.2">
      <c r="G10497" s="199"/>
      <c r="I10497" s="199"/>
      <c r="K10497" s="199"/>
      <c r="M10497" s="199"/>
      <c r="N10497" s="200"/>
      <c r="P10497" s="199"/>
    </row>
    <row r="10498" spans="7:16" x14ac:dyDescent="0.2">
      <c r="G10498" s="199"/>
      <c r="I10498" s="199"/>
      <c r="K10498" s="199"/>
      <c r="M10498" s="199"/>
      <c r="N10498" s="200"/>
      <c r="P10498" s="199"/>
    </row>
    <row r="10499" spans="7:16" x14ac:dyDescent="0.2">
      <c r="G10499" s="199"/>
      <c r="I10499" s="199"/>
      <c r="K10499" s="199"/>
      <c r="M10499" s="199"/>
      <c r="N10499" s="200"/>
      <c r="P10499" s="199"/>
    </row>
    <row r="10500" spans="7:16" x14ac:dyDescent="0.2">
      <c r="G10500" s="199"/>
      <c r="I10500" s="199"/>
      <c r="K10500" s="199"/>
      <c r="M10500" s="199"/>
      <c r="N10500" s="200"/>
      <c r="P10500" s="199"/>
    </row>
    <row r="10501" spans="7:16" x14ac:dyDescent="0.2">
      <c r="G10501" s="199"/>
      <c r="I10501" s="199"/>
      <c r="K10501" s="199"/>
      <c r="M10501" s="199"/>
      <c r="N10501" s="200"/>
      <c r="P10501" s="199"/>
    </row>
    <row r="10502" spans="7:16" x14ac:dyDescent="0.2">
      <c r="G10502" s="199"/>
      <c r="I10502" s="199"/>
      <c r="K10502" s="199"/>
      <c r="M10502" s="199"/>
      <c r="N10502" s="200"/>
      <c r="P10502" s="199"/>
    </row>
    <row r="10503" spans="7:16" x14ac:dyDescent="0.2">
      <c r="G10503" s="199"/>
      <c r="I10503" s="199"/>
      <c r="K10503" s="199"/>
      <c r="M10503" s="199"/>
      <c r="N10503" s="200"/>
      <c r="P10503" s="199"/>
    </row>
    <row r="10504" spans="7:16" x14ac:dyDescent="0.2">
      <c r="G10504" s="199"/>
      <c r="I10504" s="199"/>
      <c r="K10504" s="199"/>
      <c r="M10504" s="199"/>
      <c r="N10504" s="200"/>
      <c r="P10504" s="199"/>
    </row>
    <row r="10505" spans="7:16" x14ac:dyDescent="0.2">
      <c r="G10505" s="199"/>
      <c r="I10505" s="199"/>
      <c r="K10505" s="199"/>
      <c r="M10505" s="199"/>
      <c r="N10505" s="200"/>
      <c r="P10505" s="199"/>
    </row>
    <row r="10506" spans="7:16" x14ac:dyDescent="0.2">
      <c r="G10506" s="199"/>
      <c r="I10506" s="199"/>
      <c r="K10506" s="199"/>
      <c r="M10506" s="199"/>
      <c r="N10506" s="200"/>
      <c r="P10506" s="199"/>
    </row>
    <row r="10507" spans="7:16" x14ac:dyDescent="0.2">
      <c r="G10507" s="199"/>
      <c r="I10507" s="199"/>
      <c r="K10507" s="199"/>
      <c r="M10507" s="199"/>
      <c r="N10507" s="200"/>
      <c r="P10507" s="199"/>
    </row>
    <row r="10508" spans="7:16" x14ac:dyDescent="0.2">
      <c r="G10508" s="199"/>
      <c r="I10508" s="199"/>
      <c r="K10508" s="199"/>
      <c r="M10508" s="199"/>
      <c r="N10508" s="200"/>
      <c r="P10508" s="199"/>
    </row>
    <row r="10509" spans="7:16" x14ac:dyDescent="0.2">
      <c r="G10509" s="199"/>
      <c r="I10509" s="199"/>
      <c r="K10509" s="199"/>
      <c r="M10509" s="199"/>
      <c r="N10509" s="200"/>
      <c r="P10509" s="199"/>
    </row>
    <row r="10510" spans="7:16" x14ac:dyDescent="0.2">
      <c r="G10510" s="199"/>
      <c r="I10510" s="199"/>
      <c r="K10510" s="199"/>
      <c r="M10510" s="199"/>
      <c r="N10510" s="200"/>
      <c r="P10510" s="199"/>
    </row>
    <row r="10511" spans="7:16" x14ac:dyDescent="0.2">
      <c r="G10511" s="199"/>
      <c r="I10511" s="199"/>
      <c r="K10511" s="199"/>
      <c r="M10511" s="199"/>
      <c r="N10511" s="200"/>
      <c r="P10511" s="199"/>
    </row>
    <row r="10512" spans="7:16" x14ac:dyDescent="0.2">
      <c r="G10512" s="199"/>
      <c r="I10512" s="199"/>
      <c r="K10512" s="199"/>
      <c r="M10512" s="199"/>
      <c r="N10512" s="200"/>
      <c r="P10512" s="199"/>
    </row>
    <row r="10513" spans="7:16" x14ac:dyDescent="0.2">
      <c r="G10513" s="199"/>
      <c r="I10513" s="199"/>
      <c r="K10513" s="199"/>
      <c r="M10513" s="199"/>
      <c r="N10513" s="200"/>
      <c r="P10513" s="199"/>
    </row>
    <row r="10514" spans="7:16" x14ac:dyDescent="0.2">
      <c r="G10514" s="199"/>
      <c r="I10514" s="199"/>
      <c r="K10514" s="199"/>
      <c r="M10514" s="199"/>
      <c r="N10514" s="200"/>
      <c r="P10514" s="199"/>
    </row>
    <row r="10515" spans="7:16" x14ac:dyDescent="0.2">
      <c r="G10515" s="199"/>
      <c r="I10515" s="199"/>
      <c r="K10515" s="199"/>
      <c r="M10515" s="199"/>
      <c r="N10515" s="200"/>
      <c r="P10515" s="199"/>
    </row>
    <row r="10516" spans="7:16" x14ac:dyDescent="0.2">
      <c r="G10516" s="199"/>
      <c r="I10516" s="199"/>
      <c r="K10516" s="199"/>
      <c r="M10516" s="199"/>
      <c r="N10516" s="200"/>
      <c r="P10516" s="199"/>
    </row>
    <row r="10517" spans="7:16" x14ac:dyDescent="0.2">
      <c r="G10517" s="199"/>
      <c r="I10517" s="199"/>
      <c r="K10517" s="199"/>
      <c r="M10517" s="199"/>
      <c r="N10517" s="200"/>
      <c r="P10517" s="199"/>
    </row>
    <row r="10518" spans="7:16" x14ac:dyDescent="0.2">
      <c r="G10518" s="199"/>
      <c r="I10518" s="199"/>
      <c r="K10518" s="199"/>
      <c r="M10518" s="199"/>
      <c r="N10518" s="200"/>
      <c r="P10518" s="199"/>
    </row>
    <row r="10519" spans="7:16" x14ac:dyDescent="0.2">
      <c r="G10519" s="199"/>
      <c r="I10519" s="199"/>
      <c r="K10519" s="199"/>
      <c r="M10519" s="199"/>
      <c r="N10519" s="200"/>
      <c r="P10519" s="199"/>
    </row>
    <row r="10520" spans="7:16" x14ac:dyDescent="0.2">
      <c r="G10520" s="199"/>
      <c r="I10520" s="199"/>
      <c r="K10520" s="199"/>
      <c r="M10520" s="199"/>
      <c r="N10520" s="200"/>
      <c r="P10520" s="199"/>
    </row>
    <row r="10521" spans="7:16" x14ac:dyDescent="0.2">
      <c r="G10521" s="199"/>
      <c r="I10521" s="199"/>
      <c r="K10521" s="199"/>
      <c r="M10521" s="199"/>
      <c r="N10521" s="200"/>
      <c r="P10521" s="199"/>
    </row>
    <row r="10522" spans="7:16" x14ac:dyDescent="0.2">
      <c r="G10522" s="199"/>
      <c r="I10522" s="199"/>
      <c r="K10522" s="199"/>
      <c r="M10522" s="199"/>
      <c r="N10522" s="200"/>
      <c r="P10522" s="199"/>
    </row>
    <row r="10523" spans="7:16" x14ac:dyDescent="0.2">
      <c r="G10523" s="199"/>
      <c r="I10523" s="199"/>
      <c r="K10523" s="199"/>
      <c r="M10523" s="199"/>
      <c r="N10523" s="200"/>
      <c r="P10523" s="199"/>
    </row>
    <row r="10524" spans="7:16" x14ac:dyDescent="0.2">
      <c r="G10524" s="199"/>
      <c r="I10524" s="199"/>
      <c r="K10524" s="199"/>
      <c r="M10524" s="199"/>
      <c r="N10524" s="200"/>
      <c r="P10524" s="199"/>
    </row>
    <row r="10525" spans="7:16" x14ac:dyDescent="0.2">
      <c r="G10525" s="199"/>
      <c r="I10525" s="199"/>
      <c r="K10525" s="199"/>
      <c r="M10525" s="199"/>
      <c r="N10525" s="200"/>
      <c r="P10525" s="199"/>
    </row>
    <row r="10526" spans="7:16" x14ac:dyDescent="0.2">
      <c r="G10526" s="199"/>
      <c r="I10526" s="199"/>
      <c r="K10526" s="199"/>
      <c r="M10526" s="199"/>
      <c r="N10526" s="200"/>
      <c r="P10526" s="199"/>
    </row>
    <row r="10527" spans="7:16" x14ac:dyDescent="0.2">
      <c r="G10527" s="199"/>
      <c r="I10527" s="199"/>
      <c r="K10527" s="199"/>
      <c r="M10527" s="199"/>
      <c r="N10527" s="200"/>
      <c r="P10527" s="199"/>
    </row>
    <row r="10528" spans="7:16" x14ac:dyDescent="0.2">
      <c r="G10528" s="199"/>
      <c r="I10528" s="199"/>
      <c r="K10528" s="199"/>
      <c r="M10528" s="199"/>
      <c r="N10528" s="200"/>
      <c r="P10528" s="199"/>
    </row>
    <row r="10529" spans="7:16" x14ac:dyDescent="0.2">
      <c r="G10529" s="199"/>
      <c r="I10529" s="199"/>
      <c r="K10529" s="199"/>
      <c r="M10529" s="199"/>
      <c r="N10529" s="200"/>
      <c r="P10529" s="199"/>
    </row>
    <row r="10530" spans="7:16" x14ac:dyDescent="0.2">
      <c r="G10530" s="199"/>
      <c r="I10530" s="199"/>
      <c r="K10530" s="199"/>
      <c r="M10530" s="199"/>
      <c r="N10530" s="200"/>
      <c r="P10530" s="199"/>
    </row>
    <row r="10531" spans="7:16" x14ac:dyDescent="0.2">
      <c r="G10531" s="199"/>
      <c r="I10531" s="199"/>
      <c r="K10531" s="199"/>
      <c r="M10531" s="199"/>
      <c r="N10531" s="200"/>
      <c r="P10531" s="199"/>
    </row>
    <row r="10532" spans="7:16" x14ac:dyDescent="0.2">
      <c r="G10532" s="199"/>
      <c r="I10532" s="199"/>
      <c r="K10532" s="199"/>
      <c r="M10532" s="199"/>
      <c r="N10532" s="200"/>
      <c r="P10532" s="199"/>
    </row>
    <row r="10533" spans="7:16" x14ac:dyDescent="0.2">
      <c r="G10533" s="199"/>
      <c r="I10533" s="199"/>
      <c r="K10533" s="199"/>
      <c r="M10533" s="199"/>
      <c r="N10533" s="200"/>
      <c r="P10533" s="199"/>
    </row>
    <row r="10534" spans="7:16" x14ac:dyDescent="0.2">
      <c r="G10534" s="199"/>
      <c r="I10534" s="199"/>
      <c r="K10534" s="199"/>
      <c r="M10534" s="199"/>
      <c r="N10534" s="200"/>
      <c r="P10534" s="199"/>
    </row>
    <row r="10535" spans="7:16" x14ac:dyDescent="0.2">
      <c r="G10535" s="199"/>
      <c r="I10535" s="199"/>
      <c r="K10535" s="199"/>
      <c r="M10535" s="199"/>
      <c r="N10535" s="200"/>
      <c r="P10535" s="199"/>
    </row>
    <row r="10536" spans="7:16" x14ac:dyDescent="0.2">
      <c r="G10536" s="199"/>
      <c r="I10536" s="199"/>
      <c r="K10536" s="199"/>
      <c r="M10536" s="199"/>
      <c r="N10536" s="200"/>
      <c r="P10536" s="199"/>
    </row>
    <row r="10537" spans="7:16" x14ac:dyDescent="0.2">
      <c r="G10537" s="199"/>
      <c r="I10537" s="199"/>
      <c r="K10537" s="199"/>
      <c r="M10537" s="199"/>
      <c r="N10537" s="200"/>
      <c r="P10537" s="199"/>
    </row>
    <row r="10538" spans="7:16" x14ac:dyDescent="0.2">
      <c r="G10538" s="199"/>
      <c r="I10538" s="199"/>
      <c r="K10538" s="199"/>
      <c r="M10538" s="199"/>
      <c r="N10538" s="200"/>
      <c r="P10538" s="199"/>
    </row>
    <row r="10539" spans="7:16" x14ac:dyDescent="0.2">
      <c r="G10539" s="199"/>
      <c r="I10539" s="199"/>
      <c r="K10539" s="199"/>
      <c r="M10539" s="199"/>
      <c r="N10539" s="200"/>
      <c r="P10539" s="199"/>
    </row>
    <row r="10540" spans="7:16" x14ac:dyDescent="0.2">
      <c r="G10540" s="199"/>
      <c r="I10540" s="199"/>
      <c r="K10540" s="199"/>
      <c r="M10540" s="199"/>
      <c r="N10540" s="200"/>
      <c r="P10540" s="199"/>
    </row>
    <row r="10541" spans="7:16" x14ac:dyDescent="0.2">
      <c r="G10541" s="199"/>
      <c r="I10541" s="199"/>
      <c r="K10541" s="199"/>
      <c r="M10541" s="199"/>
      <c r="N10541" s="200"/>
      <c r="P10541" s="199"/>
    </row>
    <row r="10542" spans="7:16" x14ac:dyDescent="0.2">
      <c r="G10542" s="199"/>
      <c r="I10542" s="199"/>
      <c r="K10542" s="199"/>
      <c r="M10542" s="199"/>
      <c r="N10542" s="200"/>
      <c r="P10542" s="199"/>
    </row>
    <row r="10543" spans="7:16" x14ac:dyDescent="0.2">
      <c r="G10543" s="199"/>
      <c r="I10543" s="199"/>
      <c r="K10543" s="199"/>
      <c r="M10543" s="199"/>
      <c r="N10543" s="200"/>
      <c r="P10543" s="199"/>
    </row>
    <row r="10544" spans="7:16" x14ac:dyDescent="0.2">
      <c r="G10544" s="199"/>
      <c r="I10544" s="199"/>
      <c r="K10544" s="199"/>
      <c r="M10544" s="199"/>
      <c r="N10544" s="200"/>
      <c r="P10544" s="199"/>
    </row>
    <row r="10545" spans="7:16" x14ac:dyDescent="0.2">
      <c r="G10545" s="199"/>
      <c r="I10545" s="199"/>
      <c r="K10545" s="199"/>
      <c r="M10545" s="199"/>
      <c r="N10545" s="200"/>
      <c r="P10545" s="199"/>
    </row>
    <row r="10546" spans="7:16" x14ac:dyDescent="0.2">
      <c r="G10546" s="199"/>
      <c r="I10546" s="199"/>
      <c r="K10546" s="199"/>
      <c r="M10546" s="199"/>
      <c r="N10546" s="200"/>
      <c r="P10546" s="199"/>
    </row>
    <row r="10547" spans="7:16" x14ac:dyDescent="0.2">
      <c r="G10547" s="199"/>
      <c r="I10547" s="199"/>
      <c r="K10547" s="199"/>
      <c r="M10547" s="199"/>
      <c r="N10547" s="200"/>
      <c r="P10547" s="199"/>
    </row>
    <row r="10548" spans="7:16" x14ac:dyDescent="0.2">
      <c r="G10548" s="199"/>
      <c r="I10548" s="199"/>
      <c r="K10548" s="199"/>
      <c r="M10548" s="199"/>
      <c r="N10548" s="200"/>
      <c r="P10548" s="199"/>
    </row>
    <row r="10549" spans="7:16" x14ac:dyDescent="0.2">
      <c r="G10549" s="199"/>
      <c r="I10549" s="199"/>
      <c r="K10549" s="199"/>
      <c r="M10549" s="199"/>
      <c r="N10549" s="200"/>
      <c r="P10549" s="199"/>
    </row>
    <row r="10550" spans="7:16" x14ac:dyDescent="0.2">
      <c r="G10550" s="199"/>
      <c r="I10550" s="199"/>
      <c r="K10550" s="199"/>
      <c r="M10550" s="199"/>
      <c r="N10550" s="200"/>
      <c r="P10550" s="199"/>
    </row>
    <row r="10551" spans="7:16" x14ac:dyDescent="0.2">
      <c r="G10551" s="199"/>
      <c r="I10551" s="199"/>
      <c r="K10551" s="199"/>
      <c r="M10551" s="199"/>
      <c r="N10551" s="200"/>
      <c r="P10551" s="199"/>
    </row>
    <row r="10552" spans="7:16" x14ac:dyDescent="0.2">
      <c r="G10552" s="199"/>
      <c r="I10552" s="199"/>
      <c r="K10552" s="199"/>
      <c r="M10552" s="199"/>
      <c r="N10552" s="200"/>
      <c r="P10552" s="199"/>
    </row>
    <row r="10553" spans="7:16" x14ac:dyDescent="0.2">
      <c r="G10553" s="199"/>
      <c r="I10553" s="199"/>
      <c r="K10553" s="199"/>
      <c r="M10553" s="199"/>
      <c r="N10553" s="200"/>
      <c r="P10553" s="199"/>
    </row>
    <row r="10554" spans="7:16" x14ac:dyDescent="0.2">
      <c r="G10554" s="199"/>
      <c r="I10554" s="199"/>
      <c r="K10554" s="199"/>
      <c r="M10554" s="199"/>
      <c r="N10554" s="200"/>
      <c r="P10554" s="199"/>
    </row>
    <row r="10555" spans="7:16" x14ac:dyDescent="0.2">
      <c r="G10555" s="199"/>
      <c r="I10555" s="199"/>
      <c r="K10555" s="199"/>
      <c r="M10555" s="199"/>
      <c r="N10555" s="200"/>
      <c r="P10555" s="199"/>
    </row>
    <row r="10556" spans="7:16" x14ac:dyDescent="0.2">
      <c r="G10556" s="199"/>
      <c r="I10556" s="199"/>
      <c r="K10556" s="199"/>
      <c r="M10556" s="199"/>
      <c r="N10556" s="200"/>
      <c r="P10556" s="199"/>
    </row>
    <row r="10557" spans="7:16" x14ac:dyDescent="0.2">
      <c r="G10557" s="199"/>
      <c r="I10557" s="199"/>
      <c r="K10557" s="199"/>
      <c r="M10557" s="199"/>
      <c r="N10557" s="200"/>
      <c r="P10557" s="199"/>
    </row>
    <row r="10558" spans="7:16" x14ac:dyDescent="0.2">
      <c r="G10558" s="199"/>
      <c r="I10558" s="199"/>
      <c r="K10558" s="199"/>
      <c r="M10558" s="199"/>
      <c r="N10558" s="200"/>
      <c r="P10558" s="199"/>
    </row>
    <row r="10559" spans="7:16" x14ac:dyDescent="0.2">
      <c r="G10559" s="199"/>
      <c r="I10559" s="199"/>
      <c r="K10559" s="199"/>
      <c r="M10559" s="199"/>
      <c r="N10559" s="200"/>
      <c r="P10559" s="199"/>
    </row>
    <row r="10560" spans="7:16" x14ac:dyDescent="0.2">
      <c r="G10560" s="199"/>
      <c r="I10560" s="199"/>
      <c r="K10560" s="199"/>
      <c r="M10560" s="199"/>
      <c r="N10560" s="200"/>
      <c r="P10560" s="199"/>
    </row>
    <row r="10561" spans="7:16" x14ac:dyDescent="0.2">
      <c r="G10561" s="199"/>
      <c r="I10561" s="199"/>
      <c r="K10561" s="199"/>
      <c r="M10561" s="199"/>
      <c r="N10561" s="200"/>
      <c r="P10561" s="199"/>
    </row>
    <row r="10562" spans="7:16" x14ac:dyDescent="0.2">
      <c r="G10562" s="199"/>
      <c r="I10562" s="199"/>
      <c r="K10562" s="199"/>
      <c r="M10562" s="199"/>
      <c r="N10562" s="200"/>
      <c r="P10562" s="199"/>
    </row>
    <row r="10563" spans="7:16" x14ac:dyDescent="0.2">
      <c r="G10563" s="199"/>
      <c r="I10563" s="199"/>
      <c r="K10563" s="199"/>
      <c r="M10563" s="199"/>
      <c r="N10563" s="200"/>
      <c r="P10563" s="199"/>
    </row>
    <row r="10564" spans="7:16" x14ac:dyDescent="0.2">
      <c r="G10564" s="199"/>
      <c r="I10564" s="199"/>
      <c r="K10564" s="199"/>
      <c r="M10564" s="199"/>
      <c r="N10564" s="200"/>
      <c r="P10564" s="199"/>
    </row>
    <row r="10565" spans="7:16" x14ac:dyDescent="0.2">
      <c r="G10565" s="199"/>
      <c r="I10565" s="199"/>
      <c r="K10565" s="199"/>
      <c r="M10565" s="199"/>
      <c r="N10565" s="200"/>
      <c r="P10565" s="199"/>
    </row>
    <row r="10566" spans="7:16" x14ac:dyDescent="0.2">
      <c r="G10566" s="199"/>
      <c r="I10566" s="199"/>
      <c r="K10566" s="199"/>
      <c r="M10566" s="199"/>
      <c r="N10566" s="200"/>
      <c r="P10566" s="199"/>
    </row>
    <row r="10567" spans="7:16" x14ac:dyDescent="0.2">
      <c r="G10567" s="199"/>
      <c r="I10567" s="199"/>
      <c r="K10567" s="199"/>
      <c r="M10567" s="199"/>
      <c r="N10567" s="200"/>
      <c r="P10567" s="199"/>
    </row>
    <row r="10568" spans="7:16" x14ac:dyDescent="0.2">
      <c r="G10568" s="199"/>
      <c r="I10568" s="199"/>
      <c r="K10568" s="199"/>
      <c r="M10568" s="199"/>
      <c r="N10568" s="200"/>
      <c r="P10568" s="199"/>
    </row>
    <row r="10569" spans="7:16" x14ac:dyDescent="0.2">
      <c r="G10569" s="199"/>
      <c r="I10569" s="199"/>
      <c r="K10569" s="199"/>
      <c r="M10569" s="199"/>
      <c r="N10569" s="200"/>
      <c r="P10569" s="199"/>
    </row>
    <row r="10570" spans="7:16" x14ac:dyDescent="0.2">
      <c r="G10570" s="199"/>
      <c r="I10570" s="199"/>
      <c r="K10570" s="199"/>
      <c r="M10570" s="199"/>
      <c r="N10570" s="200"/>
      <c r="P10570" s="199"/>
    </row>
    <row r="10571" spans="7:16" x14ac:dyDescent="0.2">
      <c r="G10571" s="199"/>
      <c r="I10571" s="199"/>
      <c r="K10571" s="199"/>
      <c r="M10571" s="199"/>
      <c r="N10571" s="200"/>
      <c r="P10571" s="199"/>
    </row>
    <row r="10572" spans="7:16" x14ac:dyDescent="0.2">
      <c r="G10572" s="199"/>
      <c r="I10572" s="199"/>
      <c r="K10572" s="199"/>
      <c r="M10572" s="199"/>
      <c r="N10572" s="200"/>
      <c r="P10572" s="199"/>
    </row>
    <row r="10573" spans="7:16" x14ac:dyDescent="0.2">
      <c r="G10573" s="199"/>
      <c r="I10573" s="199"/>
      <c r="K10573" s="199"/>
      <c r="M10573" s="199"/>
      <c r="N10573" s="200"/>
      <c r="P10573" s="199"/>
    </row>
    <row r="10574" spans="7:16" x14ac:dyDescent="0.2">
      <c r="G10574" s="199"/>
      <c r="I10574" s="199"/>
      <c r="K10574" s="199"/>
      <c r="M10574" s="199"/>
      <c r="N10574" s="200"/>
      <c r="P10574" s="199"/>
    </row>
    <row r="10575" spans="7:16" x14ac:dyDescent="0.2">
      <c r="G10575" s="199"/>
      <c r="I10575" s="199"/>
      <c r="K10575" s="199"/>
      <c r="M10575" s="199"/>
      <c r="N10575" s="200"/>
      <c r="P10575" s="199"/>
    </row>
    <row r="10576" spans="7:16" x14ac:dyDescent="0.2">
      <c r="G10576" s="199"/>
      <c r="I10576" s="199"/>
      <c r="K10576" s="199"/>
      <c r="M10576" s="199"/>
      <c r="N10576" s="200"/>
      <c r="P10576" s="199"/>
    </row>
    <row r="10577" spans="7:16" x14ac:dyDescent="0.2">
      <c r="G10577" s="199"/>
      <c r="I10577" s="199"/>
      <c r="K10577" s="199"/>
      <c r="M10577" s="199"/>
      <c r="N10577" s="200"/>
      <c r="P10577" s="199"/>
    </row>
    <row r="10578" spans="7:16" x14ac:dyDescent="0.2">
      <c r="G10578" s="199"/>
      <c r="I10578" s="199"/>
      <c r="K10578" s="199"/>
      <c r="M10578" s="199"/>
      <c r="N10578" s="200"/>
      <c r="P10578" s="199"/>
    </row>
    <row r="10579" spans="7:16" x14ac:dyDescent="0.2">
      <c r="G10579" s="199"/>
      <c r="I10579" s="199"/>
      <c r="K10579" s="199"/>
      <c r="M10579" s="199"/>
      <c r="N10579" s="200"/>
      <c r="P10579" s="199"/>
    </row>
    <row r="10580" spans="7:16" x14ac:dyDescent="0.2">
      <c r="G10580" s="199"/>
      <c r="I10580" s="199"/>
      <c r="K10580" s="199"/>
      <c r="M10580" s="199"/>
      <c r="N10580" s="200"/>
      <c r="P10580" s="199"/>
    </row>
    <row r="10581" spans="7:16" x14ac:dyDescent="0.2">
      <c r="G10581" s="199"/>
      <c r="I10581" s="199"/>
      <c r="K10581" s="199"/>
      <c r="M10581" s="199"/>
      <c r="N10581" s="200"/>
      <c r="P10581" s="199"/>
    </row>
    <row r="10582" spans="7:16" x14ac:dyDescent="0.2">
      <c r="G10582" s="199"/>
      <c r="I10582" s="199"/>
      <c r="K10582" s="199"/>
      <c r="M10582" s="199"/>
      <c r="N10582" s="200"/>
      <c r="P10582" s="199"/>
    </row>
    <row r="10583" spans="7:16" x14ac:dyDescent="0.2">
      <c r="G10583" s="199"/>
      <c r="I10583" s="199"/>
      <c r="K10583" s="199"/>
      <c r="M10583" s="199"/>
      <c r="N10583" s="200"/>
      <c r="P10583" s="199"/>
    </row>
    <row r="10584" spans="7:16" x14ac:dyDescent="0.2">
      <c r="G10584" s="199"/>
      <c r="I10584" s="199"/>
      <c r="K10584" s="199"/>
      <c r="M10584" s="199"/>
      <c r="N10584" s="200"/>
      <c r="P10584" s="199"/>
    </row>
    <row r="10585" spans="7:16" x14ac:dyDescent="0.2">
      <c r="G10585" s="199"/>
      <c r="I10585" s="199"/>
      <c r="K10585" s="199"/>
      <c r="M10585" s="199"/>
      <c r="N10585" s="200"/>
      <c r="P10585" s="199"/>
    </row>
    <row r="10586" spans="7:16" x14ac:dyDescent="0.2">
      <c r="G10586" s="199"/>
      <c r="I10586" s="199"/>
      <c r="K10586" s="199"/>
      <c r="M10586" s="199"/>
      <c r="N10586" s="200"/>
      <c r="P10586" s="199"/>
    </row>
    <row r="10587" spans="7:16" x14ac:dyDescent="0.2">
      <c r="G10587" s="199"/>
      <c r="I10587" s="199"/>
      <c r="K10587" s="199"/>
      <c r="M10587" s="199"/>
      <c r="N10587" s="200"/>
      <c r="P10587" s="199"/>
    </row>
    <row r="10588" spans="7:16" x14ac:dyDescent="0.2">
      <c r="G10588" s="199"/>
      <c r="I10588" s="199"/>
      <c r="K10588" s="199"/>
      <c r="M10588" s="199"/>
      <c r="N10588" s="200"/>
      <c r="P10588" s="199"/>
    </row>
    <row r="10589" spans="7:16" x14ac:dyDescent="0.2">
      <c r="G10589" s="199"/>
      <c r="I10589" s="199"/>
      <c r="K10589" s="199"/>
      <c r="M10589" s="199"/>
      <c r="N10589" s="200"/>
      <c r="P10589" s="199"/>
    </row>
    <row r="10590" spans="7:16" x14ac:dyDescent="0.2">
      <c r="G10590" s="199"/>
      <c r="I10590" s="199"/>
      <c r="K10590" s="199"/>
      <c r="M10590" s="199"/>
      <c r="N10590" s="200"/>
      <c r="P10590" s="199"/>
    </row>
    <row r="10591" spans="7:16" x14ac:dyDescent="0.2">
      <c r="G10591" s="199"/>
      <c r="I10591" s="199"/>
      <c r="K10591" s="199"/>
      <c r="M10591" s="199"/>
      <c r="N10591" s="200"/>
      <c r="P10591" s="199"/>
    </row>
    <row r="10592" spans="7:16" x14ac:dyDescent="0.2">
      <c r="G10592" s="199"/>
      <c r="I10592" s="199"/>
      <c r="K10592" s="199"/>
      <c r="M10592" s="199"/>
      <c r="N10592" s="200"/>
      <c r="P10592" s="199"/>
    </row>
    <row r="10593" spans="7:16" x14ac:dyDescent="0.2">
      <c r="G10593" s="199"/>
      <c r="I10593" s="199"/>
      <c r="K10593" s="199"/>
      <c r="M10593" s="199"/>
      <c r="N10593" s="200"/>
      <c r="P10593" s="199"/>
    </row>
    <row r="10594" spans="7:16" x14ac:dyDescent="0.2">
      <c r="G10594" s="199"/>
      <c r="I10594" s="199"/>
      <c r="K10594" s="199"/>
      <c r="M10594" s="199"/>
      <c r="N10594" s="200"/>
      <c r="P10594" s="199"/>
    </row>
    <row r="10595" spans="7:16" x14ac:dyDescent="0.2">
      <c r="G10595" s="199"/>
      <c r="I10595" s="199"/>
      <c r="K10595" s="199"/>
      <c r="M10595" s="199"/>
      <c r="N10595" s="200"/>
      <c r="P10595" s="199"/>
    </row>
    <row r="10596" spans="7:16" x14ac:dyDescent="0.2">
      <c r="G10596" s="199"/>
      <c r="I10596" s="199"/>
      <c r="K10596" s="199"/>
      <c r="M10596" s="199"/>
      <c r="N10596" s="200"/>
      <c r="P10596" s="199"/>
    </row>
    <row r="10597" spans="7:16" x14ac:dyDescent="0.2">
      <c r="G10597" s="199"/>
      <c r="I10597" s="199"/>
      <c r="K10597" s="199"/>
      <c r="M10597" s="199"/>
      <c r="N10597" s="200"/>
      <c r="P10597" s="199"/>
    </row>
    <row r="10598" spans="7:16" x14ac:dyDescent="0.2">
      <c r="G10598" s="199"/>
      <c r="I10598" s="199"/>
      <c r="K10598" s="199"/>
      <c r="M10598" s="199"/>
      <c r="N10598" s="200"/>
      <c r="P10598" s="199"/>
    </row>
    <row r="10599" spans="7:16" x14ac:dyDescent="0.2">
      <c r="G10599" s="199"/>
      <c r="I10599" s="199"/>
      <c r="K10599" s="199"/>
      <c r="M10599" s="199"/>
      <c r="N10599" s="200"/>
      <c r="P10599" s="199"/>
    </row>
    <row r="10600" spans="7:16" x14ac:dyDescent="0.2">
      <c r="G10600" s="199"/>
      <c r="I10600" s="199"/>
      <c r="K10600" s="199"/>
      <c r="M10600" s="199"/>
      <c r="N10600" s="200"/>
      <c r="P10600" s="199"/>
    </row>
    <row r="10601" spans="7:16" x14ac:dyDescent="0.2">
      <c r="G10601" s="199"/>
      <c r="I10601" s="199"/>
      <c r="K10601" s="199"/>
      <c r="M10601" s="199"/>
      <c r="N10601" s="200"/>
      <c r="P10601" s="199"/>
    </row>
    <row r="10602" spans="7:16" x14ac:dyDescent="0.2">
      <c r="G10602" s="199"/>
      <c r="I10602" s="199"/>
      <c r="K10602" s="199"/>
      <c r="M10602" s="199"/>
      <c r="N10602" s="200"/>
      <c r="P10602" s="199"/>
    </row>
    <row r="10603" spans="7:16" x14ac:dyDescent="0.2">
      <c r="G10603" s="199"/>
      <c r="I10603" s="199"/>
      <c r="K10603" s="199"/>
      <c r="M10603" s="199"/>
      <c r="N10603" s="200"/>
      <c r="P10603" s="199"/>
    </row>
    <row r="10604" spans="7:16" x14ac:dyDescent="0.2">
      <c r="G10604" s="199"/>
      <c r="I10604" s="199"/>
      <c r="K10604" s="199"/>
      <c r="M10604" s="199"/>
      <c r="N10604" s="200"/>
      <c r="P10604" s="199"/>
    </row>
    <row r="10605" spans="7:16" x14ac:dyDescent="0.2">
      <c r="G10605" s="199"/>
      <c r="I10605" s="199"/>
      <c r="K10605" s="199"/>
      <c r="M10605" s="199"/>
      <c r="N10605" s="200"/>
      <c r="P10605" s="199"/>
    </row>
    <row r="10606" spans="7:16" x14ac:dyDescent="0.2">
      <c r="G10606" s="199"/>
      <c r="I10606" s="199"/>
      <c r="K10606" s="199"/>
      <c r="M10606" s="199"/>
      <c r="N10606" s="200"/>
      <c r="P10606" s="199"/>
    </row>
    <row r="10607" spans="7:16" x14ac:dyDescent="0.2">
      <c r="G10607" s="199"/>
      <c r="I10607" s="199"/>
      <c r="K10607" s="199"/>
      <c r="M10607" s="199"/>
      <c r="N10607" s="200"/>
      <c r="P10607" s="199"/>
    </row>
    <row r="10608" spans="7:16" x14ac:dyDescent="0.2">
      <c r="G10608" s="199"/>
      <c r="I10608" s="199"/>
      <c r="K10608" s="199"/>
      <c r="M10608" s="199"/>
      <c r="N10608" s="200"/>
      <c r="P10608" s="199"/>
    </row>
    <row r="10609" spans="7:16" x14ac:dyDescent="0.2">
      <c r="G10609" s="199"/>
      <c r="I10609" s="199"/>
      <c r="K10609" s="199"/>
      <c r="M10609" s="199"/>
      <c r="N10609" s="200"/>
      <c r="P10609" s="199"/>
    </row>
    <row r="10610" spans="7:16" x14ac:dyDescent="0.2">
      <c r="G10610" s="199"/>
      <c r="I10610" s="199"/>
      <c r="K10610" s="199"/>
      <c r="M10610" s="199"/>
      <c r="N10610" s="200"/>
      <c r="P10610" s="199"/>
    </row>
    <row r="10611" spans="7:16" x14ac:dyDescent="0.2">
      <c r="G10611" s="199"/>
      <c r="I10611" s="199"/>
      <c r="K10611" s="199"/>
      <c r="M10611" s="199"/>
      <c r="N10611" s="200"/>
      <c r="P10611" s="199"/>
    </row>
    <row r="10612" spans="7:16" x14ac:dyDescent="0.2">
      <c r="G10612" s="199"/>
      <c r="I10612" s="199"/>
      <c r="K10612" s="199"/>
      <c r="M10612" s="199"/>
      <c r="N10612" s="200"/>
      <c r="P10612" s="199"/>
    </row>
    <row r="10613" spans="7:16" x14ac:dyDescent="0.2">
      <c r="G10613" s="199"/>
      <c r="I10613" s="199"/>
      <c r="K10613" s="199"/>
      <c r="M10613" s="199"/>
      <c r="N10613" s="200"/>
      <c r="P10613" s="199"/>
    </row>
    <row r="10614" spans="7:16" x14ac:dyDescent="0.2">
      <c r="G10614" s="199"/>
      <c r="I10614" s="199"/>
      <c r="K10614" s="199"/>
      <c r="M10614" s="199"/>
      <c r="N10614" s="200"/>
      <c r="P10614" s="199"/>
    </row>
    <row r="10615" spans="7:16" x14ac:dyDescent="0.2">
      <c r="G10615" s="199"/>
      <c r="I10615" s="199"/>
      <c r="K10615" s="199"/>
      <c r="M10615" s="199"/>
      <c r="N10615" s="200"/>
      <c r="P10615" s="199"/>
    </row>
    <row r="10616" spans="7:16" x14ac:dyDescent="0.2">
      <c r="G10616" s="199"/>
      <c r="I10616" s="199"/>
      <c r="K10616" s="199"/>
      <c r="M10616" s="199"/>
      <c r="N10616" s="200"/>
      <c r="P10616" s="199"/>
    </row>
    <row r="10617" spans="7:16" x14ac:dyDescent="0.2">
      <c r="G10617" s="199"/>
      <c r="I10617" s="199"/>
      <c r="K10617" s="199"/>
      <c r="M10617" s="199"/>
      <c r="N10617" s="200"/>
      <c r="P10617" s="199"/>
    </row>
    <row r="10618" spans="7:16" x14ac:dyDescent="0.2">
      <c r="G10618" s="199"/>
      <c r="I10618" s="199"/>
      <c r="K10618" s="199"/>
      <c r="M10618" s="199"/>
      <c r="N10618" s="200"/>
      <c r="P10618" s="199"/>
    </row>
    <row r="10619" spans="7:16" x14ac:dyDescent="0.2">
      <c r="G10619" s="199"/>
      <c r="I10619" s="199"/>
      <c r="K10619" s="199"/>
      <c r="M10619" s="199"/>
      <c r="N10619" s="200"/>
      <c r="P10619" s="199"/>
    </row>
    <row r="10620" spans="7:16" x14ac:dyDescent="0.2">
      <c r="G10620" s="199"/>
      <c r="I10620" s="199"/>
      <c r="K10620" s="199"/>
      <c r="M10620" s="199"/>
      <c r="N10620" s="200"/>
      <c r="P10620" s="199"/>
    </row>
    <row r="10621" spans="7:16" x14ac:dyDescent="0.2">
      <c r="G10621" s="199"/>
      <c r="I10621" s="199"/>
      <c r="K10621" s="199"/>
      <c r="M10621" s="199"/>
      <c r="N10621" s="200"/>
      <c r="P10621" s="199"/>
    </row>
    <row r="10622" spans="7:16" x14ac:dyDescent="0.2">
      <c r="G10622" s="199"/>
      <c r="I10622" s="199"/>
      <c r="K10622" s="199"/>
      <c r="M10622" s="199"/>
      <c r="N10622" s="200"/>
      <c r="P10622" s="199"/>
    </row>
    <row r="10623" spans="7:16" x14ac:dyDescent="0.2">
      <c r="G10623" s="199"/>
      <c r="I10623" s="199"/>
      <c r="K10623" s="199"/>
      <c r="M10623" s="199"/>
      <c r="N10623" s="200"/>
      <c r="P10623" s="199"/>
    </row>
    <row r="10624" spans="7:16" x14ac:dyDescent="0.2">
      <c r="G10624" s="199"/>
      <c r="I10624" s="199"/>
      <c r="K10624" s="199"/>
      <c r="M10624" s="199"/>
      <c r="N10624" s="200"/>
      <c r="P10624" s="199"/>
    </row>
    <row r="10625" spans="7:16" x14ac:dyDescent="0.2">
      <c r="G10625" s="199"/>
      <c r="I10625" s="199"/>
      <c r="K10625" s="199"/>
      <c r="M10625" s="199"/>
      <c r="N10625" s="200"/>
      <c r="P10625" s="199"/>
    </row>
    <row r="10626" spans="7:16" x14ac:dyDescent="0.2">
      <c r="G10626" s="199"/>
      <c r="I10626" s="199"/>
      <c r="K10626" s="199"/>
      <c r="M10626" s="199"/>
      <c r="N10626" s="200"/>
      <c r="P10626" s="199"/>
    </row>
    <row r="10627" spans="7:16" x14ac:dyDescent="0.2">
      <c r="G10627" s="199"/>
      <c r="I10627" s="199"/>
      <c r="K10627" s="199"/>
      <c r="M10627" s="199"/>
      <c r="N10627" s="200"/>
      <c r="P10627" s="199"/>
    </row>
    <row r="10628" spans="7:16" x14ac:dyDescent="0.2">
      <c r="G10628" s="199"/>
      <c r="I10628" s="199"/>
      <c r="K10628" s="199"/>
      <c r="M10628" s="199"/>
      <c r="N10628" s="200"/>
      <c r="P10628" s="199"/>
    </row>
    <row r="10629" spans="7:16" x14ac:dyDescent="0.2">
      <c r="G10629" s="199"/>
      <c r="I10629" s="199"/>
      <c r="K10629" s="199"/>
      <c r="M10629" s="199"/>
      <c r="N10629" s="200"/>
      <c r="P10629" s="199"/>
    </row>
    <row r="10630" spans="7:16" x14ac:dyDescent="0.2">
      <c r="G10630" s="199"/>
      <c r="I10630" s="199"/>
      <c r="K10630" s="199"/>
      <c r="M10630" s="199"/>
      <c r="N10630" s="200"/>
      <c r="P10630" s="199"/>
    </row>
    <row r="10631" spans="7:16" x14ac:dyDescent="0.2">
      <c r="G10631" s="199"/>
      <c r="I10631" s="199"/>
      <c r="K10631" s="199"/>
      <c r="M10631" s="199"/>
      <c r="N10631" s="200"/>
      <c r="P10631" s="199"/>
    </row>
    <row r="10632" spans="7:16" x14ac:dyDescent="0.2">
      <c r="G10632" s="199"/>
      <c r="I10632" s="199"/>
      <c r="K10632" s="199"/>
      <c r="M10632" s="199"/>
      <c r="N10632" s="200"/>
      <c r="P10632" s="199"/>
    </row>
    <row r="10633" spans="7:16" x14ac:dyDescent="0.2">
      <c r="G10633" s="199"/>
      <c r="I10633" s="199"/>
      <c r="K10633" s="199"/>
      <c r="M10633" s="199"/>
      <c r="N10633" s="200"/>
      <c r="P10633" s="199"/>
    </row>
    <row r="10634" spans="7:16" x14ac:dyDescent="0.2">
      <c r="G10634" s="199"/>
      <c r="I10634" s="199"/>
      <c r="K10634" s="199"/>
      <c r="M10634" s="199"/>
      <c r="N10634" s="200"/>
      <c r="P10634" s="199"/>
    </row>
    <row r="10635" spans="7:16" x14ac:dyDescent="0.2">
      <c r="G10635" s="199"/>
      <c r="I10635" s="199"/>
      <c r="K10635" s="199"/>
      <c r="M10635" s="199"/>
      <c r="N10635" s="200"/>
      <c r="P10635" s="199"/>
    </row>
    <row r="10636" spans="7:16" x14ac:dyDescent="0.2">
      <c r="G10636" s="199"/>
      <c r="I10636" s="199"/>
      <c r="K10636" s="199"/>
      <c r="M10636" s="199"/>
      <c r="N10636" s="200"/>
      <c r="P10636" s="199"/>
    </row>
    <row r="10637" spans="7:16" x14ac:dyDescent="0.2">
      <c r="G10637" s="199"/>
      <c r="I10637" s="199"/>
      <c r="K10637" s="199"/>
      <c r="M10637" s="199"/>
      <c r="N10637" s="200"/>
      <c r="P10637" s="199"/>
    </row>
    <row r="10638" spans="7:16" x14ac:dyDescent="0.2">
      <c r="G10638" s="199"/>
      <c r="I10638" s="199"/>
      <c r="K10638" s="199"/>
      <c r="M10638" s="199"/>
      <c r="N10638" s="200"/>
      <c r="P10638" s="199"/>
    </row>
    <row r="10639" spans="7:16" x14ac:dyDescent="0.2">
      <c r="G10639" s="199"/>
      <c r="I10639" s="199"/>
      <c r="K10639" s="199"/>
      <c r="M10639" s="199"/>
      <c r="N10639" s="200"/>
      <c r="P10639" s="199"/>
    </row>
    <row r="10640" spans="7:16" x14ac:dyDescent="0.2">
      <c r="G10640" s="199"/>
      <c r="I10640" s="199"/>
      <c r="K10640" s="199"/>
      <c r="M10640" s="199"/>
      <c r="N10640" s="200"/>
      <c r="P10640" s="199"/>
    </row>
    <row r="10641" spans="7:16" x14ac:dyDescent="0.2">
      <c r="G10641" s="199"/>
      <c r="I10641" s="199"/>
      <c r="K10641" s="199"/>
      <c r="M10641" s="199"/>
      <c r="N10641" s="200"/>
      <c r="P10641" s="199"/>
    </row>
    <row r="10642" spans="7:16" x14ac:dyDescent="0.2">
      <c r="G10642" s="199"/>
      <c r="I10642" s="199"/>
      <c r="K10642" s="199"/>
      <c r="M10642" s="199"/>
      <c r="N10642" s="200"/>
      <c r="P10642" s="199"/>
    </row>
    <row r="10643" spans="7:16" x14ac:dyDescent="0.2">
      <c r="G10643" s="199"/>
      <c r="I10643" s="199"/>
      <c r="K10643" s="199"/>
      <c r="M10643" s="199"/>
      <c r="N10643" s="200"/>
      <c r="P10643" s="199"/>
    </row>
    <row r="10644" spans="7:16" x14ac:dyDescent="0.2">
      <c r="G10644" s="199"/>
      <c r="I10644" s="199"/>
      <c r="K10644" s="199"/>
      <c r="M10644" s="199"/>
      <c r="N10644" s="200"/>
      <c r="P10644" s="199"/>
    </row>
    <row r="10645" spans="7:16" x14ac:dyDescent="0.2">
      <c r="G10645" s="199"/>
      <c r="I10645" s="199"/>
      <c r="K10645" s="199"/>
      <c r="M10645" s="199"/>
      <c r="N10645" s="200"/>
      <c r="P10645" s="199"/>
    </row>
    <row r="10646" spans="7:16" x14ac:dyDescent="0.2">
      <c r="G10646" s="199"/>
      <c r="I10646" s="199"/>
      <c r="K10646" s="199"/>
      <c r="M10646" s="199"/>
      <c r="N10646" s="200"/>
      <c r="P10646" s="199"/>
    </row>
    <row r="10647" spans="7:16" x14ac:dyDescent="0.2">
      <c r="G10647" s="199"/>
      <c r="I10647" s="199"/>
      <c r="K10647" s="199"/>
      <c r="M10647" s="199"/>
      <c r="N10647" s="200"/>
      <c r="P10647" s="199"/>
    </row>
    <row r="10648" spans="7:16" x14ac:dyDescent="0.2">
      <c r="G10648" s="199"/>
      <c r="I10648" s="199"/>
      <c r="K10648" s="199"/>
      <c r="M10648" s="199"/>
      <c r="N10648" s="200"/>
      <c r="P10648" s="199"/>
    </row>
    <row r="10649" spans="7:16" x14ac:dyDescent="0.2">
      <c r="G10649" s="199"/>
      <c r="I10649" s="199"/>
      <c r="K10649" s="199"/>
      <c r="M10649" s="199"/>
      <c r="N10649" s="200"/>
      <c r="P10649" s="199"/>
    </row>
    <row r="10650" spans="7:16" x14ac:dyDescent="0.2">
      <c r="G10650" s="199"/>
      <c r="I10650" s="199"/>
      <c r="K10650" s="199"/>
      <c r="M10650" s="199"/>
      <c r="N10650" s="200"/>
      <c r="P10650" s="199"/>
    </row>
    <row r="10651" spans="7:16" x14ac:dyDescent="0.2">
      <c r="G10651" s="199"/>
      <c r="I10651" s="199"/>
      <c r="K10651" s="199"/>
      <c r="M10651" s="199"/>
      <c r="N10651" s="200"/>
      <c r="P10651" s="199"/>
    </row>
    <row r="10652" spans="7:16" x14ac:dyDescent="0.2">
      <c r="G10652" s="199"/>
      <c r="I10652" s="199"/>
      <c r="K10652" s="199"/>
      <c r="M10652" s="199"/>
      <c r="N10652" s="200"/>
      <c r="P10652" s="199"/>
    </row>
    <row r="10653" spans="7:16" x14ac:dyDescent="0.2">
      <c r="G10653" s="199"/>
      <c r="I10653" s="199"/>
      <c r="K10653" s="199"/>
      <c r="M10653" s="199"/>
      <c r="N10653" s="200"/>
      <c r="P10653" s="199"/>
    </row>
    <row r="10654" spans="7:16" x14ac:dyDescent="0.2">
      <c r="G10654" s="199"/>
      <c r="I10654" s="199"/>
      <c r="K10654" s="199"/>
      <c r="M10654" s="199"/>
      <c r="N10654" s="200"/>
      <c r="P10654" s="199"/>
    </row>
    <row r="10655" spans="7:16" x14ac:dyDescent="0.2">
      <c r="G10655" s="199"/>
      <c r="I10655" s="199"/>
      <c r="K10655" s="199"/>
      <c r="M10655" s="199"/>
      <c r="N10655" s="200"/>
      <c r="P10655" s="199"/>
    </row>
    <row r="10656" spans="7:16" x14ac:dyDescent="0.2">
      <c r="G10656" s="199"/>
      <c r="I10656" s="199"/>
      <c r="K10656" s="199"/>
      <c r="M10656" s="199"/>
      <c r="N10656" s="200"/>
      <c r="P10656" s="199"/>
    </row>
    <row r="10657" spans="7:16" x14ac:dyDescent="0.2">
      <c r="G10657" s="199"/>
      <c r="I10657" s="199"/>
      <c r="K10657" s="199"/>
      <c r="M10657" s="199"/>
      <c r="N10657" s="200"/>
      <c r="P10657" s="199"/>
    </row>
    <row r="10658" spans="7:16" x14ac:dyDescent="0.2">
      <c r="G10658" s="199"/>
      <c r="I10658" s="199"/>
      <c r="K10658" s="199"/>
      <c r="M10658" s="199"/>
      <c r="N10658" s="200"/>
      <c r="P10658" s="199"/>
    </row>
    <row r="10659" spans="7:16" x14ac:dyDescent="0.2">
      <c r="G10659" s="199"/>
      <c r="I10659" s="199"/>
      <c r="K10659" s="199"/>
      <c r="M10659" s="199"/>
      <c r="N10659" s="200"/>
      <c r="P10659" s="199"/>
    </row>
    <row r="10660" spans="7:16" x14ac:dyDescent="0.2">
      <c r="G10660" s="199"/>
      <c r="I10660" s="199"/>
      <c r="K10660" s="199"/>
      <c r="M10660" s="199"/>
      <c r="N10660" s="200"/>
      <c r="P10660" s="199"/>
    </row>
    <row r="10661" spans="7:16" x14ac:dyDescent="0.2">
      <c r="G10661" s="199"/>
      <c r="I10661" s="199"/>
      <c r="K10661" s="199"/>
      <c r="M10661" s="199"/>
      <c r="N10661" s="200"/>
      <c r="P10661" s="199"/>
    </row>
    <row r="10662" spans="7:16" x14ac:dyDescent="0.2">
      <c r="G10662" s="199"/>
      <c r="I10662" s="199"/>
      <c r="K10662" s="199"/>
      <c r="M10662" s="199"/>
      <c r="N10662" s="200"/>
      <c r="P10662" s="199"/>
    </row>
    <row r="10663" spans="7:16" x14ac:dyDescent="0.2">
      <c r="G10663" s="199"/>
      <c r="I10663" s="199"/>
      <c r="K10663" s="199"/>
      <c r="M10663" s="199"/>
      <c r="N10663" s="200"/>
      <c r="P10663" s="199"/>
    </row>
    <row r="10664" spans="7:16" x14ac:dyDescent="0.2">
      <c r="G10664" s="199"/>
      <c r="I10664" s="199"/>
      <c r="K10664" s="199"/>
      <c r="M10664" s="199"/>
      <c r="N10664" s="200"/>
      <c r="P10664" s="199"/>
    </row>
    <row r="10665" spans="7:16" x14ac:dyDescent="0.2">
      <c r="G10665" s="199"/>
      <c r="I10665" s="199"/>
      <c r="K10665" s="199"/>
      <c r="M10665" s="199"/>
      <c r="N10665" s="200"/>
      <c r="P10665" s="199"/>
    </row>
    <row r="10666" spans="7:16" x14ac:dyDescent="0.2">
      <c r="G10666" s="199"/>
      <c r="I10666" s="199"/>
      <c r="K10666" s="199"/>
      <c r="M10666" s="199"/>
      <c r="N10666" s="200"/>
      <c r="P10666" s="199"/>
    </row>
    <row r="10667" spans="7:16" x14ac:dyDescent="0.2">
      <c r="G10667" s="199"/>
      <c r="I10667" s="199"/>
      <c r="K10667" s="199"/>
      <c r="M10667" s="199"/>
      <c r="N10667" s="200"/>
      <c r="P10667" s="199"/>
    </row>
    <row r="10668" spans="7:16" x14ac:dyDescent="0.2">
      <c r="G10668" s="199"/>
      <c r="I10668" s="199"/>
      <c r="K10668" s="199"/>
      <c r="M10668" s="199"/>
      <c r="N10668" s="200"/>
      <c r="P10668" s="199"/>
    </row>
    <row r="10669" spans="7:16" x14ac:dyDescent="0.2">
      <c r="G10669" s="199"/>
      <c r="I10669" s="199"/>
      <c r="K10669" s="199"/>
      <c r="M10669" s="199"/>
      <c r="N10669" s="200"/>
      <c r="P10669" s="199"/>
    </row>
    <row r="10670" spans="7:16" x14ac:dyDescent="0.2">
      <c r="G10670" s="199"/>
      <c r="I10670" s="199"/>
      <c r="K10670" s="199"/>
      <c r="M10670" s="199"/>
      <c r="N10670" s="200"/>
      <c r="P10670" s="199"/>
    </row>
    <row r="10671" spans="7:16" x14ac:dyDescent="0.2">
      <c r="G10671" s="199"/>
      <c r="I10671" s="199"/>
      <c r="K10671" s="199"/>
      <c r="M10671" s="199"/>
      <c r="N10671" s="200"/>
      <c r="P10671" s="199"/>
    </row>
    <row r="10672" spans="7:16" x14ac:dyDescent="0.2">
      <c r="G10672" s="199"/>
      <c r="I10672" s="199"/>
      <c r="K10672" s="199"/>
      <c r="M10672" s="199"/>
      <c r="N10672" s="200"/>
      <c r="P10672" s="199"/>
    </row>
    <row r="10673" spans="7:16" x14ac:dyDescent="0.2">
      <c r="G10673" s="199"/>
      <c r="I10673" s="199"/>
      <c r="K10673" s="199"/>
      <c r="M10673" s="199"/>
      <c r="N10673" s="200"/>
      <c r="P10673" s="199"/>
    </row>
    <row r="10674" spans="7:16" x14ac:dyDescent="0.2">
      <c r="G10674" s="199"/>
      <c r="I10674" s="199"/>
      <c r="K10674" s="199"/>
      <c r="M10674" s="199"/>
      <c r="N10674" s="200"/>
      <c r="P10674" s="199"/>
    </row>
    <row r="10675" spans="7:16" x14ac:dyDescent="0.2">
      <c r="G10675" s="199"/>
      <c r="I10675" s="199"/>
      <c r="K10675" s="199"/>
      <c r="M10675" s="199"/>
      <c r="N10675" s="200"/>
      <c r="P10675" s="199"/>
    </row>
    <row r="10676" spans="7:16" x14ac:dyDescent="0.2">
      <c r="G10676" s="199"/>
      <c r="I10676" s="199"/>
      <c r="K10676" s="199"/>
      <c r="M10676" s="199"/>
      <c r="N10676" s="200"/>
      <c r="P10676" s="199"/>
    </row>
    <row r="10677" spans="7:16" x14ac:dyDescent="0.2">
      <c r="G10677" s="199"/>
      <c r="I10677" s="199"/>
      <c r="K10677" s="199"/>
      <c r="M10677" s="199"/>
      <c r="N10677" s="200"/>
      <c r="P10677" s="199"/>
    </row>
    <row r="10678" spans="7:16" x14ac:dyDescent="0.2">
      <c r="G10678" s="199"/>
      <c r="I10678" s="199"/>
      <c r="K10678" s="199"/>
      <c r="M10678" s="199"/>
      <c r="N10678" s="200"/>
      <c r="P10678" s="199"/>
    </row>
    <row r="10679" spans="7:16" x14ac:dyDescent="0.2">
      <c r="G10679" s="199"/>
      <c r="I10679" s="199"/>
      <c r="K10679" s="199"/>
      <c r="M10679" s="199"/>
      <c r="N10679" s="200"/>
      <c r="P10679" s="199"/>
    </row>
    <row r="10680" spans="7:16" x14ac:dyDescent="0.2">
      <c r="G10680" s="199"/>
      <c r="I10680" s="199"/>
      <c r="K10680" s="199"/>
      <c r="M10680" s="199"/>
      <c r="N10680" s="200"/>
      <c r="P10680" s="199"/>
    </row>
    <row r="10681" spans="7:16" x14ac:dyDescent="0.2">
      <c r="G10681" s="199"/>
      <c r="I10681" s="199"/>
      <c r="K10681" s="199"/>
      <c r="M10681" s="199"/>
      <c r="N10681" s="200"/>
      <c r="P10681" s="199"/>
    </row>
    <row r="10682" spans="7:16" x14ac:dyDescent="0.2">
      <c r="G10682" s="199"/>
      <c r="I10682" s="199"/>
      <c r="K10682" s="199"/>
      <c r="M10682" s="199"/>
      <c r="N10682" s="200"/>
      <c r="P10682" s="199"/>
    </row>
    <row r="10683" spans="7:16" x14ac:dyDescent="0.2">
      <c r="G10683" s="199"/>
      <c r="I10683" s="199"/>
      <c r="K10683" s="199"/>
      <c r="M10683" s="199"/>
      <c r="N10683" s="200"/>
      <c r="P10683" s="199"/>
    </row>
    <row r="10684" spans="7:16" x14ac:dyDescent="0.2">
      <c r="G10684" s="199"/>
      <c r="I10684" s="199"/>
      <c r="K10684" s="199"/>
      <c r="M10684" s="199"/>
      <c r="N10684" s="200"/>
      <c r="P10684" s="199"/>
    </row>
    <row r="10685" spans="7:16" x14ac:dyDescent="0.2">
      <c r="G10685" s="199"/>
      <c r="I10685" s="199"/>
      <c r="K10685" s="199"/>
      <c r="M10685" s="199"/>
      <c r="N10685" s="200"/>
      <c r="P10685" s="199"/>
    </row>
    <row r="10686" spans="7:16" x14ac:dyDescent="0.2">
      <c r="G10686" s="199"/>
      <c r="I10686" s="199"/>
      <c r="K10686" s="199"/>
      <c r="M10686" s="199"/>
      <c r="N10686" s="200"/>
      <c r="P10686" s="199"/>
    </row>
    <row r="10687" spans="7:16" x14ac:dyDescent="0.2">
      <c r="G10687" s="199"/>
      <c r="I10687" s="199"/>
      <c r="K10687" s="199"/>
      <c r="M10687" s="199"/>
      <c r="N10687" s="200"/>
      <c r="P10687" s="199"/>
    </row>
    <row r="10688" spans="7:16" x14ac:dyDescent="0.2">
      <c r="G10688" s="199"/>
      <c r="I10688" s="199"/>
      <c r="K10688" s="199"/>
      <c r="M10688" s="199"/>
      <c r="N10688" s="200"/>
      <c r="P10688" s="199"/>
    </row>
    <row r="10689" spans="7:16" x14ac:dyDescent="0.2">
      <c r="G10689" s="199"/>
      <c r="I10689" s="199"/>
      <c r="K10689" s="199"/>
      <c r="M10689" s="199"/>
      <c r="N10689" s="200"/>
      <c r="P10689" s="199"/>
    </row>
    <row r="10690" spans="7:16" x14ac:dyDescent="0.2">
      <c r="G10690" s="199"/>
      <c r="I10690" s="199"/>
      <c r="K10690" s="199"/>
      <c r="M10690" s="199"/>
      <c r="N10690" s="200"/>
      <c r="P10690" s="199"/>
    </row>
    <row r="10691" spans="7:16" x14ac:dyDescent="0.2">
      <c r="G10691" s="199"/>
      <c r="I10691" s="199"/>
      <c r="K10691" s="199"/>
      <c r="M10691" s="199"/>
      <c r="N10691" s="200"/>
      <c r="P10691" s="199"/>
    </row>
    <row r="10692" spans="7:16" x14ac:dyDescent="0.2">
      <c r="G10692" s="199"/>
      <c r="I10692" s="199"/>
      <c r="K10692" s="199"/>
      <c r="M10692" s="199"/>
      <c r="N10692" s="200"/>
      <c r="P10692" s="199"/>
    </row>
    <row r="10693" spans="7:16" x14ac:dyDescent="0.2">
      <c r="G10693" s="199"/>
      <c r="I10693" s="199"/>
      <c r="K10693" s="199"/>
      <c r="M10693" s="199"/>
      <c r="N10693" s="200"/>
      <c r="P10693" s="199"/>
    </row>
    <row r="10694" spans="7:16" x14ac:dyDescent="0.2">
      <c r="G10694" s="199"/>
      <c r="I10694" s="199"/>
      <c r="K10694" s="199"/>
      <c r="M10694" s="199"/>
      <c r="N10694" s="200"/>
      <c r="P10694" s="199"/>
    </row>
    <row r="10695" spans="7:16" x14ac:dyDescent="0.2">
      <c r="G10695" s="199"/>
      <c r="I10695" s="199"/>
      <c r="K10695" s="199"/>
      <c r="M10695" s="199"/>
      <c r="N10695" s="200"/>
      <c r="P10695" s="199"/>
    </row>
    <row r="10696" spans="7:16" x14ac:dyDescent="0.2">
      <c r="G10696" s="199"/>
      <c r="I10696" s="199"/>
      <c r="K10696" s="199"/>
      <c r="M10696" s="199"/>
      <c r="N10696" s="200"/>
      <c r="P10696" s="199"/>
    </row>
    <row r="10697" spans="7:16" x14ac:dyDescent="0.2">
      <c r="G10697" s="199"/>
      <c r="I10697" s="199"/>
      <c r="K10697" s="199"/>
      <c r="M10697" s="199"/>
      <c r="N10697" s="200"/>
      <c r="P10697" s="199"/>
    </row>
    <row r="10698" spans="7:16" x14ac:dyDescent="0.2">
      <c r="G10698" s="199"/>
      <c r="I10698" s="199"/>
      <c r="K10698" s="199"/>
      <c r="M10698" s="199"/>
      <c r="N10698" s="200"/>
      <c r="P10698" s="199"/>
    </row>
    <row r="10699" spans="7:16" x14ac:dyDescent="0.2">
      <c r="G10699" s="199"/>
      <c r="I10699" s="199"/>
      <c r="K10699" s="199"/>
      <c r="M10699" s="199"/>
      <c r="N10699" s="200"/>
      <c r="P10699" s="199"/>
    </row>
    <row r="10700" spans="7:16" x14ac:dyDescent="0.2">
      <c r="G10700" s="199"/>
      <c r="I10700" s="199"/>
      <c r="K10700" s="199"/>
      <c r="M10700" s="199"/>
      <c r="N10700" s="200"/>
      <c r="P10700" s="199"/>
    </row>
    <row r="10701" spans="7:16" x14ac:dyDescent="0.2">
      <c r="G10701" s="199"/>
      <c r="I10701" s="199"/>
      <c r="K10701" s="199"/>
      <c r="M10701" s="199"/>
      <c r="N10701" s="200"/>
      <c r="P10701" s="199"/>
    </row>
    <row r="10702" spans="7:16" x14ac:dyDescent="0.2">
      <c r="G10702" s="199"/>
      <c r="I10702" s="199"/>
      <c r="K10702" s="199"/>
      <c r="M10702" s="199"/>
      <c r="N10702" s="200"/>
      <c r="P10702" s="199"/>
    </row>
    <row r="10703" spans="7:16" x14ac:dyDescent="0.2">
      <c r="G10703" s="199"/>
      <c r="I10703" s="199"/>
      <c r="K10703" s="199"/>
      <c r="M10703" s="199"/>
      <c r="N10703" s="200"/>
      <c r="P10703" s="199"/>
    </row>
    <row r="10704" spans="7:16" x14ac:dyDescent="0.2">
      <c r="G10704" s="199"/>
      <c r="I10704" s="199"/>
      <c r="K10704" s="199"/>
      <c r="M10704" s="199"/>
      <c r="N10704" s="200"/>
      <c r="P10704" s="199"/>
    </row>
    <row r="10705" spans="7:16" x14ac:dyDescent="0.2">
      <c r="G10705" s="199"/>
      <c r="I10705" s="199"/>
      <c r="K10705" s="199"/>
      <c r="M10705" s="199"/>
      <c r="N10705" s="200"/>
      <c r="P10705" s="199"/>
    </row>
    <row r="10706" spans="7:16" x14ac:dyDescent="0.2">
      <c r="G10706" s="199"/>
      <c r="I10706" s="199"/>
      <c r="K10706" s="199"/>
      <c r="M10706" s="199"/>
      <c r="N10706" s="200"/>
      <c r="P10706" s="199"/>
    </row>
    <row r="10707" spans="7:16" x14ac:dyDescent="0.2">
      <c r="G10707" s="199"/>
      <c r="I10707" s="199"/>
      <c r="K10707" s="199"/>
      <c r="M10707" s="199"/>
      <c r="N10707" s="200"/>
      <c r="P10707" s="199"/>
    </row>
    <row r="10708" spans="7:16" x14ac:dyDescent="0.2">
      <c r="G10708" s="199"/>
      <c r="I10708" s="199"/>
      <c r="K10708" s="199"/>
      <c r="M10708" s="199"/>
      <c r="N10708" s="200"/>
      <c r="P10708" s="199"/>
    </row>
    <row r="10709" spans="7:16" x14ac:dyDescent="0.2">
      <c r="G10709" s="199"/>
      <c r="I10709" s="199"/>
      <c r="K10709" s="199"/>
      <c r="M10709" s="199"/>
      <c r="N10709" s="200"/>
      <c r="P10709" s="199"/>
    </row>
    <row r="10710" spans="7:16" x14ac:dyDescent="0.2">
      <c r="G10710" s="199"/>
      <c r="I10710" s="199"/>
      <c r="K10710" s="199"/>
      <c r="M10710" s="199"/>
      <c r="N10710" s="200"/>
      <c r="P10710" s="199"/>
    </row>
    <row r="10711" spans="7:16" x14ac:dyDescent="0.2">
      <c r="G10711" s="199"/>
      <c r="I10711" s="199"/>
      <c r="K10711" s="199"/>
      <c r="M10711" s="199"/>
      <c r="N10711" s="200"/>
      <c r="P10711" s="199"/>
    </row>
    <row r="10712" spans="7:16" x14ac:dyDescent="0.2">
      <c r="G10712" s="199"/>
      <c r="I10712" s="199"/>
      <c r="K10712" s="199"/>
      <c r="M10712" s="199"/>
      <c r="N10712" s="200"/>
      <c r="P10712" s="199"/>
    </row>
    <row r="10713" spans="7:16" x14ac:dyDescent="0.2">
      <c r="G10713" s="199"/>
      <c r="I10713" s="199"/>
      <c r="K10713" s="199"/>
      <c r="M10713" s="199"/>
      <c r="N10713" s="200"/>
      <c r="P10713" s="199"/>
    </row>
    <row r="10714" spans="7:16" x14ac:dyDescent="0.2">
      <c r="G10714" s="199"/>
      <c r="I10714" s="199"/>
      <c r="K10714" s="199"/>
      <c r="M10714" s="199"/>
      <c r="N10714" s="200"/>
      <c r="P10714" s="199"/>
    </row>
    <row r="10715" spans="7:16" x14ac:dyDescent="0.2">
      <c r="G10715" s="199"/>
      <c r="I10715" s="199"/>
      <c r="K10715" s="199"/>
      <c r="M10715" s="199"/>
      <c r="N10715" s="200"/>
      <c r="P10715" s="199"/>
    </row>
    <row r="10716" spans="7:16" x14ac:dyDescent="0.2">
      <c r="G10716" s="199"/>
      <c r="I10716" s="199"/>
      <c r="K10716" s="199"/>
      <c r="M10716" s="199"/>
      <c r="N10716" s="200"/>
      <c r="P10716" s="199"/>
    </row>
    <row r="10717" spans="7:16" x14ac:dyDescent="0.2">
      <c r="G10717" s="199"/>
      <c r="I10717" s="199"/>
      <c r="K10717" s="199"/>
      <c r="M10717" s="199"/>
      <c r="N10717" s="200"/>
      <c r="P10717" s="199"/>
    </row>
    <row r="10718" spans="7:16" x14ac:dyDescent="0.2">
      <c r="G10718" s="199"/>
      <c r="I10718" s="199"/>
      <c r="K10718" s="199"/>
      <c r="M10718" s="199"/>
      <c r="N10718" s="200"/>
      <c r="P10718" s="199"/>
    </row>
    <row r="10719" spans="7:16" x14ac:dyDescent="0.2">
      <c r="G10719" s="199"/>
      <c r="I10719" s="199"/>
      <c r="K10719" s="199"/>
      <c r="M10719" s="199"/>
      <c r="N10719" s="200"/>
      <c r="P10719" s="199"/>
    </row>
    <row r="10720" spans="7:16" x14ac:dyDescent="0.2">
      <c r="G10720" s="199"/>
      <c r="I10720" s="199"/>
      <c r="K10720" s="199"/>
      <c r="M10720" s="199"/>
      <c r="N10720" s="200"/>
      <c r="P10720" s="199"/>
    </row>
    <row r="10721" spans="7:16" x14ac:dyDescent="0.2">
      <c r="G10721" s="199"/>
      <c r="I10721" s="199"/>
      <c r="K10721" s="199"/>
      <c r="M10721" s="199"/>
      <c r="N10721" s="200"/>
      <c r="P10721" s="199"/>
    </row>
    <row r="10722" spans="7:16" x14ac:dyDescent="0.2">
      <c r="G10722" s="199"/>
      <c r="I10722" s="199"/>
      <c r="K10722" s="199"/>
      <c r="M10722" s="199"/>
      <c r="N10722" s="200"/>
      <c r="P10722" s="199"/>
    </row>
    <row r="10723" spans="7:16" x14ac:dyDescent="0.2">
      <c r="G10723" s="199"/>
      <c r="I10723" s="199"/>
      <c r="K10723" s="199"/>
      <c r="M10723" s="199"/>
      <c r="N10723" s="200"/>
      <c r="P10723" s="199"/>
    </row>
    <row r="10724" spans="7:16" x14ac:dyDescent="0.2">
      <c r="G10724" s="199"/>
      <c r="I10724" s="199"/>
      <c r="K10724" s="199"/>
      <c r="M10724" s="199"/>
      <c r="N10724" s="200"/>
      <c r="P10724" s="199"/>
    </row>
    <row r="10725" spans="7:16" x14ac:dyDescent="0.2">
      <c r="G10725" s="199"/>
      <c r="I10725" s="199"/>
      <c r="K10725" s="199"/>
      <c r="M10725" s="199"/>
      <c r="N10725" s="200"/>
      <c r="P10725" s="199"/>
    </row>
    <row r="10726" spans="7:16" x14ac:dyDescent="0.2">
      <c r="G10726" s="199"/>
      <c r="I10726" s="199"/>
      <c r="K10726" s="199"/>
      <c r="M10726" s="199"/>
      <c r="N10726" s="200"/>
      <c r="P10726" s="199"/>
    </row>
    <row r="10727" spans="7:16" x14ac:dyDescent="0.2">
      <c r="G10727" s="199"/>
      <c r="I10727" s="199"/>
      <c r="K10727" s="199"/>
      <c r="M10727" s="199"/>
      <c r="N10727" s="200"/>
      <c r="P10727" s="199"/>
    </row>
    <row r="10728" spans="7:16" x14ac:dyDescent="0.2">
      <c r="G10728" s="199"/>
      <c r="I10728" s="199"/>
      <c r="K10728" s="199"/>
      <c r="M10728" s="199"/>
      <c r="N10728" s="200"/>
      <c r="P10728" s="199"/>
    </row>
    <row r="10729" spans="7:16" x14ac:dyDescent="0.2">
      <c r="G10729" s="199"/>
      <c r="I10729" s="199"/>
      <c r="K10729" s="199"/>
      <c r="M10729" s="199"/>
      <c r="N10729" s="200"/>
      <c r="P10729" s="199"/>
    </row>
    <row r="10730" spans="7:16" x14ac:dyDescent="0.2">
      <c r="G10730" s="199"/>
      <c r="I10730" s="199"/>
      <c r="K10730" s="199"/>
      <c r="M10730" s="199"/>
      <c r="N10730" s="200"/>
      <c r="P10730" s="199"/>
    </row>
    <row r="10731" spans="7:16" x14ac:dyDescent="0.2">
      <c r="G10731" s="199"/>
      <c r="I10731" s="199"/>
      <c r="K10731" s="199"/>
      <c r="M10731" s="199"/>
      <c r="N10731" s="200"/>
      <c r="P10731" s="199"/>
    </row>
    <row r="10732" spans="7:16" x14ac:dyDescent="0.2">
      <c r="G10732" s="199"/>
      <c r="I10732" s="199"/>
      <c r="K10732" s="199"/>
      <c r="M10732" s="199"/>
      <c r="N10732" s="200"/>
      <c r="P10732" s="199"/>
    </row>
    <row r="10733" spans="7:16" x14ac:dyDescent="0.2">
      <c r="G10733" s="199"/>
      <c r="I10733" s="199"/>
      <c r="K10733" s="199"/>
      <c r="M10733" s="199"/>
      <c r="N10733" s="200"/>
      <c r="P10733" s="199"/>
    </row>
    <row r="10734" spans="7:16" x14ac:dyDescent="0.2">
      <c r="G10734" s="199"/>
      <c r="I10734" s="199"/>
      <c r="K10734" s="199"/>
      <c r="M10734" s="199"/>
      <c r="N10734" s="200"/>
      <c r="P10734" s="199"/>
    </row>
    <row r="10735" spans="7:16" x14ac:dyDescent="0.2">
      <c r="G10735" s="199"/>
      <c r="I10735" s="199"/>
      <c r="K10735" s="199"/>
      <c r="M10735" s="199"/>
      <c r="N10735" s="200"/>
      <c r="P10735" s="199"/>
    </row>
    <row r="10736" spans="7:16" x14ac:dyDescent="0.2">
      <c r="G10736" s="199"/>
      <c r="I10736" s="199"/>
      <c r="K10736" s="199"/>
      <c r="M10736" s="199"/>
      <c r="N10736" s="200"/>
      <c r="P10736" s="199"/>
    </row>
    <row r="10737" spans="7:16" x14ac:dyDescent="0.2">
      <c r="G10737" s="199"/>
      <c r="I10737" s="199"/>
      <c r="K10737" s="199"/>
      <c r="M10737" s="199"/>
      <c r="N10737" s="200"/>
      <c r="P10737" s="199"/>
    </row>
    <row r="10738" spans="7:16" x14ac:dyDescent="0.2">
      <c r="G10738" s="199"/>
      <c r="I10738" s="199"/>
      <c r="K10738" s="199"/>
      <c r="M10738" s="199"/>
      <c r="N10738" s="200"/>
      <c r="P10738" s="199"/>
    </row>
    <row r="10739" spans="7:16" x14ac:dyDescent="0.2">
      <c r="G10739" s="199"/>
      <c r="I10739" s="199"/>
      <c r="K10739" s="199"/>
      <c r="M10739" s="199"/>
      <c r="N10739" s="200"/>
      <c r="P10739" s="199"/>
    </row>
    <row r="10740" spans="7:16" x14ac:dyDescent="0.2">
      <c r="G10740" s="199"/>
      <c r="I10740" s="199"/>
      <c r="K10740" s="199"/>
      <c r="M10740" s="199"/>
      <c r="N10740" s="200"/>
      <c r="P10740" s="199"/>
    </row>
    <row r="10741" spans="7:16" x14ac:dyDescent="0.2">
      <c r="G10741" s="199"/>
      <c r="I10741" s="199"/>
      <c r="K10741" s="199"/>
      <c r="M10741" s="199"/>
      <c r="N10741" s="200"/>
      <c r="P10741" s="199"/>
    </row>
    <row r="10742" spans="7:16" x14ac:dyDescent="0.2">
      <c r="G10742" s="199"/>
      <c r="I10742" s="199"/>
      <c r="K10742" s="199"/>
      <c r="M10742" s="199"/>
      <c r="N10742" s="200"/>
      <c r="P10742" s="199"/>
    </row>
    <row r="10743" spans="7:16" x14ac:dyDescent="0.2">
      <c r="G10743" s="199"/>
      <c r="I10743" s="199"/>
      <c r="K10743" s="199"/>
      <c r="M10743" s="199"/>
      <c r="N10743" s="200"/>
      <c r="P10743" s="199"/>
    </row>
    <row r="10744" spans="7:16" x14ac:dyDescent="0.2">
      <c r="G10744" s="199"/>
      <c r="I10744" s="199"/>
      <c r="K10744" s="199"/>
      <c r="M10744" s="199"/>
      <c r="N10744" s="200"/>
      <c r="P10744" s="199"/>
    </row>
    <row r="10745" spans="7:16" x14ac:dyDescent="0.2">
      <c r="G10745" s="199"/>
      <c r="I10745" s="199"/>
      <c r="K10745" s="199"/>
      <c r="M10745" s="199"/>
      <c r="N10745" s="200"/>
      <c r="P10745" s="199"/>
    </row>
    <row r="10746" spans="7:16" x14ac:dyDescent="0.2">
      <c r="G10746" s="199"/>
      <c r="I10746" s="199"/>
      <c r="K10746" s="199"/>
      <c r="M10746" s="199"/>
      <c r="N10746" s="200"/>
      <c r="P10746" s="199"/>
    </row>
    <row r="10747" spans="7:16" x14ac:dyDescent="0.2">
      <c r="G10747" s="199"/>
      <c r="I10747" s="199"/>
      <c r="K10747" s="199"/>
      <c r="M10747" s="199"/>
      <c r="N10747" s="200"/>
      <c r="P10747" s="199"/>
    </row>
    <row r="10748" spans="7:16" x14ac:dyDescent="0.2">
      <c r="G10748" s="199"/>
      <c r="I10748" s="199"/>
      <c r="K10748" s="199"/>
      <c r="M10748" s="199"/>
      <c r="N10748" s="200"/>
      <c r="P10748" s="199"/>
    </row>
    <row r="10749" spans="7:16" x14ac:dyDescent="0.2">
      <c r="G10749" s="199"/>
      <c r="I10749" s="199"/>
      <c r="K10749" s="199"/>
      <c r="M10749" s="199"/>
      <c r="N10749" s="200"/>
      <c r="P10749" s="199"/>
    </row>
    <row r="10750" spans="7:16" x14ac:dyDescent="0.2">
      <c r="G10750" s="199"/>
      <c r="I10750" s="199"/>
      <c r="K10750" s="199"/>
      <c r="M10750" s="199"/>
      <c r="N10750" s="200"/>
      <c r="P10750" s="199"/>
    </row>
    <row r="10751" spans="7:16" x14ac:dyDescent="0.2">
      <c r="G10751" s="199"/>
      <c r="I10751" s="199"/>
      <c r="K10751" s="199"/>
      <c r="M10751" s="199"/>
      <c r="N10751" s="200"/>
      <c r="P10751" s="199"/>
    </row>
    <row r="10752" spans="7:16" x14ac:dyDescent="0.2">
      <c r="G10752" s="199"/>
      <c r="I10752" s="199"/>
      <c r="K10752" s="199"/>
      <c r="M10752" s="199"/>
      <c r="N10752" s="200"/>
      <c r="P10752" s="199"/>
    </row>
    <row r="10753" spans="7:16" x14ac:dyDescent="0.2">
      <c r="G10753" s="199"/>
      <c r="I10753" s="199"/>
      <c r="K10753" s="199"/>
      <c r="M10753" s="199"/>
      <c r="N10753" s="200"/>
      <c r="P10753" s="199"/>
    </row>
    <row r="10754" spans="7:16" x14ac:dyDescent="0.2">
      <c r="G10754" s="199"/>
      <c r="I10754" s="199"/>
      <c r="K10754" s="199"/>
      <c r="M10754" s="199"/>
      <c r="N10754" s="200"/>
      <c r="P10754" s="199"/>
    </row>
    <row r="10755" spans="7:16" x14ac:dyDescent="0.2">
      <c r="G10755" s="199"/>
      <c r="I10755" s="199"/>
      <c r="K10755" s="199"/>
      <c r="M10755" s="199"/>
      <c r="N10755" s="200"/>
      <c r="P10755" s="199"/>
    </row>
    <row r="10756" spans="7:16" x14ac:dyDescent="0.2">
      <c r="G10756" s="199"/>
      <c r="I10756" s="199"/>
      <c r="K10756" s="199"/>
      <c r="M10756" s="199"/>
      <c r="N10756" s="200"/>
      <c r="P10756" s="199"/>
    </row>
    <row r="10757" spans="7:16" x14ac:dyDescent="0.2">
      <c r="G10757" s="199"/>
      <c r="I10757" s="199"/>
      <c r="K10757" s="199"/>
      <c r="M10757" s="199"/>
      <c r="N10757" s="200"/>
      <c r="P10757" s="199"/>
    </row>
    <row r="10758" spans="7:16" x14ac:dyDescent="0.2">
      <c r="G10758" s="199"/>
      <c r="I10758" s="199"/>
      <c r="K10758" s="199"/>
      <c r="M10758" s="199"/>
      <c r="N10758" s="200"/>
      <c r="P10758" s="199"/>
    </row>
    <row r="10759" spans="7:16" x14ac:dyDescent="0.2">
      <c r="G10759" s="199"/>
      <c r="I10759" s="199"/>
      <c r="K10759" s="199"/>
      <c r="M10759" s="199"/>
      <c r="N10759" s="200"/>
      <c r="P10759" s="199"/>
    </row>
    <row r="10760" spans="7:16" x14ac:dyDescent="0.2">
      <c r="G10760" s="199"/>
      <c r="I10760" s="199"/>
      <c r="K10760" s="199"/>
      <c r="M10760" s="199"/>
      <c r="N10760" s="200"/>
      <c r="P10760" s="199"/>
    </row>
    <row r="10761" spans="7:16" x14ac:dyDescent="0.2">
      <c r="G10761" s="199"/>
      <c r="I10761" s="199"/>
      <c r="K10761" s="199"/>
      <c r="M10761" s="199"/>
      <c r="N10761" s="200"/>
      <c r="P10761" s="199"/>
    </row>
    <row r="10762" spans="7:16" x14ac:dyDescent="0.2">
      <c r="G10762" s="199"/>
      <c r="I10762" s="199"/>
      <c r="K10762" s="199"/>
      <c r="M10762" s="199"/>
      <c r="N10762" s="200"/>
      <c r="P10762" s="199"/>
    </row>
    <row r="10763" spans="7:16" x14ac:dyDescent="0.2">
      <c r="G10763" s="199"/>
      <c r="I10763" s="199"/>
      <c r="K10763" s="199"/>
      <c r="M10763" s="199"/>
      <c r="N10763" s="200"/>
      <c r="P10763" s="199"/>
    </row>
    <row r="10764" spans="7:16" x14ac:dyDescent="0.2">
      <c r="G10764" s="199"/>
      <c r="I10764" s="199"/>
      <c r="K10764" s="199"/>
      <c r="M10764" s="199"/>
      <c r="N10764" s="200"/>
      <c r="P10764" s="199"/>
    </row>
    <row r="10765" spans="7:16" x14ac:dyDescent="0.2">
      <c r="G10765" s="199"/>
      <c r="I10765" s="199"/>
      <c r="K10765" s="199"/>
      <c r="M10765" s="199"/>
      <c r="N10765" s="200"/>
      <c r="P10765" s="199"/>
    </row>
    <row r="10766" spans="7:16" x14ac:dyDescent="0.2">
      <c r="G10766" s="199"/>
      <c r="I10766" s="199"/>
      <c r="K10766" s="199"/>
      <c r="M10766" s="199"/>
      <c r="N10766" s="200"/>
      <c r="P10766" s="199"/>
    </row>
    <row r="10767" spans="7:16" x14ac:dyDescent="0.2">
      <c r="G10767" s="199"/>
      <c r="I10767" s="199"/>
      <c r="K10767" s="199"/>
      <c r="M10767" s="199"/>
      <c r="N10767" s="200"/>
      <c r="P10767" s="199"/>
    </row>
    <row r="10768" spans="7:16" x14ac:dyDescent="0.2">
      <c r="G10768" s="199"/>
      <c r="I10768" s="199"/>
      <c r="K10768" s="199"/>
      <c r="M10768" s="199"/>
      <c r="N10768" s="200"/>
      <c r="P10768" s="199"/>
    </row>
    <row r="10769" spans="7:16" x14ac:dyDescent="0.2">
      <c r="G10769" s="199"/>
      <c r="I10769" s="199"/>
      <c r="K10769" s="199"/>
      <c r="M10769" s="199"/>
      <c r="N10769" s="200"/>
      <c r="P10769" s="199"/>
    </row>
    <row r="10770" spans="7:16" x14ac:dyDescent="0.2">
      <c r="G10770" s="199"/>
      <c r="I10770" s="199"/>
      <c r="K10770" s="199"/>
      <c r="M10770" s="199"/>
      <c r="N10770" s="200"/>
      <c r="P10770" s="199"/>
    </row>
    <row r="10771" spans="7:16" x14ac:dyDescent="0.2">
      <c r="G10771" s="199"/>
      <c r="I10771" s="199"/>
      <c r="K10771" s="199"/>
      <c r="M10771" s="199"/>
      <c r="N10771" s="200"/>
      <c r="P10771" s="199"/>
    </row>
    <row r="10772" spans="7:16" x14ac:dyDescent="0.2">
      <c r="G10772" s="199"/>
      <c r="I10772" s="199"/>
      <c r="K10772" s="199"/>
      <c r="M10772" s="199"/>
      <c r="N10772" s="200"/>
      <c r="P10772" s="199"/>
    </row>
    <row r="10773" spans="7:16" x14ac:dyDescent="0.2">
      <c r="G10773" s="199"/>
      <c r="I10773" s="199"/>
      <c r="K10773" s="199"/>
      <c r="M10773" s="199"/>
      <c r="N10773" s="200"/>
      <c r="P10773" s="199"/>
    </row>
    <row r="10774" spans="7:16" x14ac:dyDescent="0.2">
      <c r="G10774" s="199"/>
      <c r="I10774" s="199"/>
      <c r="K10774" s="199"/>
      <c r="M10774" s="199"/>
      <c r="N10774" s="200"/>
      <c r="P10774" s="199"/>
    </row>
    <row r="10775" spans="7:16" x14ac:dyDescent="0.2">
      <c r="G10775" s="199"/>
      <c r="I10775" s="199"/>
      <c r="K10775" s="199"/>
      <c r="M10775" s="199"/>
      <c r="N10775" s="200"/>
      <c r="P10775" s="199"/>
    </row>
    <row r="10776" spans="7:16" x14ac:dyDescent="0.2">
      <c r="G10776" s="199"/>
      <c r="I10776" s="199"/>
      <c r="K10776" s="199"/>
      <c r="M10776" s="199"/>
      <c r="N10776" s="200"/>
      <c r="P10776" s="199"/>
    </row>
    <row r="10777" spans="7:16" x14ac:dyDescent="0.2">
      <c r="G10777" s="199"/>
      <c r="I10777" s="199"/>
      <c r="K10777" s="199"/>
      <c r="M10777" s="199"/>
      <c r="N10777" s="200"/>
      <c r="P10777" s="199"/>
    </row>
    <row r="10778" spans="7:16" x14ac:dyDescent="0.2">
      <c r="G10778" s="199"/>
      <c r="I10778" s="199"/>
      <c r="K10778" s="199"/>
      <c r="M10778" s="199"/>
      <c r="N10778" s="200"/>
      <c r="P10778" s="199"/>
    </row>
    <row r="10779" spans="7:16" x14ac:dyDescent="0.2">
      <c r="G10779" s="199"/>
      <c r="I10779" s="199"/>
      <c r="K10779" s="199"/>
      <c r="M10779" s="199"/>
      <c r="N10779" s="200"/>
      <c r="P10779" s="199"/>
    </row>
    <row r="10780" spans="7:16" x14ac:dyDescent="0.2">
      <c r="G10780" s="199"/>
      <c r="I10780" s="199"/>
      <c r="K10780" s="199"/>
      <c r="M10780" s="199"/>
      <c r="N10780" s="200"/>
      <c r="P10780" s="199"/>
    </row>
    <row r="10781" spans="7:16" x14ac:dyDescent="0.2">
      <c r="G10781" s="199"/>
      <c r="I10781" s="199"/>
      <c r="K10781" s="199"/>
      <c r="M10781" s="199"/>
      <c r="N10781" s="200"/>
      <c r="P10781" s="199"/>
    </row>
    <row r="10782" spans="7:16" x14ac:dyDescent="0.2">
      <c r="G10782" s="199"/>
      <c r="I10782" s="199"/>
      <c r="K10782" s="199"/>
      <c r="M10782" s="199"/>
      <c r="N10782" s="200"/>
      <c r="P10782" s="199"/>
    </row>
    <row r="10783" spans="7:16" x14ac:dyDescent="0.2">
      <c r="G10783" s="199"/>
      <c r="I10783" s="199"/>
      <c r="K10783" s="199"/>
      <c r="M10783" s="199"/>
      <c r="N10783" s="200"/>
      <c r="P10783" s="199"/>
    </row>
    <row r="10784" spans="7:16" x14ac:dyDescent="0.2">
      <c r="G10784" s="199"/>
      <c r="I10784" s="199"/>
      <c r="K10784" s="199"/>
      <c r="M10784" s="199"/>
      <c r="N10784" s="200"/>
      <c r="P10784" s="199"/>
    </row>
    <row r="10785" spans="7:16" x14ac:dyDescent="0.2">
      <c r="G10785" s="199"/>
      <c r="I10785" s="199"/>
      <c r="K10785" s="199"/>
      <c r="M10785" s="199"/>
      <c r="N10785" s="200"/>
      <c r="P10785" s="199"/>
    </row>
    <row r="10786" spans="7:16" x14ac:dyDescent="0.2">
      <c r="G10786" s="199"/>
      <c r="I10786" s="199"/>
      <c r="K10786" s="199"/>
      <c r="M10786" s="199"/>
      <c r="N10786" s="200"/>
      <c r="P10786" s="199"/>
    </row>
    <row r="10787" spans="7:16" x14ac:dyDescent="0.2">
      <c r="G10787" s="199"/>
      <c r="I10787" s="199"/>
      <c r="K10787" s="199"/>
      <c r="M10787" s="199"/>
      <c r="N10787" s="200"/>
      <c r="P10787" s="199"/>
    </row>
    <row r="10788" spans="7:16" x14ac:dyDescent="0.2">
      <c r="G10788" s="199"/>
      <c r="I10788" s="199"/>
      <c r="K10788" s="199"/>
      <c r="M10788" s="199"/>
      <c r="N10788" s="200"/>
      <c r="P10788" s="199"/>
    </row>
    <row r="10789" spans="7:16" x14ac:dyDescent="0.2">
      <c r="G10789" s="199"/>
      <c r="I10789" s="199"/>
      <c r="K10789" s="199"/>
      <c r="M10789" s="199"/>
      <c r="N10789" s="200"/>
      <c r="P10789" s="199"/>
    </row>
    <row r="10790" spans="7:16" x14ac:dyDescent="0.2">
      <c r="G10790" s="199"/>
      <c r="I10790" s="199"/>
      <c r="K10790" s="199"/>
      <c r="M10790" s="199"/>
      <c r="N10790" s="200"/>
      <c r="P10790" s="199"/>
    </row>
    <row r="10791" spans="7:16" x14ac:dyDescent="0.2">
      <c r="G10791" s="199"/>
      <c r="I10791" s="199"/>
      <c r="K10791" s="199"/>
      <c r="M10791" s="199"/>
      <c r="N10791" s="200"/>
      <c r="P10791" s="199"/>
    </row>
    <row r="10792" spans="7:16" x14ac:dyDescent="0.2">
      <c r="G10792" s="199"/>
      <c r="I10792" s="199"/>
      <c r="K10792" s="199"/>
      <c r="M10792" s="199"/>
      <c r="N10792" s="200"/>
      <c r="P10792" s="199"/>
    </row>
    <row r="10793" spans="7:16" x14ac:dyDescent="0.2">
      <c r="G10793" s="199"/>
      <c r="I10793" s="199"/>
      <c r="K10793" s="199"/>
      <c r="M10793" s="199"/>
      <c r="N10793" s="200"/>
      <c r="P10793" s="199"/>
    </row>
    <row r="10794" spans="7:16" x14ac:dyDescent="0.2">
      <c r="G10794" s="199"/>
      <c r="I10794" s="199"/>
      <c r="K10794" s="199"/>
      <c r="M10794" s="199"/>
      <c r="N10794" s="200"/>
      <c r="P10794" s="199"/>
    </row>
    <row r="10795" spans="7:16" x14ac:dyDescent="0.2">
      <c r="G10795" s="199"/>
      <c r="I10795" s="199"/>
      <c r="K10795" s="199"/>
      <c r="M10795" s="199"/>
      <c r="N10795" s="200"/>
      <c r="P10795" s="199"/>
    </row>
    <row r="10796" spans="7:16" x14ac:dyDescent="0.2">
      <c r="G10796" s="199"/>
      <c r="I10796" s="199"/>
      <c r="K10796" s="199"/>
      <c r="M10796" s="199"/>
      <c r="N10796" s="200"/>
      <c r="P10796" s="199"/>
    </row>
    <row r="10797" spans="7:16" x14ac:dyDescent="0.2">
      <c r="G10797" s="199"/>
      <c r="I10797" s="199"/>
      <c r="K10797" s="199"/>
      <c r="M10797" s="199"/>
      <c r="N10797" s="200"/>
      <c r="P10797" s="199"/>
    </row>
    <row r="10798" spans="7:16" x14ac:dyDescent="0.2">
      <c r="G10798" s="199"/>
      <c r="I10798" s="199"/>
      <c r="K10798" s="199"/>
      <c r="M10798" s="199"/>
      <c r="N10798" s="200"/>
      <c r="P10798" s="199"/>
    </row>
    <row r="10799" spans="7:16" x14ac:dyDescent="0.2">
      <c r="G10799" s="199"/>
      <c r="I10799" s="199"/>
      <c r="K10799" s="199"/>
      <c r="M10799" s="199"/>
      <c r="N10799" s="200"/>
      <c r="P10799" s="199"/>
    </row>
    <row r="10800" spans="7:16" x14ac:dyDescent="0.2">
      <c r="G10800" s="199"/>
      <c r="I10800" s="199"/>
      <c r="K10800" s="199"/>
      <c r="M10800" s="199"/>
      <c r="N10800" s="200"/>
      <c r="P10800" s="199"/>
    </row>
    <row r="10801" spans="7:16" x14ac:dyDescent="0.2">
      <c r="G10801" s="199"/>
      <c r="I10801" s="199"/>
      <c r="K10801" s="199"/>
      <c r="M10801" s="199"/>
      <c r="N10801" s="200"/>
      <c r="P10801" s="199"/>
    </row>
    <row r="10802" spans="7:16" x14ac:dyDescent="0.2">
      <c r="G10802" s="199"/>
      <c r="I10802" s="199"/>
      <c r="K10802" s="199"/>
      <c r="M10802" s="199"/>
      <c r="N10802" s="200"/>
      <c r="P10802" s="199"/>
    </row>
    <row r="10803" spans="7:16" x14ac:dyDescent="0.2">
      <c r="G10803" s="199"/>
      <c r="I10803" s="199"/>
      <c r="K10803" s="199"/>
      <c r="M10803" s="199"/>
      <c r="N10803" s="200"/>
      <c r="P10803" s="199"/>
    </row>
    <row r="10804" spans="7:16" x14ac:dyDescent="0.2">
      <c r="G10804" s="199"/>
      <c r="I10804" s="199"/>
      <c r="K10804" s="199"/>
      <c r="M10804" s="199"/>
      <c r="N10804" s="200"/>
      <c r="P10804" s="199"/>
    </row>
    <row r="10805" spans="7:16" x14ac:dyDescent="0.2">
      <c r="G10805" s="199"/>
      <c r="I10805" s="199"/>
      <c r="K10805" s="199"/>
      <c r="M10805" s="199"/>
      <c r="N10805" s="200"/>
      <c r="P10805" s="199"/>
    </row>
    <row r="10806" spans="7:16" x14ac:dyDescent="0.2">
      <c r="G10806" s="199"/>
      <c r="I10806" s="199"/>
      <c r="K10806" s="199"/>
      <c r="M10806" s="199"/>
      <c r="N10806" s="200"/>
      <c r="P10806" s="199"/>
    </row>
    <row r="10807" spans="7:16" x14ac:dyDescent="0.2">
      <c r="G10807" s="199"/>
      <c r="I10807" s="199"/>
      <c r="K10807" s="199"/>
      <c r="M10807" s="199"/>
      <c r="N10807" s="200"/>
      <c r="P10807" s="199"/>
    </row>
    <row r="10808" spans="7:16" x14ac:dyDescent="0.2">
      <c r="G10808" s="199"/>
      <c r="I10808" s="199"/>
      <c r="K10808" s="199"/>
      <c r="M10808" s="199"/>
      <c r="N10808" s="200"/>
      <c r="P10808" s="199"/>
    </row>
    <row r="10809" spans="7:16" x14ac:dyDescent="0.2">
      <c r="G10809" s="199"/>
      <c r="I10809" s="199"/>
      <c r="K10809" s="199"/>
      <c r="M10809" s="199"/>
      <c r="N10809" s="200"/>
      <c r="P10809" s="199"/>
    </row>
    <row r="10810" spans="7:16" x14ac:dyDescent="0.2">
      <c r="G10810" s="199"/>
      <c r="I10810" s="199"/>
      <c r="K10810" s="199"/>
      <c r="M10810" s="199"/>
      <c r="N10810" s="200"/>
      <c r="P10810" s="199"/>
    </row>
    <row r="10811" spans="7:16" x14ac:dyDescent="0.2">
      <c r="G10811" s="199"/>
      <c r="I10811" s="199"/>
      <c r="K10811" s="199"/>
      <c r="M10811" s="199"/>
      <c r="N10811" s="200"/>
      <c r="P10811" s="199"/>
    </row>
    <row r="10812" spans="7:16" x14ac:dyDescent="0.2">
      <c r="G10812" s="199"/>
      <c r="I10812" s="199"/>
      <c r="K10812" s="199"/>
      <c r="M10812" s="199"/>
      <c r="N10812" s="200"/>
      <c r="P10812" s="199"/>
    </row>
    <row r="10813" spans="7:16" x14ac:dyDescent="0.2">
      <c r="G10813" s="199"/>
      <c r="I10813" s="199"/>
      <c r="K10813" s="199"/>
      <c r="M10813" s="199"/>
      <c r="N10813" s="200"/>
      <c r="P10813" s="199"/>
    </row>
    <row r="10814" spans="7:16" x14ac:dyDescent="0.2">
      <c r="G10814" s="199"/>
      <c r="I10814" s="199"/>
      <c r="K10814" s="199"/>
      <c r="M10814" s="199"/>
      <c r="N10814" s="200"/>
      <c r="P10814" s="199"/>
    </row>
    <row r="10815" spans="7:16" x14ac:dyDescent="0.2">
      <c r="G10815" s="199"/>
      <c r="I10815" s="199"/>
      <c r="K10815" s="199"/>
      <c r="M10815" s="199"/>
      <c r="N10815" s="200"/>
      <c r="P10815" s="199"/>
    </row>
    <row r="10816" spans="7:16" x14ac:dyDescent="0.2">
      <c r="G10816" s="199"/>
      <c r="I10816" s="199"/>
      <c r="K10816" s="199"/>
      <c r="M10816" s="199"/>
      <c r="N10816" s="200"/>
      <c r="P10816" s="199"/>
    </row>
    <row r="10817" spans="7:16" x14ac:dyDescent="0.2">
      <c r="G10817" s="199"/>
      <c r="I10817" s="199"/>
      <c r="K10817" s="199"/>
      <c r="M10817" s="199"/>
      <c r="N10817" s="200"/>
      <c r="P10817" s="199"/>
    </row>
    <row r="10818" spans="7:16" x14ac:dyDescent="0.2">
      <c r="G10818" s="199"/>
      <c r="I10818" s="199"/>
      <c r="K10818" s="199"/>
      <c r="M10818" s="199"/>
      <c r="N10818" s="200"/>
      <c r="P10818" s="199"/>
    </row>
    <row r="10819" spans="7:16" x14ac:dyDescent="0.2">
      <c r="G10819" s="199"/>
      <c r="I10819" s="199"/>
      <c r="K10819" s="199"/>
      <c r="M10819" s="199"/>
      <c r="N10819" s="200"/>
      <c r="P10819" s="199"/>
    </row>
    <row r="10820" spans="7:16" x14ac:dyDescent="0.2">
      <c r="G10820" s="199"/>
      <c r="I10820" s="199"/>
      <c r="K10820" s="199"/>
      <c r="M10820" s="199"/>
      <c r="N10820" s="200"/>
      <c r="P10820" s="199"/>
    </row>
    <row r="10821" spans="7:16" x14ac:dyDescent="0.2">
      <c r="G10821" s="199"/>
      <c r="I10821" s="199"/>
      <c r="K10821" s="199"/>
      <c r="M10821" s="199"/>
      <c r="N10821" s="200"/>
      <c r="P10821" s="199"/>
    </row>
    <row r="10822" spans="7:16" x14ac:dyDescent="0.2">
      <c r="G10822" s="199"/>
      <c r="I10822" s="199"/>
      <c r="K10822" s="199"/>
      <c r="M10822" s="199"/>
      <c r="N10822" s="200"/>
      <c r="P10822" s="199"/>
    </row>
    <row r="10823" spans="7:16" x14ac:dyDescent="0.2">
      <c r="G10823" s="199"/>
      <c r="I10823" s="199"/>
      <c r="K10823" s="199"/>
      <c r="M10823" s="199"/>
      <c r="N10823" s="200"/>
      <c r="P10823" s="199"/>
    </row>
    <row r="10824" spans="7:16" x14ac:dyDescent="0.2">
      <c r="G10824" s="199"/>
      <c r="I10824" s="199"/>
      <c r="K10824" s="199"/>
      <c r="M10824" s="199"/>
      <c r="N10824" s="200"/>
      <c r="P10824" s="199"/>
    </row>
    <row r="10825" spans="7:16" x14ac:dyDescent="0.2">
      <c r="G10825" s="199"/>
      <c r="I10825" s="199"/>
      <c r="K10825" s="199"/>
      <c r="M10825" s="199"/>
      <c r="N10825" s="200"/>
      <c r="P10825" s="199"/>
    </row>
    <row r="10826" spans="7:16" x14ac:dyDescent="0.2">
      <c r="G10826" s="199"/>
      <c r="I10826" s="199"/>
      <c r="K10826" s="199"/>
      <c r="M10826" s="199"/>
      <c r="N10826" s="200"/>
      <c r="P10826" s="199"/>
    </row>
    <row r="10827" spans="7:16" x14ac:dyDescent="0.2">
      <c r="G10827" s="199"/>
      <c r="I10827" s="199"/>
      <c r="K10827" s="199"/>
      <c r="M10827" s="199"/>
      <c r="N10827" s="200"/>
      <c r="P10827" s="199"/>
    </row>
    <row r="10828" spans="7:16" x14ac:dyDescent="0.2">
      <c r="G10828" s="199"/>
      <c r="I10828" s="199"/>
      <c r="K10828" s="199"/>
      <c r="M10828" s="199"/>
      <c r="N10828" s="200"/>
      <c r="P10828" s="199"/>
    </row>
    <row r="10829" spans="7:16" x14ac:dyDescent="0.2">
      <c r="G10829" s="199"/>
      <c r="I10829" s="199"/>
      <c r="K10829" s="199"/>
      <c r="M10829" s="199"/>
      <c r="N10829" s="200"/>
      <c r="P10829" s="199"/>
    </row>
    <row r="10830" spans="7:16" x14ac:dyDescent="0.2">
      <c r="G10830" s="199"/>
      <c r="I10830" s="199"/>
      <c r="K10830" s="199"/>
      <c r="M10830" s="199"/>
      <c r="N10830" s="200"/>
      <c r="P10830" s="199"/>
    </row>
    <row r="10831" spans="7:16" x14ac:dyDescent="0.2">
      <c r="G10831" s="199"/>
      <c r="I10831" s="199"/>
      <c r="K10831" s="199"/>
      <c r="M10831" s="199"/>
      <c r="N10831" s="200"/>
      <c r="P10831" s="199"/>
    </row>
    <row r="10832" spans="7:16" x14ac:dyDescent="0.2">
      <c r="G10832" s="199"/>
      <c r="I10832" s="199"/>
      <c r="K10832" s="199"/>
      <c r="M10832" s="199"/>
      <c r="N10832" s="200"/>
      <c r="P10832" s="199"/>
    </row>
    <row r="10833" spans="7:16" x14ac:dyDescent="0.2">
      <c r="G10833" s="199"/>
      <c r="I10833" s="199"/>
      <c r="K10833" s="199"/>
      <c r="M10833" s="199"/>
      <c r="N10833" s="200"/>
      <c r="P10833" s="199"/>
    </row>
    <row r="10834" spans="7:16" x14ac:dyDescent="0.2">
      <c r="G10834" s="199"/>
      <c r="I10834" s="199"/>
      <c r="K10834" s="199"/>
      <c r="M10834" s="199"/>
      <c r="N10834" s="200"/>
      <c r="P10834" s="199"/>
    </row>
    <row r="10835" spans="7:16" x14ac:dyDescent="0.2">
      <c r="G10835" s="199"/>
      <c r="I10835" s="199"/>
      <c r="K10835" s="199"/>
      <c r="M10835" s="199"/>
      <c r="N10835" s="200"/>
      <c r="P10835" s="199"/>
    </row>
    <row r="10836" spans="7:16" x14ac:dyDescent="0.2">
      <c r="G10836" s="199"/>
      <c r="I10836" s="199"/>
      <c r="K10836" s="199"/>
      <c r="M10836" s="199"/>
      <c r="N10836" s="200"/>
      <c r="P10836" s="199"/>
    </row>
    <row r="10837" spans="7:16" x14ac:dyDescent="0.2">
      <c r="G10837" s="199"/>
      <c r="I10837" s="199"/>
      <c r="K10837" s="199"/>
      <c r="M10837" s="199"/>
      <c r="N10837" s="200"/>
      <c r="P10837" s="199"/>
    </row>
    <row r="10838" spans="7:16" x14ac:dyDescent="0.2">
      <c r="G10838" s="199"/>
      <c r="I10838" s="199"/>
      <c r="K10838" s="199"/>
      <c r="M10838" s="199"/>
      <c r="N10838" s="200"/>
      <c r="P10838" s="199"/>
    </row>
    <row r="10839" spans="7:16" x14ac:dyDescent="0.2">
      <c r="G10839" s="199"/>
      <c r="I10839" s="199"/>
      <c r="K10839" s="199"/>
      <c r="M10839" s="199"/>
      <c r="N10839" s="200"/>
      <c r="P10839" s="199"/>
    </row>
    <row r="10840" spans="7:16" x14ac:dyDescent="0.2">
      <c r="G10840" s="199"/>
      <c r="I10840" s="199"/>
      <c r="K10840" s="199"/>
      <c r="M10840" s="199"/>
      <c r="N10840" s="200"/>
      <c r="P10840" s="199"/>
    </row>
    <row r="10841" spans="7:16" x14ac:dyDescent="0.2">
      <c r="G10841" s="199"/>
      <c r="I10841" s="199"/>
      <c r="K10841" s="199"/>
      <c r="M10841" s="199"/>
      <c r="N10841" s="200"/>
      <c r="P10841" s="199"/>
    </row>
    <row r="10842" spans="7:16" x14ac:dyDescent="0.2">
      <c r="G10842" s="199"/>
      <c r="I10842" s="199"/>
      <c r="K10842" s="199"/>
      <c r="M10842" s="199"/>
      <c r="N10842" s="200"/>
      <c r="P10842" s="199"/>
    </row>
    <row r="10843" spans="7:16" x14ac:dyDescent="0.2">
      <c r="G10843" s="199"/>
      <c r="I10843" s="199"/>
      <c r="K10843" s="199"/>
      <c r="M10843" s="199"/>
      <c r="N10843" s="200"/>
      <c r="P10843" s="199"/>
    </row>
    <row r="10844" spans="7:16" x14ac:dyDescent="0.2">
      <c r="G10844" s="199"/>
      <c r="I10844" s="199"/>
      <c r="K10844" s="199"/>
      <c r="M10844" s="199"/>
      <c r="N10844" s="200"/>
      <c r="P10844" s="199"/>
    </row>
    <row r="10845" spans="7:16" x14ac:dyDescent="0.2">
      <c r="G10845" s="199"/>
      <c r="I10845" s="199"/>
      <c r="K10845" s="199"/>
      <c r="M10845" s="199"/>
      <c r="N10845" s="200"/>
      <c r="P10845" s="199"/>
    </row>
    <row r="10846" spans="7:16" x14ac:dyDescent="0.2">
      <c r="G10846" s="199"/>
      <c r="I10846" s="199"/>
      <c r="K10846" s="199"/>
      <c r="M10846" s="199"/>
      <c r="N10846" s="200"/>
      <c r="P10846" s="199"/>
    </row>
    <row r="10847" spans="7:16" x14ac:dyDescent="0.2">
      <c r="G10847" s="199"/>
      <c r="I10847" s="199"/>
      <c r="K10847" s="199"/>
      <c r="M10847" s="199"/>
      <c r="N10847" s="200"/>
      <c r="P10847" s="199"/>
    </row>
    <row r="10848" spans="7:16" x14ac:dyDescent="0.2">
      <c r="G10848" s="199"/>
      <c r="I10848" s="199"/>
      <c r="K10848" s="199"/>
      <c r="M10848" s="199"/>
      <c r="N10848" s="200"/>
      <c r="P10848" s="199"/>
    </row>
    <row r="10849" spans="7:16" x14ac:dyDescent="0.2">
      <c r="G10849" s="199"/>
      <c r="I10849" s="199"/>
      <c r="K10849" s="199"/>
      <c r="M10849" s="199"/>
      <c r="N10849" s="200"/>
      <c r="P10849" s="199"/>
    </row>
    <row r="10850" spans="7:16" x14ac:dyDescent="0.2">
      <c r="G10850" s="199"/>
      <c r="I10850" s="199"/>
      <c r="K10850" s="199"/>
      <c r="M10850" s="199"/>
      <c r="N10850" s="200"/>
      <c r="P10850" s="199"/>
    </row>
    <row r="10851" spans="7:16" x14ac:dyDescent="0.2">
      <c r="G10851" s="199"/>
      <c r="I10851" s="199"/>
      <c r="K10851" s="199"/>
      <c r="M10851" s="199"/>
      <c r="N10851" s="200"/>
      <c r="P10851" s="199"/>
    </row>
    <row r="10852" spans="7:16" x14ac:dyDescent="0.2">
      <c r="G10852" s="199"/>
      <c r="I10852" s="199"/>
      <c r="K10852" s="199"/>
      <c r="M10852" s="199"/>
      <c r="N10852" s="200"/>
      <c r="P10852" s="199"/>
    </row>
    <row r="10853" spans="7:16" x14ac:dyDescent="0.2">
      <c r="G10853" s="199"/>
      <c r="I10853" s="199"/>
      <c r="K10853" s="199"/>
      <c r="M10853" s="199"/>
      <c r="N10853" s="200"/>
      <c r="P10853" s="199"/>
    </row>
    <row r="10854" spans="7:16" x14ac:dyDescent="0.2">
      <c r="G10854" s="199"/>
      <c r="I10854" s="199"/>
      <c r="K10854" s="199"/>
      <c r="M10854" s="199"/>
      <c r="N10854" s="200"/>
      <c r="P10854" s="199"/>
    </row>
    <row r="10855" spans="7:16" x14ac:dyDescent="0.2">
      <c r="G10855" s="199"/>
      <c r="I10855" s="199"/>
      <c r="K10855" s="199"/>
      <c r="M10855" s="199"/>
      <c r="N10855" s="200"/>
      <c r="P10855" s="199"/>
    </row>
    <row r="10856" spans="7:16" x14ac:dyDescent="0.2">
      <c r="G10856" s="199"/>
      <c r="I10856" s="199"/>
      <c r="K10856" s="199"/>
      <c r="M10856" s="199"/>
      <c r="N10856" s="200"/>
      <c r="P10856" s="199"/>
    </row>
    <row r="10857" spans="7:16" x14ac:dyDescent="0.2">
      <c r="G10857" s="199"/>
      <c r="I10857" s="199"/>
      <c r="K10857" s="199"/>
      <c r="M10857" s="199"/>
      <c r="N10857" s="200"/>
      <c r="P10857" s="199"/>
    </row>
    <row r="10858" spans="7:16" x14ac:dyDescent="0.2">
      <c r="G10858" s="199"/>
      <c r="I10858" s="199"/>
      <c r="K10858" s="199"/>
      <c r="M10858" s="199"/>
      <c r="N10858" s="200"/>
      <c r="P10858" s="199"/>
    </row>
    <row r="10859" spans="7:16" x14ac:dyDescent="0.2">
      <c r="G10859" s="199"/>
      <c r="I10859" s="199"/>
      <c r="K10859" s="199"/>
      <c r="M10859" s="199"/>
      <c r="N10859" s="200"/>
      <c r="P10859" s="199"/>
    </row>
    <row r="10860" spans="7:16" x14ac:dyDescent="0.2">
      <c r="G10860" s="199"/>
      <c r="I10860" s="199"/>
      <c r="K10860" s="199"/>
      <c r="M10860" s="199"/>
      <c r="N10860" s="200"/>
      <c r="P10860" s="199"/>
    </row>
    <row r="10861" spans="7:16" x14ac:dyDescent="0.2">
      <c r="G10861" s="199"/>
      <c r="I10861" s="199"/>
      <c r="K10861" s="199"/>
      <c r="M10861" s="199"/>
      <c r="N10861" s="200"/>
      <c r="P10861" s="199"/>
    </row>
    <row r="10862" spans="7:16" x14ac:dyDescent="0.2">
      <c r="G10862" s="199"/>
      <c r="I10862" s="199"/>
      <c r="K10862" s="199"/>
      <c r="M10862" s="199"/>
      <c r="N10862" s="200"/>
      <c r="P10862" s="199"/>
    </row>
    <row r="10863" spans="7:16" x14ac:dyDescent="0.2">
      <c r="G10863" s="199"/>
      <c r="I10863" s="199"/>
      <c r="K10863" s="199"/>
      <c r="M10863" s="199"/>
      <c r="N10863" s="200"/>
      <c r="P10863" s="199"/>
    </row>
    <row r="10864" spans="7:16" x14ac:dyDescent="0.2">
      <c r="G10864" s="199"/>
      <c r="I10864" s="199"/>
      <c r="K10864" s="199"/>
      <c r="M10864" s="199"/>
      <c r="N10864" s="200"/>
      <c r="P10864" s="199"/>
    </row>
    <row r="10865" spans="7:16" x14ac:dyDescent="0.2">
      <c r="G10865" s="199"/>
      <c r="I10865" s="199"/>
      <c r="K10865" s="199"/>
      <c r="M10865" s="199"/>
      <c r="N10865" s="200"/>
      <c r="P10865" s="199"/>
    </row>
    <row r="10866" spans="7:16" x14ac:dyDescent="0.2">
      <c r="G10866" s="199"/>
      <c r="I10866" s="199"/>
      <c r="K10866" s="199"/>
      <c r="M10866" s="199"/>
      <c r="N10866" s="200"/>
      <c r="P10866" s="199"/>
    </row>
    <row r="10867" spans="7:16" x14ac:dyDescent="0.2">
      <c r="G10867" s="199"/>
      <c r="I10867" s="199"/>
      <c r="K10867" s="199"/>
      <c r="M10867" s="199"/>
      <c r="N10867" s="200"/>
      <c r="P10867" s="199"/>
    </row>
    <row r="10868" spans="7:16" x14ac:dyDescent="0.2">
      <c r="G10868" s="199"/>
      <c r="I10868" s="199"/>
      <c r="K10868" s="199"/>
      <c r="M10868" s="199"/>
      <c r="N10868" s="200"/>
      <c r="P10868" s="199"/>
    </row>
    <row r="10869" spans="7:16" x14ac:dyDescent="0.2">
      <c r="G10869" s="199"/>
      <c r="I10869" s="199"/>
      <c r="K10869" s="199"/>
      <c r="M10869" s="199"/>
      <c r="N10869" s="200"/>
      <c r="P10869" s="199"/>
    </row>
    <row r="10870" spans="7:16" x14ac:dyDescent="0.2">
      <c r="G10870" s="199"/>
      <c r="I10870" s="199"/>
      <c r="K10870" s="199"/>
      <c r="M10870" s="199"/>
      <c r="N10870" s="200"/>
      <c r="P10870" s="199"/>
    </row>
    <row r="10871" spans="7:16" x14ac:dyDescent="0.2">
      <c r="G10871" s="199"/>
      <c r="I10871" s="199"/>
      <c r="K10871" s="199"/>
      <c r="M10871" s="199"/>
      <c r="N10871" s="200"/>
      <c r="P10871" s="199"/>
    </row>
    <row r="10872" spans="7:16" x14ac:dyDescent="0.2">
      <c r="G10872" s="199"/>
      <c r="I10872" s="199"/>
      <c r="K10872" s="199"/>
      <c r="M10872" s="199"/>
      <c r="N10872" s="200"/>
      <c r="P10872" s="199"/>
    </row>
    <row r="10873" spans="7:16" x14ac:dyDescent="0.2">
      <c r="G10873" s="199"/>
      <c r="I10873" s="199"/>
      <c r="K10873" s="199"/>
      <c r="M10873" s="199"/>
      <c r="N10873" s="200"/>
      <c r="P10873" s="199"/>
    </row>
    <row r="10874" spans="7:16" x14ac:dyDescent="0.2">
      <c r="G10874" s="199"/>
      <c r="I10874" s="199"/>
      <c r="K10874" s="199"/>
      <c r="M10874" s="199"/>
      <c r="N10874" s="200"/>
      <c r="P10874" s="199"/>
    </row>
    <row r="10875" spans="7:16" x14ac:dyDescent="0.2">
      <c r="G10875" s="199"/>
      <c r="I10875" s="199"/>
      <c r="K10875" s="199"/>
      <c r="M10875" s="199"/>
      <c r="N10875" s="200"/>
      <c r="P10875" s="199"/>
    </row>
    <row r="10876" spans="7:16" x14ac:dyDescent="0.2">
      <c r="G10876" s="199"/>
      <c r="I10876" s="199"/>
      <c r="K10876" s="199"/>
      <c r="M10876" s="199"/>
      <c r="N10876" s="200"/>
      <c r="P10876" s="199"/>
    </row>
    <row r="10877" spans="7:16" x14ac:dyDescent="0.2">
      <c r="G10877" s="199"/>
      <c r="I10877" s="199"/>
      <c r="K10877" s="199"/>
      <c r="M10877" s="199"/>
      <c r="N10877" s="200"/>
      <c r="P10877" s="199"/>
    </row>
    <row r="10878" spans="7:16" x14ac:dyDescent="0.2">
      <c r="G10878" s="199"/>
      <c r="I10878" s="199"/>
      <c r="K10878" s="199"/>
      <c r="M10878" s="199"/>
      <c r="N10878" s="200"/>
      <c r="P10878" s="199"/>
    </row>
    <row r="10879" spans="7:16" x14ac:dyDescent="0.2">
      <c r="G10879" s="199"/>
      <c r="I10879" s="199"/>
      <c r="K10879" s="199"/>
      <c r="M10879" s="199"/>
      <c r="N10879" s="200"/>
      <c r="P10879" s="199"/>
    </row>
    <row r="10880" spans="7:16" x14ac:dyDescent="0.2">
      <c r="G10880" s="199"/>
      <c r="I10880" s="199"/>
      <c r="K10880" s="199"/>
      <c r="M10880" s="199"/>
      <c r="N10880" s="200"/>
      <c r="P10880" s="199"/>
    </row>
    <row r="10881" spans="7:16" x14ac:dyDescent="0.2">
      <c r="G10881" s="199"/>
      <c r="I10881" s="199"/>
      <c r="K10881" s="199"/>
      <c r="M10881" s="199"/>
      <c r="N10881" s="200"/>
      <c r="P10881" s="199"/>
    </row>
    <row r="10882" spans="7:16" x14ac:dyDescent="0.2">
      <c r="G10882" s="199"/>
      <c r="I10882" s="199"/>
      <c r="K10882" s="199"/>
      <c r="M10882" s="199"/>
      <c r="N10882" s="200"/>
      <c r="P10882" s="199"/>
    </row>
    <row r="10883" spans="7:16" x14ac:dyDescent="0.2">
      <c r="G10883" s="199"/>
      <c r="I10883" s="199"/>
      <c r="K10883" s="199"/>
      <c r="M10883" s="199"/>
      <c r="N10883" s="200"/>
      <c r="P10883" s="199"/>
    </row>
    <row r="10884" spans="7:16" x14ac:dyDescent="0.2">
      <c r="G10884" s="199"/>
      <c r="I10884" s="199"/>
      <c r="K10884" s="199"/>
      <c r="M10884" s="199"/>
      <c r="N10884" s="200"/>
      <c r="P10884" s="199"/>
    </row>
    <row r="10885" spans="7:16" x14ac:dyDescent="0.2">
      <c r="G10885" s="199"/>
      <c r="I10885" s="199"/>
      <c r="K10885" s="199"/>
      <c r="M10885" s="199"/>
      <c r="N10885" s="200"/>
      <c r="P10885" s="199"/>
    </row>
    <row r="10886" spans="7:16" x14ac:dyDescent="0.2">
      <c r="G10886" s="199"/>
      <c r="I10886" s="199"/>
      <c r="K10886" s="199"/>
      <c r="M10886" s="199"/>
      <c r="N10886" s="200"/>
      <c r="P10886" s="199"/>
    </row>
    <row r="10887" spans="7:16" x14ac:dyDescent="0.2">
      <c r="G10887" s="199"/>
      <c r="I10887" s="199"/>
      <c r="K10887" s="199"/>
      <c r="M10887" s="199"/>
      <c r="N10887" s="200"/>
      <c r="P10887" s="199"/>
    </row>
    <row r="10888" spans="7:16" x14ac:dyDescent="0.2">
      <c r="G10888" s="199"/>
      <c r="I10888" s="199"/>
      <c r="K10888" s="199"/>
      <c r="M10888" s="199"/>
      <c r="N10888" s="200"/>
      <c r="P10888" s="199"/>
    </row>
    <row r="10889" spans="7:16" x14ac:dyDescent="0.2">
      <c r="G10889" s="199"/>
      <c r="I10889" s="199"/>
      <c r="K10889" s="199"/>
      <c r="M10889" s="199"/>
      <c r="N10889" s="200"/>
      <c r="P10889" s="199"/>
    </row>
    <row r="10890" spans="7:16" x14ac:dyDescent="0.2">
      <c r="G10890" s="199"/>
      <c r="I10890" s="199"/>
      <c r="K10890" s="199"/>
      <c r="M10890" s="199"/>
      <c r="N10890" s="200"/>
      <c r="P10890" s="199"/>
    </row>
    <row r="10891" spans="7:16" x14ac:dyDescent="0.2">
      <c r="G10891" s="199"/>
      <c r="I10891" s="199"/>
      <c r="K10891" s="199"/>
      <c r="M10891" s="199"/>
      <c r="N10891" s="200"/>
      <c r="P10891" s="199"/>
    </row>
    <row r="10892" spans="7:16" x14ac:dyDescent="0.2">
      <c r="G10892" s="199"/>
      <c r="I10892" s="199"/>
      <c r="K10892" s="199"/>
      <c r="M10892" s="199"/>
      <c r="N10892" s="200"/>
      <c r="P10892" s="199"/>
    </row>
    <row r="10893" spans="7:16" x14ac:dyDescent="0.2">
      <c r="G10893" s="199"/>
      <c r="I10893" s="199"/>
      <c r="K10893" s="199"/>
      <c r="M10893" s="199"/>
      <c r="N10893" s="200"/>
      <c r="P10893" s="199"/>
    </row>
    <row r="10894" spans="7:16" x14ac:dyDescent="0.2">
      <c r="G10894" s="199"/>
      <c r="I10894" s="199"/>
      <c r="K10894" s="199"/>
      <c r="M10894" s="199"/>
      <c r="N10894" s="200"/>
      <c r="P10894" s="199"/>
    </row>
    <row r="10895" spans="7:16" x14ac:dyDescent="0.2">
      <c r="G10895" s="199"/>
      <c r="I10895" s="199"/>
      <c r="K10895" s="199"/>
      <c r="M10895" s="199"/>
      <c r="N10895" s="200"/>
      <c r="P10895" s="199"/>
    </row>
    <row r="10896" spans="7:16" x14ac:dyDescent="0.2">
      <c r="G10896" s="199"/>
      <c r="I10896" s="199"/>
      <c r="K10896" s="199"/>
      <c r="M10896" s="199"/>
      <c r="N10896" s="200"/>
      <c r="P10896" s="199"/>
    </row>
    <row r="10897" spans="7:16" x14ac:dyDescent="0.2">
      <c r="G10897" s="199"/>
      <c r="I10897" s="199"/>
      <c r="K10897" s="199"/>
      <c r="M10897" s="199"/>
      <c r="N10897" s="200"/>
      <c r="P10897" s="199"/>
    </row>
    <row r="10898" spans="7:16" x14ac:dyDescent="0.2">
      <c r="G10898" s="199"/>
      <c r="I10898" s="199"/>
      <c r="K10898" s="199"/>
      <c r="M10898" s="199"/>
      <c r="N10898" s="200"/>
      <c r="P10898" s="199"/>
    </row>
    <row r="10899" spans="7:16" x14ac:dyDescent="0.2">
      <c r="G10899" s="199"/>
      <c r="I10899" s="199"/>
      <c r="K10899" s="199"/>
      <c r="M10899" s="199"/>
      <c r="N10899" s="200"/>
      <c r="P10899" s="199"/>
    </row>
    <row r="10900" spans="7:16" x14ac:dyDescent="0.2">
      <c r="G10900" s="199"/>
      <c r="I10900" s="199"/>
      <c r="K10900" s="199"/>
      <c r="M10900" s="199"/>
      <c r="N10900" s="200"/>
      <c r="P10900" s="199"/>
    </row>
    <row r="10901" spans="7:16" x14ac:dyDescent="0.2">
      <c r="G10901" s="199"/>
      <c r="I10901" s="199"/>
      <c r="K10901" s="199"/>
      <c r="M10901" s="199"/>
      <c r="N10901" s="200"/>
      <c r="P10901" s="199"/>
    </row>
    <row r="10902" spans="7:16" x14ac:dyDescent="0.2">
      <c r="G10902" s="199"/>
      <c r="I10902" s="199"/>
      <c r="K10902" s="199"/>
      <c r="M10902" s="199"/>
      <c r="N10902" s="200"/>
      <c r="P10902" s="199"/>
    </row>
    <row r="10903" spans="7:16" x14ac:dyDescent="0.2">
      <c r="G10903" s="199"/>
      <c r="I10903" s="199"/>
      <c r="K10903" s="199"/>
      <c r="M10903" s="199"/>
      <c r="N10903" s="200"/>
      <c r="P10903" s="199"/>
    </row>
    <row r="10904" spans="7:16" x14ac:dyDescent="0.2">
      <c r="G10904" s="199"/>
      <c r="I10904" s="199"/>
      <c r="K10904" s="199"/>
      <c r="M10904" s="199"/>
      <c r="N10904" s="200"/>
      <c r="P10904" s="199"/>
    </row>
    <row r="10905" spans="7:16" x14ac:dyDescent="0.2">
      <c r="G10905" s="199"/>
      <c r="I10905" s="199"/>
      <c r="K10905" s="199"/>
      <c r="M10905" s="199"/>
      <c r="N10905" s="200"/>
      <c r="P10905" s="199"/>
    </row>
    <row r="10906" spans="7:16" x14ac:dyDescent="0.2">
      <c r="G10906" s="199"/>
      <c r="I10906" s="199"/>
      <c r="K10906" s="199"/>
      <c r="M10906" s="199"/>
      <c r="N10906" s="200"/>
      <c r="P10906" s="199"/>
    </row>
    <row r="10907" spans="7:16" x14ac:dyDescent="0.2">
      <c r="G10907" s="199"/>
      <c r="I10907" s="199"/>
      <c r="K10907" s="199"/>
      <c r="M10907" s="199"/>
      <c r="N10907" s="200"/>
      <c r="P10907" s="199"/>
    </row>
    <row r="10908" spans="7:16" x14ac:dyDescent="0.2">
      <c r="G10908" s="199"/>
      <c r="I10908" s="199"/>
      <c r="K10908" s="199"/>
      <c r="M10908" s="199"/>
      <c r="N10908" s="200"/>
      <c r="P10908" s="199"/>
    </row>
    <row r="10909" spans="7:16" x14ac:dyDescent="0.2">
      <c r="G10909" s="199"/>
      <c r="I10909" s="199"/>
      <c r="K10909" s="199"/>
      <c r="M10909" s="199"/>
      <c r="N10909" s="200"/>
      <c r="P10909" s="199"/>
    </row>
    <row r="10910" spans="7:16" x14ac:dyDescent="0.2">
      <c r="G10910" s="199"/>
      <c r="I10910" s="199"/>
      <c r="K10910" s="199"/>
      <c r="M10910" s="199"/>
      <c r="N10910" s="200"/>
      <c r="P10910" s="199"/>
    </row>
    <row r="10911" spans="7:16" x14ac:dyDescent="0.2">
      <c r="G10911" s="199"/>
      <c r="I10911" s="199"/>
      <c r="K10911" s="199"/>
      <c r="M10911" s="199"/>
      <c r="N10911" s="200"/>
      <c r="P10911" s="199"/>
    </row>
    <row r="10912" spans="7:16" x14ac:dyDescent="0.2">
      <c r="G10912" s="199"/>
      <c r="I10912" s="199"/>
      <c r="K10912" s="199"/>
      <c r="M10912" s="199"/>
      <c r="N10912" s="200"/>
      <c r="P10912" s="199"/>
    </row>
    <row r="10913" spans="7:16" x14ac:dyDescent="0.2">
      <c r="G10913" s="199"/>
      <c r="I10913" s="199"/>
      <c r="K10913" s="199"/>
      <c r="M10913" s="199"/>
      <c r="N10913" s="200"/>
      <c r="P10913" s="199"/>
    </row>
    <row r="10914" spans="7:16" x14ac:dyDescent="0.2">
      <c r="G10914" s="199"/>
      <c r="I10914" s="199"/>
      <c r="K10914" s="199"/>
      <c r="M10914" s="199"/>
      <c r="N10914" s="200"/>
      <c r="P10914" s="199"/>
    </row>
    <row r="10915" spans="7:16" x14ac:dyDescent="0.2">
      <c r="G10915" s="199"/>
      <c r="I10915" s="199"/>
      <c r="K10915" s="199"/>
      <c r="M10915" s="199"/>
      <c r="N10915" s="200"/>
      <c r="P10915" s="199"/>
    </row>
    <row r="10916" spans="7:16" x14ac:dyDescent="0.2">
      <c r="G10916" s="199"/>
      <c r="I10916" s="199"/>
      <c r="K10916" s="199"/>
      <c r="M10916" s="199"/>
      <c r="N10916" s="200"/>
      <c r="P10916" s="199"/>
    </row>
    <row r="10917" spans="7:16" x14ac:dyDescent="0.2">
      <c r="G10917" s="199"/>
      <c r="I10917" s="199"/>
      <c r="K10917" s="199"/>
      <c r="M10917" s="199"/>
      <c r="N10917" s="200"/>
      <c r="P10917" s="199"/>
    </row>
    <row r="10918" spans="7:16" x14ac:dyDescent="0.2">
      <c r="G10918" s="199"/>
      <c r="I10918" s="199"/>
      <c r="K10918" s="199"/>
      <c r="M10918" s="199"/>
      <c r="N10918" s="200"/>
      <c r="P10918" s="199"/>
    </row>
    <row r="10919" spans="7:16" x14ac:dyDescent="0.2">
      <c r="G10919" s="199"/>
      <c r="I10919" s="199"/>
      <c r="K10919" s="199"/>
      <c r="M10919" s="199"/>
      <c r="N10919" s="200"/>
      <c r="P10919" s="199"/>
    </row>
    <row r="10920" spans="7:16" x14ac:dyDescent="0.2">
      <c r="G10920" s="199"/>
      <c r="I10920" s="199"/>
      <c r="K10920" s="199"/>
      <c r="M10920" s="199"/>
      <c r="N10920" s="200"/>
      <c r="P10920" s="199"/>
    </row>
    <row r="10921" spans="7:16" x14ac:dyDescent="0.2">
      <c r="G10921" s="199"/>
      <c r="I10921" s="199"/>
      <c r="K10921" s="199"/>
      <c r="M10921" s="199"/>
      <c r="N10921" s="200"/>
      <c r="P10921" s="199"/>
    </row>
    <row r="10922" spans="7:16" x14ac:dyDescent="0.2">
      <c r="G10922" s="199"/>
      <c r="I10922" s="199"/>
      <c r="K10922" s="199"/>
      <c r="M10922" s="199"/>
      <c r="N10922" s="200"/>
      <c r="P10922" s="199"/>
    </row>
    <row r="10923" spans="7:16" x14ac:dyDescent="0.2">
      <c r="G10923" s="199"/>
      <c r="I10923" s="199"/>
      <c r="K10923" s="199"/>
      <c r="M10923" s="199"/>
      <c r="N10923" s="200"/>
      <c r="P10923" s="199"/>
    </row>
    <row r="10924" spans="7:16" x14ac:dyDescent="0.2">
      <c r="G10924" s="199"/>
      <c r="I10924" s="199"/>
      <c r="K10924" s="199"/>
      <c r="M10924" s="199"/>
      <c r="N10924" s="200"/>
      <c r="P10924" s="199"/>
    </row>
    <row r="10925" spans="7:16" x14ac:dyDescent="0.2">
      <c r="G10925" s="199"/>
      <c r="I10925" s="199"/>
      <c r="K10925" s="199"/>
      <c r="M10925" s="199"/>
      <c r="N10925" s="200"/>
      <c r="P10925" s="199"/>
    </row>
    <row r="10926" spans="7:16" x14ac:dyDescent="0.2">
      <c r="G10926" s="199"/>
      <c r="I10926" s="199"/>
      <c r="K10926" s="199"/>
      <c r="M10926" s="199"/>
      <c r="N10926" s="200"/>
      <c r="P10926" s="199"/>
    </row>
    <row r="10927" spans="7:16" x14ac:dyDescent="0.2">
      <c r="G10927" s="199"/>
      <c r="I10927" s="199"/>
      <c r="K10927" s="199"/>
      <c r="M10927" s="199"/>
      <c r="N10927" s="200"/>
      <c r="P10927" s="199"/>
    </row>
    <row r="10928" spans="7:16" x14ac:dyDescent="0.2">
      <c r="G10928" s="199"/>
      <c r="I10928" s="199"/>
      <c r="K10928" s="199"/>
      <c r="M10928" s="199"/>
      <c r="N10928" s="200"/>
      <c r="P10928" s="199"/>
    </row>
    <row r="10929" spans="7:16" x14ac:dyDescent="0.2">
      <c r="G10929" s="199"/>
      <c r="I10929" s="199"/>
      <c r="K10929" s="199"/>
      <c r="M10929" s="199"/>
      <c r="N10929" s="200"/>
      <c r="P10929" s="199"/>
    </row>
    <row r="10930" spans="7:16" x14ac:dyDescent="0.2">
      <c r="G10930" s="199"/>
      <c r="I10930" s="199"/>
      <c r="K10930" s="199"/>
      <c r="M10930" s="199"/>
      <c r="N10930" s="200"/>
      <c r="P10930" s="199"/>
    </row>
    <row r="10931" spans="7:16" x14ac:dyDescent="0.2">
      <c r="G10931" s="199"/>
      <c r="I10931" s="199"/>
      <c r="K10931" s="199"/>
      <c r="M10931" s="199"/>
      <c r="N10931" s="200"/>
      <c r="P10931" s="199"/>
    </row>
    <row r="10932" spans="7:16" x14ac:dyDescent="0.2">
      <c r="G10932" s="199"/>
      <c r="I10932" s="199"/>
      <c r="K10932" s="199"/>
      <c r="M10932" s="199"/>
      <c r="N10932" s="200"/>
      <c r="P10932" s="199"/>
    </row>
    <row r="10933" spans="7:16" x14ac:dyDescent="0.2">
      <c r="G10933" s="199"/>
      <c r="I10933" s="199"/>
      <c r="K10933" s="199"/>
      <c r="M10933" s="199"/>
      <c r="N10933" s="200"/>
      <c r="P10933" s="199"/>
    </row>
    <row r="10934" spans="7:16" x14ac:dyDescent="0.2">
      <c r="G10934" s="199"/>
      <c r="I10934" s="199"/>
      <c r="K10934" s="199"/>
      <c r="M10934" s="199"/>
      <c r="N10934" s="200"/>
      <c r="P10934" s="199"/>
    </row>
    <row r="10935" spans="7:16" x14ac:dyDescent="0.2">
      <c r="G10935" s="199"/>
      <c r="I10935" s="199"/>
      <c r="K10935" s="199"/>
      <c r="M10935" s="199"/>
      <c r="N10935" s="200"/>
      <c r="P10935" s="199"/>
    </row>
    <row r="10936" spans="7:16" x14ac:dyDescent="0.2">
      <c r="G10936" s="199"/>
      <c r="I10936" s="199"/>
      <c r="K10936" s="199"/>
      <c r="M10936" s="199"/>
      <c r="N10936" s="200"/>
      <c r="P10936" s="199"/>
    </row>
    <row r="10937" spans="7:16" x14ac:dyDescent="0.2">
      <c r="G10937" s="199"/>
      <c r="I10937" s="199"/>
      <c r="K10937" s="199"/>
      <c r="M10937" s="199"/>
      <c r="N10937" s="200"/>
      <c r="P10937" s="199"/>
    </row>
    <row r="10938" spans="7:16" x14ac:dyDescent="0.2">
      <c r="G10938" s="199"/>
      <c r="I10938" s="199"/>
      <c r="K10938" s="199"/>
      <c r="M10938" s="199"/>
      <c r="N10938" s="200"/>
      <c r="P10938" s="199"/>
    </row>
    <row r="10939" spans="7:16" x14ac:dyDescent="0.2">
      <c r="G10939" s="199"/>
      <c r="I10939" s="199"/>
      <c r="K10939" s="199"/>
      <c r="M10939" s="199"/>
      <c r="N10939" s="200"/>
      <c r="P10939" s="199"/>
    </row>
    <row r="10940" spans="7:16" x14ac:dyDescent="0.2">
      <c r="G10940" s="199"/>
      <c r="I10940" s="199"/>
      <c r="K10940" s="199"/>
      <c r="M10940" s="199"/>
      <c r="N10940" s="200"/>
      <c r="P10940" s="199"/>
    </row>
    <row r="10941" spans="7:16" x14ac:dyDescent="0.2">
      <c r="G10941" s="199"/>
      <c r="I10941" s="199"/>
      <c r="K10941" s="199"/>
      <c r="M10941" s="199"/>
      <c r="N10941" s="200"/>
      <c r="P10941" s="199"/>
    </row>
    <row r="10942" spans="7:16" x14ac:dyDescent="0.2">
      <c r="G10942" s="199"/>
      <c r="I10942" s="199"/>
      <c r="K10942" s="199"/>
      <c r="M10942" s="199"/>
      <c r="N10942" s="200"/>
      <c r="P10942" s="199"/>
    </row>
    <row r="10943" spans="7:16" x14ac:dyDescent="0.2">
      <c r="G10943" s="199"/>
      <c r="I10943" s="199"/>
      <c r="K10943" s="199"/>
      <c r="M10943" s="199"/>
      <c r="N10943" s="200"/>
      <c r="P10943" s="199"/>
    </row>
    <row r="10944" spans="7:16" x14ac:dyDescent="0.2">
      <c r="G10944" s="199"/>
      <c r="I10944" s="199"/>
      <c r="K10944" s="199"/>
      <c r="M10944" s="199"/>
      <c r="N10944" s="200"/>
      <c r="P10944" s="199"/>
    </row>
    <row r="10945" spans="7:16" x14ac:dyDescent="0.2">
      <c r="G10945" s="199"/>
      <c r="I10945" s="199"/>
      <c r="K10945" s="199"/>
      <c r="M10945" s="199"/>
      <c r="N10945" s="200"/>
      <c r="P10945" s="199"/>
    </row>
    <row r="10946" spans="7:16" x14ac:dyDescent="0.2">
      <c r="G10946" s="199"/>
      <c r="I10946" s="199"/>
      <c r="K10946" s="199"/>
      <c r="M10946" s="199"/>
      <c r="N10946" s="200"/>
      <c r="P10946" s="199"/>
    </row>
    <row r="10947" spans="7:16" x14ac:dyDescent="0.2">
      <c r="G10947" s="199"/>
      <c r="I10947" s="199"/>
      <c r="K10947" s="199"/>
      <c r="M10947" s="199"/>
      <c r="N10947" s="200"/>
      <c r="P10947" s="199"/>
    </row>
    <row r="10948" spans="7:16" x14ac:dyDescent="0.2">
      <c r="G10948" s="199"/>
      <c r="I10948" s="199"/>
      <c r="K10948" s="199"/>
      <c r="M10948" s="199"/>
      <c r="N10948" s="200"/>
      <c r="P10948" s="199"/>
    </row>
    <row r="10949" spans="7:16" x14ac:dyDescent="0.2">
      <c r="G10949" s="199"/>
      <c r="I10949" s="199"/>
      <c r="K10949" s="199"/>
      <c r="M10949" s="199"/>
      <c r="N10949" s="200"/>
      <c r="P10949" s="199"/>
    </row>
    <row r="10950" spans="7:16" x14ac:dyDescent="0.2">
      <c r="G10950" s="199"/>
      <c r="I10950" s="199"/>
      <c r="K10950" s="199"/>
      <c r="M10950" s="199"/>
      <c r="N10950" s="200"/>
      <c r="P10950" s="199"/>
    </row>
    <row r="10951" spans="7:16" x14ac:dyDescent="0.2">
      <c r="G10951" s="199"/>
      <c r="I10951" s="199"/>
      <c r="K10951" s="199"/>
      <c r="M10951" s="199"/>
      <c r="N10951" s="200"/>
      <c r="P10951" s="199"/>
    </row>
    <row r="10952" spans="7:16" x14ac:dyDescent="0.2">
      <c r="G10952" s="199"/>
      <c r="I10952" s="199"/>
      <c r="K10952" s="199"/>
      <c r="M10952" s="199"/>
      <c r="N10952" s="200"/>
      <c r="P10952" s="199"/>
    </row>
    <row r="10953" spans="7:16" x14ac:dyDescent="0.2">
      <c r="G10953" s="199"/>
      <c r="I10953" s="199"/>
      <c r="K10953" s="199"/>
      <c r="M10953" s="199"/>
      <c r="N10953" s="200"/>
      <c r="P10953" s="199"/>
    </row>
    <row r="10954" spans="7:16" x14ac:dyDescent="0.2">
      <c r="G10954" s="199"/>
      <c r="I10954" s="199"/>
      <c r="K10954" s="199"/>
      <c r="M10954" s="199"/>
      <c r="N10954" s="200"/>
      <c r="P10954" s="199"/>
    </row>
    <row r="10955" spans="7:16" x14ac:dyDescent="0.2">
      <c r="G10955" s="199"/>
      <c r="I10955" s="199"/>
      <c r="K10955" s="199"/>
      <c r="M10955" s="199"/>
      <c r="N10955" s="200"/>
      <c r="P10955" s="199"/>
    </row>
    <row r="10956" spans="7:16" x14ac:dyDescent="0.2">
      <c r="G10956" s="199"/>
      <c r="I10956" s="199"/>
      <c r="K10956" s="199"/>
      <c r="M10956" s="199"/>
      <c r="N10956" s="200"/>
      <c r="P10956" s="199"/>
    </row>
    <row r="10957" spans="7:16" x14ac:dyDescent="0.2">
      <c r="G10957" s="199"/>
      <c r="I10957" s="199"/>
      <c r="K10957" s="199"/>
      <c r="M10957" s="199"/>
      <c r="N10957" s="200"/>
      <c r="P10957" s="199"/>
    </row>
    <row r="10958" spans="7:16" x14ac:dyDescent="0.2">
      <c r="G10958" s="199"/>
      <c r="I10958" s="199"/>
      <c r="K10958" s="199"/>
      <c r="M10958" s="199"/>
      <c r="N10958" s="200"/>
      <c r="P10958" s="199"/>
    </row>
    <row r="10959" spans="7:16" x14ac:dyDescent="0.2">
      <c r="G10959" s="199"/>
      <c r="I10959" s="199"/>
      <c r="K10959" s="199"/>
      <c r="M10959" s="199"/>
      <c r="N10959" s="200"/>
      <c r="P10959" s="199"/>
    </row>
    <row r="10960" spans="7:16" x14ac:dyDescent="0.2">
      <c r="G10960" s="199"/>
      <c r="I10960" s="199"/>
      <c r="K10960" s="199"/>
      <c r="M10960" s="199"/>
      <c r="N10960" s="200"/>
      <c r="P10960" s="199"/>
    </row>
    <row r="10961" spans="7:16" x14ac:dyDescent="0.2">
      <c r="G10961" s="199"/>
      <c r="I10961" s="199"/>
      <c r="K10961" s="199"/>
      <c r="M10961" s="199"/>
      <c r="N10961" s="200"/>
      <c r="P10961" s="199"/>
    </row>
    <row r="10962" spans="7:16" x14ac:dyDescent="0.2">
      <c r="G10962" s="199"/>
      <c r="I10962" s="199"/>
      <c r="K10962" s="199"/>
      <c r="M10962" s="199"/>
      <c r="N10962" s="200"/>
      <c r="P10962" s="199"/>
    </row>
    <row r="10963" spans="7:16" x14ac:dyDescent="0.2">
      <c r="G10963" s="199"/>
      <c r="I10963" s="199"/>
      <c r="K10963" s="199"/>
      <c r="M10963" s="199"/>
      <c r="N10963" s="200"/>
      <c r="P10963" s="199"/>
    </row>
    <row r="10964" spans="7:16" x14ac:dyDescent="0.2">
      <c r="G10964" s="199"/>
      <c r="I10964" s="199"/>
      <c r="K10964" s="199"/>
      <c r="M10964" s="199"/>
      <c r="N10964" s="200"/>
      <c r="P10964" s="199"/>
    </row>
    <row r="10965" spans="7:16" x14ac:dyDescent="0.2">
      <c r="G10965" s="199"/>
      <c r="I10965" s="199"/>
      <c r="K10965" s="199"/>
      <c r="M10965" s="199"/>
      <c r="N10965" s="200"/>
      <c r="P10965" s="199"/>
    </row>
    <row r="10966" spans="7:16" x14ac:dyDescent="0.2">
      <c r="G10966" s="199"/>
      <c r="I10966" s="199"/>
      <c r="K10966" s="199"/>
      <c r="M10966" s="199"/>
      <c r="N10966" s="200"/>
      <c r="P10966" s="199"/>
    </row>
    <row r="10967" spans="7:16" x14ac:dyDescent="0.2">
      <c r="G10967" s="199"/>
      <c r="I10967" s="199"/>
      <c r="K10967" s="199"/>
      <c r="M10967" s="199"/>
      <c r="N10967" s="200"/>
      <c r="P10967" s="199"/>
    </row>
    <row r="10968" spans="7:16" x14ac:dyDescent="0.2">
      <c r="G10968" s="199"/>
      <c r="I10968" s="199"/>
      <c r="K10968" s="199"/>
      <c r="M10968" s="199"/>
      <c r="N10968" s="200"/>
      <c r="P10968" s="199"/>
    </row>
    <row r="10969" spans="7:16" x14ac:dyDescent="0.2">
      <c r="G10969" s="199"/>
      <c r="I10969" s="199"/>
      <c r="K10969" s="199"/>
      <c r="M10969" s="199"/>
      <c r="N10969" s="200"/>
      <c r="P10969" s="199"/>
    </row>
    <row r="10970" spans="7:16" x14ac:dyDescent="0.2">
      <c r="G10970" s="199"/>
      <c r="I10970" s="199"/>
      <c r="K10970" s="199"/>
      <c r="M10970" s="199"/>
      <c r="N10970" s="200"/>
      <c r="P10970" s="199"/>
    </row>
    <row r="10971" spans="7:16" x14ac:dyDescent="0.2">
      <c r="G10971" s="199"/>
      <c r="I10971" s="199"/>
      <c r="K10971" s="199"/>
      <c r="M10971" s="199"/>
      <c r="N10971" s="200"/>
      <c r="P10971" s="199"/>
    </row>
    <row r="10972" spans="7:16" x14ac:dyDescent="0.2">
      <c r="G10972" s="199"/>
      <c r="I10972" s="199"/>
      <c r="K10972" s="199"/>
      <c r="M10972" s="199"/>
      <c r="N10972" s="200"/>
      <c r="P10972" s="199"/>
    </row>
    <row r="10973" spans="7:16" x14ac:dyDescent="0.2">
      <c r="G10973" s="199"/>
      <c r="I10973" s="199"/>
      <c r="K10973" s="199"/>
      <c r="M10973" s="199"/>
      <c r="N10973" s="200"/>
      <c r="P10973" s="199"/>
    </row>
    <row r="10974" spans="7:16" x14ac:dyDescent="0.2">
      <c r="G10974" s="199"/>
      <c r="I10974" s="199"/>
      <c r="K10974" s="199"/>
      <c r="M10974" s="199"/>
      <c r="N10974" s="200"/>
      <c r="P10974" s="199"/>
    </row>
    <row r="10975" spans="7:16" x14ac:dyDescent="0.2">
      <c r="G10975" s="199"/>
      <c r="I10975" s="199"/>
      <c r="K10975" s="199"/>
      <c r="M10975" s="199"/>
      <c r="N10975" s="200"/>
      <c r="P10975" s="199"/>
    </row>
    <row r="10976" spans="7:16" x14ac:dyDescent="0.2">
      <c r="G10976" s="199"/>
      <c r="I10976" s="199"/>
      <c r="K10976" s="199"/>
      <c r="M10976" s="199"/>
      <c r="N10976" s="200"/>
      <c r="P10976" s="199"/>
    </row>
    <row r="10977" spans="7:16" x14ac:dyDescent="0.2">
      <c r="G10977" s="199"/>
      <c r="I10977" s="199"/>
      <c r="K10977" s="199"/>
      <c r="M10977" s="199"/>
      <c r="N10977" s="200"/>
      <c r="P10977" s="199"/>
    </row>
    <row r="10978" spans="7:16" x14ac:dyDescent="0.2">
      <c r="G10978" s="199"/>
      <c r="I10978" s="199"/>
      <c r="K10978" s="199"/>
      <c r="M10978" s="199"/>
      <c r="N10978" s="200"/>
      <c r="P10978" s="199"/>
    </row>
    <row r="10979" spans="7:16" x14ac:dyDescent="0.2">
      <c r="G10979" s="199"/>
      <c r="I10979" s="199"/>
      <c r="K10979" s="199"/>
      <c r="M10979" s="199"/>
      <c r="N10979" s="200"/>
      <c r="P10979" s="199"/>
    </row>
    <row r="10980" spans="7:16" x14ac:dyDescent="0.2">
      <c r="G10980" s="199"/>
      <c r="I10980" s="199"/>
      <c r="K10980" s="199"/>
      <c r="M10980" s="199"/>
      <c r="N10980" s="200"/>
      <c r="P10980" s="199"/>
    </row>
    <row r="10981" spans="7:16" x14ac:dyDescent="0.2">
      <c r="G10981" s="199"/>
      <c r="I10981" s="199"/>
      <c r="K10981" s="199"/>
      <c r="M10981" s="199"/>
      <c r="N10981" s="200"/>
      <c r="P10981" s="199"/>
    </row>
    <row r="10982" spans="7:16" x14ac:dyDescent="0.2">
      <c r="G10982" s="199"/>
      <c r="I10982" s="199"/>
      <c r="K10982" s="199"/>
      <c r="M10982" s="199"/>
      <c r="N10982" s="200"/>
      <c r="P10982" s="199"/>
    </row>
    <row r="10983" spans="7:16" x14ac:dyDescent="0.2">
      <c r="G10983" s="199"/>
      <c r="I10983" s="199"/>
      <c r="K10983" s="199"/>
      <c r="M10983" s="199"/>
      <c r="N10983" s="200"/>
      <c r="P10983" s="199"/>
    </row>
    <row r="10984" spans="7:16" x14ac:dyDescent="0.2">
      <c r="G10984" s="199"/>
      <c r="I10984" s="199"/>
      <c r="K10984" s="199"/>
      <c r="M10984" s="199"/>
      <c r="N10984" s="200"/>
      <c r="P10984" s="199"/>
    </row>
    <row r="10985" spans="7:16" x14ac:dyDescent="0.2">
      <c r="G10985" s="199"/>
      <c r="I10985" s="199"/>
      <c r="K10985" s="199"/>
      <c r="M10985" s="199"/>
      <c r="N10985" s="200"/>
      <c r="P10985" s="199"/>
    </row>
    <row r="10986" spans="7:16" x14ac:dyDescent="0.2">
      <c r="G10986" s="199"/>
      <c r="I10986" s="199"/>
      <c r="K10986" s="199"/>
      <c r="M10986" s="199"/>
      <c r="N10986" s="200"/>
      <c r="P10986" s="199"/>
    </row>
    <row r="10987" spans="7:16" x14ac:dyDescent="0.2">
      <c r="G10987" s="199"/>
      <c r="I10987" s="199"/>
      <c r="K10987" s="199"/>
      <c r="M10987" s="199"/>
      <c r="N10987" s="200"/>
      <c r="P10987" s="199"/>
    </row>
    <row r="10988" spans="7:16" x14ac:dyDescent="0.2">
      <c r="G10988" s="199"/>
      <c r="I10988" s="199"/>
      <c r="K10988" s="199"/>
      <c r="M10988" s="199"/>
      <c r="N10988" s="200"/>
      <c r="P10988" s="199"/>
    </row>
    <row r="10989" spans="7:16" x14ac:dyDescent="0.2">
      <c r="G10989" s="199"/>
      <c r="I10989" s="199"/>
      <c r="K10989" s="199"/>
      <c r="M10989" s="199"/>
      <c r="N10989" s="200"/>
      <c r="P10989" s="199"/>
    </row>
    <row r="10990" spans="7:16" x14ac:dyDescent="0.2">
      <c r="G10990" s="199"/>
      <c r="I10990" s="199"/>
      <c r="K10990" s="199"/>
      <c r="M10990" s="199"/>
      <c r="N10990" s="200"/>
      <c r="P10990" s="199"/>
    </row>
    <row r="10991" spans="7:16" x14ac:dyDescent="0.2">
      <c r="G10991" s="199"/>
      <c r="I10991" s="199"/>
      <c r="K10991" s="199"/>
      <c r="M10991" s="199"/>
      <c r="N10991" s="200"/>
      <c r="P10991" s="199"/>
    </row>
    <row r="10992" spans="7:16" x14ac:dyDescent="0.2">
      <c r="G10992" s="199"/>
      <c r="I10992" s="199"/>
      <c r="K10992" s="199"/>
      <c r="M10992" s="199"/>
      <c r="N10992" s="200"/>
      <c r="P10992" s="199"/>
    </row>
    <row r="10993" spans="7:16" x14ac:dyDescent="0.2">
      <c r="G10993" s="199"/>
      <c r="I10993" s="199"/>
      <c r="K10993" s="199"/>
      <c r="M10993" s="199"/>
      <c r="N10993" s="200"/>
      <c r="P10993" s="199"/>
    </row>
    <row r="10994" spans="7:16" x14ac:dyDescent="0.2">
      <c r="G10994" s="199"/>
      <c r="I10994" s="199"/>
      <c r="K10994" s="199"/>
      <c r="M10994" s="199"/>
      <c r="N10994" s="200"/>
      <c r="P10994" s="199"/>
    </row>
    <row r="10995" spans="7:16" x14ac:dyDescent="0.2">
      <c r="G10995" s="199"/>
      <c r="I10995" s="199"/>
      <c r="K10995" s="199"/>
      <c r="M10995" s="199"/>
      <c r="N10995" s="200"/>
      <c r="P10995" s="199"/>
    </row>
    <row r="10996" spans="7:16" x14ac:dyDescent="0.2">
      <c r="G10996" s="199"/>
      <c r="I10996" s="199"/>
      <c r="K10996" s="199"/>
      <c r="M10996" s="199"/>
      <c r="N10996" s="200"/>
      <c r="P10996" s="199"/>
    </row>
    <row r="10997" spans="7:16" x14ac:dyDescent="0.2">
      <c r="G10997" s="199"/>
      <c r="I10997" s="199"/>
      <c r="K10997" s="199"/>
      <c r="M10997" s="199"/>
      <c r="N10997" s="200"/>
      <c r="P10997" s="199"/>
    </row>
    <row r="10998" spans="7:16" x14ac:dyDescent="0.2">
      <c r="G10998" s="199"/>
      <c r="I10998" s="199"/>
      <c r="K10998" s="199"/>
      <c r="M10998" s="199"/>
      <c r="N10998" s="200"/>
      <c r="P10998" s="199"/>
    </row>
    <row r="10999" spans="7:16" x14ac:dyDescent="0.2">
      <c r="G10999" s="199"/>
      <c r="I10999" s="199"/>
      <c r="K10999" s="199"/>
      <c r="M10999" s="199"/>
      <c r="N10999" s="200"/>
      <c r="P10999" s="199"/>
    </row>
    <row r="11000" spans="7:16" x14ac:dyDescent="0.2">
      <c r="G11000" s="199"/>
      <c r="I11000" s="199"/>
      <c r="K11000" s="199"/>
      <c r="M11000" s="199"/>
      <c r="N11000" s="200"/>
      <c r="P11000" s="199"/>
    </row>
    <row r="11001" spans="7:16" x14ac:dyDescent="0.2">
      <c r="G11001" s="199"/>
      <c r="I11001" s="199"/>
      <c r="K11001" s="199"/>
      <c r="M11001" s="199"/>
      <c r="N11001" s="200"/>
      <c r="P11001" s="199"/>
    </row>
    <row r="11002" spans="7:16" x14ac:dyDescent="0.2">
      <c r="G11002" s="199"/>
      <c r="I11002" s="199"/>
      <c r="K11002" s="199"/>
      <c r="M11002" s="199"/>
      <c r="N11002" s="200"/>
      <c r="P11002" s="199"/>
    </row>
    <row r="11003" spans="7:16" x14ac:dyDescent="0.2">
      <c r="G11003" s="199"/>
      <c r="I11003" s="199"/>
      <c r="K11003" s="199"/>
      <c r="M11003" s="199"/>
      <c r="N11003" s="200"/>
      <c r="P11003" s="199"/>
    </row>
    <row r="11004" spans="7:16" x14ac:dyDescent="0.2">
      <c r="G11004" s="199"/>
      <c r="I11004" s="199"/>
      <c r="K11004" s="199"/>
      <c r="M11004" s="199"/>
      <c r="N11004" s="200"/>
      <c r="P11004" s="199"/>
    </row>
    <row r="11005" spans="7:16" x14ac:dyDescent="0.2">
      <c r="G11005" s="199"/>
      <c r="I11005" s="199"/>
      <c r="K11005" s="199"/>
      <c r="M11005" s="199"/>
      <c r="N11005" s="200"/>
      <c r="P11005" s="199"/>
    </row>
    <row r="11006" spans="7:16" x14ac:dyDescent="0.2">
      <c r="G11006" s="199"/>
      <c r="I11006" s="199"/>
      <c r="K11006" s="199"/>
      <c r="M11006" s="199"/>
      <c r="N11006" s="200"/>
      <c r="P11006" s="199"/>
    </row>
    <row r="11007" spans="7:16" x14ac:dyDescent="0.2">
      <c r="G11007" s="199"/>
      <c r="I11007" s="199"/>
      <c r="K11007" s="199"/>
      <c r="M11007" s="199"/>
      <c r="N11007" s="200"/>
      <c r="P11007" s="199"/>
    </row>
    <row r="11008" spans="7:16" x14ac:dyDescent="0.2">
      <c r="G11008" s="199"/>
      <c r="I11008" s="199"/>
      <c r="K11008" s="199"/>
      <c r="M11008" s="199"/>
      <c r="N11008" s="200"/>
      <c r="P11008" s="199"/>
    </row>
    <row r="11009" spans="7:16" x14ac:dyDescent="0.2">
      <c r="G11009" s="199"/>
      <c r="I11009" s="199"/>
      <c r="K11009" s="199"/>
      <c r="M11009" s="199"/>
      <c r="N11009" s="200"/>
      <c r="P11009" s="199"/>
    </row>
    <row r="11010" spans="7:16" x14ac:dyDescent="0.2">
      <c r="G11010" s="199"/>
      <c r="I11010" s="199"/>
      <c r="K11010" s="199"/>
      <c r="M11010" s="199"/>
      <c r="N11010" s="200"/>
      <c r="P11010" s="199"/>
    </row>
    <row r="11011" spans="7:16" x14ac:dyDescent="0.2">
      <c r="G11011" s="199"/>
      <c r="I11011" s="199"/>
      <c r="K11011" s="199"/>
      <c r="M11011" s="199"/>
      <c r="N11011" s="200"/>
      <c r="P11011" s="199"/>
    </row>
    <row r="11012" spans="7:16" x14ac:dyDescent="0.2">
      <c r="G11012" s="199"/>
      <c r="I11012" s="199"/>
      <c r="K11012" s="199"/>
      <c r="M11012" s="199"/>
      <c r="N11012" s="200"/>
      <c r="P11012" s="199"/>
    </row>
    <row r="11013" spans="7:16" x14ac:dyDescent="0.2">
      <c r="G11013" s="199"/>
      <c r="I11013" s="199"/>
      <c r="K11013" s="199"/>
      <c r="M11013" s="199"/>
      <c r="N11013" s="200"/>
      <c r="P11013" s="199"/>
    </row>
    <row r="11014" spans="7:16" x14ac:dyDescent="0.2">
      <c r="G11014" s="199"/>
      <c r="I11014" s="199"/>
      <c r="K11014" s="199"/>
      <c r="M11014" s="199"/>
      <c r="N11014" s="200"/>
      <c r="P11014" s="199"/>
    </row>
    <row r="11015" spans="7:16" x14ac:dyDescent="0.2">
      <c r="G11015" s="199"/>
      <c r="I11015" s="199"/>
      <c r="K11015" s="199"/>
      <c r="M11015" s="199"/>
      <c r="N11015" s="200"/>
      <c r="P11015" s="199"/>
    </row>
    <row r="11016" spans="7:16" x14ac:dyDescent="0.2">
      <c r="G11016" s="199"/>
      <c r="I11016" s="199"/>
      <c r="K11016" s="199"/>
      <c r="M11016" s="199"/>
      <c r="N11016" s="200"/>
      <c r="P11016" s="199"/>
    </row>
    <row r="11017" spans="7:16" x14ac:dyDescent="0.2">
      <c r="G11017" s="199"/>
      <c r="I11017" s="199"/>
      <c r="K11017" s="199"/>
      <c r="M11017" s="199"/>
      <c r="N11017" s="200"/>
      <c r="P11017" s="199"/>
    </row>
    <row r="11018" spans="7:16" x14ac:dyDescent="0.2">
      <c r="G11018" s="199"/>
      <c r="I11018" s="199"/>
      <c r="K11018" s="199"/>
      <c r="M11018" s="199"/>
      <c r="N11018" s="200"/>
      <c r="P11018" s="199"/>
    </row>
    <row r="11019" spans="7:16" x14ac:dyDescent="0.2">
      <c r="G11019" s="199"/>
      <c r="I11019" s="199"/>
      <c r="K11019" s="199"/>
      <c r="M11019" s="199"/>
      <c r="N11019" s="200"/>
      <c r="P11019" s="199"/>
    </row>
    <row r="11020" spans="7:16" x14ac:dyDescent="0.2">
      <c r="G11020" s="199"/>
      <c r="I11020" s="199"/>
      <c r="K11020" s="199"/>
      <c r="M11020" s="199"/>
      <c r="N11020" s="200"/>
      <c r="P11020" s="199"/>
    </row>
    <row r="11021" spans="7:16" x14ac:dyDescent="0.2">
      <c r="G11021" s="199"/>
      <c r="I11021" s="199"/>
      <c r="K11021" s="199"/>
      <c r="M11021" s="199"/>
      <c r="N11021" s="200"/>
      <c r="P11021" s="199"/>
    </row>
    <row r="11022" spans="7:16" x14ac:dyDescent="0.2">
      <c r="G11022" s="199"/>
      <c r="I11022" s="199"/>
      <c r="K11022" s="199"/>
      <c r="M11022" s="199"/>
      <c r="N11022" s="200"/>
      <c r="P11022" s="199"/>
    </row>
    <row r="11023" spans="7:16" x14ac:dyDescent="0.2">
      <c r="G11023" s="199"/>
      <c r="I11023" s="199"/>
      <c r="K11023" s="199"/>
      <c r="M11023" s="199"/>
      <c r="N11023" s="200"/>
      <c r="P11023" s="199"/>
    </row>
    <row r="11024" spans="7:16" x14ac:dyDescent="0.2">
      <c r="G11024" s="199"/>
      <c r="I11024" s="199"/>
      <c r="K11024" s="199"/>
      <c r="M11024" s="199"/>
      <c r="N11024" s="200"/>
      <c r="P11024" s="199"/>
    </row>
    <row r="11025" spans="7:16" x14ac:dyDescent="0.2">
      <c r="G11025" s="199"/>
      <c r="I11025" s="199"/>
      <c r="K11025" s="199"/>
      <c r="M11025" s="199"/>
      <c r="N11025" s="200"/>
      <c r="P11025" s="199"/>
    </row>
    <row r="11026" spans="7:16" x14ac:dyDescent="0.2">
      <c r="G11026" s="199"/>
      <c r="I11026" s="199"/>
      <c r="K11026" s="199"/>
      <c r="M11026" s="199"/>
      <c r="N11026" s="200"/>
      <c r="P11026" s="199"/>
    </row>
    <row r="11027" spans="7:16" x14ac:dyDescent="0.2">
      <c r="G11027" s="199"/>
      <c r="I11027" s="199"/>
      <c r="K11027" s="199"/>
      <c r="M11027" s="199"/>
      <c r="N11027" s="200"/>
      <c r="P11027" s="199"/>
    </row>
    <row r="11028" spans="7:16" x14ac:dyDescent="0.2">
      <c r="G11028" s="199"/>
      <c r="I11028" s="199"/>
      <c r="K11028" s="199"/>
      <c r="M11028" s="199"/>
      <c r="N11028" s="200"/>
      <c r="P11028" s="199"/>
    </row>
    <row r="11029" spans="7:16" x14ac:dyDescent="0.2">
      <c r="G11029" s="199"/>
      <c r="I11029" s="199"/>
      <c r="K11029" s="199"/>
      <c r="M11029" s="199"/>
      <c r="N11029" s="200"/>
      <c r="P11029" s="199"/>
    </row>
    <row r="11030" spans="7:16" x14ac:dyDescent="0.2">
      <c r="G11030" s="199"/>
      <c r="I11030" s="199"/>
      <c r="K11030" s="199"/>
      <c r="M11030" s="199"/>
      <c r="N11030" s="200"/>
      <c r="P11030" s="199"/>
    </row>
    <row r="11031" spans="7:16" x14ac:dyDescent="0.2">
      <c r="G11031" s="199"/>
      <c r="I11031" s="199"/>
      <c r="K11031" s="199"/>
      <c r="M11031" s="199"/>
      <c r="N11031" s="200"/>
      <c r="P11031" s="199"/>
    </row>
    <row r="11032" spans="7:16" x14ac:dyDescent="0.2">
      <c r="G11032" s="199"/>
      <c r="I11032" s="199"/>
      <c r="K11032" s="199"/>
      <c r="M11032" s="199"/>
      <c r="N11032" s="200"/>
      <c r="P11032" s="199"/>
    </row>
    <row r="11033" spans="7:16" x14ac:dyDescent="0.2">
      <c r="G11033" s="199"/>
      <c r="I11033" s="199"/>
      <c r="K11033" s="199"/>
      <c r="M11033" s="199"/>
      <c r="N11033" s="200"/>
      <c r="P11033" s="199"/>
    </row>
    <row r="11034" spans="7:16" x14ac:dyDescent="0.2">
      <c r="G11034" s="199"/>
      <c r="I11034" s="199"/>
      <c r="K11034" s="199"/>
      <c r="M11034" s="199"/>
      <c r="N11034" s="200"/>
      <c r="P11034" s="199"/>
    </row>
    <row r="11035" spans="7:16" x14ac:dyDescent="0.2">
      <c r="G11035" s="199"/>
      <c r="I11035" s="199"/>
      <c r="K11035" s="199"/>
      <c r="M11035" s="199"/>
      <c r="N11035" s="200"/>
      <c r="P11035" s="199"/>
    </row>
    <row r="11036" spans="7:16" x14ac:dyDescent="0.2">
      <c r="G11036" s="199"/>
      <c r="I11036" s="199"/>
      <c r="K11036" s="199"/>
      <c r="M11036" s="199"/>
      <c r="N11036" s="200"/>
      <c r="P11036" s="199"/>
    </row>
    <row r="11037" spans="7:16" x14ac:dyDescent="0.2">
      <c r="G11037" s="199"/>
      <c r="I11037" s="199"/>
      <c r="K11037" s="199"/>
      <c r="M11037" s="199"/>
      <c r="N11037" s="200"/>
      <c r="P11037" s="199"/>
    </row>
    <row r="11038" spans="7:16" x14ac:dyDescent="0.2">
      <c r="G11038" s="199"/>
      <c r="I11038" s="199"/>
      <c r="K11038" s="199"/>
      <c r="M11038" s="199"/>
      <c r="N11038" s="200"/>
      <c r="P11038" s="199"/>
    </row>
    <row r="11039" spans="7:16" x14ac:dyDescent="0.2">
      <c r="G11039" s="199"/>
      <c r="I11039" s="199"/>
      <c r="K11039" s="199"/>
      <c r="M11039" s="199"/>
      <c r="N11039" s="200"/>
      <c r="P11039" s="199"/>
    </row>
    <row r="11040" spans="7:16" x14ac:dyDescent="0.2">
      <c r="G11040" s="199"/>
      <c r="I11040" s="199"/>
      <c r="K11040" s="199"/>
      <c r="M11040" s="199"/>
      <c r="N11040" s="200"/>
      <c r="P11040" s="199"/>
    </row>
    <row r="11041" spans="7:16" x14ac:dyDescent="0.2">
      <c r="G11041" s="199"/>
      <c r="I11041" s="199"/>
      <c r="K11041" s="199"/>
      <c r="M11041" s="199"/>
      <c r="N11041" s="200"/>
      <c r="P11041" s="199"/>
    </row>
    <row r="11042" spans="7:16" x14ac:dyDescent="0.2">
      <c r="G11042" s="199"/>
      <c r="I11042" s="199"/>
      <c r="K11042" s="199"/>
      <c r="M11042" s="199"/>
      <c r="N11042" s="200"/>
      <c r="P11042" s="199"/>
    </row>
    <row r="11043" spans="7:16" x14ac:dyDescent="0.2">
      <c r="G11043" s="199"/>
      <c r="I11043" s="199"/>
      <c r="K11043" s="199"/>
      <c r="M11043" s="199"/>
      <c r="N11043" s="200"/>
      <c r="P11043" s="199"/>
    </row>
    <row r="11044" spans="7:16" x14ac:dyDescent="0.2">
      <c r="G11044" s="199"/>
      <c r="I11044" s="199"/>
      <c r="K11044" s="199"/>
      <c r="M11044" s="199"/>
      <c r="N11044" s="200"/>
      <c r="P11044" s="199"/>
    </row>
    <row r="11045" spans="7:16" x14ac:dyDescent="0.2">
      <c r="G11045" s="199"/>
      <c r="I11045" s="199"/>
      <c r="K11045" s="199"/>
      <c r="M11045" s="199"/>
      <c r="N11045" s="200"/>
      <c r="P11045" s="199"/>
    </row>
    <row r="11046" spans="7:16" x14ac:dyDescent="0.2">
      <c r="G11046" s="199"/>
      <c r="I11046" s="199"/>
      <c r="K11046" s="199"/>
      <c r="M11046" s="199"/>
      <c r="N11046" s="200"/>
      <c r="P11046" s="199"/>
    </row>
    <row r="11047" spans="7:16" x14ac:dyDescent="0.2">
      <c r="G11047" s="199"/>
      <c r="I11047" s="199"/>
      <c r="K11047" s="199"/>
      <c r="M11047" s="199"/>
      <c r="N11047" s="200"/>
      <c r="P11047" s="199"/>
    </row>
    <row r="11048" spans="7:16" x14ac:dyDescent="0.2">
      <c r="G11048" s="199"/>
      <c r="I11048" s="199"/>
      <c r="K11048" s="199"/>
      <c r="M11048" s="199"/>
      <c r="N11048" s="200"/>
      <c r="P11048" s="199"/>
    </row>
    <row r="11049" spans="7:16" x14ac:dyDescent="0.2">
      <c r="G11049" s="199"/>
      <c r="I11049" s="199"/>
      <c r="K11049" s="199"/>
      <c r="M11049" s="199"/>
      <c r="N11049" s="200"/>
      <c r="P11049" s="199"/>
    </row>
    <row r="11050" spans="7:16" x14ac:dyDescent="0.2">
      <c r="G11050" s="199"/>
      <c r="I11050" s="199"/>
      <c r="K11050" s="199"/>
      <c r="M11050" s="199"/>
      <c r="N11050" s="200"/>
      <c r="P11050" s="199"/>
    </row>
    <row r="11051" spans="7:16" x14ac:dyDescent="0.2">
      <c r="G11051" s="199"/>
      <c r="I11051" s="199"/>
      <c r="K11051" s="199"/>
      <c r="M11051" s="199"/>
      <c r="N11051" s="200"/>
      <c r="P11051" s="199"/>
    </row>
    <row r="11052" spans="7:16" x14ac:dyDescent="0.2">
      <c r="G11052" s="199"/>
      <c r="I11052" s="199"/>
      <c r="K11052" s="199"/>
      <c r="M11052" s="199"/>
      <c r="N11052" s="200"/>
      <c r="P11052" s="199"/>
    </row>
    <row r="11053" spans="7:16" x14ac:dyDescent="0.2">
      <c r="G11053" s="199"/>
      <c r="I11053" s="199"/>
      <c r="K11053" s="199"/>
      <c r="M11053" s="199"/>
      <c r="N11053" s="200"/>
      <c r="P11053" s="199"/>
    </row>
    <row r="11054" spans="7:16" x14ac:dyDescent="0.2">
      <c r="G11054" s="199"/>
      <c r="I11054" s="199"/>
      <c r="K11054" s="199"/>
      <c r="M11054" s="199"/>
      <c r="N11054" s="200"/>
      <c r="P11054" s="199"/>
    </row>
    <row r="11055" spans="7:16" x14ac:dyDescent="0.2">
      <c r="G11055" s="199"/>
      <c r="I11055" s="199"/>
      <c r="K11055" s="199"/>
      <c r="M11055" s="199"/>
      <c r="N11055" s="200"/>
      <c r="P11055" s="199"/>
    </row>
    <row r="11056" spans="7:16" x14ac:dyDescent="0.2">
      <c r="G11056" s="199"/>
      <c r="I11056" s="199"/>
      <c r="K11056" s="199"/>
      <c r="M11056" s="199"/>
      <c r="N11056" s="200"/>
      <c r="P11056" s="199"/>
    </row>
    <row r="11057" spans="7:16" x14ac:dyDescent="0.2">
      <c r="G11057" s="199"/>
      <c r="I11057" s="199"/>
      <c r="K11057" s="199"/>
      <c r="M11057" s="199"/>
      <c r="N11057" s="200"/>
      <c r="P11057" s="199"/>
    </row>
    <row r="11058" spans="7:16" x14ac:dyDescent="0.2">
      <c r="G11058" s="199"/>
      <c r="I11058" s="199"/>
      <c r="K11058" s="199"/>
      <c r="M11058" s="199"/>
      <c r="N11058" s="200"/>
      <c r="P11058" s="199"/>
    </row>
    <row r="11059" spans="7:16" x14ac:dyDescent="0.2">
      <c r="G11059" s="199"/>
      <c r="I11059" s="199"/>
      <c r="K11059" s="199"/>
      <c r="M11059" s="199"/>
      <c r="N11059" s="200"/>
      <c r="P11059" s="199"/>
    </row>
    <row r="11060" spans="7:16" x14ac:dyDescent="0.2">
      <c r="G11060" s="199"/>
      <c r="I11060" s="199"/>
      <c r="K11060" s="199"/>
      <c r="M11060" s="199"/>
      <c r="N11060" s="200"/>
      <c r="P11060" s="199"/>
    </row>
    <row r="11061" spans="7:16" x14ac:dyDescent="0.2">
      <c r="G11061" s="199"/>
      <c r="I11061" s="199"/>
      <c r="K11061" s="199"/>
      <c r="M11061" s="199"/>
      <c r="N11061" s="200"/>
      <c r="P11061" s="199"/>
    </row>
    <row r="11062" spans="7:16" x14ac:dyDescent="0.2">
      <c r="G11062" s="199"/>
      <c r="I11062" s="199"/>
      <c r="K11062" s="199"/>
      <c r="M11062" s="199"/>
      <c r="N11062" s="200"/>
      <c r="P11062" s="199"/>
    </row>
    <row r="11063" spans="7:16" x14ac:dyDescent="0.2">
      <c r="G11063" s="199"/>
      <c r="I11063" s="199"/>
      <c r="K11063" s="199"/>
      <c r="M11063" s="199"/>
      <c r="N11063" s="200"/>
      <c r="P11063" s="199"/>
    </row>
    <row r="11064" spans="7:16" x14ac:dyDescent="0.2">
      <c r="G11064" s="199"/>
      <c r="I11064" s="199"/>
      <c r="K11064" s="199"/>
      <c r="M11064" s="199"/>
      <c r="N11064" s="200"/>
      <c r="P11064" s="199"/>
    </row>
    <row r="11065" spans="7:16" x14ac:dyDescent="0.2">
      <c r="G11065" s="199"/>
      <c r="I11065" s="199"/>
      <c r="K11065" s="199"/>
      <c r="M11065" s="199"/>
      <c r="N11065" s="200"/>
      <c r="P11065" s="199"/>
    </row>
    <row r="11066" spans="7:16" x14ac:dyDescent="0.2">
      <c r="G11066" s="199"/>
      <c r="I11066" s="199"/>
      <c r="K11066" s="199"/>
      <c r="M11066" s="199"/>
      <c r="N11066" s="200"/>
      <c r="P11066" s="199"/>
    </row>
    <row r="11067" spans="7:16" x14ac:dyDescent="0.2">
      <c r="G11067" s="199"/>
      <c r="I11067" s="199"/>
      <c r="K11067" s="199"/>
      <c r="M11067" s="199"/>
      <c r="N11067" s="200"/>
      <c r="P11067" s="199"/>
    </row>
    <row r="11068" spans="7:16" x14ac:dyDescent="0.2">
      <c r="G11068" s="199"/>
      <c r="I11068" s="199"/>
      <c r="K11068" s="199"/>
      <c r="M11068" s="199"/>
      <c r="N11068" s="200"/>
      <c r="P11068" s="199"/>
    </row>
    <row r="11069" spans="7:16" x14ac:dyDescent="0.2">
      <c r="G11069" s="199"/>
      <c r="I11069" s="199"/>
      <c r="K11069" s="199"/>
      <c r="M11069" s="199"/>
      <c r="N11069" s="200"/>
      <c r="P11069" s="199"/>
    </row>
    <row r="11070" spans="7:16" x14ac:dyDescent="0.2">
      <c r="G11070" s="199"/>
      <c r="I11070" s="199"/>
      <c r="K11070" s="199"/>
      <c r="M11070" s="199"/>
      <c r="N11070" s="200"/>
      <c r="P11070" s="199"/>
    </row>
    <row r="11071" spans="7:16" x14ac:dyDescent="0.2">
      <c r="G11071" s="199"/>
      <c r="I11071" s="199"/>
      <c r="K11071" s="199"/>
      <c r="M11071" s="199"/>
      <c r="N11071" s="200"/>
      <c r="P11071" s="199"/>
    </row>
    <row r="11072" spans="7:16" x14ac:dyDescent="0.2">
      <c r="G11072" s="199"/>
      <c r="I11072" s="199"/>
      <c r="K11072" s="199"/>
      <c r="M11072" s="199"/>
      <c r="N11072" s="200"/>
      <c r="P11072" s="199"/>
    </row>
    <row r="11073" spans="7:16" x14ac:dyDescent="0.2">
      <c r="G11073" s="199"/>
      <c r="I11073" s="199"/>
      <c r="K11073" s="199"/>
      <c r="M11073" s="199"/>
      <c r="N11073" s="200"/>
      <c r="P11073" s="199"/>
    </row>
    <row r="11074" spans="7:16" x14ac:dyDescent="0.2">
      <c r="G11074" s="199"/>
      <c r="I11074" s="199"/>
      <c r="K11074" s="199"/>
      <c r="M11074" s="199"/>
      <c r="N11074" s="200"/>
      <c r="P11074" s="199"/>
    </row>
    <row r="11075" spans="7:16" x14ac:dyDescent="0.2">
      <c r="G11075" s="199"/>
      <c r="I11075" s="199"/>
      <c r="K11075" s="199"/>
      <c r="M11075" s="199"/>
      <c r="N11075" s="200"/>
      <c r="P11075" s="199"/>
    </row>
    <row r="11076" spans="7:16" x14ac:dyDescent="0.2">
      <c r="G11076" s="199"/>
      <c r="I11076" s="199"/>
      <c r="K11076" s="199"/>
      <c r="M11076" s="199"/>
      <c r="N11076" s="200"/>
      <c r="P11076" s="199"/>
    </row>
    <row r="11077" spans="7:16" x14ac:dyDescent="0.2">
      <c r="G11077" s="199"/>
      <c r="I11077" s="199"/>
      <c r="K11077" s="199"/>
      <c r="M11077" s="199"/>
      <c r="N11077" s="200"/>
      <c r="P11077" s="199"/>
    </row>
    <row r="11078" spans="7:16" x14ac:dyDescent="0.2">
      <c r="G11078" s="199"/>
      <c r="I11078" s="199"/>
      <c r="K11078" s="199"/>
      <c r="M11078" s="199"/>
      <c r="N11078" s="200"/>
      <c r="P11078" s="199"/>
    </row>
    <row r="11079" spans="7:16" x14ac:dyDescent="0.2">
      <c r="G11079" s="199"/>
      <c r="I11079" s="199"/>
      <c r="K11079" s="199"/>
      <c r="M11079" s="199"/>
      <c r="N11079" s="200"/>
      <c r="P11079" s="199"/>
    </row>
    <row r="11080" spans="7:16" x14ac:dyDescent="0.2">
      <c r="G11080" s="199"/>
      <c r="I11080" s="199"/>
      <c r="K11080" s="199"/>
      <c r="M11080" s="199"/>
      <c r="N11080" s="200"/>
      <c r="P11080" s="199"/>
    </row>
    <row r="11081" spans="7:16" x14ac:dyDescent="0.2">
      <c r="G11081" s="199"/>
      <c r="I11081" s="199"/>
      <c r="K11081" s="199"/>
      <c r="M11081" s="199"/>
      <c r="N11081" s="200"/>
      <c r="P11081" s="199"/>
    </row>
    <row r="11082" spans="7:16" x14ac:dyDescent="0.2">
      <c r="G11082" s="199"/>
      <c r="I11082" s="199"/>
      <c r="K11082" s="199"/>
      <c r="M11082" s="199"/>
      <c r="N11082" s="200"/>
      <c r="P11082" s="199"/>
    </row>
    <row r="11083" spans="7:16" x14ac:dyDescent="0.2">
      <c r="G11083" s="199"/>
      <c r="I11083" s="199"/>
      <c r="K11083" s="199"/>
      <c r="M11083" s="199"/>
      <c r="N11083" s="200"/>
      <c r="P11083" s="199"/>
    </row>
    <row r="11084" spans="7:16" x14ac:dyDescent="0.2">
      <c r="G11084" s="199"/>
      <c r="I11084" s="199"/>
      <c r="K11084" s="199"/>
      <c r="M11084" s="199"/>
      <c r="N11084" s="200"/>
      <c r="P11084" s="199"/>
    </row>
    <row r="11085" spans="7:16" x14ac:dyDescent="0.2">
      <c r="G11085" s="199"/>
      <c r="I11085" s="199"/>
      <c r="K11085" s="199"/>
      <c r="M11085" s="199"/>
      <c r="N11085" s="200"/>
      <c r="P11085" s="199"/>
    </row>
    <row r="11086" spans="7:16" x14ac:dyDescent="0.2">
      <c r="G11086" s="199"/>
      <c r="I11086" s="199"/>
      <c r="K11086" s="199"/>
      <c r="M11086" s="199"/>
      <c r="N11086" s="200"/>
      <c r="P11086" s="199"/>
    </row>
    <row r="11087" spans="7:16" x14ac:dyDescent="0.2">
      <c r="G11087" s="199"/>
      <c r="I11087" s="199"/>
      <c r="K11087" s="199"/>
      <c r="M11087" s="199"/>
      <c r="N11087" s="200"/>
      <c r="P11087" s="199"/>
    </row>
    <row r="11088" spans="7:16" x14ac:dyDescent="0.2">
      <c r="G11088" s="199"/>
      <c r="I11088" s="199"/>
      <c r="K11088" s="199"/>
      <c r="M11088" s="199"/>
      <c r="N11088" s="200"/>
      <c r="P11088" s="199"/>
    </row>
    <row r="11089" spans="7:16" x14ac:dyDescent="0.2">
      <c r="G11089" s="199"/>
      <c r="I11089" s="199"/>
      <c r="K11089" s="199"/>
      <c r="M11089" s="199"/>
      <c r="N11089" s="200"/>
      <c r="P11089" s="199"/>
    </row>
    <row r="11090" spans="7:16" x14ac:dyDescent="0.2">
      <c r="G11090" s="199"/>
      <c r="I11090" s="199"/>
      <c r="K11090" s="199"/>
      <c r="M11090" s="199"/>
      <c r="N11090" s="200"/>
      <c r="P11090" s="199"/>
    </row>
    <row r="11091" spans="7:16" x14ac:dyDescent="0.2">
      <c r="G11091" s="199"/>
      <c r="I11091" s="199"/>
      <c r="K11091" s="199"/>
      <c r="M11091" s="199"/>
      <c r="N11091" s="200"/>
      <c r="P11091" s="199"/>
    </row>
    <row r="11092" spans="7:16" x14ac:dyDescent="0.2">
      <c r="G11092" s="199"/>
      <c r="I11092" s="199"/>
      <c r="K11092" s="199"/>
      <c r="M11092" s="199"/>
      <c r="N11092" s="200"/>
      <c r="P11092" s="199"/>
    </row>
    <row r="11093" spans="7:16" x14ac:dyDescent="0.2">
      <c r="G11093" s="199"/>
      <c r="I11093" s="199"/>
      <c r="K11093" s="199"/>
      <c r="M11093" s="199"/>
      <c r="N11093" s="200"/>
      <c r="P11093" s="199"/>
    </row>
    <row r="11094" spans="7:16" x14ac:dyDescent="0.2">
      <c r="G11094" s="199"/>
      <c r="I11094" s="199"/>
      <c r="K11094" s="199"/>
      <c r="M11094" s="199"/>
      <c r="N11094" s="200"/>
      <c r="P11094" s="199"/>
    </row>
    <row r="11095" spans="7:16" x14ac:dyDescent="0.2">
      <c r="G11095" s="199"/>
      <c r="I11095" s="199"/>
      <c r="K11095" s="199"/>
      <c r="M11095" s="199"/>
      <c r="N11095" s="200"/>
      <c r="P11095" s="199"/>
    </row>
    <row r="11096" spans="7:16" x14ac:dyDescent="0.2">
      <c r="G11096" s="199"/>
      <c r="I11096" s="199"/>
      <c r="K11096" s="199"/>
      <c r="M11096" s="199"/>
      <c r="N11096" s="200"/>
      <c r="P11096" s="199"/>
    </row>
    <row r="11097" spans="7:16" x14ac:dyDescent="0.2">
      <c r="G11097" s="199"/>
      <c r="I11097" s="199"/>
      <c r="K11097" s="199"/>
      <c r="M11097" s="199"/>
      <c r="N11097" s="200"/>
      <c r="P11097" s="199"/>
    </row>
    <row r="11098" spans="7:16" x14ac:dyDescent="0.2">
      <c r="G11098" s="199"/>
      <c r="I11098" s="199"/>
      <c r="K11098" s="199"/>
      <c r="M11098" s="199"/>
      <c r="N11098" s="200"/>
      <c r="P11098" s="199"/>
    </row>
    <row r="11099" spans="7:16" x14ac:dyDescent="0.2">
      <c r="G11099" s="199"/>
      <c r="I11099" s="199"/>
      <c r="K11099" s="199"/>
      <c r="M11099" s="199"/>
      <c r="N11099" s="200"/>
      <c r="P11099" s="199"/>
    </row>
    <row r="11100" spans="7:16" x14ac:dyDescent="0.2">
      <c r="G11100" s="199"/>
      <c r="I11100" s="199"/>
      <c r="K11100" s="199"/>
      <c r="M11100" s="199"/>
      <c r="N11100" s="200"/>
      <c r="P11100" s="199"/>
    </row>
    <row r="11101" spans="7:16" x14ac:dyDescent="0.2">
      <c r="G11101" s="199"/>
      <c r="I11101" s="199"/>
      <c r="K11101" s="199"/>
      <c r="M11101" s="199"/>
      <c r="N11101" s="200"/>
      <c r="P11101" s="199"/>
    </row>
    <row r="11102" spans="7:16" x14ac:dyDescent="0.2">
      <c r="G11102" s="199"/>
      <c r="I11102" s="199"/>
      <c r="K11102" s="199"/>
      <c r="M11102" s="199"/>
      <c r="N11102" s="200"/>
      <c r="P11102" s="199"/>
    </row>
    <row r="11103" spans="7:16" x14ac:dyDescent="0.2">
      <c r="G11103" s="199"/>
      <c r="I11103" s="199"/>
      <c r="K11103" s="199"/>
      <c r="M11103" s="199"/>
      <c r="N11103" s="200"/>
      <c r="P11103" s="199"/>
    </row>
    <row r="11104" spans="7:16" x14ac:dyDescent="0.2">
      <c r="G11104" s="199"/>
      <c r="I11104" s="199"/>
      <c r="K11104" s="199"/>
      <c r="M11104" s="199"/>
      <c r="N11104" s="200"/>
      <c r="P11104" s="199"/>
    </row>
    <row r="11105" spans="7:16" x14ac:dyDescent="0.2">
      <c r="G11105" s="199"/>
      <c r="I11105" s="199"/>
      <c r="K11105" s="199"/>
      <c r="M11105" s="199"/>
      <c r="N11105" s="200"/>
      <c r="P11105" s="199"/>
    </row>
    <row r="11106" spans="7:16" x14ac:dyDescent="0.2">
      <c r="G11106" s="199"/>
      <c r="I11106" s="199"/>
      <c r="K11106" s="199"/>
      <c r="M11106" s="199"/>
      <c r="N11106" s="200"/>
      <c r="P11106" s="199"/>
    </row>
    <row r="11107" spans="7:16" x14ac:dyDescent="0.2">
      <c r="G11107" s="199"/>
      <c r="I11107" s="199"/>
      <c r="K11107" s="199"/>
      <c r="M11107" s="199"/>
      <c r="N11107" s="200"/>
      <c r="P11107" s="199"/>
    </row>
    <row r="11108" spans="7:16" x14ac:dyDescent="0.2">
      <c r="G11108" s="199"/>
      <c r="I11108" s="199"/>
      <c r="K11108" s="199"/>
      <c r="M11108" s="199"/>
      <c r="N11108" s="200"/>
      <c r="P11108" s="199"/>
    </row>
    <row r="11109" spans="7:16" x14ac:dyDescent="0.2">
      <c r="G11109" s="199"/>
      <c r="I11109" s="199"/>
      <c r="K11109" s="199"/>
      <c r="M11109" s="199"/>
      <c r="N11109" s="200"/>
      <c r="P11109" s="199"/>
    </row>
    <row r="11110" spans="7:16" x14ac:dyDescent="0.2">
      <c r="G11110" s="199"/>
      <c r="I11110" s="199"/>
      <c r="K11110" s="199"/>
      <c r="M11110" s="199"/>
      <c r="N11110" s="200"/>
      <c r="P11110" s="199"/>
    </row>
    <row r="11111" spans="7:16" x14ac:dyDescent="0.2">
      <c r="G11111" s="199"/>
      <c r="I11111" s="199"/>
      <c r="K11111" s="199"/>
      <c r="M11111" s="199"/>
      <c r="N11111" s="200"/>
      <c r="P11111" s="199"/>
    </row>
    <row r="11112" spans="7:16" x14ac:dyDescent="0.2">
      <c r="G11112" s="199"/>
      <c r="I11112" s="199"/>
      <c r="K11112" s="199"/>
      <c r="M11112" s="199"/>
      <c r="N11112" s="200"/>
      <c r="P11112" s="199"/>
    </row>
    <row r="11113" spans="7:16" x14ac:dyDescent="0.2">
      <c r="G11113" s="199"/>
      <c r="I11113" s="199"/>
      <c r="K11113" s="199"/>
      <c r="M11113" s="199"/>
      <c r="N11113" s="200"/>
      <c r="P11113" s="199"/>
    </row>
    <row r="11114" spans="7:16" x14ac:dyDescent="0.2">
      <c r="G11114" s="199"/>
      <c r="I11114" s="199"/>
      <c r="K11114" s="199"/>
      <c r="M11114" s="199"/>
      <c r="N11114" s="200"/>
      <c r="P11114" s="199"/>
    </row>
    <row r="11115" spans="7:16" x14ac:dyDescent="0.2">
      <c r="G11115" s="199"/>
      <c r="I11115" s="199"/>
      <c r="K11115" s="199"/>
      <c r="M11115" s="199"/>
      <c r="N11115" s="200"/>
      <c r="P11115" s="199"/>
    </row>
    <row r="11116" spans="7:16" x14ac:dyDescent="0.2">
      <c r="G11116" s="199"/>
      <c r="I11116" s="199"/>
      <c r="K11116" s="199"/>
      <c r="M11116" s="199"/>
      <c r="N11116" s="200"/>
      <c r="P11116" s="199"/>
    </row>
    <row r="11117" spans="7:16" x14ac:dyDescent="0.2">
      <c r="G11117" s="199"/>
      <c r="I11117" s="199"/>
      <c r="K11117" s="199"/>
      <c r="M11117" s="199"/>
      <c r="N11117" s="200"/>
      <c r="P11117" s="199"/>
    </row>
    <row r="11118" spans="7:16" x14ac:dyDescent="0.2">
      <c r="G11118" s="199"/>
      <c r="I11118" s="199"/>
      <c r="K11118" s="199"/>
      <c r="M11118" s="199"/>
      <c r="N11118" s="200"/>
      <c r="P11118" s="199"/>
    </row>
    <row r="11119" spans="7:16" x14ac:dyDescent="0.2">
      <c r="G11119" s="199"/>
      <c r="I11119" s="199"/>
      <c r="K11119" s="199"/>
      <c r="M11119" s="199"/>
      <c r="N11119" s="200"/>
      <c r="P11119" s="199"/>
    </row>
    <row r="11120" spans="7:16" x14ac:dyDescent="0.2">
      <c r="G11120" s="199"/>
      <c r="I11120" s="199"/>
      <c r="K11120" s="199"/>
      <c r="M11120" s="199"/>
      <c r="N11120" s="200"/>
      <c r="P11120" s="199"/>
    </row>
    <row r="11121" spans="7:16" x14ac:dyDescent="0.2">
      <c r="G11121" s="199"/>
      <c r="I11121" s="199"/>
      <c r="K11121" s="199"/>
      <c r="M11121" s="199"/>
      <c r="N11121" s="200"/>
      <c r="P11121" s="199"/>
    </row>
    <row r="11122" spans="7:16" x14ac:dyDescent="0.2">
      <c r="G11122" s="199"/>
      <c r="I11122" s="199"/>
      <c r="K11122" s="199"/>
      <c r="M11122" s="199"/>
      <c r="N11122" s="200"/>
      <c r="P11122" s="199"/>
    </row>
    <row r="11123" spans="7:16" x14ac:dyDescent="0.2">
      <c r="G11123" s="199"/>
      <c r="I11123" s="199"/>
      <c r="K11123" s="199"/>
      <c r="M11123" s="199"/>
      <c r="N11123" s="200"/>
      <c r="P11123" s="199"/>
    </row>
    <row r="11124" spans="7:16" x14ac:dyDescent="0.2">
      <c r="G11124" s="199"/>
      <c r="I11124" s="199"/>
      <c r="K11124" s="199"/>
      <c r="M11124" s="199"/>
      <c r="N11124" s="200"/>
      <c r="P11124" s="199"/>
    </row>
    <row r="11125" spans="7:16" x14ac:dyDescent="0.2">
      <c r="G11125" s="199"/>
      <c r="I11125" s="199"/>
      <c r="K11125" s="199"/>
      <c r="M11125" s="199"/>
      <c r="N11125" s="200"/>
      <c r="P11125" s="199"/>
    </row>
    <row r="11126" spans="7:16" x14ac:dyDescent="0.2">
      <c r="G11126" s="199"/>
      <c r="I11126" s="199"/>
      <c r="K11126" s="199"/>
      <c r="M11126" s="199"/>
      <c r="N11126" s="200"/>
      <c r="P11126" s="199"/>
    </row>
    <row r="11127" spans="7:16" x14ac:dyDescent="0.2">
      <c r="G11127" s="199"/>
      <c r="I11127" s="199"/>
      <c r="K11127" s="199"/>
      <c r="M11127" s="199"/>
      <c r="N11127" s="200"/>
      <c r="P11127" s="199"/>
    </row>
    <row r="11128" spans="7:16" x14ac:dyDescent="0.2">
      <c r="G11128" s="199"/>
      <c r="I11128" s="199"/>
      <c r="K11128" s="199"/>
      <c r="M11128" s="199"/>
      <c r="N11128" s="200"/>
      <c r="P11128" s="199"/>
    </row>
    <row r="11129" spans="7:16" x14ac:dyDescent="0.2">
      <c r="G11129" s="199"/>
      <c r="I11129" s="199"/>
      <c r="K11129" s="199"/>
      <c r="M11129" s="199"/>
      <c r="N11129" s="200"/>
      <c r="P11129" s="199"/>
    </row>
    <row r="11130" spans="7:16" x14ac:dyDescent="0.2">
      <c r="G11130" s="199"/>
      <c r="I11130" s="199"/>
      <c r="K11130" s="199"/>
      <c r="M11130" s="199"/>
      <c r="N11130" s="200"/>
      <c r="P11130" s="199"/>
    </row>
    <row r="11131" spans="7:16" x14ac:dyDescent="0.2">
      <c r="G11131" s="199"/>
      <c r="I11131" s="199"/>
      <c r="K11131" s="199"/>
      <c r="M11131" s="199"/>
      <c r="N11131" s="200"/>
      <c r="P11131" s="199"/>
    </row>
    <row r="11132" spans="7:16" x14ac:dyDescent="0.2">
      <c r="G11132" s="199"/>
      <c r="I11132" s="199"/>
      <c r="K11132" s="199"/>
      <c r="M11132" s="199"/>
      <c r="N11132" s="200"/>
      <c r="P11132" s="199"/>
    </row>
    <row r="11133" spans="7:16" x14ac:dyDescent="0.2">
      <c r="G11133" s="199"/>
      <c r="I11133" s="199"/>
      <c r="K11133" s="199"/>
      <c r="M11133" s="199"/>
      <c r="N11133" s="200"/>
      <c r="P11133" s="199"/>
    </row>
    <row r="11134" spans="7:16" x14ac:dyDescent="0.2">
      <c r="G11134" s="199"/>
      <c r="I11134" s="199"/>
      <c r="K11134" s="199"/>
      <c r="M11134" s="199"/>
      <c r="N11134" s="200"/>
      <c r="P11134" s="199"/>
    </row>
    <row r="11135" spans="7:16" x14ac:dyDescent="0.2">
      <c r="G11135" s="199"/>
      <c r="I11135" s="199"/>
      <c r="K11135" s="199"/>
      <c r="M11135" s="199"/>
      <c r="N11135" s="200"/>
      <c r="P11135" s="199"/>
    </row>
    <row r="11136" spans="7:16" x14ac:dyDescent="0.2">
      <c r="G11136" s="199"/>
      <c r="I11136" s="199"/>
      <c r="K11136" s="199"/>
      <c r="M11136" s="199"/>
      <c r="N11136" s="200"/>
      <c r="P11136" s="199"/>
    </row>
    <row r="11137" spans="7:16" x14ac:dyDescent="0.2">
      <c r="G11137" s="199"/>
      <c r="I11137" s="199"/>
      <c r="K11137" s="199"/>
      <c r="M11137" s="199"/>
      <c r="N11137" s="200"/>
      <c r="P11137" s="199"/>
    </row>
    <row r="11138" spans="7:16" x14ac:dyDescent="0.2">
      <c r="G11138" s="199"/>
      <c r="I11138" s="199"/>
      <c r="K11138" s="199"/>
      <c r="M11138" s="199"/>
      <c r="N11138" s="200"/>
      <c r="P11138" s="199"/>
    </row>
    <row r="11139" spans="7:16" x14ac:dyDescent="0.2">
      <c r="G11139" s="199"/>
      <c r="I11139" s="199"/>
      <c r="K11139" s="199"/>
      <c r="M11139" s="199"/>
      <c r="N11139" s="200"/>
      <c r="P11139" s="199"/>
    </row>
    <row r="11140" spans="7:16" x14ac:dyDescent="0.2">
      <c r="G11140" s="199"/>
      <c r="I11140" s="199"/>
      <c r="K11140" s="199"/>
      <c r="M11140" s="199"/>
      <c r="N11140" s="200"/>
      <c r="P11140" s="199"/>
    </row>
    <row r="11141" spans="7:16" x14ac:dyDescent="0.2">
      <c r="G11141" s="199"/>
      <c r="I11141" s="199"/>
      <c r="K11141" s="199"/>
      <c r="M11141" s="199"/>
      <c r="N11141" s="200"/>
      <c r="P11141" s="199"/>
    </row>
    <row r="11142" spans="7:16" x14ac:dyDescent="0.2">
      <c r="G11142" s="199"/>
      <c r="I11142" s="199"/>
      <c r="K11142" s="199"/>
      <c r="M11142" s="199"/>
      <c r="N11142" s="200"/>
      <c r="P11142" s="199"/>
    </row>
    <row r="11143" spans="7:16" x14ac:dyDescent="0.2">
      <c r="G11143" s="199"/>
      <c r="I11143" s="199"/>
      <c r="K11143" s="199"/>
      <c r="M11143" s="199"/>
      <c r="N11143" s="200"/>
      <c r="P11143" s="199"/>
    </row>
    <row r="11144" spans="7:16" x14ac:dyDescent="0.2">
      <c r="G11144" s="199"/>
      <c r="I11144" s="199"/>
      <c r="K11144" s="199"/>
      <c r="M11144" s="199"/>
      <c r="N11144" s="200"/>
      <c r="P11144" s="199"/>
    </row>
    <row r="11145" spans="7:16" x14ac:dyDescent="0.2">
      <c r="G11145" s="199"/>
      <c r="I11145" s="199"/>
      <c r="K11145" s="199"/>
      <c r="M11145" s="199"/>
      <c r="N11145" s="200"/>
      <c r="P11145" s="199"/>
    </row>
    <row r="11146" spans="7:16" x14ac:dyDescent="0.2">
      <c r="G11146" s="199"/>
      <c r="I11146" s="199"/>
      <c r="K11146" s="199"/>
      <c r="M11146" s="199"/>
      <c r="N11146" s="200"/>
      <c r="P11146" s="199"/>
    </row>
    <row r="11147" spans="7:16" x14ac:dyDescent="0.2">
      <c r="G11147" s="199"/>
      <c r="I11147" s="199"/>
      <c r="K11147" s="199"/>
      <c r="M11147" s="199"/>
      <c r="N11147" s="200"/>
      <c r="P11147" s="199"/>
    </row>
    <row r="11148" spans="7:16" x14ac:dyDescent="0.2">
      <c r="G11148" s="199"/>
      <c r="I11148" s="199"/>
      <c r="K11148" s="199"/>
      <c r="M11148" s="199"/>
      <c r="N11148" s="200"/>
      <c r="P11148" s="199"/>
    </row>
    <row r="11149" spans="7:16" x14ac:dyDescent="0.2">
      <c r="G11149" s="199"/>
      <c r="I11149" s="199"/>
      <c r="K11149" s="199"/>
      <c r="M11149" s="199"/>
      <c r="N11149" s="200"/>
      <c r="P11149" s="199"/>
    </row>
    <row r="11150" spans="7:16" x14ac:dyDescent="0.2">
      <c r="G11150" s="199"/>
      <c r="I11150" s="199"/>
      <c r="K11150" s="199"/>
      <c r="M11150" s="199"/>
      <c r="N11150" s="200"/>
      <c r="P11150" s="199"/>
    </row>
    <row r="11151" spans="7:16" x14ac:dyDescent="0.2">
      <c r="G11151" s="199"/>
      <c r="I11151" s="199"/>
      <c r="K11151" s="199"/>
      <c r="M11151" s="199"/>
      <c r="N11151" s="200"/>
      <c r="P11151" s="199"/>
    </row>
    <row r="11152" spans="7:16" x14ac:dyDescent="0.2">
      <c r="G11152" s="199"/>
      <c r="I11152" s="199"/>
      <c r="K11152" s="199"/>
      <c r="M11152" s="199"/>
      <c r="N11152" s="200"/>
      <c r="P11152" s="199"/>
    </row>
    <row r="11153" spans="7:16" x14ac:dyDescent="0.2">
      <c r="G11153" s="199"/>
      <c r="I11153" s="199"/>
      <c r="K11153" s="199"/>
      <c r="M11153" s="199"/>
      <c r="N11153" s="200"/>
      <c r="P11153" s="199"/>
    </row>
    <row r="11154" spans="7:16" x14ac:dyDescent="0.2">
      <c r="G11154" s="199"/>
      <c r="I11154" s="199"/>
      <c r="K11154" s="199"/>
      <c r="M11154" s="199"/>
      <c r="N11154" s="200"/>
      <c r="P11154" s="199"/>
    </row>
    <row r="11155" spans="7:16" x14ac:dyDescent="0.2">
      <c r="G11155" s="199"/>
      <c r="I11155" s="199"/>
      <c r="K11155" s="199"/>
      <c r="M11155" s="199"/>
      <c r="N11155" s="200"/>
      <c r="P11155" s="199"/>
    </row>
    <row r="11156" spans="7:16" x14ac:dyDescent="0.2">
      <c r="G11156" s="199"/>
      <c r="I11156" s="199"/>
      <c r="K11156" s="199"/>
      <c r="M11156" s="199"/>
      <c r="N11156" s="200"/>
      <c r="P11156" s="199"/>
    </row>
    <row r="11157" spans="7:16" x14ac:dyDescent="0.2">
      <c r="G11157" s="199"/>
      <c r="I11157" s="199"/>
      <c r="K11157" s="199"/>
      <c r="M11157" s="199"/>
      <c r="N11157" s="200"/>
      <c r="P11157" s="199"/>
    </row>
    <row r="11158" spans="7:16" x14ac:dyDescent="0.2">
      <c r="G11158" s="199"/>
      <c r="I11158" s="199"/>
      <c r="K11158" s="199"/>
      <c r="M11158" s="199"/>
      <c r="N11158" s="200"/>
      <c r="P11158" s="199"/>
    </row>
    <row r="11159" spans="7:16" x14ac:dyDescent="0.2">
      <c r="G11159" s="199"/>
      <c r="I11159" s="199"/>
      <c r="K11159" s="199"/>
      <c r="M11159" s="199"/>
      <c r="N11159" s="200"/>
      <c r="P11159" s="199"/>
    </row>
    <row r="11160" spans="7:16" x14ac:dyDescent="0.2">
      <c r="G11160" s="199"/>
      <c r="I11160" s="199"/>
      <c r="K11160" s="199"/>
      <c r="M11160" s="199"/>
      <c r="N11160" s="200"/>
      <c r="P11160" s="199"/>
    </row>
    <row r="11161" spans="7:16" x14ac:dyDescent="0.2">
      <c r="G11161" s="199"/>
      <c r="I11161" s="199"/>
      <c r="K11161" s="199"/>
      <c r="M11161" s="199"/>
      <c r="N11161" s="200"/>
      <c r="P11161" s="199"/>
    </row>
    <row r="11162" spans="7:16" x14ac:dyDescent="0.2">
      <c r="G11162" s="199"/>
      <c r="I11162" s="199"/>
      <c r="K11162" s="199"/>
      <c r="M11162" s="199"/>
      <c r="N11162" s="200"/>
      <c r="P11162" s="199"/>
    </row>
    <row r="11163" spans="7:16" x14ac:dyDescent="0.2">
      <c r="G11163" s="199"/>
      <c r="I11163" s="199"/>
      <c r="K11163" s="199"/>
      <c r="M11163" s="199"/>
      <c r="N11163" s="200"/>
      <c r="P11163" s="199"/>
    </row>
    <row r="11164" spans="7:16" x14ac:dyDescent="0.2">
      <c r="G11164" s="199"/>
      <c r="I11164" s="199"/>
      <c r="K11164" s="199"/>
      <c r="M11164" s="199"/>
      <c r="N11164" s="200"/>
      <c r="P11164" s="199"/>
    </row>
    <row r="11165" spans="7:16" x14ac:dyDescent="0.2">
      <c r="G11165" s="199"/>
      <c r="I11165" s="199"/>
      <c r="K11165" s="199"/>
      <c r="M11165" s="199"/>
      <c r="N11165" s="200"/>
      <c r="P11165" s="199"/>
    </row>
    <row r="11166" spans="7:16" x14ac:dyDescent="0.2">
      <c r="G11166" s="199"/>
      <c r="I11166" s="199"/>
      <c r="K11166" s="199"/>
      <c r="M11166" s="199"/>
      <c r="N11166" s="200"/>
      <c r="P11166" s="199"/>
    </row>
    <row r="11167" spans="7:16" x14ac:dyDescent="0.2">
      <c r="G11167" s="199"/>
      <c r="I11167" s="199"/>
      <c r="K11167" s="199"/>
      <c r="M11167" s="199"/>
      <c r="N11167" s="200"/>
      <c r="P11167" s="199"/>
    </row>
    <row r="11168" spans="7:16" x14ac:dyDescent="0.2">
      <c r="G11168" s="199"/>
      <c r="I11168" s="199"/>
      <c r="K11168" s="199"/>
      <c r="M11168" s="199"/>
      <c r="N11168" s="200"/>
      <c r="P11168" s="199"/>
    </row>
    <row r="11169" spans="7:16" x14ac:dyDescent="0.2">
      <c r="G11169" s="199"/>
      <c r="I11169" s="199"/>
      <c r="K11169" s="199"/>
      <c r="M11169" s="199"/>
      <c r="N11169" s="200"/>
      <c r="P11169" s="199"/>
    </row>
    <row r="11170" spans="7:16" x14ac:dyDescent="0.2">
      <c r="G11170" s="199"/>
      <c r="I11170" s="199"/>
      <c r="K11170" s="199"/>
      <c r="M11170" s="199"/>
      <c r="N11170" s="200"/>
      <c r="P11170" s="199"/>
    </row>
    <row r="11171" spans="7:16" x14ac:dyDescent="0.2">
      <c r="G11171" s="199"/>
      <c r="I11171" s="199"/>
      <c r="K11171" s="199"/>
      <c r="M11171" s="199"/>
      <c r="N11171" s="200"/>
      <c r="P11171" s="199"/>
    </row>
    <row r="11172" spans="7:16" x14ac:dyDescent="0.2">
      <c r="G11172" s="199"/>
      <c r="I11172" s="199"/>
      <c r="K11172" s="199"/>
      <c r="M11172" s="199"/>
      <c r="N11172" s="200"/>
      <c r="P11172" s="199"/>
    </row>
    <row r="11173" spans="7:16" x14ac:dyDescent="0.2">
      <c r="G11173" s="199"/>
      <c r="I11173" s="199"/>
      <c r="K11173" s="199"/>
      <c r="M11173" s="199"/>
      <c r="N11173" s="200"/>
      <c r="P11173" s="199"/>
    </row>
    <row r="11174" spans="7:16" x14ac:dyDescent="0.2">
      <c r="G11174" s="199"/>
      <c r="I11174" s="199"/>
      <c r="K11174" s="199"/>
      <c r="M11174" s="199"/>
      <c r="N11174" s="200"/>
      <c r="P11174" s="199"/>
    </row>
    <row r="11175" spans="7:16" x14ac:dyDescent="0.2">
      <c r="G11175" s="199"/>
      <c r="I11175" s="199"/>
      <c r="K11175" s="199"/>
      <c r="M11175" s="199"/>
      <c r="N11175" s="200"/>
      <c r="P11175" s="199"/>
    </row>
    <row r="11176" spans="7:16" x14ac:dyDescent="0.2">
      <c r="G11176" s="199"/>
      <c r="I11176" s="199"/>
      <c r="K11176" s="199"/>
      <c r="M11176" s="199"/>
      <c r="N11176" s="200"/>
      <c r="P11176" s="199"/>
    </row>
    <row r="11177" spans="7:16" x14ac:dyDescent="0.2">
      <c r="G11177" s="199"/>
      <c r="I11177" s="199"/>
      <c r="K11177" s="199"/>
      <c r="M11177" s="199"/>
      <c r="N11177" s="200"/>
      <c r="P11177" s="199"/>
    </row>
    <row r="11178" spans="7:16" x14ac:dyDescent="0.2">
      <c r="G11178" s="199"/>
      <c r="I11178" s="199"/>
      <c r="K11178" s="199"/>
      <c r="M11178" s="199"/>
      <c r="N11178" s="200"/>
      <c r="P11178" s="199"/>
    </row>
    <row r="11179" spans="7:16" x14ac:dyDescent="0.2">
      <c r="G11179" s="199"/>
      <c r="I11179" s="199"/>
      <c r="K11179" s="199"/>
      <c r="M11179" s="199"/>
      <c r="N11179" s="200"/>
      <c r="P11179" s="199"/>
    </row>
    <row r="11180" spans="7:16" x14ac:dyDescent="0.2">
      <c r="G11180" s="199"/>
      <c r="I11180" s="199"/>
      <c r="K11180" s="199"/>
      <c r="M11180" s="199"/>
      <c r="N11180" s="200"/>
      <c r="P11180" s="199"/>
    </row>
    <row r="11181" spans="7:16" x14ac:dyDescent="0.2">
      <c r="G11181" s="199"/>
      <c r="I11181" s="199"/>
      <c r="K11181" s="199"/>
      <c r="M11181" s="199"/>
      <c r="N11181" s="200"/>
      <c r="P11181" s="199"/>
    </row>
    <row r="11182" spans="7:16" x14ac:dyDescent="0.2">
      <c r="G11182" s="199"/>
      <c r="I11182" s="199"/>
      <c r="K11182" s="199"/>
      <c r="M11182" s="199"/>
      <c r="N11182" s="200"/>
      <c r="P11182" s="199"/>
    </row>
    <row r="11183" spans="7:16" x14ac:dyDescent="0.2">
      <c r="G11183" s="199"/>
      <c r="I11183" s="199"/>
      <c r="K11183" s="199"/>
      <c r="M11183" s="199"/>
      <c r="N11183" s="200"/>
      <c r="P11183" s="199"/>
    </row>
    <row r="11184" spans="7:16" x14ac:dyDescent="0.2">
      <c r="G11184" s="199"/>
      <c r="I11184" s="199"/>
      <c r="K11184" s="199"/>
      <c r="M11184" s="199"/>
      <c r="N11184" s="200"/>
      <c r="P11184" s="199"/>
    </row>
    <row r="11185" spans="7:16" x14ac:dyDescent="0.2">
      <c r="G11185" s="199"/>
      <c r="I11185" s="199"/>
      <c r="K11185" s="199"/>
      <c r="M11185" s="199"/>
      <c r="N11185" s="200"/>
      <c r="P11185" s="199"/>
    </row>
    <row r="11186" spans="7:16" x14ac:dyDescent="0.2">
      <c r="G11186" s="199"/>
      <c r="I11186" s="199"/>
      <c r="K11186" s="199"/>
      <c r="M11186" s="199"/>
      <c r="N11186" s="200"/>
      <c r="P11186" s="199"/>
    </row>
    <row r="11187" spans="7:16" x14ac:dyDescent="0.2">
      <c r="G11187" s="199"/>
      <c r="I11187" s="199"/>
      <c r="K11187" s="199"/>
      <c r="M11187" s="199"/>
      <c r="N11187" s="200"/>
      <c r="P11187" s="199"/>
    </row>
    <row r="11188" spans="7:16" x14ac:dyDescent="0.2">
      <c r="G11188" s="199"/>
      <c r="I11188" s="199"/>
      <c r="K11188" s="199"/>
      <c r="M11188" s="199"/>
      <c r="N11188" s="200"/>
      <c r="P11188" s="199"/>
    </row>
    <row r="11189" spans="7:16" x14ac:dyDescent="0.2">
      <c r="G11189" s="199"/>
      <c r="I11189" s="199"/>
      <c r="K11189" s="199"/>
      <c r="M11189" s="199"/>
      <c r="N11189" s="200"/>
      <c r="P11189" s="199"/>
    </row>
    <row r="11190" spans="7:16" x14ac:dyDescent="0.2">
      <c r="G11190" s="199"/>
      <c r="I11190" s="199"/>
      <c r="K11190" s="199"/>
      <c r="M11190" s="199"/>
      <c r="N11190" s="200"/>
      <c r="P11190" s="199"/>
    </row>
    <row r="11191" spans="7:16" x14ac:dyDescent="0.2">
      <c r="G11191" s="199"/>
      <c r="I11191" s="199"/>
      <c r="K11191" s="199"/>
      <c r="M11191" s="199"/>
      <c r="N11191" s="200"/>
      <c r="P11191" s="199"/>
    </row>
    <row r="11192" spans="7:16" x14ac:dyDescent="0.2">
      <c r="G11192" s="199"/>
      <c r="I11192" s="199"/>
      <c r="K11192" s="199"/>
      <c r="M11192" s="199"/>
      <c r="N11192" s="200"/>
      <c r="P11192" s="199"/>
    </row>
    <row r="11193" spans="7:16" x14ac:dyDescent="0.2">
      <c r="G11193" s="199"/>
      <c r="I11193" s="199"/>
      <c r="K11193" s="199"/>
      <c r="M11193" s="199"/>
      <c r="N11193" s="200"/>
      <c r="P11193" s="199"/>
    </row>
    <row r="11194" spans="7:16" x14ac:dyDescent="0.2">
      <c r="G11194" s="199"/>
      <c r="I11194" s="199"/>
      <c r="K11194" s="199"/>
      <c r="M11194" s="199"/>
      <c r="N11194" s="200"/>
      <c r="P11194" s="199"/>
    </row>
    <row r="11195" spans="7:16" x14ac:dyDescent="0.2">
      <c r="G11195" s="199"/>
      <c r="I11195" s="199"/>
      <c r="K11195" s="199"/>
      <c r="M11195" s="199"/>
      <c r="N11195" s="200"/>
      <c r="P11195" s="199"/>
    </row>
    <row r="11196" spans="7:16" x14ac:dyDescent="0.2">
      <c r="G11196" s="199"/>
      <c r="I11196" s="199"/>
      <c r="K11196" s="199"/>
      <c r="M11196" s="199"/>
      <c r="N11196" s="200"/>
      <c r="P11196" s="199"/>
    </row>
    <row r="11197" spans="7:16" x14ac:dyDescent="0.2">
      <c r="G11197" s="199"/>
      <c r="I11197" s="199"/>
      <c r="K11197" s="199"/>
      <c r="M11197" s="199"/>
      <c r="N11197" s="200"/>
      <c r="P11197" s="199"/>
    </row>
    <row r="11198" spans="7:16" x14ac:dyDescent="0.2">
      <c r="G11198" s="199"/>
      <c r="I11198" s="199"/>
      <c r="K11198" s="199"/>
      <c r="M11198" s="199"/>
      <c r="N11198" s="200"/>
      <c r="P11198" s="199"/>
    </row>
    <row r="11199" spans="7:16" x14ac:dyDescent="0.2">
      <c r="G11199" s="199"/>
      <c r="I11199" s="199"/>
      <c r="K11199" s="199"/>
      <c r="M11199" s="199"/>
      <c r="N11199" s="200"/>
      <c r="P11199" s="199"/>
    </row>
    <row r="11200" spans="7:16" x14ac:dyDescent="0.2">
      <c r="G11200" s="199"/>
      <c r="I11200" s="199"/>
      <c r="K11200" s="199"/>
      <c r="M11200" s="199"/>
      <c r="N11200" s="200"/>
      <c r="P11200" s="199"/>
    </row>
    <row r="11201" spans="7:16" x14ac:dyDescent="0.2">
      <c r="G11201" s="199"/>
      <c r="I11201" s="199"/>
      <c r="K11201" s="199"/>
      <c r="M11201" s="199"/>
      <c r="N11201" s="200"/>
      <c r="P11201" s="199"/>
    </row>
    <row r="11202" spans="7:16" x14ac:dyDescent="0.2">
      <c r="G11202" s="199"/>
      <c r="I11202" s="199"/>
      <c r="K11202" s="199"/>
      <c r="M11202" s="199"/>
      <c r="N11202" s="200"/>
      <c r="P11202" s="199"/>
    </row>
    <row r="11203" spans="7:16" x14ac:dyDescent="0.2">
      <c r="G11203" s="199"/>
      <c r="I11203" s="199"/>
      <c r="K11203" s="199"/>
      <c r="M11203" s="199"/>
      <c r="N11203" s="200"/>
      <c r="P11203" s="199"/>
    </row>
    <row r="11204" spans="7:16" x14ac:dyDescent="0.2">
      <c r="G11204" s="199"/>
      <c r="I11204" s="199"/>
      <c r="K11204" s="199"/>
      <c r="M11204" s="199"/>
      <c r="N11204" s="200"/>
      <c r="P11204" s="199"/>
    </row>
    <row r="11205" spans="7:16" x14ac:dyDescent="0.2">
      <c r="G11205" s="199"/>
      <c r="I11205" s="199"/>
      <c r="K11205" s="199"/>
      <c r="M11205" s="199"/>
      <c r="N11205" s="200"/>
      <c r="P11205" s="199"/>
    </row>
    <row r="11206" spans="7:16" x14ac:dyDescent="0.2">
      <c r="G11206" s="199"/>
      <c r="I11206" s="199"/>
      <c r="K11206" s="199"/>
      <c r="M11206" s="199"/>
      <c r="N11206" s="200"/>
      <c r="P11206" s="199"/>
    </row>
    <row r="11207" spans="7:16" x14ac:dyDescent="0.2">
      <c r="G11207" s="199"/>
      <c r="I11207" s="199"/>
      <c r="K11207" s="199"/>
      <c r="M11207" s="199"/>
      <c r="N11207" s="200"/>
      <c r="P11207" s="199"/>
    </row>
    <row r="11208" spans="7:16" x14ac:dyDescent="0.2">
      <c r="G11208" s="199"/>
      <c r="I11208" s="199"/>
      <c r="K11208" s="199"/>
      <c r="M11208" s="199"/>
      <c r="N11208" s="200"/>
      <c r="P11208" s="199"/>
    </row>
    <row r="11209" spans="7:16" x14ac:dyDescent="0.2">
      <c r="G11209" s="199"/>
      <c r="I11209" s="199"/>
      <c r="K11209" s="199"/>
      <c r="M11209" s="199"/>
      <c r="N11209" s="200"/>
      <c r="P11209" s="199"/>
    </row>
    <row r="11210" spans="7:16" x14ac:dyDescent="0.2">
      <c r="G11210" s="199"/>
      <c r="I11210" s="199"/>
      <c r="K11210" s="199"/>
      <c r="M11210" s="199"/>
      <c r="N11210" s="200"/>
      <c r="P11210" s="199"/>
    </row>
    <row r="11211" spans="7:16" x14ac:dyDescent="0.2">
      <c r="G11211" s="199"/>
      <c r="I11211" s="199"/>
      <c r="K11211" s="199"/>
      <c r="M11211" s="199"/>
      <c r="N11211" s="200"/>
      <c r="P11211" s="199"/>
    </row>
    <row r="11212" spans="7:16" x14ac:dyDescent="0.2">
      <c r="G11212" s="199"/>
      <c r="I11212" s="199"/>
      <c r="K11212" s="199"/>
      <c r="M11212" s="199"/>
      <c r="N11212" s="200"/>
      <c r="P11212" s="199"/>
    </row>
    <row r="11213" spans="7:16" x14ac:dyDescent="0.2">
      <c r="G11213" s="199"/>
      <c r="I11213" s="199"/>
      <c r="K11213" s="199"/>
      <c r="M11213" s="199"/>
      <c r="N11213" s="200"/>
      <c r="P11213" s="199"/>
    </row>
    <row r="11214" spans="7:16" x14ac:dyDescent="0.2">
      <c r="G11214" s="199"/>
      <c r="I11214" s="199"/>
      <c r="K11214" s="199"/>
      <c r="M11214" s="199"/>
      <c r="N11214" s="200"/>
      <c r="P11214" s="199"/>
    </row>
    <row r="11215" spans="7:16" x14ac:dyDescent="0.2">
      <c r="G11215" s="199"/>
      <c r="I11215" s="199"/>
      <c r="K11215" s="199"/>
      <c r="M11215" s="199"/>
      <c r="N11215" s="200"/>
      <c r="P11215" s="199"/>
    </row>
    <row r="11216" spans="7:16" x14ac:dyDescent="0.2">
      <c r="G11216" s="199"/>
      <c r="I11216" s="199"/>
      <c r="K11216" s="199"/>
      <c r="M11216" s="199"/>
      <c r="N11216" s="200"/>
      <c r="P11216" s="199"/>
    </row>
    <row r="11217" spans="7:16" x14ac:dyDescent="0.2">
      <c r="G11217" s="199"/>
      <c r="I11217" s="199"/>
      <c r="K11217" s="199"/>
      <c r="M11217" s="199"/>
      <c r="N11217" s="200"/>
      <c r="P11217" s="199"/>
    </row>
    <row r="11218" spans="7:16" x14ac:dyDescent="0.2">
      <c r="G11218" s="199"/>
      <c r="I11218" s="199"/>
      <c r="K11218" s="199"/>
      <c r="M11218" s="199"/>
      <c r="N11218" s="200"/>
      <c r="P11218" s="199"/>
    </row>
    <row r="11219" spans="7:16" x14ac:dyDescent="0.2">
      <c r="G11219" s="199"/>
      <c r="I11219" s="199"/>
      <c r="K11219" s="199"/>
      <c r="M11219" s="199"/>
      <c r="N11219" s="200"/>
      <c r="P11219" s="199"/>
    </row>
    <row r="11220" spans="7:16" x14ac:dyDescent="0.2">
      <c r="G11220" s="199"/>
      <c r="I11220" s="199"/>
      <c r="K11220" s="199"/>
      <c r="M11220" s="199"/>
      <c r="N11220" s="200"/>
      <c r="P11220" s="199"/>
    </row>
    <row r="11221" spans="7:16" x14ac:dyDescent="0.2">
      <c r="G11221" s="199"/>
      <c r="I11221" s="199"/>
      <c r="K11221" s="199"/>
      <c r="M11221" s="199"/>
      <c r="N11221" s="200"/>
      <c r="P11221" s="199"/>
    </row>
    <row r="11222" spans="7:16" x14ac:dyDescent="0.2">
      <c r="G11222" s="199"/>
      <c r="I11222" s="199"/>
      <c r="K11222" s="199"/>
      <c r="M11222" s="199"/>
      <c r="N11222" s="200"/>
      <c r="P11222" s="199"/>
    </row>
    <row r="11223" spans="7:16" x14ac:dyDescent="0.2">
      <c r="G11223" s="199"/>
      <c r="I11223" s="199"/>
      <c r="K11223" s="199"/>
      <c r="M11223" s="199"/>
      <c r="N11223" s="200"/>
      <c r="P11223" s="199"/>
    </row>
    <row r="11224" spans="7:16" x14ac:dyDescent="0.2">
      <c r="G11224" s="199"/>
      <c r="I11224" s="199"/>
      <c r="K11224" s="199"/>
      <c r="M11224" s="199"/>
      <c r="N11224" s="200"/>
      <c r="P11224" s="199"/>
    </row>
    <row r="11225" spans="7:16" x14ac:dyDescent="0.2">
      <c r="G11225" s="199"/>
      <c r="I11225" s="199"/>
      <c r="K11225" s="199"/>
      <c r="M11225" s="199"/>
      <c r="N11225" s="200"/>
      <c r="P11225" s="199"/>
    </row>
    <row r="11226" spans="7:16" x14ac:dyDescent="0.2">
      <c r="G11226" s="199"/>
      <c r="I11226" s="199"/>
      <c r="K11226" s="199"/>
      <c r="M11226" s="199"/>
      <c r="N11226" s="200"/>
      <c r="P11226" s="199"/>
    </row>
    <row r="11227" spans="7:16" x14ac:dyDescent="0.2">
      <c r="G11227" s="199"/>
      <c r="I11227" s="199"/>
      <c r="K11227" s="199"/>
      <c r="M11227" s="199"/>
      <c r="N11227" s="200"/>
      <c r="P11227" s="199"/>
    </row>
    <row r="11228" spans="7:16" x14ac:dyDescent="0.2">
      <c r="G11228" s="199"/>
      <c r="I11228" s="199"/>
      <c r="K11228" s="199"/>
      <c r="M11228" s="199"/>
      <c r="N11228" s="200"/>
      <c r="P11228" s="199"/>
    </row>
    <row r="11229" spans="7:16" x14ac:dyDescent="0.2">
      <c r="G11229" s="199"/>
      <c r="I11229" s="199"/>
      <c r="K11229" s="199"/>
      <c r="M11229" s="199"/>
      <c r="N11229" s="200"/>
      <c r="P11229" s="199"/>
    </row>
    <row r="11230" spans="7:16" x14ac:dyDescent="0.2">
      <c r="G11230" s="199"/>
      <c r="I11230" s="199"/>
      <c r="K11230" s="199"/>
      <c r="M11230" s="199"/>
      <c r="N11230" s="200"/>
      <c r="P11230" s="199"/>
    </row>
    <row r="11231" spans="7:16" x14ac:dyDescent="0.2">
      <c r="G11231" s="199"/>
      <c r="I11231" s="199"/>
      <c r="K11231" s="199"/>
      <c r="M11231" s="199"/>
      <c r="N11231" s="200"/>
      <c r="P11231" s="199"/>
    </row>
    <row r="11232" spans="7:16" x14ac:dyDescent="0.2">
      <c r="G11232" s="199"/>
      <c r="I11232" s="199"/>
      <c r="K11232" s="199"/>
      <c r="M11232" s="199"/>
      <c r="N11232" s="200"/>
      <c r="P11232" s="199"/>
    </row>
    <row r="11233" spans="7:16" x14ac:dyDescent="0.2">
      <c r="G11233" s="199"/>
      <c r="I11233" s="199"/>
      <c r="K11233" s="199"/>
      <c r="M11233" s="199"/>
      <c r="N11233" s="200"/>
      <c r="P11233" s="199"/>
    </row>
    <row r="11234" spans="7:16" x14ac:dyDescent="0.2">
      <c r="G11234" s="199"/>
      <c r="I11234" s="199"/>
      <c r="K11234" s="199"/>
      <c r="M11234" s="199"/>
      <c r="N11234" s="200"/>
      <c r="P11234" s="199"/>
    </row>
    <row r="11235" spans="7:16" x14ac:dyDescent="0.2">
      <c r="G11235" s="199"/>
      <c r="I11235" s="199"/>
      <c r="K11235" s="199"/>
      <c r="M11235" s="199"/>
      <c r="N11235" s="200"/>
      <c r="P11235" s="199"/>
    </row>
    <row r="11236" spans="7:16" x14ac:dyDescent="0.2">
      <c r="G11236" s="199"/>
      <c r="I11236" s="199"/>
      <c r="K11236" s="199"/>
      <c r="M11236" s="199"/>
      <c r="N11236" s="200"/>
      <c r="P11236" s="199"/>
    </row>
    <row r="11237" spans="7:16" x14ac:dyDescent="0.2">
      <c r="G11237" s="199"/>
      <c r="I11237" s="199"/>
      <c r="K11237" s="199"/>
      <c r="M11237" s="199"/>
      <c r="N11237" s="200"/>
      <c r="P11237" s="199"/>
    </row>
    <row r="11238" spans="7:16" x14ac:dyDescent="0.2">
      <c r="G11238" s="199"/>
      <c r="I11238" s="199"/>
      <c r="K11238" s="199"/>
      <c r="M11238" s="199"/>
      <c r="N11238" s="200"/>
      <c r="P11238" s="199"/>
    </row>
    <row r="11239" spans="7:16" x14ac:dyDescent="0.2">
      <c r="G11239" s="199"/>
      <c r="I11239" s="199"/>
      <c r="K11239" s="199"/>
      <c r="M11239" s="199"/>
      <c r="N11239" s="200"/>
      <c r="P11239" s="199"/>
    </row>
    <row r="11240" spans="7:16" x14ac:dyDescent="0.2">
      <c r="G11240" s="199"/>
      <c r="I11240" s="199"/>
      <c r="K11240" s="199"/>
      <c r="M11240" s="199"/>
      <c r="N11240" s="200"/>
      <c r="P11240" s="199"/>
    </row>
    <row r="11241" spans="7:16" x14ac:dyDescent="0.2">
      <c r="G11241" s="199"/>
      <c r="I11241" s="199"/>
      <c r="K11241" s="199"/>
      <c r="M11241" s="199"/>
      <c r="N11241" s="200"/>
      <c r="P11241" s="199"/>
    </row>
    <row r="11242" spans="7:16" x14ac:dyDescent="0.2">
      <c r="G11242" s="199"/>
      <c r="I11242" s="199"/>
      <c r="K11242" s="199"/>
      <c r="M11242" s="199"/>
      <c r="N11242" s="200"/>
      <c r="P11242" s="199"/>
    </row>
    <row r="11243" spans="7:16" x14ac:dyDescent="0.2">
      <c r="G11243" s="199"/>
      <c r="I11243" s="199"/>
      <c r="K11243" s="199"/>
      <c r="M11243" s="199"/>
      <c r="N11243" s="200"/>
      <c r="P11243" s="199"/>
    </row>
    <row r="11244" spans="7:16" x14ac:dyDescent="0.2">
      <c r="G11244" s="199"/>
      <c r="I11244" s="199"/>
      <c r="K11244" s="199"/>
      <c r="M11244" s="199"/>
      <c r="N11244" s="200"/>
      <c r="P11244" s="199"/>
    </row>
    <row r="11245" spans="7:16" x14ac:dyDescent="0.2">
      <c r="G11245" s="199"/>
      <c r="I11245" s="199"/>
      <c r="K11245" s="199"/>
      <c r="M11245" s="199"/>
      <c r="N11245" s="200"/>
      <c r="P11245" s="199"/>
    </row>
    <row r="11246" spans="7:16" x14ac:dyDescent="0.2">
      <c r="G11246" s="199"/>
      <c r="I11246" s="199"/>
      <c r="K11246" s="199"/>
      <c r="M11246" s="199"/>
      <c r="N11246" s="200"/>
      <c r="P11246" s="199"/>
    </row>
    <row r="11247" spans="7:16" x14ac:dyDescent="0.2">
      <c r="G11247" s="199"/>
      <c r="I11247" s="199"/>
      <c r="K11247" s="199"/>
      <c r="M11247" s="199"/>
      <c r="N11247" s="200"/>
      <c r="P11247" s="199"/>
    </row>
    <row r="11248" spans="7:16" x14ac:dyDescent="0.2">
      <c r="G11248" s="199"/>
      <c r="I11248" s="199"/>
      <c r="K11248" s="199"/>
      <c r="M11248" s="199"/>
      <c r="N11248" s="200"/>
      <c r="P11248" s="199"/>
    </row>
    <row r="11249" spans="7:16" x14ac:dyDescent="0.2">
      <c r="G11249" s="199"/>
      <c r="I11249" s="199"/>
      <c r="K11249" s="199"/>
      <c r="M11249" s="199"/>
      <c r="N11249" s="200"/>
      <c r="P11249" s="199"/>
    </row>
    <row r="11250" spans="7:16" x14ac:dyDescent="0.2">
      <c r="G11250" s="199"/>
      <c r="I11250" s="199"/>
      <c r="K11250" s="199"/>
      <c r="M11250" s="199"/>
      <c r="N11250" s="200"/>
      <c r="P11250" s="199"/>
    </row>
    <row r="11251" spans="7:16" x14ac:dyDescent="0.2">
      <c r="G11251" s="199"/>
      <c r="I11251" s="199"/>
      <c r="K11251" s="199"/>
      <c r="M11251" s="199"/>
      <c r="N11251" s="200"/>
      <c r="P11251" s="199"/>
    </row>
    <row r="11252" spans="7:16" x14ac:dyDescent="0.2">
      <c r="G11252" s="199"/>
      <c r="I11252" s="199"/>
      <c r="K11252" s="199"/>
      <c r="M11252" s="199"/>
      <c r="N11252" s="200"/>
      <c r="P11252" s="199"/>
    </row>
    <row r="11253" spans="7:16" x14ac:dyDescent="0.2">
      <c r="G11253" s="199"/>
      <c r="I11253" s="199"/>
      <c r="K11253" s="199"/>
      <c r="M11253" s="199"/>
      <c r="N11253" s="200"/>
      <c r="P11253" s="199"/>
    </row>
    <row r="11254" spans="7:16" x14ac:dyDescent="0.2">
      <c r="G11254" s="199"/>
      <c r="I11254" s="199"/>
      <c r="K11254" s="199"/>
      <c r="M11254" s="199"/>
      <c r="N11254" s="200"/>
      <c r="P11254" s="199"/>
    </row>
    <row r="11255" spans="7:16" x14ac:dyDescent="0.2">
      <c r="G11255" s="199"/>
      <c r="I11255" s="199"/>
      <c r="K11255" s="199"/>
      <c r="M11255" s="199"/>
      <c r="N11255" s="200"/>
      <c r="P11255" s="199"/>
    </row>
    <row r="11256" spans="7:16" x14ac:dyDescent="0.2">
      <c r="G11256" s="199"/>
      <c r="I11256" s="199"/>
      <c r="K11256" s="199"/>
      <c r="M11256" s="199"/>
      <c r="N11256" s="200"/>
      <c r="P11256" s="199"/>
    </row>
    <row r="11257" spans="7:16" x14ac:dyDescent="0.2">
      <c r="G11257" s="199"/>
      <c r="I11257" s="199"/>
      <c r="K11257" s="199"/>
      <c r="M11257" s="199"/>
      <c r="N11257" s="200"/>
      <c r="P11257" s="199"/>
    </row>
    <row r="11258" spans="7:16" x14ac:dyDescent="0.2">
      <c r="G11258" s="199"/>
      <c r="I11258" s="199"/>
      <c r="K11258" s="199"/>
      <c r="M11258" s="199"/>
      <c r="N11258" s="200"/>
      <c r="P11258" s="199"/>
    </row>
    <row r="11259" spans="7:16" x14ac:dyDescent="0.2">
      <c r="G11259" s="199"/>
      <c r="I11259" s="199"/>
      <c r="K11259" s="199"/>
      <c r="M11259" s="199"/>
      <c r="N11259" s="200"/>
      <c r="P11259" s="199"/>
    </row>
    <row r="11260" spans="7:16" x14ac:dyDescent="0.2">
      <c r="G11260" s="199"/>
      <c r="I11260" s="199"/>
      <c r="K11260" s="199"/>
      <c r="M11260" s="199"/>
      <c r="N11260" s="200"/>
      <c r="P11260" s="199"/>
    </row>
    <row r="11261" spans="7:16" x14ac:dyDescent="0.2">
      <c r="G11261" s="199"/>
      <c r="I11261" s="199"/>
      <c r="K11261" s="199"/>
      <c r="M11261" s="199"/>
      <c r="N11261" s="200"/>
      <c r="P11261" s="199"/>
    </row>
    <row r="11262" spans="7:16" x14ac:dyDescent="0.2">
      <c r="G11262" s="199"/>
      <c r="I11262" s="199"/>
      <c r="K11262" s="199"/>
      <c r="M11262" s="199"/>
      <c r="N11262" s="200"/>
      <c r="P11262" s="199"/>
    </row>
    <row r="11263" spans="7:16" x14ac:dyDescent="0.2">
      <c r="G11263" s="199"/>
      <c r="I11263" s="199"/>
      <c r="K11263" s="199"/>
      <c r="M11263" s="199"/>
      <c r="N11263" s="200"/>
      <c r="P11263" s="199"/>
    </row>
    <row r="11264" spans="7:16" x14ac:dyDescent="0.2">
      <c r="G11264" s="199"/>
      <c r="I11264" s="199"/>
      <c r="K11264" s="199"/>
      <c r="M11264" s="199"/>
      <c r="N11264" s="200"/>
      <c r="P11264" s="199"/>
    </row>
    <row r="11265" spans="7:16" x14ac:dyDescent="0.2">
      <c r="G11265" s="199"/>
      <c r="I11265" s="199"/>
      <c r="K11265" s="199"/>
      <c r="M11265" s="199"/>
      <c r="N11265" s="200"/>
      <c r="P11265" s="199"/>
    </row>
    <row r="11266" spans="7:16" x14ac:dyDescent="0.2">
      <c r="G11266" s="199"/>
      <c r="I11266" s="199"/>
      <c r="K11266" s="199"/>
      <c r="M11266" s="199"/>
      <c r="N11266" s="200"/>
      <c r="P11266" s="199"/>
    </row>
    <row r="11267" spans="7:16" x14ac:dyDescent="0.2">
      <c r="G11267" s="199"/>
      <c r="I11267" s="199"/>
      <c r="K11267" s="199"/>
      <c r="M11267" s="199"/>
      <c r="N11267" s="200"/>
      <c r="P11267" s="199"/>
    </row>
    <row r="11268" spans="7:16" x14ac:dyDescent="0.2">
      <c r="G11268" s="199"/>
      <c r="I11268" s="199"/>
      <c r="K11268" s="199"/>
      <c r="M11268" s="199"/>
      <c r="N11268" s="200"/>
      <c r="P11268" s="199"/>
    </row>
    <row r="11269" spans="7:16" x14ac:dyDescent="0.2">
      <c r="G11269" s="199"/>
      <c r="I11269" s="199"/>
      <c r="K11269" s="199"/>
      <c r="M11269" s="199"/>
      <c r="N11269" s="200"/>
      <c r="P11269" s="199"/>
    </row>
    <row r="11270" spans="7:16" x14ac:dyDescent="0.2">
      <c r="G11270" s="199"/>
      <c r="I11270" s="199"/>
      <c r="K11270" s="199"/>
      <c r="M11270" s="199"/>
      <c r="N11270" s="200"/>
      <c r="P11270" s="199"/>
    </row>
    <row r="11271" spans="7:16" x14ac:dyDescent="0.2">
      <c r="G11271" s="199"/>
      <c r="I11271" s="199"/>
      <c r="K11271" s="199"/>
      <c r="M11271" s="199"/>
      <c r="N11271" s="200"/>
      <c r="P11271" s="199"/>
    </row>
    <row r="11272" spans="7:16" x14ac:dyDescent="0.2">
      <c r="G11272" s="199"/>
      <c r="I11272" s="199"/>
      <c r="K11272" s="199"/>
      <c r="M11272" s="199"/>
      <c r="N11272" s="200"/>
      <c r="P11272" s="199"/>
    </row>
    <row r="11273" spans="7:16" x14ac:dyDescent="0.2">
      <c r="G11273" s="199"/>
      <c r="I11273" s="199"/>
      <c r="K11273" s="199"/>
      <c r="M11273" s="199"/>
      <c r="N11273" s="200"/>
      <c r="P11273" s="199"/>
    </row>
    <row r="11274" spans="7:16" x14ac:dyDescent="0.2">
      <c r="G11274" s="199"/>
      <c r="I11274" s="199"/>
      <c r="K11274" s="199"/>
      <c r="M11274" s="199"/>
      <c r="N11274" s="200"/>
      <c r="P11274" s="199"/>
    </row>
    <row r="11275" spans="7:16" x14ac:dyDescent="0.2">
      <c r="G11275" s="199"/>
      <c r="I11275" s="199"/>
      <c r="K11275" s="199"/>
      <c r="M11275" s="199"/>
      <c r="N11275" s="200"/>
      <c r="P11275" s="199"/>
    </row>
    <row r="11276" spans="7:16" x14ac:dyDescent="0.2">
      <c r="G11276" s="199"/>
      <c r="I11276" s="199"/>
      <c r="K11276" s="199"/>
      <c r="M11276" s="199"/>
      <c r="N11276" s="200"/>
      <c r="P11276" s="199"/>
    </row>
    <row r="11277" spans="7:16" x14ac:dyDescent="0.2">
      <c r="G11277" s="199"/>
      <c r="I11277" s="199"/>
      <c r="K11277" s="199"/>
      <c r="M11277" s="199"/>
      <c r="N11277" s="200"/>
      <c r="P11277" s="199"/>
    </row>
    <row r="11278" spans="7:16" x14ac:dyDescent="0.2">
      <c r="G11278" s="199"/>
      <c r="I11278" s="199"/>
      <c r="K11278" s="199"/>
      <c r="M11278" s="199"/>
      <c r="N11278" s="200"/>
      <c r="P11278" s="199"/>
    </row>
    <row r="11279" spans="7:16" x14ac:dyDescent="0.2">
      <c r="G11279" s="199"/>
      <c r="I11279" s="199"/>
      <c r="K11279" s="199"/>
      <c r="M11279" s="199"/>
      <c r="N11279" s="200"/>
      <c r="P11279" s="199"/>
    </row>
    <row r="11280" spans="7:16" x14ac:dyDescent="0.2">
      <c r="G11280" s="199"/>
      <c r="I11280" s="199"/>
      <c r="K11280" s="199"/>
      <c r="M11280" s="199"/>
      <c r="N11280" s="200"/>
      <c r="P11280" s="199"/>
    </row>
    <row r="11281" spans="7:16" x14ac:dyDescent="0.2">
      <c r="G11281" s="199"/>
      <c r="I11281" s="199"/>
      <c r="K11281" s="199"/>
      <c r="M11281" s="199"/>
      <c r="N11281" s="200"/>
      <c r="P11281" s="199"/>
    </row>
    <row r="11282" spans="7:16" x14ac:dyDescent="0.2">
      <c r="G11282" s="199"/>
      <c r="I11282" s="199"/>
      <c r="K11282" s="199"/>
      <c r="M11282" s="199"/>
      <c r="N11282" s="200"/>
      <c r="P11282" s="199"/>
    </row>
    <row r="11283" spans="7:16" x14ac:dyDescent="0.2">
      <c r="G11283" s="199"/>
      <c r="I11283" s="199"/>
      <c r="K11283" s="199"/>
      <c r="M11283" s="199"/>
      <c r="N11283" s="200"/>
      <c r="P11283" s="199"/>
    </row>
    <row r="11284" spans="7:16" x14ac:dyDescent="0.2">
      <c r="G11284" s="199"/>
      <c r="I11284" s="199"/>
      <c r="K11284" s="199"/>
      <c r="M11284" s="199"/>
      <c r="N11284" s="200"/>
      <c r="P11284" s="199"/>
    </row>
    <row r="11285" spans="7:16" x14ac:dyDescent="0.2">
      <c r="G11285" s="199"/>
      <c r="I11285" s="199"/>
      <c r="K11285" s="199"/>
      <c r="M11285" s="199"/>
      <c r="N11285" s="200"/>
      <c r="P11285" s="199"/>
    </row>
    <row r="11286" spans="7:16" x14ac:dyDescent="0.2">
      <c r="G11286" s="199"/>
      <c r="I11286" s="199"/>
      <c r="K11286" s="199"/>
      <c r="M11286" s="199"/>
      <c r="N11286" s="200"/>
      <c r="P11286" s="199"/>
    </row>
    <row r="11287" spans="7:16" x14ac:dyDescent="0.2">
      <c r="G11287" s="199"/>
      <c r="I11287" s="199"/>
      <c r="K11287" s="199"/>
      <c r="M11287" s="199"/>
      <c r="N11287" s="200"/>
      <c r="P11287" s="199"/>
    </row>
    <row r="11288" spans="7:16" x14ac:dyDescent="0.2">
      <c r="G11288" s="199"/>
      <c r="I11288" s="199"/>
      <c r="K11288" s="199"/>
      <c r="M11288" s="199"/>
      <c r="N11288" s="200"/>
      <c r="P11288" s="199"/>
    </row>
    <row r="11289" spans="7:16" x14ac:dyDescent="0.2">
      <c r="G11289" s="199"/>
      <c r="I11289" s="199"/>
      <c r="K11289" s="199"/>
      <c r="M11289" s="199"/>
      <c r="N11289" s="200"/>
      <c r="P11289" s="199"/>
    </row>
    <row r="11290" spans="7:16" x14ac:dyDescent="0.2">
      <c r="G11290" s="199"/>
      <c r="I11290" s="199"/>
      <c r="K11290" s="199"/>
      <c r="M11290" s="199"/>
      <c r="N11290" s="200"/>
      <c r="P11290" s="199"/>
    </row>
    <row r="11291" spans="7:16" x14ac:dyDescent="0.2">
      <c r="G11291" s="199"/>
      <c r="I11291" s="199"/>
      <c r="K11291" s="199"/>
      <c r="M11291" s="199"/>
      <c r="N11291" s="200"/>
      <c r="P11291" s="199"/>
    </row>
    <row r="11292" spans="7:16" x14ac:dyDescent="0.2">
      <c r="G11292" s="199"/>
      <c r="I11292" s="199"/>
      <c r="K11292" s="199"/>
      <c r="M11292" s="199"/>
      <c r="N11292" s="200"/>
      <c r="P11292" s="199"/>
    </row>
    <row r="11293" spans="7:16" x14ac:dyDescent="0.2">
      <c r="G11293" s="199"/>
      <c r="I11293" s="199"/>
      <c r="K11293" s="199"/>
      <c r="M11293" s="199"/>
      <c r="N11293" s="200"/>
      <c r="P11293" s="199"/>
    </row>
    <row r="11294" spans="7:16" x14ac:dyDescent="0.2">
      <c r="G11294" s="199"/>
      <c r="I11294" s="199"/>
      <c r="K11294" s="199"/>
      <c r="M11294" s="199"/>
      <c r="N11294" s="200"/>
      <c r="P11294" s="199"/>
    </row>
    <row r="11295" spans="7:16" x14ac:dyDescent="0.2">
      <c r="G11295" s="199"/>
      <c r="I11295" s="199"/>
      <c r="K11295" s="199"/>
      <c r="M11295" s="199"/>
      <c r="N11295" s="200"/>
      <c r="P11295" s="199"/>
    </row>
    <row r="11296" spans="7:16" x14ac:dyDescent="0.2">
      <c r="G11296" s="199"/>
      <c r="I11296" s="199"/>
      <c r="K11296" s="199"/>
      <c r="M11296" s="199"/>
      <c r="N11296" s="200"/>
      <c r="P11296" s="199"/>
    </row>
    <row r="11297" spans="7:16" x14ac:dyDescent="0.2">
      <c r="G11297" s="199"/>
      <c r="I11297" s="199"/>
      <c r="K11297" s="199"/>
      <c r="M11297" s="199"/>
      <c r="N11297" s="200"/>
      <c r="P11297" s="199"/>
    </row>
    <row r="11298" spans="7:16" x14ac:dyDescent="0.2">
      <c r="G11298" s="199"/>
      <c r="I11298" s="199"/>
      <c r="K11298" s="199"/>
      <c r="M11298" s="199"/>
      <c r="N11298" s="200"/>
      <c r="P11298" s="199"/>
    </row>
    <row r="11299" spans="7:16" x14ac:dyDescent="0.2">
      <c r="G11299" s="199"/>
      <c r="I11299" s="199"/>
      <c r="K11299" s="199"/>
      <c r="M11299" s="199"/>
      <c r="N11299" s="200"/>
      <c r="P11299" s="199"/>
    </row>
    <row r="11300" spans="7:16" x14ac:dyDescent="0.2">
      <c r="G11300" s="199"/>
      <c r="I11300" s="199"/>
      <c r="K11300" s="199"/>
      <c r="M11300" s="199"/>
      <c r="N11300" s="200"/>
      <c r="P11300" s="199"/>
    </row>
    <row r="11301" spans="7:16" x14ac:dyDescent="0.2">
      <c r="G11301" s="199"/>
      <c r="I11301" s="199"/>
      <c r="K11301" s="199"/>
      <c r="M11301" s="199"/>
      <c r="N11301" s="200"/>
      <c r="P11301" s="199"/>
    </row>
    <row r="11302" spans="7:16" x14ac:dyDescent="0.2">
      <c r="G11302" s="199"/>
      <c r="I11302" s="199"/>
      <c r="K11302" s="199"/>
      <c r="M11302" s="199"/>
      <c r="N11302" s="200"/>
      <c r="P11302" s="199"/>
    </row>
    <row r="11303" spans="7:16" x14ac:dyDescent="0.2">
      <c r="G11303" s="199"/>
      <c r="I11303" s="199"/>
      <c r="K11303" s="199"/>
      <c r="M11303" s="199"/>
      <c r="N11303" s="200"/>
      <c r="P11303" s="199"/>
    </row>
    <row r="11304" spans="7:16" x14ac:dyDescent="0.2">
      <c r="G11304" s="199"/>
      <c r="I11304" s="199"/>
      <c r="K11304" s="199"/>
      <c r="M11304" s="199"/>
      <c r="N11304" s="200"/>
      <c r="P11304" s="199"/>
    </row>
    <row r="11305" spans="7:16" x14ac:dyDescent="0.2">
      <c r="G11305" s="199"/>
      <c r="I11305" s="199"/>
      <c r="K11305" s="199"/>
      <c r="M11305" s="199"/>
      <c r="N11305" s="200"/>
      <c r="P11305" s="199"/>
    </row>
    <row r="11306" spans="7:16" x14ac:dyDescent="0.2">
      <c r="G11306" s="199"/>
      <c r="I11306" s="199"/>
      <c r="K11306" s="199"/>
      <c r="M11306" s="199"/>
      <c r="N11306" s="200"/>
      <c r="P11306" s="199"/>
    </row>
    <row r="11307" spans="7:16" x14ac:dyDescent="0.2">
      <c r="G11307" s="199"/>
      <c r="I11307" s="199"/>
      <c r="K11307" s="199"/>
      <c r="M11307" s="199"/>
      <c r="N11307" s="200"/>
      <c r="P11307" s="199"/>
    </row>
    <row r="11308" spans="7:16" x14ac:dyDescent="0.2">
      <c r="G11308" s="199"/>
      <c r="I11308" s="199"/>
      <c r="K11308" s="199"/>
      <c r="M11308" s="199"/>
      <c r="N11308" s="200"/>
      <c r="P11308" s="199"/>
    </row>
    <row r="11309" spans="7:16" x14ac:dyDescent="0.2">
      <c r="G11309" s="199"/>
      <c r="I11309" s="199"/>
      <c r="K11309" s="199"/>
      <c r="M11309" s="199"/>
      <c r="N11309" s="200"/>
      <c r="P11309" s="199"/>
    </row>
    <row r="11310" spans="7:16" x14ac:dyDescent="0.2">
      <c r="G11310" s="199"/>
      <c r="I11310" s="199"/>
      <c r="K11310" s="199"/>
      <c r="M11310" s="199"/>
      <c r="N11310" s="200"/>
      <c r="P11310" s="199"/>
    </row>
    <row r="11311" spans="7:16" x14ac:dyDescent="0.2">
      <c r="G11311" s="199"/>
      <c r="I11311" s="199"/>
      <c r="K11311" s="199"/>
      <c r="M11311" s="199"/>
      <c r="N11311" s="200"/>
      <c r="P11311" s="199"/>
    </row>
    <row r="11312" spans="7:16" x14ac:dyDescent="0.2">
      <c r="G11312" s="199"/>
      <c r="I11312" s="199"/>
      <c r="K11312" s="199"/>
      <c r="M11312" s="199"/>
      <c r="N11312" s="200"/>
      <c r="P11312" s="199"/>
    </row>
    <row r="11313" spans="7:16" x14ac:dyDescent="0.2">
      <c r="G11313" s="199"/>
      <c r="I11313" s="199"/>
      <c r="K11313" s="199"/>
      <c r="M11313" s="199"/>
      <c r="N11313" s="200"/>
      <c r="P11313" s="199"/>
    </row>
    <row r="11314" spans="7:16" x14ac:dyDescent="0.2">
      <c r="G11314" s="199"/>
      <c r="I11314" s="199"/>
      <c r="K11314" s="199"/>
      <c r="M11314" s="199"/>
      <c r="N11314" s="200"/>
      <c r="P11314" s="199"/>
    </row>
    <row r="11315" spans="7:16" x14ac:dyDescent="0.2">
      <c r="G11315" s="199"/>
      <c r="I11315" s="199"/>
      <c r="K11315" s="199"/>
      <c r="M11315" s="199"/>
      <c r="N11315" s="200"/>
      <c r="P11315" s="199"/>
    </row>
    <row r="11316" spans="7:16" x14ac:dyDescent="0.2">
      <c r="G11316" s="199"/>
      <c r="I11316" s="199"/>
      <c r="K11316" s="199"/>
      <c r="M11316" s="199"/>
      <c r="N11316" s="200"/>
      <c r="P11316" s="199"/>
    </row>
    <row r="11317" spans="7:16" x14ac:dyDescent="0.2">
      <c r="G11317" s="199"/>
      <c r="I11317" s="199"/>
      <c r="K11317" s="199"/>
      <c r="M11317" s="199"/>
      <c r="N11317" s="200"/>
      <c r="P11317" s="199"/>
    </row>
    <row r="11318" spans="7:16" x14ac:dyDescent="0.2">
      <c r="G11318" s="199"/>
      <c r="I11318" s="199"/>
      <c r="K11318" s="199"/>
      <c r="M11318" s="199"/>
      <c r="N11318" s="200"/>
      <c r="P11318" s="199"/>
    </row>
    <row r="11319" spans="7:16" x14ac:dyDescent="0.2">
      <c r="G11319" s="199"/>
      <c r="I11319" s="199"/>
      <c r="K11319" s="199"/>
      <c r="M11319" s="199"/>
      <c r="N11319" s="200"/>
      <c r="P11319" s="199"/>
    </row>
    <row r="11320" spans="7:16" x14ac:dyDescent="0.2">
      <c r="G11320" s="199"/>
      <c r="I11320" s="199"/>
      <c r="K11320" s="199"/>
      <c r="M11320" s="199"/>
      <c r="N11320" s="200"/>
      <c r="P11320" s="199"/>
    </row>
    <row r="11321" spans="7:16" x14ac:dyDescent="0.2">
      <c r="G11321" s="199"/>
      <c r="I11321" s="199"/>
      <c r="K11321" s="199"/>
      <c r="M11321" s="199"/>
      <c r="N11321" s="200"/>
      <c r="P11321" s="199"/>
    </row>
    <row r="11322" spans="7:16" x14ac:dyDescent="0.2">
      <c r="G11322" s="199"/>
      <c r="I11322" s="199"/>
      <c r="K11322" s="199"/>
      <c r="M11322" s="199"/>
      <c r="N11322" s="200"/>
      <c r="P11322" s="199"/>
    </row>
    <row r="11323" spans="7:16" x14ac:dyDescent="0.2">
      <c r="G11323" s="199"/>
      <c r="I11323" s="199"/>
      <c r="K11323" s="199"/>
      <c r="M11323" s="199"/>
      <c r="N11323" s="200"/>
      <c r="P11323" s="199"/>
    </row>
    <row r="11324" spans="7:16" x14ac:dyDescent="0.2">
      <c r="G11324" s="199"/>
      <c r="I11324" s="199"/>
      <c r="K11324" s="199"/>
      <c r="M11324" s="199"/>
      <c r="N11324" s="200"/>
      <c r="P11324" s="199"/>
    </row>
    <row r="11325" spans="7:16" x14ac:dyDescent="0.2">
      <c r="G11325" s="199"/>
      <c r="I11325" s="199"/>
      <c r="K11325" s="199"/>
      <c r="M11325" s="199"/>
      <c r="N11325" s="200"/>
      <c r="P11325" s="199"/>
    </row>
    <row r="11326" spans="7:16" x14ac:dyDescent="0.2">
      <c r="G11326" s="199"/>
      <c r="I11326" s="199"/>
      <c r="K11326" s="199"/>
      <c r="M11326" s="199"/>
      <c r="N11326" s="200"/>
      <c r="P11326" s="199"/>
    </row>
    <row r="11327" spans="7:16" x14ac:dyDescent="0.2">
      <c r="G11327" s="199"/>
      <c r="I11327" s="199"/>
      <c r="K11327" s="199"/>
      <c r="M11327" s="199"/>
      <c r="N11327" s="200"/>
      <c r="P11327" s="199"/>
    </row>
    <row r="11328" spans="7:16" x14ac:dyDescent="0.2">
      <c r="G11328" s="199"/>
      <c r="I11328" s="199"/>
      <c r="K11328" s="199"/>
      <c r="M11328" s="199"/>
      <c r="N11328" s="200"/>
      <c r="P11328" s="199"/>
    </row>
    <row r="11329" spans="7:16" x14ac:dyDescent="0.2">
      <c r="G11329" s="199"/>
      <c r="I11329" s="199"/>
      <c r="K11329" s="199"/>
      <c r="M11329" s="199"/>
      <c r="N11329" s="200"/>
      <c r="P11329" s="199"/>
    </row>
    <row r="11330" spans="7:16" x14ac:dyDescent="0.2">
      <c r="G11330" s="199"/>
      <c r="I11330" s="199"/>
      <c r="K11330" s="199"/>
      <c r="M11330" s="199"/>
      <c r="N11330" s="200"/>
      <c r="P11330" s="199"/>
    </row>
    <row r="11331" spans="7:16" x14ac:dyDescent="0.2">
      <c r="G11331" s="199"/>
      <c r="I11331" s="199"/>
      <c r="K11331" s="199"/>
      <c r="M11331" s="199"/>
      <c r="N11331" s="200"/>
      <c r="P11331" s="199"/>
    </row>
    <row r="11332" spans="7:16" x14ac:dyDescent="0.2">
      <c r="G11332" s="199"/>
      <c r="I11332" s="199"/>
      <c r="K11332" s="199"/>
      <c r="M11332" s="199"/>
      <c r="N11332" s="200"/>
      <c r="P11332" s="199"/>
    </row>
    <row r="11333" spans="7:16" x14ac:dyDescent="0.2">
      <c r="G11333" s="199"/>
      <c r="I11333" s="199"/>
      <c r="K11333" s="199"/>
      <c r="M11333" s="199"/>
      <c r="N11333" s="200"/>
      <c r="P11333" s="199"/>
    </row>
    <row r="11334" spans="7:16" x14ac:dyDescent="0.2">
      <c r="G11334" s="199"/>
      <c r="I11334" s="199"/>
      <c r="K11334" s="199"/>
      <c r="M11334" s="199"/>
      <c r="N11334" s="200"/>
      <c r="P11334" s="199"/>
    </row>
    <row r="11335" spans="7:16" x14ac:dyDescent="0.2">
      <c r="G11335" s="199"/>
      <c r="I11335" s="199"/>
      <c r="K11335" s="199"/>
      <c r="M11335" s="199"/>
      <c r="N11335" s="200"/>
      <c r="P11335" s="199"/>
    </row>
    <row r="11336" spans="7:16" x14ac:dyDescent="0.2">
      <c r="G11336" s="199"/>
      <c r="I11336" s="199"/>
      <c r="K11336" s="199"/>
      <c r="M11336" s="199"/>
      <c r="N11336" s="200"/>
      <c r="P11336" s="199"/>
    </row>
    <row r="11337" spans="7:16" x14ac:dyDescent="0.2">
      <c r="G11337" s="199"/>
      <c r="I11337" s="199"/>
      <c r="K11337" s="199"/>
      <c r="M11337" s="199"/>
      <c r="N11337" s="200"/>
      <c r="P11337" s="199"/>
    </row>
    <row r="11338" spans="7:16" x14ac:dyDescent="0.2">
      <c r="G11338" s="199"/>
      <c r="I11338" s="199"/>
      <c r="K11338" s="199"/>
      <c r="M11338" s="199"/>
      <c r="N11338" s="200"/>
      <c r="P11338" s="199"/>
    </row>
    <row r="11339" spans="7:16" x14ac:dyDescent="0.2">
      <c r="G11339" s="199"/>
      <c r="I11339" s="199"/>
      <c r="K11339" s="199"/>
      <c r="M11339" s="199"/>
      <c r="N11339" s="200"/>
      <c r="P11339" s="199"/>
    </row>
    <row r="11340" spans="7:16" x14ac:dyDescent="0.2">
      <c r="G11340" s="199"/>
      <c r="I11340" s="199"/>
      <c r="K11340" s="199"/>
      <c r="M11340" s="199"/>
      <c r="N11340" s="200"/>
      <c r="P11340" s="199"/>
    </row>
    <row r="11341" spans="7:16" x14ac:dyDescent="0.2">
      <c r="G11341" s="199"/>
      <c r="I11341" s="199"/>
      <c r="K11341" s="199"/>
      <c r="M11341" s="199"/>
      <c r="N11341" s="200"/>
      <c r="P11341" s="199"/>
    </row>
    <row r="11342" spans="7:16" x14ac:dyDescent="0.2">
      <c r="G11342" s="199"/>
      <c r="I11342" s="199"/>
      <c r="K11342" s="199"/>
      <c r="M11342" s="199"/>
      <c r="N11342" s="200"/>
      <c r="P11342" s="199"/>
    </row>
    <row r="11343" spans="7:16" x14ac:dyDescent="0.2">
      <c r="G11343" s="199"/>
      <c r="I11343" s="199"/>
      <c r="K11343" s="199"/>
      <c r="M11343" s="199"/>
      <c r="N11343" s="200"/>
      <c r="P11343" s="199"/>
    </row>
    <row r="11344" spans="7:16" x14ac:dyDescent="0.2">
      <c r="G11344" s="199"/>
      <c r="I11344" s="199"/>
      <c r="K11344" s="199"/>
      <c r="M11344" s="199"/>
      <c r="N11344" s="200"/>
      <c r="P11344" s="199"/>
    </row>
    <row r="11345" spans="7:16" x14ac:dyDescent="0.2">
      <c r="G11345" s="199"/>
      <c r="I11345" s="199"/>
      <c r="K11345" s="199"/>
      <c r="M11345" s="199"/>
      <c r="N11345" s="200"/>
      <c r="P11345" s="199"/>
    </row>
    <row r="11346" spans="7:16" x14ac:dyDescent="0.2">
      <c r="G11346" s="199"/>
      <c r="I11346" s="199"/>
      <c r="K11346" s="199"/>
      <c r="M11346" s="199"/>
      <c r="N11346" s="200"/>
      <c r="P11346" s="199"/>
    </row>
    <row r="11347" spans="7:16" x14ac:dyDescent="0.2">
      <c r="G11347" s="199"/>
      <c r="I11347" s="199"/>
      <c r="K11347" s="199"/>
      <c r="M11347" s="199"/>
      <c r="N11347" s="200"/>
      <c r="P11347" s="199"/>
    </row>
    <row r="11348" spans="7:16" x14ac:dyDescent="0.2">
      <c r="G11348" s="199"/>
      <c r="I11348" s="199"/>
      <c r="K11348" s="199"/>
      <c r="M11348" s="199"/>
      <c r="N11348" s="200"/>
      <c r="P11348" s="199"/>
    </row>
    <row r="11349" spans="7:16" x14ac:dyDescent="0.2">
      <c r="G11349" s="199"/>
      <c r="I11349" s="199"/>
      <c r="K11349" s="199"/>
      <c r="M11349" s="199"/>
      <c r="N11349" s="200"/>
      <c r="P11349" s="199"/>
    </row>
    <row r="11350" spans="7:16" x14ac:dyDescent="0.2">
      <c r="G11350" s="199"/>
      <c r="I11350" s="199"/>
      <c r="K11350" s="199"/>
      <c r="M11350" s="199"/>
      <c r="N11350" s="200"/>
      <c r="P11350" s="199"/>
    </row>
    <row r="11351" spans="7:16" x14ac:dyDescent="0.2">
      <c r="G11351" s="199"/>
      <c r="I11351" s="199"/>
      <c r="K11351" s="199"/>
      <c r="M11351" s="199"/>
      <c r="N11351" s="200"/>
      <c r="P11351" s="199"/>
    </row>
    <row r="11352" spans="7:16" x14ac:dyDescent="0.2">
      <c r="G11352" s="199"/>
      <c r="I11352" s="199"/>
      <c r="K11352" s="199"/>
      <c r="M11352" s="199"/>
      <c r="N11352" s="200"/>
      <c r="P11352" s="199"/>
    </row>
    <row r="11353" spans="7:16" x14ac:dyDescent="0.2">
      <c r="G11353" s="199"/>
      <c r="I11353" s="199"/>
      <c r="K11353" s="199"/>
      <c r="M11353" s="199"/>
      <c r="N11353" s="200"/>
      <c r="P11353" s="199"/>
    </row>
    <row r="11354" spans="7:16" x14ac:dyDescent="0.2">
      <c r="G11354" s="199"/>
      <c r="I11354" s="199"/>
      <c r="K11354" s="199"/>
      <c r="M11354" s="199"/>
      <c r="N11354" s="200"/>
      <c r="P11354" s="199"/>
    </row>
    <row r="11355" spans="7:16" x14ac:dyDescent="0.2">
      <c r="G11355" s="199"/>
      <c r="I11355" s="199"/>
      <c r="K11355" s="199"/>
      <c r="M11355" s="199"/>
      <c r="N11355" s="200"/>
      <c r="P11355" s="199"/>
    </row>
    <row r="11356" spans="7:16" x14ac:dyDescent="0.2">
      <c r="G11356" s="199"/>
      <c r="I11356" s="199"/>
      <c r="K11356" s="199"/>
      <c r="M11356" s="199"/>
      <c r="N11356" s="200"/>
      <c r="P11356" s="199"/>
    </row>
    <row r="11357" spans="7:16" x14ac:dyDescent="0.2">
      <c r="G11357" s="199"/>
      <c r="I11357" s="199"/>
      <c r="K11357" s="199"/>
      <c r="M11357" s="199"/>
      <c r="N11357" s="200"/>
      <c r="P11357" s="199"/>
    </row>
    <row r="11358" spans="7:16" x14ac:dyDescent="0.2">
      <c r="G11358" s="199"/>
      <c r="I11358" s="199"/>
      <c r="K11358" s="199"/>
      <c r="M11358" s="199"/>
      <c r="N11358" s="200"/>
      <c r="P11358" s="199"/>
    </row>
    <row r="11359" spans="7:16" x14ac:dyDescent="0.2">
      <c r="G11359" s="199"/>
      <c r="I11359" s="199"/>
      <c r="K11359" s="199"/>
      <c r="M11359" s="199"/>
      <c r="N11359" s="200"/>
      <c r="P11359" s="199"/>
    </row>
    <row r="11360" spans="7:16" x14ac:dyDescent="0.2">
      <c r="G11360" s="199"/>
      <c r="I11360" s="199"/>
      <c r="K11360" s="199"/>
      <c r="M11360" s="199"/>
      <c r="N11360" s="200"/>
      <c r="P11360" s="199"/>
    </row>
    <row r="11361" spans="7:16" x14ac:dyDescent="0.2">
      <c r="G11361" s="199"/>
      <c r="I11361" s="199"/>
      <c r="K11361" s="199"/>
      <c r="M11361" s="199"/>
      <c r="N11361" s="200"/>
      <c r="P11361" s="199"/>
    </row>
    <row r="11362" spans="7:16" x14ac:dyDescent="0.2">
      <c r="G11362" s="199"/>
      <c r="I11362" s="199"/>
      <c r="K11362" s="199"/>
      <c r="M11362" s="199"/>
      <c r="N11362" s="200"/>
      <c r="P11362" s="199"/>
    </row>
    <row r="11363" spans="7:16" x14ac:dyDescent="0.2">
      <c r="G11363" s="199"/>
      <c r="I11363" s="199"/>
      <c r="K11363" s="199"/>
      <c r="M11363" s="199"/>
      <c r="N11363" s="200"/>
      <c r="P11363" s="199"/>
    </row>
    <row r="11364" spans="7:16" x14ac:dyDescent="0.2">
      <c r="G11364" s="199"/>
      <c r="I11364" s="199"/>
      <c r="K11364" s="199"/>
      <c r="M11364" s="199"/>
      <c r="N11364" s="200"/>
      <c r="P11364" s="199"/>
    </row>
    <row r="11365" spans="7:16" x14ac:dyDescent="0.2">
      <c r="G11365" s="199"/>
      <c r="I11365" s="199"/>
      <c r="K11365" s="199"/>
      <c r="M11365" s="199"/>
      <c r="N11365" s="200"/>
      <c r="P11365" s="199"/>
    </row>
    <row r="11366" spans="7:16" x14ac:dyDescent="0.2">
      <c r="G11366" s="199"/>
      <c r="I11366" s="199"/>
      <c r="K11366" s="199"/>
      <c r="M11366" s="199"/>
      <c r="N11366" s="200"/>
      <c r="P11366" s="199"/>
    </row>
    <row r="11367" spans="7:16" x14ac:dyDescent="0.2">
      <c r="G11367" s="199"/>
      <c r="I11367" s="199"/>
      <c r="K11367" s="199"/>
      <c r="M11367" s="199"/>
      <c r="N11367" s="200"/>
      <c r="P11367" s="199"/>
    </row>
    <row r="11368" spans="7:16" x14ac:dyDescent="0.2">
      <c r="G11368" s="199"/>
      <c r="I11368" s="199"/>
      <c r="K11368" s="199"/>
      <c r="M11368" s="199"/>
      <c r="N11368" s="200"/>
      <c r="P11368" s="199"/>
    </row>
    <row r="11369" spans="7:16" x14ac:dyDescent="0.2">
      <c r="G11369" s="199"/>
      <c r="I11369" s="199"/>
      <c r="K11369" s="199"/>
      <c r="M11369" s="199"/>
      <c r="N11369" s="200"/>
      <c r="P11369" s="199"/>
    </row>
    <row r="11370" spans="7:16" x14ac:dyDescent="0.2">
      <c r="G11370" s="199"/>
      <c r="I11370" s="199"/>
      <c r="K11370" s="199"/>
      <c r="M11370" s="199"/>
      <c r="N11370" s="200"/>
      <c r="P11370" s="199"/>
    </row>
    <row r="11371" spans="7:16" x14ac:dyDescent="0.2">
      <c r="G11371" s="199"/>
      <c r="I11371" s="199"/>
      <c r="K11371" s="199"/>
      <c r="M11371" s="199"/>
      <c r="N11371" s="200"/>
      <c r="P11371" s="199"/>
    </row>
    <row r="11372" spans="7:16" x14ac:dyDescent="0.2">
      <c r="G11372" s="199"/>
      <c r="I11372" s="199"/>
      <c r="K11372" s="199"/>
      <c r="M11372" s="199"/>
      <c r="N11372" s="200"/>
      <c r="P11372" s="199"/>
    </row>
    <row r="11373" spans="7:16" x14ac:dyDescent="0.2">
      <c r="G11373" s="199"/>
      <c r="I11373" s="199"/>
      <c r="K11373" s="199"/>
      <c r="M11373" s="199"/>
      <c r="N11373" s="200"/>
      <c r="P11373" s="199"/>
    </row>
    <row r="11374" spans="7:16" x14ac:dyDescent="0.2">
      <c r="G11374" s="199"/>
      <c r="I11374" s="199"/>
      <c r="K11374" s="199"/>
      <c r="M11374" s="199"/>
      <c r="N11374" s="200"/>
      <c r="P11374" s="199"/>
    </row>
    <row r="11375" spans="7:16" x14ac:dyDescent="0.2">
      <c r="G11375" s="199"/>
      <c r="I11375" s="199"/>
      <c r="K11375" s="199"/>
      <c r="M11375" s="199"/>
      <c r="N11375" s="200"/>
      <c r="P11375" s="199"/>
    </row>
    <row r="11376" spans="7:16" x14ac:dyDescent="0.2">
      <c r="G11376" s="199"/>
      <c r="I11376" s="199"/>
      <c r="K11376" s="199"/>
      <c r="M11376" s="199"/>
      <c r="N11376" s="200"/>
      <c r="P11376" s="199"/>
    </row>
    <row r="11377" spans="7:16" x14ac:dyDescent="0.2">
      <c r="G11377" s="199"/>
      <c r="I11377" s="199"/>
      <c r="K11377" s="199"/>
      <c r="M11377" s="199"/>
      <c r="N11377" s="200"/>
      <c r="P11377" s="199"/>
    </row>
    <row r="11378" spans="7:16" x14ac:dyDescent="0.2">
      <c r="G11378" s="199"/>
      <c r="I11378" s="199"/>
      <c r="K11378" s="199"/>
      <c r="M11378" s="199"/>
      <c r="N11378" s="200"/>
      <c r="P11378" s="199"/>
    </row>
    <row r="11379" spans="7:16" x14ac:dyDescent="0.2">
      <c r="G11379" s="199"/>
      <c r="I11379" s="199"/>
      <c r="K11379" s="199"/>
      <c r="M11379" s="199"/>
      <c r="N11379" s="200"/>
      <c r="P11379" s="199"/>
    </row>
    <row r="11380" spans="7:16" x14ac:dyDescent="0.2">
      <c r="G11380" s="199"/>
      <c r="I11380" s="199"/>
      <c r="K11380" s="199"/>
      <c r="M11380" s="199"/>
      <c r="N11380" s="200"/>
      <c r="P11380" s="199"/>
    </row>
    <row r="11381" spans="7:16" x14ac:dyDescent="0.2">
      <c r="G11381" s="199"/>
      <c r="I11381" s="199"/>
      <c r="K11381" s="199"/>
      <c r="M11381" s="199"/>
      <c r="N11381" s="200"/>
      <c r="P11381" s="199"/>
    </row>
    <row r="11382" spans="7:16" x14ac:dyDescent="0.2">
      <c r="G11382" s="199"/>
      <c r="I11382" s="199"/>
      <c r="K11382" s="199"/>
      <c r="M11382" s="199"/>
      <c r="N11382" s="200"/>
      <c r="P11382" s="199"/>
    </row>
    <row r="11383" spans="7:16" x14ac:dyDescent="0.2">
      <c r="G11383" s="199"/>
      <c r="I11383" s="199"/>
      <c r="K11383" s="199"/>
      <c r="M11383" s="199"/>
      <c r="N11383" s="200"/>
      <c r="P11383" s="199"/>
    </row>
    <row r="11384" spans="7:16" x14ac:dyDescent="0.2">
      <c r="G11384" s="199"/>
      <c r="I11384" s="199"/>
      <c r="K11384" s="199"/>
      <c r="M11384" s="199"/>
      <c r="N11384" s="200"/>
      <c r="P11384" s="199"/>
    </row>
    <row r="11385" spans="7:16" x14ac:dyDescent="0.2">
      <c r="G11385" s="199"/>
      <c r="I11385" s="199"/>
      <c r="K11385" s="199"/>
      <c r="M11385" s="199"/>
      <c r="N11385" s="200"/>
      <c r="P11385" s="199"/>
    </row>
    <row r="11386" spans="7:16" x14ac:dyDescent="0.2">
      <c r="G11386" s="199"/>
      <c r="I11386" s="199"/>
      <c r="K11386" s="199"/>
      <c r="M11386" s="199"/>
      <c r="N11386" s="200"/>
      <c r="P11386" s="199"/>
    </row>
    <row r="11387" spans="7:16" x14ac:dyDescent="0.2">
      <c r="G11387" s="199"/>
      <c r="I11387" s="199"/>
      <c r="K11387" s="199"/>
      <c r="M11387" s="199"/>
      <c r="N11387" s="200"/>
      <c r="P11387" s="199"/>
    </row>
    <row r="11388" spans="7:16" x14ac:dyDescent="0.2">
      <c r="G11388" s="199"/>
      <c r="I11388" s="199"/>
      <c r="K11388" s="199"/>
      <c r="M11388" s="199"/>
      <c r="N11388" s="200"/>
      <c r="P11388" s="199"/>
    </row>
    <row r="11389" spans="7:16" x14ac:dyDescent="0.2">
      <c r="G11389" s="199"/>
      <c r="I11389" s="199"/>
      <c r="K11389" s="199"/>
      <c r="M11389" s="199"/>
      <c r="N11389" s="200"/>
      <c r="P11389" s="199"/>
    </row>
    <row r="11390" spans="7:16" x14ac:dyDescent="0.2">
      <c r="G11390" s="199"/>
      <c r="I11390" s="199"/>
      <c r="K11390" s="199"/>
      <c r="M11390" s="199"/>
      <c r="N11390" s="200"/>
      <c r="P11390" s="199"/>
    </row>
    <row r="11391" spans="7:16" x14ac:dyDescent="0.2">
      <c r="G11391" s="199"/>
      <c r="I11391" s="199"/>
      <c r="K11391" s="199"/>
      <c r="M11391" s="199"/>
      <c r="N11391" s="200"/>
      <c r="P11391" s="199"/>
    </row>
    <row r="11392" spans="7:16" x14ac:dyDescent="0.2">
      <c r="G11392" s="199"/>
      <c r="I11392" s="199"/>
      <c r="K11392" s="199"/>
      <c r="M11392" s="199"/>
      <c r="N11392" s="200"/>
      <c r="P11392" s="199"/>
    </row>
    <row r="11393" spans="7:16" x14ac:dyDescent="0.2">
      <c r="G11393" s="199"/>
      <c r="I11393" s="199"/>
      <c r="K11393" s="199"/>
      <c r="M11393" s="199"/>
      <c r="N11393" s="200"/>
      <c r="P11393" s="199"/>
    </row>
    <row r="11394" spans="7:16" x14ac:dyDescent="0.2">
      <c r="G11394" s="199"/>
      <c r="I11394" s="199"/>
      <c r="K11394" s="199"/>
      <c r="M11394" s="199"/>
      <c r="N11394" s="200"/>
      <c r="P11394" s="199"/>
    </row>
    <row r="11395" spans="7:16" x14ac:dyDescent="0.2">
      <c r="G11395" s="199"/>
      <c r="I11395" s="199"/>
      <c r="K11395" s="199"/>
      <c r="M11395" s="199"/>
      <c r="N11395" s="200"/>
      <c r="P11395" s="199"/>
    </row>
    <row r="11396" spans="7:16" x14ac:dyDescent="0.2">
      <c r="G11396" s="199"/>
      <c r="I11396" s="199"/>
      <c r="K11396" s="199"/>
      <c r="M11396" s="199"/>
      <c r="N11396" s="200"/>
      <c r="P11396" s="199"/>
    </row>
    <row r="11397" spans="7:16" x14ac:dyDescent="0.2">
      <c r="G11397" s="199"/>
      <c r="I11397" s="199"/>
      <c r="K11397" s="199"/>
      <c r="M11397" s="199"/>
      <c r="N11397" s="200"/>
      <c r="P11397" s="199"/>
    </row>
    <row r="11398" spans="7:16" x14ac:dyDescent="0.2">
      <c r="G11398" s="199"/>
      <c r="I11398" s="199"/>
      <c r="K11398" s="199"/>
      <c r="M11398" s="199"/>
      <c r="N11398" s="200"/>
      <c r="P11398" s="199"/>
    </row>
    <row r="11399" spans="7:16" x14ac:dyDescent="0.2">
      <c r="G11399" s="199"/>
      <c r="I11399" s="199"/>
      <c r="K11399" s="199"/>
      <c r="M11399" s="199"/>
      <c r="N11399" s="200"/>
      <c r="P11399" s="199"/>
    </row>
    <row r="11400" spans="7:16" x14ac:dyDescent="0.2">
      <c r="G11400" s="199"/>
      <c r="I11400" s="199"/>
      <c r="K11400" s="199"/>
      <c r="M11400" s="199"/>
      <c r="N11400" s="200"/>
      <c r="P11400" s="199"/>
    </row>
    <row r="11401" spans="7:16" x14ac:dyDescent="0.2">
      <c r="G11401" s="199"/>
      <c r="I11401" s="199"/>
      <c r="K11401" s="199"/>
      <c r="M11401" s="199"/>
      <c r="N11401" s="200"/>
      <c r="P11401" s="199"/>
    </row>
    <row r="11402" spans="7:16" x14ac:dyDescent="0.2">
      <c r="G11402" s="199"/>
      <c r="I11402" s="199"/>
      <c r="K11402" s="199"/>
      <c r="M11402" s="199"/>
      <c r="N11402" s="200"/>
      <c r="P11402" s="199"/>
    </row>
    <row r="11403" spans="7:16" x14ac:dyDescent="0.2">
      <c r="G11403" s="199"/>
      <c r="I11403" s="199"/>
      <c r="K11403" s="199"/>
      <c r="M11403" s="199"/>
      <c r="N11403" s="200"/>
      <c r="P11403" s="199"/>
    </row>
    <row r="11404" spans="7:16" x14ac:dyDescent="0.2">
      <c r="G11404" s="199"/>
      <c r="I11404" s="199"/>
      <c r="K11404" s="199"/>
      <c r="M11404" s="199"/>
      <c r="N11404" s="200"/>
      <c r="P11404" s="199"/>
    </row>
    <row r="11405" spans="7:16" x14ac:dyDescent="0.2">
      <c r="G11405" s="199"/>
      <c r="I11405" s="199"/>
      <c r="K11405" s="199"/>
      <c r="M11405" s="199"/>
      <c r="N11405" s="200"/>
      <c r="P11405" s="199"/>
    </row>
    <row r="11406" spans="7:16" x14ac:dyDescent="0.2">
      <c r="G11406" s="199"/>
      <c r="I11406" s="199"/>
      <c r="K11406" s="199"/>
      <c r="M11406" s="199"/>
      <c r="N11406" s="200"/>
      <c r="P11406" s="199"/>
    </row>
    <row r="11407" spans="7:16" x14ac:dyDescent="0.2">
      <c r="G11407" s="199"/>
      <c r="I11407" s="199"/>
      <c r="K11407" s="199"/>
      <c r="M11407" s="199"/>
      <c r="N11407" s="200"/>
      <c r="P11407" s="199"/>
    </row>
    <row r="11408" spans="7:16" x14ac:dyDescent="0.2">
      <c r="G11408" s="199"/>
      <c r="I11408" s="199"/>
      <c r="K11408" s="199"/>
      <c r="M11408" s="199"/>
      <c r="N11408" s="200"/>
      <c r="P11408" s="199"/>
    </row>
    <row r="11409" spans="7:16" x14ac:dyDescent="0.2">
      <c r="G11409" s="199"/>
      <c r="I11409" s="199"/>
      <c r="K11409" s="199"/>
      <c r="M11409" s="199"/>
      <c r="N11409" s="200"/>
      <c r="P11409" s="199"/>
    </row>
    <row r="11410" spans="7:16" x14ac:dyDescent="0.2">
      <c r="G11410" s="199"/>
      <c r="I11410" s="199"/>
      <c r="K11410" s="199"/>
      <c r="M11410" s="199"/>
      <c r="N11410" s="200"/>
      <c r="P11410" s="199"/>
    </row>
    <row r="11411" spans="7:16" x14ac:dyDescent="0.2">
      <c r="G11411" s="199"/>
      <c r="I11411" s="199"/>
      <c r="K11411" s="199"/>
      <c r="M11411" s="199"/>
      <c r="N11411" s="200"/>
      <c r="P11411" s="199"/>
    </row>
    <row r="11412" spans="7:16" x14ac:dyDescent="0.2">
      <c r="G11412" s="199"/>
      <c r="I11412" s="199"/>
      <c r="K11412" s="199"/>
      <c r="M11412" s="199"/>
      <c r="N11412" s="200"/>
      <c r="P11412" s="199"/>
    </row>
    <row r="11413" spans="7:16" x14ac:dyDescent="0.2">
      <c r="G11413" s="199"/>
      <c r="I11413" s="199"/>
      <c r="K11413" s="199"/>
      <c r="M11413" s="199"/>
      <c r="N11413" s="200"/>
      <c r="P11413" s="199"/>
    </row>
    <row r="11414" spans="7:16" x14ac:dyDescent="0.2">
      <c r="G11414" s="199"/>
      <c r="I11414" s="199"/>
      <c r="K11414" s="199"/>
      <c r="M11414" s="199"/>
      <c r="N11414" s="200"/>
      <c r="P11414" s="199"/>
    </row>
    <row r="11415" spans="7:16" x14ac:dyDescent="0.2">
      <c r="G11415" s="199"/>
      <c r="I11415" s="199"/>
      <c r="K11415" s="199"/>
      <c r="M11415" s="199"/>
      <c r="N11415" s="200"/>
      <c r="P11415" s="199"/>
    </row>
    <row r="11416" spans="7:16" x14ac:dyDescent="0.2">
      <c r="G11416" s="199"/>
      <c r="I11416" s="199"/>
      <c r="K11416" s="199"/>
      <c r="M11416" s="199"/>
      <c r="N11416" s="200"/>
      <c r="P11416" s="199"/>
    </row>
    <row r="11417" spans="7:16" x14ac:dyDescent="0.2">
      <c r="G11417" s="199"/>
      <c r="I11417" s="199"/>
      <c r="K11417" s="199"/>
      <c r="M11417" s="199"/>
      <c r="N11417" s="200"/>
      <c r="P11417" s="199"/>
    </row>
    <row r="11418" spans="7:16" x14ac:dyDescent="0.2">
      <c r="G11418" s="199"/>
      <c r="I11418" s="199"/>
      <c r="K11418" s="199"/>
      <c r="M11418" s="199"/>
      <c r="N11418" s="200"/>
      <c r="P11418" s="199"/>
    </row>
    <row r="11419" spans="7:16" x14ac:dyDescent="0.2">
      <c r="G11419" s="199"/>
      <c r="I11419" s="199"/>
      <c r="K11419" s="199"/>
      <c r="M11419" s="199"/>
      <c r="N11419" s="200"/>
      <c r="P11419" s="199"/>
    </row>
    <row r="11420" spans="7:16" x14ac:dyDescent="0.2">
      <c r="G11420" s="199"/>
      <c r="I11420" s="199"/>
      <c r="K11420" s="199"/>
      <c r="M11420" s="199"/>
      <c r="N11420" s="200"/>
      <c r="P11420" s="199"/>
    </row>
    <row r="11421" spans="7:16" x14ac:dyDescent="0.2">
      <c r="G11421" s="199"/>
      <c r="I11421" s="199"/>
      <c r="K11421" s="199"/>
      <c r="M11421" s="199"/>
      <c r="N11421" s="200"/>
      <c r="P11421" s="199"/>
    </row>
    <row r="11422" spans="7:16" x14ac:dyDescent="0.2">
      <c r="G11422" s="199"/>
      <c r="I11422" s="199"/>
      <c r="K11422" s="199"/>
      <c r="M11422" s="199"/>
      <c r="N11422" s="200"/>
      <c r="P11422" s="199"/>
    </row>
    <row r="11423" spans="7:16" x14ac:dyDescent="0.2">
      <c r="G11423" s="199"/>
      <c r="I11423" s="199"/>
      <c r="K11423" s="199"/>
      <c r="M11423" s="199"/>
      <c r="N11423" s="200"/>
      <c r="P11423" s="199"/>
    </row>
    <row r="11424" spans="7:16" x14ac:dyDescent="0.2">
      <c r="G11424" s="199"/>
      <c r="I11424" s="199"/>
      <c r="K11424" s="199"/>
      <c r="M11424" s="199"/>
      <c r="N11424" s="200"/>
      <c r="P11424" s="199"/>
    </row>
    <row r="11425" spans="7:16" x14ac:dyDescent="0.2">
      <c r="G11425" s="199"/>
      <c r="I11425" s="199"/>
      <c r="K11425" s="199"/>
      <c r="M11425" s="199"/>
      <c r="N11425" s="200"/>
      <c r="P11425" s="199"/>
    </row>
    <row r="11426" spans="7:16" x14ac:dyDescent="0.2">
      <c r="G11426" s="199"/>
      <c r="I11426" s="199"/>
      <c r="K11426" s="199"/>
      <c r="M11426" s="199"/>
      <c r="N11426" s="200"/>
      <c r="P11426" s="199"/>
    </row>
    <row r="11427" spans="7:16" x14ac:dyDescent="0.2">
      <c r="G11427" s="199"/>
      <c r="I11427" s="199"/>
      <c r="K11427" s="199"/>
      <c r="M11427" s="199"/>
      <c r="N11427" s="200"/>
      <c r="P11427" s="199"/>
    </row>
    <row r="11428" spans="7:16" x14ac:dyDescent="0.2">
      <c r="G11428" s="199"/>
      <c r="I11428" s="199"/>
      <c r="K11428" s="199"/>
      <c r="M11428" s="199"/>
      <c r="N11428" s="200"/>
      <c r="P11428" s="199"/>
    </row>
    <row r="11429" spans="7:16" x14ac:dyDescent="0.2">
      <c r="G11429" s="199"/>
      <c r="I11429" s="199"/>
      <c r="K11429" s="199"/>
      <c r="M11429" s="199"/>
      <c r="N11429" s="200"/>
      <c r="P11429" s="199"/>
    </row>
    <row r="11430" spans="7:16" x14ac:dyDescent="0.2">
      <c r="G11430" s="199"/>
      <c r="I11430" s="199"/>
      <c r="K11430" s="199"/>
      <c r="M11430" s="199"/>
      <c r="N11430" s="200"/>
      <c r="P11430" s="199"/>
    </row>
    <row r="11431" spans="7:16" x14ac:dyDescent="0.2">
      <c r="G11431" s="199"/>
      <c r="I11431" s="199"/>
      <c r="K11431" s="199"/>
      <c r="M11431" s="199"/>
      <c r="N11431" s="200"/>
      <c r="P11431" s="199"/>
    </row>
    <row r="11432" spans="7:16" x14ac:dyDescent="0.2">
      <c r="G11432" s="199"/>
      <c r="I11432" s="199"/>
      <c r="K11432" s="199"/>
      <c r="M11432" s="199"/>
      <c r="N11432" s="200"/>
      <c r="P11432" s="199"/>
    </row>
    <row r="11433" spans="7:16" x14ac:dyDescent="0.2">
      <c r="G11433" s="199"/>
      <c r="I11433" s="199"/>
      <c r="K11433" s="199"/>
      <c r="M11433" s="199"/>
      <c r="N11433" s="200"/>
      <c r="P11433" s="199"/>
    </row>
    <row r="11434" spans="7:16" x14ac:dyDescent="0.2">
      <c r="G11434" s="199"/>
      <c r="I11434" s="199"/>
      <c r="K11434" s="199"/>
      <c r="M11434" s="199"/>
      <c r="N11434" s="200"/>
      <c r="P11434" s="199"/>
    </row>
    <row r="11435" spans="7:16" x14ac:dyDescent="0.2">
      <c r="G11435" s="199"/>
      <c r="I11435" s="199"/>
      <c r="K11435" s="199"/>
      <c r="M11435" s="199"/>
      <c r="N11435" s="200"/>
      <c r="P11435" s="199"/>
    </row>
    <row r="11436" spans="7:16" x14ac:dyDescent="0.2">
      <c r="G11436" s="199"/>
      <c r="I11436" s="199"/>
      <c r="K11436" s="199"/>
      <c r="M11436" s="199"/>
      <c r="N11436" s="200"/>
      <c r="P11436" s="199"/>
    </row>
    <row r="11437" spans="7:16" x14ac:dyDescent="0.2">
      <c r="G11437" s="199"/>
      <c r="I11437" s="199"/>
      <c r="K11437" s="199"/>
      <c r="M11437" s="199"/>
      <c r="N11437" s="200"/>
      <c r="P11437" s="199"/>
    </row>
    <row r="11438" spans="7:16" x14ac:dyDescent="0.2">
      <c r="G11438" s="199"/>
      <c r="I11438" s="199"/>
      <c r="K11438" s="199"/>
      <c r="M11438" s="199"/>
      <c r="N11438" s="200"/>
      <c r="P11438" s="199"/>
    </row>
    <row r="11439" spans="7:16" x14ac:dyDescent="0.2">
      <c r="G11439" s="199"/>
      <c r="I11439" s="199"/>
      <c r="K11439" s="199"/>
      <c r="M11439" s="199"/>
      <c r="N11439" s="200"/>
      <c r="P11439" s="199"/>
    </row>
    <row r="11440" spans="7:16" x14ac:dyDescent="0.2">
      <c r="G11440" s="199"/>
      <c r="I11440" s="199"/>
      <c r="K11440" s="199"/>
      <c r="M11440" s="199"/>
      <c r="N11440" s="200"/>
      <c r="P11440" s="199"/>
    </row>
    <row r="11441" spans="7:16" x14ac:dyDescent="0.2">
      <c r="G11441" s="199"/>
      <c r="I11441" s="199"/>
      <c r="K11441" s="199"/>
      <c r="M11441" s="199"/>
      <c r="N11441" s="200"/>
      <c r="P11441" s="199"/>
    </row>
    <row r="11442" spans="7:16" x14ac:dyDescent="0.2">
      <c r="G11442" s="199"/>
      <c r="I11442" s="199"/>
      <c r="K11442" s="199"/>
      <c r="M11442" s="199"/>
      <c r="N11442" s="200"/>
      <c r="P11442" s="199"/>
    </row>
    <row r="11443" spans="7:16" x14ac:dyDescent="0.2">
      <c r="G11443" s="199"/>
      <c r="I11443" s="199"/>
      <c r="K11443" s="199"/>
      <c r="M11443" s="199"/>
      <c r="N11443" s="200"/>
      <c r="P11443" s="199"/>
    </row>
    <row r="11444" spans="7:16" x14ac:dyDescent="0.2">
      <c r="G11444" s="199"/>
      <c r="I11444" s="199"/>
      <c r="K11444" s="199"/>
      <c r="M11444" s="199"/>
      <c r="N11444" s="200"/>
      <c r="P11444" s="199"/>
    </row>
    <row r="11445" spans="7:16" x14ac:dyDescent="0.2">
      <c r="G11445" s="199"/>
      <c r="I11445" s="199"/>
      <c r="K11445" s="199"/>
      <c r="M11445" s="199"/>
      <c r="N11445" s="200"/>
      <c r="P11445" s="199"/>
    </row>
    <row r="11446" spans="7:16" x14ac:dyDescent="0.2">
      <c r="G11446" s="199"/>
      <c r="I11446" s="199"/>
      <c r="K11446" s="199"/>
      <c r="M11446" s="199"/>
      <c r="N11446" s="200"/>
      <c r="P11446" s="199"/>
    </row>
    <row r="11447" spans="7:16" x14ac:dyDescent="0.2">
      <c r="G11447" s="199"/>
      <c r="I11447" s="199"/>
      <c r="K11447" s="199"/>
      <c r="M11447" s="199"/>
      <c r="N11447" s="200"/>
      <c r="P11447" s="199"/>
    </row>
    <row r="11448" spans="7:16" x14ac:dyDescent="0.2">
      <c r="G11448" s="199"/>
      <c r="I11448" s="199"/>
      <c r="K11448" s="199"/>
      <c r="M11448" s="199"/>
      <c r="N11448" s="200"/>
      <c r="P11448" s="199"/>
    </row>
    <row r="11449" spans="7:16" x14ac:dyDescent="0.2">
      <c r="G11449" s="199"/>
      <c r="I11449" s="199"/>
      <c r="K11449" s="199"/>
      <c r="M11449" s="199"/>
      <c r="N11449" s="200"/>
      <c r="P11449" s="199"/>
    </row>
    <row r="11450" spans="7:16" x14ac:dyDescent="0.2">
      <c r="G11450" s="199"/>
      <c r="I11450" s="199"/>
      <c r="K11450" s="199"/>
      <c r="M11450" s="199"/>
      <c r="N11450" s="200"/>
      <c r="P11450" s="199"/>
    </row>
    <row r="11451" spans="7:16" x14ac:dyDescent="0.2">
      <c r="G11451" s="199"/>
      <c r="I11451" s="199"/>
      <c r="K11451" s="199"/>
      <c r="M11451" s="199"/>
      <c r="N11451" s="200"/>
      <c r="P11451" s="199"/>
    </row>
    <row r="11452" spans="7:16" x14ac:dyDescent="0.2">
      <c r="G11452" s="199"/>
      <c r="I11452" s="199"/>
      <c r="K11452" s="199"/>
      <c r="M11452" s="199"/>
      <c r="N11452" s="200"/>
      <c r="P11452" s="199"/>
    </row>
    <row r="11453" spans="7:16" x14ac:dyDescent="0.2">
      <c r="G11453" s="199"/>
      <c r="I11453" s="199"/>
      <c r="K11453" s="199"/>
      <c r="M11453" s="199"/>
      <c r="N11453" s="200"/>
      <c r="P11453" s="199"/>
    </row>
    <row r="11454" spans="7:16" x14ac:dyDescent="0.2">
      <c r="G11454" s="199"/>
      <c r="I11454" s="199"/>
      <c r="K11454" s="199"/>
      <c r="M11454" s="199"/>
      <c r="N11454" s="200"/>
      <c r="P11454" s="199"/>
    </row>
    <row r="11455" spans="7:16" x14ac:dyDescent="0.2">
      <c r="G11455" s="199"/>
      <c r="I11455" s="199"/>
      <c r="K11455" s="199"/>
      <c r="M11455" s="199"/>
      <c r="N11455" s="200"/>
      <c r="P11455" s="199"/>
    </row>
    <row r="11456" spans="7:16" x14ac:dyDescent="0.2">
      <c r="G11456" s="199"/>
      <c r="I11456" s="199"/>
      <c r="K11456" s="199"/>
      <c r="M11456" s="199"/>
      <c r="N11456" s="200"/>
      <c r="P11456" s="199"/>
    </row>
    <row r="11457" spans="7:16" x14ac:dyDescent="0.2">
      <c r="G11457" s="199"/>
      <c r="I11457" s="199"/>
      <c r="K11457" s="199"/>
      <c r="M11457" s="199"/>
      <c r="N11457" s="200"/>
      <c r="P11457" s="199"/>
    </row>
    <row r="11458" spans="7:16" x14ac:dyDescent="0.2">
      <c r="G11458" s="199"/>
      <c r="I11458" s="199"/>
      <c r="K11458" s="199"/>
      <c r="M11458" s="199"/>
      <c r="N11458" s="200"/>
      <c r="P11458" s="199"/>
    </row>
    <row r="11459" spans="7:16" x14ac:dyDescent="0.2">
      <c r="G11459" s="199"/>
      <c r="I11459" s="199"/>
      <c r="K11459" s="199"/>
      <c r="M11459" s="199"/>
      <c r="N11459" s="200"/>
      <c r="P11459" s="199"/>
    </row>
    <row r="11460" spans="7:16" x14ac:dyDescent="0.2">
      <c r="G11460" s="199"/>
      <c r="I11460" s="199"/>
      <c r="K11460" s="199"/>
      <c r="M11460" s="199"/>
      <c r="N11460" s="200"/>
      <c r="P11460" s="199"/>
    </row>
    <row r="11461" spans="7:16" x14ac:dyDescent="0.2">
      <c r="G11461" s="199"/>
      <c r="I11461" s="199"/>
      <c r="K11461" s="199"/>
      <c r="M11461" s="199"/>
      <c r="N11461" s="200"/>
      <c r="P11461" s="199"/>
    </row>
    <row r="11462" spans="7:16" x14ac:dyDescent="0.2">
      <c r="G11462" s="199"/>
      <c r="I11462" s="199"/>
      <c r="K11462" s="199"/>
      <c r="M11462" s="199"/>
      <c r="N11462" s="200"/>
      <c r="P11462" s="199"/>
    </row>
    <row r="11463" spans="7:16" x14ac:dyDescent="0.2">
      <c r="G11463" s="199"/>
      <c r="I11463" s="199"/>
      <c r="K11463" s="199"/>
      <c r="M11463" s="199"/>
      <c r="N11463" s="200"/>
      <c r="P11463" s="199"/>
    </row>
    <row r="11464" spans="7:16" x14ac:dyDescent="0.2">
      <c r="G11464" s="199"/>
      <c r="I11464" s="199"/>
      <c r="K11464" s="199"/>
      <c r="M11464" s="199"/>
      <c r="N11464" s="200"/>
      <c r="P11464" s="199"/>
    </row>
    <row r="11465" spans="7:16" x14ac:dyDescent="0.2">
      <c r="G11465" s="199"/>
      <c r="I11465" s="199"/>
      <c r="K11465" s="199"/>
      <c r="M11465" s="199"/>
      <c r="N11465" s="200"/>
      <c r="P11465" s="199"/>
    </row>
    <row r="11466" spans="7:16" x14ac:dyDescent="0.2">
      <c r="G11466" s="199"/>
      <c r="I11466" s="199"/>
      <c r="K11466" s="199"/>
      <c r="M11466" s="199"/>
      <c r="N11466" s="200"/>
      <c r="P11466" s="199"/>
    </row>
    <row r="11467" spans="7:16" x14ac:dyDescent="0.2">
      <c r="G11467" s="199"/>
      <c r="I11467" s="199"/>
      <c r="K11467" s="199"/>
      <c r="M11467" s="199"/>
      <c r="N11467" s="200"/>
      <c r="P11467" s="199"/>
    </row>
    <row r="11468" spans="7:16" x14ac:dyDescent="0.2">
      <c r="G11468" s="199"/>
      <c r="I11468" s="199"/>
      <c r="K11468" s="199"/>
      <c r="M11468" s="199"/>
      <c r="N11468" s="200"/>
      <c r="P11468" s="199"/>
    </row>
    <row r="11469" spans="7:16" x14ac:dyDescent="0.2">
      <c r="G11469" s="199"/>
      <c r="I11469" s="199"/>
      <c r="K11469" s="199"/>
      <c r="M11469" s="199"/>
      <c r="N11469" s="200"/>
      <c r="P11469" s="199"/>
    </row>
    <row r="11470" spans="7:16" x14ac:dyDescent="0.2">
      <c r="G11470" s="199"/>
      <c r="I11470" s="199"/>
      <c r="K11470" s="199"/>
      <c r="M11470" s="199"/>
      <c r="N11470" s="200"/>
      <c r="P11470" s="199"/>
    </row>
    <row r="11471" spans="7:16" x14ac:dyDescent="0.2">
      <c r="G11471" s="199"/>
      <c r="I11471" s="199"/>
      <c r="K11471" s="199"/>
      <c r="M11471" s="199"/>
      <c r="N11471" s="200"/>
      <c r="P11471" s="199"/>
    </row>
    <row r="11472" spans="7:16" x14ac:dyDescent="0.2">
      <c r="G11472" s="199"/>
      <c r="I11472" s="199"/>
      <c r="K11472" s="199"/>
      <c r="M11472" s="199"/>
      <c r="N11472" s="200"/>
      <c r="P11472" s="199"/>
    </row>
    <row r="11473" spans="7:16" x14ac:dyDescent="0.2">
      <c r="G11473" s="199"/>
      <c r="I11473" s="199"/>
      <c r="K11473" s="199"/>
      <c r="M11473" s="199"/>
      <c r="N11473" s="200"/>
      <c r="P11473" s="199"/>
    </row>
    <row r="11474" spans="7:16" x14ac:dyDescent="0.2">
      <c r="G11474" s="199"/>
      <c r="I11474" s="199"/>
      <c r="K11474" s="199"/>
      <c r="M11474" s="199"/>
      <c r="N11474" s="200"/>
      <c r="P11474" s="199"/>
    </row>
    <row r="11475" spans="7:16" x14ac:dyDescent="0.2">
      <c r="G11475" s="199"/>
      <c r="I11475" s="199"/>
      <c r="K11475" s="199"/>
      <c r="M11475" s="199"/>
      <c r="N11475" s="200"/>
      <c r="P11475" s="199"/>
    </row>
    <row r="11476" spans="7:16" x14ac:dyDescent="0.2">
      <c r="G11476" s="199"/>
      <c r="I11476" s="199"/>
      <c r="K11476" s="199"/>
      <c r="M11476" s="199"/>
      <c r="N11476" s="200"/>
      <c r="P11476" s="199"/>
    </row>
    <row r="11477" spans="7:16" x14ac:dyDescent="0.2">
      <c r="G11477" s="199"/>
      <c r="I11477" s="199"/>
      <c r="K11477" s="199"/>
      <c r="M11477" s="199"/>
      <c r="N11477" s="200"/>
      <c r="P11477" s="199"/>
    </row>
    <row r="11478" spans="7:16" x14ac:dyDescent="0.2">
      <c r="G11478" s="199"/>
      <c r="I11478" s="199"/>
      <c r="K11478" s="199"/>
      <c r="M11478" s="199"/>
      <c r="N11478" s="200"/>
      <c r="P11478" s="199"/>
    </row>
    <row r="11479" spans="7:16" x14ac:dyDescent="0.2">
      <c r="G11479" s="199"/>
      <c r="I11479" s="199"/>
      <c r="K11479" s="199"/>
      <c r="M11479" s="199"/>
      <c r="N11479" s="200"/>
      <c r="P11479" s="199"/>
    </row>
    <row r="11480" spans="7:16" x14ac:dyDescent="0.2">
      <c r="G11480" s="199"/>
      <c r="I11480" s="199"/>
      <c r="K11480" s="199"/>
      <c r="M11480" s="199"/>
      <c r="N11480" s="200"/>
      <c r="P11480" s="199"/>
    </row>
    <row r="11481" spans="7:16" x14ac:dyDescent="0.2">
      <c r="G11481" s="199"/>
      <c r="I11481" s="199"/>
      <c r="K11481" s="199"/>
      <c r="M11481" s="199"/>
      <c r="N11481" s="200"/>
      <c r="P11481" s="199"/>
    </row>
    <row r="11482" spans="7:16" x14ac:dyDescent="0.2">
      <c r="G11482" s="199"/>
      <c r="I11482" s="199"/>
      <c r="K11482" s="199"/>
      <c r="M11482" s="199"/>
      <c r="N11482" s="200"/>
      <c r="P11482" s="199"/>
    </row>
    <row r="11483" spans="7:16" x14ac:dyDescent="0.2">
      <c r="G11483" s="199"/>
      <c r="I11483" s="199"/>
      <c r="K11483" s="199"/>
      <c r="M11483" s="199"/>
      <c r="N11483" s="200"/>
      <c r="P11483" s="199"/>
    </row>
    <row r="11484" spans="7:16" x14ac:dyDescent="0.2">
      <c r="G11484" s="199"/>
      <c r="I11484" s="199"/>
      <c r="K11484" s="199"/>
      <c r="M11484" s="199"/>
      <c r="N11484" s="200"/>
      <c r="P11484" s="199"/>
    </row>
    <row r="11485" spans="7:16" x14ac:dyDescent="0.2">
      <c r="G11485" s="199"/>
      <c r="I11485" s="199"/>
      <c r="K11485" s="199"/>
      <c r="M11485" s="199"/>
      <c r="N11485" s="200"/>
      <c r="P11485" s="199"/>
    </row>
    <row r="11486" spans="7:16" x14ac:dyDescent="0.2">
      <c r="G11486" s="199"/>
      <c r="I11486" s="199"/>
      <c r="K11486" s="199"/>
      <c r="M11486" s="199"/>
      <c r="N11486" s="200"/>
      <c r="P11486" s="199"/>
    </row>
    <row r="11487" spans="7:16" x14ac:dyDescent="0.2">
      <c r="G11487" s="199"/>
      <c r="I11487" s="199"/>
      <c r="K11487" s="199"/>
      <c r="M11487" s="199"/>
      <c r="N11487" s="200"/>
      <c r="P11487" s="199"/>
    </row>
    <row r="11488" spans="7:16" x14ac:dyDescent="0.2">
      <c r="G11488" s="199"/>
      <c r="I11488" s="199"/>
      <c r="K11488" s="199"/>
      <c r="M11488" s="199"/>
      <c r="N11488" s="200"/>
      <c r="P11488" s="199"/>
    </row>
    <row r="11489" spans="7:16" x14ac:dyDescent="0.2">
      <c r="G11489" s="199"/>
      <c r="I11489" s="199"/>
      <c r="K11489" s="199"/>
      <c r="M11489" s="199"/>
      <c r="N11489" s="200"/>
      <c r="P11489" s="199"/>
    </row>
    <row r="11490" spans="7:16" x14ac:dyDescent="0.2">
      <c r="G11490" s="199"/>
      <c r="I11490" s="199"/>
      <c r="K11490" s="199"/>
      <c r="M11490" s="199"/>
      <c r="N11490" s="200"/>
      <c r="P11490" s="199"/>
    </row>
    <row r="11491" spans="7:16" x14ac:dyDescent="0.2">
      <c r="G11491" s="199"/>
      <c r="I11491" s="199"/>
      <c r="K11491" s="199"/>
      <c r="M11491" s="199"/>
      <c r="N11491" s="200"/>
      <c r="P11491" s="199"/>
    </row>
    <row r="11492" spans="7:16" x14ac:dyDescent="0.2">
      <c r="G11492" s="199"/>
      <c r="I11492" s="199"/>
      <c r="K11492" s="199"/>
      <c r="M11492" s="199"/>
      <c r="N11492" s="200"/>
      <c r="P11492" s="199"/>
    </row>
    <row r="11493" spans="7:16" x14ac:dyDescent="0.2">
      <c r="G11493" s="199"/>
      <c r="I11493" s="199"/>
      <c r="K11493" s="199"/>
      <c r="M11493" s="199"/>
      <c r="N11493" s="200"/>
      <c r="P11493" s="199"/>
    </row>
    <row r="11494" spans="7:16" x14ac:dyDescent="0.2">
      <c r="G11494" s="199"/>
      <c r="I11494" s="199"/>
      <c r="K11494" s="199"/>
      <c r="M11494" s="199"/>
      <c r="N11494" s="200"/>
      <c r="P11494" s="199"/>
    </row>
    <row r="11495" spans="7:16" x14ac:dyDescent="0.2">
      <c r="G11495" s="199"/>
      <c r="I11495" s="199"/>
      <c r="K11495" s="199"/>
      <c r="M11495" s="199"/>
      <c r="N11495" s="200"/>
      <c r="P11495" s="199"/>
    </row>
    <row r="11496" spans="7:16" x14ac:dyDescent="0.2">
      <c r="G11496" s="199"/>
      <c r="I11496" s="199"/>
      <c r="K11496" s="199"/>
      <c r="M11496" s="199"/>
      <c r="N11496" s="200"/>
      <c r="P11496" s="199"/>
    </row>
    <row r="11497" spans="7:16" x14ac:dyDescent="0.2">
      <c r="G11497" s="199"/>
      <c r="I11497" s="199"/>
      <c r="K11497" s="199"/>
      <c r="M11497" s="199"/>
      <c r="N11497" s="200"/>
      <c r="P11497" s="199"/>
    </row>
    <row r="11498" spans="7:16" x14ac:dyDescent="0.2">
      <c r="G11498" s="199"/>
      <c r="I11498" s="199"/>
      <c r="K11498" s="199"/>
      <c r="M11498" s="199"/>
      <c r="N11498" s="200"/>
      <c r="P11498" s="199"/>
    </row>
    <row r="11499" spans="7:16" x14ac:dyDescent="0.2">
      <c r="G11499" s="199"/>
      <c r="I11499" s="199"/>
      <c r="K11499" s="199"/>
      <c r="M11499" s="199"/>
      <c r="N11499" s="200"/>
      <c r="P11499" s="199"/>
    </row>
    <row r="11500" spans="7:16" x14ac:dyDescent="0.2">
      <c r="G11500" s="199"/>
      <c r="I11500" s="199"/>
      <c r="K11500" s="199"/>
      <c r="M11500" s="199"/>
      <c r="N11500" s="200"/>
      <c r="P11500" s="199"/>
    </row>
    <row r="11501" spans="7:16" x14ac:dyDescent="0.2">
      <c r="G11501" s="199"/>
      <c r="I11501" s="199"/>
      <c r="K11501" s="199"/>
      <c r="M11501" s="199"/>
      <c r="N11501" s="200"/>
      <c r="P11501" s="199"/>
    </row>
    <row r="11502" spans="7:16" x14ac:dyDescent="0.2">
      <c r="G11502" s="199"/>
      <c r="I11502" s="199"/>
      <c r="K11502" s="199"/>
      <c r="M11502" s="199"/>
      <c r="N11502" s="200"/>
      <c r="P11502" s="199"/>
    </row>
    <row r="11503" spans="7:16" x14ac:dyDescent="0.2">
      <c r="G11503" s="199"/>
      <c r="I11503" s="199"/>
      <c r="K11503" s="199"/>
      <c r="M11503" s="199"/>
      <c r="N11503" s="200"/>
      <c r="P11503" s="199"/>
    </row>
    <row r="11504" spans="7:16" x14ac:dyDescent="0.2">
      <c r="G11504" s="199"/>
      <c r="I11504" s="199"/>
      <c r="K11504" s="199"/>
      <c r="M11504" s="199"/>
      <c r="N11504" s="200"/>
      <c r="P11504" s="199"/>
    </row>
    <row r="11505" spans="7:16" x14ac:dyDescent="0.2">
      <c r="G11505" s="199"/>
      <c r="I11505" s="199"/>
      <c r="K11505" s="199"/>
      <c r="M11505" s="199"/>
      <c r="N11505" s="200"/>
      <c r="P11505" s="199"/>
    </row>
    <row r="11506" spans="7:16" x14ac:dyDescent="0.2">
      <c r="G11506" s="199"/>
      <c r="I11506" s="199"/>
      <c r="K11506" s="199"/>
      <c r="M11506" s="199"/>
      <c r="N11506" s="200"/>
      <c r="P11506" s="199"/>
    </row>
    <row r="11507" spans="7:16" x14ac:dyDescent="0.2">
      <c r="G11507" s="199"/>
      <c r="I11507" s="199"/>
      <c r="K11507" s="199"/>
      <c r="M11507" s="199"/>
      <c r="N11507" s="200"/>
      <c r="P11507" s="199"/>
    </row>
    <row r="11508" spans="7:16" x14ac:dyDescent="0.2">
      <c r="G11508" s="199"/>
      <c r="I11508" s="199"/>
      <c r="K11508" s="199"/>
      <c r="M11508" s="199"/>
      <c r="N11508" s="200"/>
      <c r="P11508" s="199"/>
    </row>
    <row r="11509" spans="7:16" x14ac:dyDescent="0.2">
      <c r="G11509" s="199"/>
      <c r="I11509" s="199"/>
      <c r="K11509" s="199"/>
      <c r="M11509" s="199"/>
      <c r="N11509" s="200"/>
      <c r="P11509" s="199"/>
    </row>
    <row r="11510" spans="7:16" x14ac:dyDescent="0.2">
      <c r="G11510" s="199"/>
      <c r="I11510" s="199"/>
      <c r="K11510" s="199"/>
      <c r="M11510" s="199"/>
      <c r="N11510" s="200"/>
      <c r="P11510" s="199"/>
    </row>
    <row r="11511" spans="7:16" x14ac:dyDescent="0.2">
      <c r="G11511" s="199"/>
      <c r="I11511" s="199"/>
      <c r="K11511" s="199"/>
      <c r="M11511" s="199"/>
      <c r="N11511" s="200"/>
      <c r="P11511" s="199"/>
    </row>
    <row r="11512" spans="7:16" x14ac:dyDescent="0.2">
      <c r="G11512" s="199"/>
      <c r="I11512" s="199"/>
      <c r="K11512" s="199"/>
      <c r="M11512" s="199"/>
      <c r="N11512" s="200"/>
      <c r="P11512" s="199"/>
    </row>
    <row r="11513" spans="7:16" x14ac:dyDescent="0.2">
      <c r="G11513" s="199"/>
      <c r="I11513" s="199"/>
      <c r="K11513" s="199"/>
      <c r="M11513" s="199"/>
      <c r="N11513" s="200"/>
      <c r="P11513" s="199"/>
    </row>
    <row r="11514" spans="7:16" x14ac:dyDescent="0.2">
      <c r="G11514" s="199"/>
      <c r="I11514" s="199"/>
      <c r="K11514" s="199"/>
      <c r="M11514" s="199"/>
      <c r="N11514" s="200"/>
      <c r="P11514" s="199"/>
    </row>
    <row r="11515" spans="7:16" x14ac:dyDescent="0.2">
      <c r="G11515" s="199"/>
      <c r="I11515" s="199"/>
      <c r="K11515" s="199"/>
      <c r="M11515" s="199"/>
      <c r="N11515" s="200"/>
      <c r="P11515" s="199"/>
    </row>
    <row r="11516" spans="7:16" x14ac:dyDescent="0.2">
      <c r="G11516" s="199"/>
      <c r="I11516" s="199"/>
      <c r="K11516" s="199"/>
      <c r="M11516" s="199"/>
      <c r="N11516" s="200"/>
      <c r="P11516" s="199"/>
    </row>
    <row r="11517" spans="7:16" x14ac:dyDescent="0.2">
      <c r="G11517" s="199"/>
      <c r="I11517" s="199"/>
      <c r="K11517" s="199"/>
      <c r="M11517" s="199"/>
      <c r="N11517" s="200"/>
      <c r="P11517" s="199"/>
    </row>
    <row r="11518" spans="7:16" x14ac:dyDescent="0.2">
      <c r="G11518" s="199"/>
      <c r="I11518" s="199"/>
      <c r="K11518" s="199"/>
      <c r="M11518" s="199"/>
      <c r="N11518" s="200"/>
      <c r="P11518" s="199"/>
    </row>
    <row r="11519" spans="7:16" x14ac:dyDescent="0.2">
      <c r="G11519" s="199"/>
      <c r="I11519" s="199"/>
      <c r="K11519" s="199"/>
      <c r="M11519" s="199"/>
      <c r="N11519" s="200"/>
      <c r="P11519" s="199"/>
    </row>
    <row r="11520" spans="7:16" x14ac:dyDescent="0.2">
      <c r="G11520" s="199"/>
      <c r="I11520" s="199"/>
      <c r="K11520" s="199"/>
      <c r="M11520" s="199"/>
      <c r="N11520" s="200"/>
      <c r="P11520" s="199"/>
    </row>
    <row r="11521" spans="7:16" x14ac:dyDescent="0.2">
      <c r="G11521" s="199"/>
      <c r="I11521" s="199"/>
      <c r="K11521" s="199"/>
      <c r="M11521" s="199"/>
      <c r="N11521" s="200"/>
      <c r="P11521" s="199"/>
    </row>
    <row r="11522" spans="7:16" x14ac:dyDescent="0.2">
      <c r="G11522" s="199"/>
      <c r="I11522" s="199"/>
      <c r="K11522" s="199"/>
      <c r="M11522" s="199"/>
      <c r="N11522" s="200"/>
      <c r="P11522" s="199"/>
    </row>
    <row r="11523" spans="7:16" x14ac:dyDescent="0.2">
      <c r="G11523" s="199"/>
      <c r="I11523" s="199"/>
      <c r="K11523" s="199"/>
      <c r="M11523" s="199"/>
      <c r="N11523" s="200"/>
      <c r="P11523" s="199"/>
    </row>
    <row r="11524" spans="7:16" x14ac:dyDescent="0.2">
      <c r="G11524" s="199"/>
      <c r="I11524" s="199"/>
      <c r="K11524" s="199"/>
      <c r="M11524" s="199"/>
      <c r="N11524" s="200"/>
      <c r="P11524" s="199"/>
    </row>
    <row r="11525" spans="7:16" x14ac:dyDescent="0.2">
      <c r="G11525" s="199"/>
      <c r="I11525" s="199"/>
      <c r="K11525" s="199"/>
      <c r="M11525" s="199"/>
      <c r="N11525" s="200"/>
      <c r="P11525" s="199"/>
    </row>
    <row r="11526" spans="7:16" x14ac:dyDescent="0.2">
      <c r="G11526" s="199"/>
      <c r="I11526" s="199"/>
      <c r="K11526" s="199"/>
      <c r="M11526" s="199"/>
      <c r="N11526" s="200"/>
      <c r="P11526" s="199"/>
    </row>
    <row r="11527" spans="7:16" x14ac:dyDescent="0.2">
      <c r="G11527" s="199"/>
      <c r="I11527" s="199"/>
      <c r="K11527" s="199"/>
      <c r="M11527" s="199"/>
      <c r="N11527" s="200"/>
      <c r="P11527" s="199"/>
    </row>
    <row r="11528" spans="7:16" x14ac:dyDescent="0.2">
      <c r="G11528" s="199"/>
      <c r="I11528" s="199"/>
      <c r="K11528" s="199"/>
      <c r="M11528" s="199"/>
      <c r="N11528" s="200"/>
      <c r="P11528" s="199"/>
    </row>
    <row r="11529" spans="7:16" x14ac:dyDescent="0.2">
      <c r="G11529" s="199"/>
      <c r="I11529" s="199"/>
      <c r="K11529" s="199"/>
      <c r="M11529" s="199"/>
      <c r="N11529" s="200"/>
      <c r="P11529" s="199"/>
    </row>
    <row r="11530" spans="7:16" x14ac:dyDescent="0.2">
      <c r="G11530" s="199"/>
      <c r="I11530" s="199"/>
      <c r="K11530" s="199"/>
      <c r="M11530" s="199"/>
      <c r="N11530" s="200"/>
      <c r="P11530" s="199"/>
    </row>
    <row r="11531" spans="7:16" x14ac:dyDescent="0.2">
      <c r="G11531" s="199"/>
      <c r="I11531" s="199"/>
      <c r="K11531" s="199"/>
      <c r="M11531" s="199"/>
      <c r="N11531" s="200"/>
      <c r="P11531" s="199"/>
    </row>
    <row r="11532" spans="7:16" x14ac:dyDescent="0.2">
      <c r="G11532" s="199"/>
      <c r="I11532" s="199"/>
      <c r="K11532" s="199"/>
      <c r="M11532" s="199"/>
      <c r="N11532" s="200"/>
      <c r="P11532" s="199"/>
    </row>
    <row r="11533" spans="7:16" x14ac:dyDescent="0.2">
      <c r="G11533" s="199"/>
      <c r="I11533" s="199"/>
      <c r="K11533" s="199"/>
      <c r="M11533" s="199"/>
      <c r="N11533" s="200"/>
      <c r="P11533" s="199"/>
    </row>
    <row r="11534" spans="7:16" x14ac:dyDescent="0.2">
      <c r="G11534" s="199"/>
      <c r="I11534" s="199"/>
      <c r="K11534" s="199"/>
      <c r="M11534" s="199"/>
      <c r="N11534" s="200"/>
      <c r="P11534" s="199"/>
    </row>
    <row r="11535" spans="7:16" x14ac:dyDescent="0.2">
      <c r="G11535" s="199"/>
      <c r="I11535" s="199"/>
      <c r="K11535" s="199"/>
      <c r="M11535" s="199"/>
      <c r="N11535" s="200"/>
      <c r="P11535" s="199"/>
    </row>
    <row r="11536" spans="7:16" x14ac:dyDescent="0.2">
      <c r="G11536" s="199"/>
      <c r="I11536" s="199"/>
      <c r="K11536" s="199"/>
      <c r="M11536" s="199"/>
      <c r="N11536" s="200"/>
      <c r="P11536" s="199"/>
    </row>
    <row r="11537" spans="7:16" x14ac:dyDescent="0.2">
      <c r="G11537" s="199"/>
      <c r="I11537" s="199"/>
      <c r="K11537" s="199"/>
      <c r="M11537" s="199"/>
      <c r="N11537" s="200"/>
      <c r="P11537" s="199"/>
    </row>
    <row r="11538" spans="7:16" x14ac:dyDescent="0.2">
      <c r="G11538" s="199"/>
      <c r="I11538" s="199"/>
      <c r="K11538" s="199"/>
      <c r="M11538" s="199"/>
      <c r="N11538" s="200"/>
      <c r="P11538" s="199"/>
    </row>
    <row r="11539" spans="7:16" x14ac:dyDescent="0.2">
      <c r="G11539" s="199"/>
      <c r="I11539" s="199"/>
      <c r="K11539" s="199"/>
      <c r="M11539" s="199"/>
      <c r="N11539" s="200"/>
      <c r="P11539" s="199"/>
    </row>
    <row r="11540" spans="7:16" x14ac:dyDescent="0.2">
      <c r="G11540" s="199"/>
      <c r="I11540" s="199"/>
      <c r="K11540" s="199"/>
      <c r="M11540" s="199"/>
      <c r="N11540" s="200"/>
      <c r="P11540" s="199"/>
    </row>
    <row r="11541" spans="7:16" x14ac:dyDescent="0.2">
      <c r="G11541" s="199"/>
      <c r="I11541" s="199"/>
      <c r="K11541" s="199"/>
      <c r="M11541" s="199"/>
      <c r="N11541" s="200"/>
      <c r="P11541" s="199"/>
    </row>
    <row r="11542" spans="7:16" x14ac:dyDescent="0.2">
      <c r="G11542" s="199"/>
      <c r="I11542" s="199"/>
      <c r="K11542" s="199"/>
      <c r="M11542" s="199"/>
      <c r="N11542" s="200"/>
      <c r="P11542" s="199"/>
    </row>
    <row r="11543" spans="7:16" x14ac:dyDescent="0.2">
      <c r="G11543" s="199"/>
      <c r="I11543" s="199"/>
      <c r="K11543" s="199"/>
      <c r="M11543" s="199"/>
      <c r="N11543" s="200"/>
      <c r="P11543" s="199"/>
    </row>
    <row r="11544" spans="7:16" x14ac:dyDescent="0.2">
      <c r="G11544" s="199"/>
      <c r="I11544" s="199"/>
      <c r="K11544" s="199"/>
      <c r="M11544" s="199"/>
      <c r="N11544" s="200"/>
      <c r="P11544" s="199"/>
    </row>
    <row r="11545" spans="7:16" x14ac:dyDescent="0.2">
      <c r="G11545" s="199"/>
      <c r="I11545" s="199"/>
      <c r="K11545" s="199"/>
      <c r="M11545" s="199"/>
      <c r="N11545" s="200"/>
      <c r="P11545" s="199"/>
    </row>
    <row r="11546" spans="7:16" x14ac:dyDescent="0.2">
      <c r="G11546" s="199"/>
      <c r="I11546" s="199"/>
      <c r="K11546" s="199"/>
      <c r="M11546" s="199"/>
      <c r="N11546" s="200"/>
      <c r="P11546" s="199"/>
    </row>
    <row r="11547" spans="7:16" x14ac:dyDescent="0.2">
      <c r="G11547" s="199"/>
      <c r="I11547" s="199"/>
      <c r="K11547" s="199"/>
      <c r="M11547" s="199"/>
      <c r="N11547" s="200"/>
      <c r="P11547" s="199"/>
    </row>
    <row r="11548" spans="7:16" x14ac:dyDescent="0.2">
      <c r="G11548" s="199"/>
      <c r="I11548" s="199"/>
      <c r="K11548" s="199"/>
      <c r="M11548" s="199"/>
      <c r="N11548" s="200"/>
      <c r="P11548" s="199"/>
    </row>
    <row r="11549" spans="7:16" x14ac:dyDescent="0.2">
      <c r="G11549" s="199"/>
      <c r="I11549" s="199"/>
      <c r="K11549" s="199"/>
      <c r="M11549" s="199"/>
      <c r="N11549" s="200"/>
      <c r="P11549" s="199"/>
    </row>
    <row r="11550" spans="7:16" x14ac:dyDescent="0.2">
      <c r="G11550" s="199"/>
      <c r="I11550" s="199"/>
      <c r="K11550" s="199"/>
      <c r="M11550" s="199"/>
      <c r="N11550" s="200"/>
      <c r="P11550" s="199"/>
    </row>
    <row r="11551" spans="7:16" x14ac:dyDescent="0.2">
      <c r="G11551" s="199"/>
      <c r="I11551" s="199"/>
      <c r="K11551" s="199"/>
      <c r="M11551" s="199"/>
      <c r="N11551" s="200"/>
      <c r="P11551" s="199"/>
    </row>
    <row r="11552" spans="7:16" x14ac:dyDescent="0.2">
      <c r="G11552" s="199"/>
      <c r="I11552" s="199"/>
      <c r="K11552" s="199"/>
      <c r="M11552" s="199"/>
      <c r="N11552" s="200"/>
      <c r="P11552" s="199"/>
    </row>
    <row r="11553" spans="7:16" x14ac:dyDescent="0.2">
      <c r="G11553" s="199"/>
      <c r="I11553" s="199"/>
      <c r="K11553" s="199"/>
      <c r="M11553" s="199"/>
      <c r="N11553" s="200"/>
      <c r="P11553" s="199"/>
    </row>
    <row r="11554" spans="7:16" x14ac:dyDescent="0.2">
      <c r="G11554" s="199"/>
      <c r="I11554" s="199"/>
      <c r="K11554" s="199"/>
      <c r="M11554" s="199"/>
      <c r="N11554" s="200"/>
      <c r="P11554" s="199"/>
    </row>
    <row r="11555" spans="7:16" x14ac:dyDescent="0.2">
      <c r="G11555" s="199"/>
      <c r="I11555" s="199"/>
      <c r="K11555" s="199"/>
      <c r="M11555" s="199"/>
      <c r="N11555" s="200"/>
      <c r="P11555" s="199"/>
    </row>
    <row r="11556" spans="7:16" x14ac:dyDescent="0.2">
      <c r="G11556" s="199"/>
      <c r="I11556" s="199"/>
      <c r="K11556" s="199"/>
      <c r="M11556" s="199"/>
      <c r="N11556" s="200"/>
      <c r="P11556" s="199"/>
    </row>
    <row r="11557" spans="7:16" x14ac:dyDescent="0.2">
      <c r="G11557" s="199"/>
      <c r="I11557" s="199"/>
      <c r="K11557" s="199"/>
      <c r="M11557" s="199"/>
      <c r="N11557" s="200"/>
      <c r="P11557" s="199"/>
    </row>
    <row r="11558" spans="7:16" x14ac:dyDescent="0.2">
      <c r="G11558" s="199"/>
      <c r="I11558" s="199"/>
      <c r="K11558" s="199"/>
      <c r="M11558" s="199"/>
      <c r="N11558" s="200"/>
      <c r="P11558" s="199"/>
    </row>
    <row r="11559" spans="7:16" x14ac:dyDescent="0.2">
      <c r="G11559" s="199"/>
      <c r="I11559" s="199"/>
      <c r="K11559" s="199"/>
      <c r="M11559" s="199"/>
      <c r="N11559" s="200"/>
      <c r="P11559" s="199"/>
    </row>
    <row r="11560" spans="7:16" x14ac:dyDescent="0.2">
      <c r="G11560" s="199"/>
      <c r="I11560" s="199"/>
      <c r="K11560" s="199"/>
      <c r="M11560" s="199"/>
      <c r="N11560" s="200"/>
      <c r="P11560" s="199"/>
    </row>
    <row r="11561" spans="7:16" x14ac:dyDescent="0.2">
      <c r="G11561" s="199"/>
      <c r="I11561" s="199"/>
      <c r="K11561" s="199"/>
      <c r="M11561" s="199"/>
      <c r="N11561" s="200"/>
      <c r="P11561" s="199"/>
    </row>
    <row r="11562" spans="7:16" x14ac:dyDescent="0.2">
      <c r="G11562" s="199"/>
      <c r="I11562" s="199"/>
      <c r="K11562" s="199"/>
      <c r="M11562" s="199"/>
      <c r="N11562" s="200"/>
      <c r="P11562" s="199"/>
    </row>
    <row r="11563" spans="7:16" x14ac:dyDescent="0.2">
      <c r="G11563" s="199"/>
      <c r="I11563" s="199"/>
      <c r="K11563" s="199"/>
      <c r="M11563" s="199"/>
      <c r="N11563" s="200"/>
      <c r="P11563" s="199"/>
    </row>
    <row r="11564" spans="7:16" x14ac:dyDescent="0.2">
      <c r="G11564" s="199"/>
      <c r="I11564" s="199"/>
      <c r="K11564" s="199"/>
      <c r="M11564" s="199"/>
      <c r="N11564" s="200"/>
      <c r="P11564" s="199"/>
    </row>
    <row r="11565" spans="7:16" x14ac:dyDescent="0.2">
      <c r="G11565" s="199"/>
      <c r="I11565" s="199"/>
      <c r="K11565" s="199"/>
      <c r="M11565" s="199"/>
      <c r="N11565" s="200"/>
      <c r="P11565" s="199"/>
    </row>
    <row r="11566" spans="7:16" x14ac:dyDescent="0.2">
      <c r="G11566" s="199"/>
      <c r="I11566" s="199"/>
      <c r="K11566" s="199"/>
      <c r="M11566" s="199"/>
      <c r="N11566" s="200"/>
      <c r="P11566" s="199"/>
    </row>
    <row r="11567" spans="7:16" x14ac:dyDescent="0.2">
      <c r="G11567" s="199"/>
      <c r="I11567" s="199"/>
      <c r="K11567" s="199"/>
      <c r="M11567" s="199"/>
      <c r="N11567" s="200"/>
      <c r="P11567" s="199"/>
    </row>
    <row r="11568" spans="7:16" x14ac:dyDescent="0.2">
      <c r="G11568" s="199"/>
      <c r="I11568" s="199"/>
      <c r="K11568" s="199"/>
      <c r="M11568" s="199"/>
      <c r="N11568" s="200"/>
      <c r="P11568" s="199"/>
    </row>
    <row r="11569" spans="7:16" x14ac:dyDescent="0.2">
      <c r="G11569" s="199"/>
      <c r="I11569" s="199"/>
      <c r="K11569" s="199"/>
      <c r="M11569" s="199"/>
      <c r="N11569" s="200"/>
      <c r="P11569" s="199"/>
    </row>
    <row r="11570" spans="7:16" x14ac:dyDescent="0.2">
      <c r="G11570" s="199"/>
      <c r="I11570" s="199"/>
      <c r="K11570" s="199"/>
      <c r="M11570" s="199"/>
      <c r="N11570" s="200"/>
      <c r="P11570" s="199"/>
    </row>
    <row r="11571" spans="7:16" x14ac:dyDescent="0.2">
      <c r="G11571" s="199"/>
      <c r="I11571" s="199"/>
      <c r="K11571" s="199"/>
      <c r="M11571" s="199"/>
      <c r="N11571" s="200"/>
      <c r="P11571" s="199"/>
    </row>
    <row r="11572" spans="7:16" x14ac:dyDescent="0.2">
      <c r="G11572" s="199"/>
      <c r="I11572" s="199"/>
      <c r="K11572" s="199"/>
      <c r="M11572" s="199"/>
      <c r="N11572" s="200"/>
      <c r="P11572" s="199"/>
    </row>
    <row r="11573" spans="7:16" x14ac:dyDescent="0.2">
      <c r="G11573" s="199"/>
      <c r="I11573" s="199"/>
      <c r="K11573" s="199"/>
      <c r="M11573" s="199"/>
      <c r="N11573" s="200"/>
      <c r="P11573" s="199"/>
    </row>
    <row r="11574" spans="7:16" x14ac:dyDescent="0.2">
      <c r="G11574" s="199"/>
      <c r="I11574" s="199"/>
      <c r="K11574" s="199"/>
      <c r="M11574" s="199"/>
      <c r="N11574" s="200"/>
      <c r="P11574" s="199"/>
    </row>
    <row r="11575" spans="7:16" x14ac:dyDescent="0.2">
      <c r="G11575" s="199"/>
      <c r="I11575" s="199"/>
      <c r="K11575" s="199"/>
      <c r="M11575" s="199"/>
      <c r="N11575" s="200"/>
      <c r="P11575" s="199"/>
    </row>
    <row r="11576" spans="7:16" x14ac:dyDescent="0.2">
      <c r="G11576" s="199"/>
      <c r="I11576" s="199"/>
      <c r="K11576" s="199"/>
      <c r="M11576" s="199"/>
      <c r="N11576" s="200"/>
      <c r="P11576" s="199"/>
    </row>
    <row r="11577" spans="7:16" x14ac:dyDescent="0.2">
      <c r="G11577" s="199"/>
      <c r="I11577" s="199"/>
      <c r="K11577" s="199"/>
      <c r="M11577" s="199"/>
      <c r="N11577" s="200"/>
      <c r="P11577" s="199"/>
    </row>
    <row r="11578" spans="7:16" x14ac:dyDescent="0.2">
      <c r="G11578" s="199"/>
      <c r="I11578" s="199"/>
      <c r="K11578" s="199"/>
      <c r="M11578" s="199"/>
      <c r="N11578" s="200"/>
      <c r="P11578" s="199"/>
    </row>
    <row r="11579" spans="7:16" x14ac:dyDescent="0.2">
      <c r="G11579" s="199"/>
      <c r="I11579" s="199"/>
      <c r="K11579" s="199"/>
      <c r="M11579" s="199"/>
      <c r="N11579" s="200"/>
      <c r="P11579" s="199"/>
    </row>
    <row r="11580" spans="7:16" x14ac:dyDescent="0.2">
      <c r="G11580" s="199"/>
      <c r="I11580" s="199"/>
      <c r="K11580" s="199"/>
      <c r="M11580" s="199"/>
      <c r="N11580" s="200"/>
      <c r="P11580" s="199"/>
    </row>
    <row r="11581" spans="7:16" x14ac:dyDescent="0.2">
      <c r="G11581" s="199"/>
      <c r="I11581" s="199"/>
      <c r="K11581" s="199"/>
      <c r="M11581" s="199"/>
      <c r="N11581" s="200"/>
      <c r="P11581" s="199"/>
    </row>
    <row r="11582" spans="7:16" x14ac:dyDescent="0.2">
      <c r="G11582" s="199"/>
      <c r="I11582" s="199"/>
      <c r="K11582" s="199"/>
      <c r="M11582" s="199"/>
      <c r="N11582" s="200"/>
      <c r="P11582" s="199"/>
    </row>
    <row r="11583" spans="7:16" x14ac:dyDescent="0.2">
      <c r="G11583" s="199"/>
      <c r="I11583" s="199"/>
      <c r="K11583" s="199"/>
      <c r="M11583" s="199"/>
      <c r="N11583" s="200"/>
      <c r="P11583" s="199"/>
    </row>
    <row r="11584" spans="7:16" x14ac:dyDescent="0.2">
      <c r="G11584" s="199"/>
      <c r="I11584" s="199"/>
      <c r="K11584" s="199"/>
      <c r="M11584" s="199"/>
      <c r="N11584" s="200"/>
      <c r="P11584" s="199"/>
    </row>
    <row r="11585" spans="7:16" x14ac:dyDescent="0.2">
      <c r="G11585" s="199"/>
      <c r="I11585" s="199"/>
      <c r="K11585" s="199"/>
      <c r="M11585" s="199"/>
      <c r="N11585" s="200"/>
      <c r="P11585" s="199"/>
    </row>
    <row r="11586" spans="7:16" x14ac:dyDescent="0.2">
      <c r="G11586" s="199"/>
      <c r="I11586" s="199"/>
      <c r="K11586" s="199"/>
      <c r="M11586" s="199"/>
      <c r="N11586" s="200"/>
      <c r="P11586" s="199"/>
    </row>
    <row r="11587" spans="7:16" x14ac:dyDescent="0.2">
      <c r="G11587" s="199"/>
      <c r="I11587" s="199"/>
      <c r="K11587" s="199"/>
      <c r="M11587" s="199"/>
      <c r="N11587" s="200"/>
      <c r="P11587" s="199"/>
    </row>
    <row r="11588" spans="7:16" x14ac:dyDescent="0.2">
      <c r="G11588" s="199"/>
      <c r="I11588" s="199"/>
      <c r="K11588" s="199"/>
      <c r="M11588" s="199"/>
      <c r="N11588" s="200"/>
      <c r="P11588" s="199"/>
    </row>
    <row r="11589" spans="7:16" x14ac:dyDescent="0.2">
      <c r="G11589" s="199"/>
      <c r="I11589" s="199"/>
      <c r="K11589" s="199"/>
      <c r="M11589" s="199"/>
      <c r="N11589" s="200"/>
      <c r="P11589" s="199"/>
    </row>
    <row r="11590" spans="7:16" x14ac:dyDescent="0.2">
      <c r="G11590" s="199"/>
      <c r="I11590" s="199"/>
      <c r="K11590" s="199"/>
      <c r="M11590" s="199"/>
      <c r="N11590" s="200"/>
      <c r="P11590" s="199"/>
    </row>
    <row r="11591" spans="7:16" x14ac:dyDescent="0.2">
      <c r="G11591" s="199"/>
      <c r="I11591" s="199"/>
      <c r="K11591" s="199"/>
      <c r="M11591" s="199"/>
      <c r="N11591" s="200"/>
      <c r="P11591" s="199"/>
    </row>
    <row r="11592" spans="7:16" x14ac:dyDescent="0.2">
      <c r="G11592" s="199"/>
      <c r="I11592" s="199"/>
      <c r="K11592" s="199"/>
      <c r="M11592" s="199"/>
      <c r="N11592" s="200"/>
      <c r="P11592" s="199"/>
    </row>
    <row r="11593" spans="7:16" x14ac:dyDescent="0.2">
      <c r="G11593" s="199"/>
      <c r="I11593" s="199"/>
      <c r="K11593" s="199"/>
      <c r="M11593" s="199"/>
      <c r="N11593" s="200"/>
      <c r="P11593" s="199"/>
    </row>
    <row r="11594" spans="7:16" x14ac:dyDescent="0.2">
      <c r="G11594" s="199"/>
      <c r="I11594" s="199"/>
      <c r="K11594" s="199"/>
      <c r="M11594" s="199"/>
      <c r="N11594" s="200"/>
      <c r="P11594" s="199"/>
    </row>
    <row r="11595" spans="7:16" x14ac:dyDescent="0.2">
      <c r="G11595" s="199"/>
      <c r="I11595" s="199"/>
      <c r="K11595" s="199"/>
      <c r="M11595" s="199"/>
      <c r="N11595" s="200"/>
      <c r="P11595" s="199"/>
    </row>
    <row r="11596" spans="7:16" x14ac:dyDescent="0.2">
      <c r="G11596" s="199"/>
      <c r="I11596" s="199"/>
      <c r="K11596" s="199"/>
      <c r="M11596" s="199"/>
      <c r="N11596" s="200"/>
      <c r="P11596" s="199"/>
    </row>
    <row r="11597" spans="7:16" x14ac:dyDescent="0.2">
      <c r="G11597" s="199"/>
      <c r="I11597" s="199"/>
      <c r="K11597" s="199"/>
      <c r="M11597" s="199"/>
      <c r="N11597" s="200"/>
      <c r="P11597" s="199"/>
    </row>
    <row r="11598" spans="7:16" x14ac:dyDescent="0.2">
      <c r="G11598" s="199"/>
      <c r="I11598" s="199"/>
      <c r="K11598" s="199"/>
      <c r="M11598" s="199"/>
      <c r="N11598" s="200"/>
      <c r="P11598" s="199"/>
    </row>
    <row r="11599" spans="7:16" x14ac:dyDescent="0.2">
      <c r="G11599" s="199"/>
      <c r="I11599" s="199"/>
      <c r="K11599" s="199"/>
      <c r="M11599" s="199"/>
      <c r="N11599" s="200"/>
      <c r="P11599" s="199"/>
    </row>
    <row r="11600" spans="7:16" x14ac:dyDescent="0.2">
      <c r="G11600" s="199"/>
      <c r="I11600" s="199"/>
      <c r="K11600" s="199"/>
      <c r="M11600" s="199"/>
      <c r="N11600" s="200"/>
      <c r="P11600" s="199"/>
    </row>
    <row r="11601" spans="7:16" x14ac:dyDescent="0.2">
      <c r="G11601" s="199"/>
      <c r="I11601" s="199"/>
      <c r="K11601" s="199"/>
      <c r="M11601" s="199"/>
      <c r="N11601" s="200"/>
      <c r="P11601" s="199"/>
    </row>
    <row r="11602" spans="7:16" x14ac:dyDescent="0.2">
      <c r="G11602" s="199"/>
      <c r="I11602" s="199"/>
      <c r="K11602" s="199"/>
      <c r="M11602" s="199"/>
      <c r="N11602" s="200"/>
      <c r="P11602" s="199"/>
    </row>
    <row r="11603" spans="7:16" x14ac:dyDescent="0.2">
      <c r="G11603" s="199"/>
      <c r="I11603" s="199"/>
      <c r="K11603" s="199"/>
      <c r="M11603" s="199"/>
      <c r="N11603" s="200"/>
      <c r="P11603" s="199"/>
    </row>
    <row r="11604" spans="7:16" x14ac:dyDescent="0.2">
      <c r="G11604" s="199"/>
      <c r="I11604" s="199"/>
      <c r="K11604" s="199"/>
      <c r="M11604" s="199"/>
      <c r="N11604" s="200"/>
      <c r="P11604" s="199"/>
    </row>
    <row r="11605" spans="7:16" x14ac:dyDescent="0.2">
      <c r="G11605" s="199"/>
      <c r="I11605" s="199"/>
      <c r="K11605" s="199"/>
      <c r="M11605" s="199"/>
      <c r="N11605" s="200"/>
      <c r="P11605" s="199"/>
    </row>
    <row r="11606" spans="7:16" x14ac:dyDescent="0.2">
      <c r="G11606" s="199"/>
      <c r="I11606" s="199"/>
      <c r="K11606" s="199"/>
      <c r="M11606" s="199"/>
      <c r="N11606" s="200"/>
      <c r="P11606" s="199"/>
    </row>
    <row r="11607" spans="7:16" x14ac:dyDescent="0.2">
      <c r="G11607" s="199"/>
      <c r="I11607" s="199"/>
      <c r="K11607" s="199"/>
      <c r="M11607" s="199"/>
      <c r="N11607" s="200"/>
      <c r="P11607" s="199"/>
    </row>
    <row r="11608" spans="7:16" x14ac:dyDescent="0.2">
      <c r="G11608" s="199"/>
      <c r="I11608" s="199"/>
      <c r="K11608" s="199"/>
      <c r="M11608" s="199"/>
      <c r="N11608" s="200"/>
      <c r="P11608" s="199"/>
    </row>
    <row r="11609" spans="7:16" x14ac:dyDescent="0.2">
      <c r="G11609" s="199"/>
      <c r="I11609" s="199"/>
      <c r="K11609" s="199"/>
      <c r="M11609" s="199"/>
      <c r="N11609" s="200"/>
      <c r="P11609" s="199"/>
    </row>
    <row r="11610" spans="7:16" x14ac:dyDescent="0.2">
      <c r="G11610" s="199"/>
      <c r="I11610" s="199"/>
      <c r="K11610" s="199"/>
      <c r="M11610" s="199"/>
      <c r="N11610" s="200"/>
      <c r="P11610" s="199"/>
    </row>
    <row r="11611" spans="7:16" x14ac:dyDescent="0.2">
      <c r="G11611" s="199"/>
      <c r="I11611" s="199"/>
      <c r="K11611" s="199"/>
      <c r="M11611" s="199"/>
      <c r="N11611" s="200"/>
      <c r="P11611" s="199"/>
    </row>
    <row r="11612" spans="7:16" x14ac:dyDescent="0.2">
      <c r="G11612" s="199"/>
      <c r="I11612" s="199"/>
      <c r="K11612" s="199"/>
      <c r="M11612" s="199"/>
      <c r="N11612" s="200"/>
      <c r="P11612" s="199"/>
    </row>
    <row r="11613" spans="7:16" x14ac:dyDescent="0.2">
      <c r="G11613" s="199"/>
      <c r="I11613" s="199"/>
      <c r="K11613" s="199"/>
      <c r="M11613" s="199"/>
      <c r="N11613" s="200"/>
      <c r="P11613" s="199"/>
    </row>
    <row r="11614" spans="7:16" x14ac:dyDescent="0.2">
      <c r="G11614" s="199"/>
      <c r="I11614" s="199"/>
      <c r="K11614" s="199"/>
      <c r="M11614" s="199"/>
      <c r="N11614" s="200"/>
      <c r="P11614" s="199"/>
    </row>
    <row r="11615" spans="7:16" x14ac:dyDescent="0.2">
      <c r="G11615" s="199"/>
      <c r="I11615" s="199"/>
      <c r="K11615" s="199"/>
      <c r="M11615" s="199"/>
      <c r="N11615" s="200"/>
      <c r="P11615" s="199"/>
    </row>
    <row r="11616" spans="7:16" x14ac:dyDescent="0.2">
      <c r="G11616" s="199"/>
      <c r="I11616" s="199"/>
      <c r="K11616" s="199"/>
      <c r="M11616" s="199"/>
      <c r="N11616" s="200"/>
      <c r="P11616" s="199"/>
    </row>
    <row r="11617" spans="7:16" x14ac:dyDescent="0.2">
      <c r="G11617" s="199"/>
      <c r="I11617" s="199"/>
      <c r="K11617" s="199"/>
      <c r="M11617" s="199"/>
      <c r="N11617" s="200"/>
      <c r="P11617" s="199"/>
    </row>
    <row r="11618" spans="7:16" x14ac:dyDescent="0.2">
      <c r="G11618" s="199"/>
      <c r="I11618" s="199"/>
      <c r="K11618" s="199"/>
      <c r="M11618" s="199"/>
      <c r="N11618" s="200"/>
      <c r="P11618" s="199"/>
    </row>
    <row r="11619" spans="7:16" x14ac:dyDescent="0.2">
      <c r="G11619" s="199"/>
      <c r="I11619" s="199"/>
      <c r="K11619" s="199"/>
      <c r="M11619" s="199"/>
      <c r="N11619" s="200"/>
      <c r="P11619" s="199"/>
    </row>
    <row r="11620" spans="7:16" x14ac:dyDescent="0.2">
      <c r="G11620" s="199"/>
      <c r="I11620" s="199"/>
      <c r="K11620" s="199"/>
      <c r="M11620" s="199"/>
      <c r="N11620" s="200"/>
      <c r="P11620" s="199"/>
    </row>
    <row r="11621" spans="7:16" x14ac:dyDescent="0.2">
      <c r="G11621" s="199"/>
      <c r="I11621" s="199"/>
      <c r="K11621" s="199"/>
      <c r="M11621" s="199"/>
      <c r="N11621" s="200"/>
      <c r="P11621" s="199"/>
    </row>
    <row r="11622" spans="7:16" x14ac:dyDescent="0.2">
      <c r="G11622" s="199"/>
      <c r="I11622" s="199"/>
      <c r="K11622" s="199"/>
      <c r="M11622" s="199"/>
      <c r="N11622" s="200"/>
      <c r="P11622" s="199"/>
    </row>
    <row r="11623" spans="7:16" x14ac:dyDescent="0.2">
      <c r="G11623" s="199"/>
      <c r="I11623" s="199"/>
      <c r="K11623" s="199"/>
      <c r="M11623" s="199"/>
      <c r="N11623" s="200"/>
      <c r="P11623" s="199"/>
    </row>
    <row r="11624" spans="7:16" x14ac:dyDescent="0.2">
      <c r="G11624" s="199"/>
      <c r="I11624" s="199"/>
      <c r="K11624" s="199"/>
      <c r="M11624" s="199"/>
      <c r="N11624" s="200"/>
      <c r="P11624" s="199"/>
    </row>
    <row r="11625" spans="7:16" x14ac:dyDescent="0.2">
      <c r="G11625" s="199"/>
      <c r="I11625" s="199"/>
      <c r="K11625" s="199"/>
      <c r="M11625" s="199"/>
      <c r="N11625" s="200"/>
      <c r="P11625" s="199"/>
    </row>
    <row r="11626" spans="7:16" x14ac:dyDescent="0.2">
      <c r="G11626" s="199"/>
      <c r="I11626" s="199"/>
      <c r="K11626" s="199"/>
      <c r="M11626" s="199"/>
      <c r="N11626" s="200"/>
      <c r="P11626" s="199"/>
    </row>
    <row r="11627" spans="7:16" x14ac:dyDescent="0.2">
      <c r="G11627" s="199"/>
      <c r="I11627" s="199"/>
      <c r="K11627" s="199"/>
      <c r="M11627" s="199"/>
      <c r="N11627" s="200"/>
      <c r="P11627" s="199"/>
    </row>
    <row r="11628" spans="7:16" x14ac:dyDescent="0.2">
      <c r="G11628" s="199"/>
      <c r="I11628" s="199"/>
      <c r="K11628" s="199"/>
      <c r="M11628" s="199"/>
      <c r="N11628" s="200"/>
      <c r="P11628" s="199"/>
    </row>
    <row r="11629" spans="7:16" x14ac:dyDescent="0.2">
      <c r="G11629" s="199"/>
      <c r="I11629" s="199"/>
      <c r="K11629" s="199"/>
      <c r="M11629" s="199"/>
      <c r="N11629" s="200"/>
      <c r="P11629" s="199"/>
    </row>
    <row r="11630" spans="7:16" x14ac:dyDescent="0.2">
      <c r="G11630" s="199"/>
      <c r="I11630" s="199"/>
      <c r="K11630" s="199"/>
      <c r="M11630" s="199"/>
      <c r="N11630" s="200"/>
      <c r="P11630" s="199"/>
    </row>
    <row r="11631" spans="7:16" x14ac:dyDescent="0.2">
      <c r="G11631" s="199"/>
      <c r="I11631" s="199"/>
      <c r="K11631" s="199"/>
      <c r="M11631" s="199"/>
      <c r="N11631" s="200"/>
      <c r="P11631" s="199"/>
    </row>
    <row r="11632" spans="7:16" x14ac:dyDescent="0.2">
      <c r="G11632" s="199"/>
      <c r="I11632" s="199"/>
      <c r="K11632" s="199"/>
      <c r="M11632" s="199"/>
      <c r="N11632" s="200"/>
      <c r="P11632" s="199"/>
    </row>
    <row r="11633" spans="7:16" x14ac:dyDescent="0.2">
      <c r="G11633" s="199"/>
      <c r="I11633" s="199"/>
      <c r="K11633" s="199"/>
      <c r="M11633" s="199"/>
      <c r="N11633" s="200"/>
      <c r="P11633" s="199"/>
    </row>
    <row r="11634" spans="7:16" x14ac:dyDescent="0.2">
      <c r="G11634" s="199"/>
      <c r="I11634" s="199"/>
      <c r="K11634" s="199"/>
      <c r="M11634" s="199"/>
      <c r="N11634" s="200"/>
      <c r="P11634" s="199"/>
    </row>
    <row r="11635" spans="7:16" x14ac:dyDescent="0.2">
      <c r="G11635" s="199"/>
      <c r="I11635" s="199"/>
      <c r="K11635" s="199"/>
      <c r="M11635" s="199"/>
      <c r="N11635" s="200"/>
      <c r="P11635" s="199"/>
    </row>
    <row r="11636" spans="7:16" x14ac:dyDescent="0.2">
      <c r="G11636" s="199"/>
      <c r="I11636" s="199"/>
      <c r="K11636" s="199"/>
      <c r="M11636" s="199"/>
      <c r="N11636" s="200"/>
      <c r="P11636" s="199"/>
    </row>
    <row r="11637" spans="7:16" x14ac:dyDescent="0.2">
      <c r="G11637" s="199"/>
      <c r="I11637" s="199"/>
      <c r="K11637" s="199"/>
      <c r="M11637" s="199"/>
      <c r="N11637" s="200"/>
      <c r="P11637" s="199"/>
    </row>
    <row r="11638" spans="7:16" x14ac:dyDescent="0.2">
      <c r="G11638" s="199"/>
      <c r="I11638" s="199"/>
      <c r="K11638" s="199"/>
      <c r="M11638" s="199"/>
      <c r="N11638" s="200"/>
      <c r="P11638" s="199"/>
    </row>
    <row r="11639" spans="7:16" x14ac:dyDescent="0.2">
      <c r="G11639" s="199"/>
      <c r="I11639" s="199"/>
      <c r="K11639" s="199"/>
      <c r="M11639" s="199"/>
      <c r="N11639" s="200"/>
      <c r="P11639" s="199"/>
    </row>
    <row r="11640" spans="7:16" x14ac:dyDescent="0.2">
      <c r="G11640" s="199"/>
      <c r="I11640" s="199"/>
      <c r="K11640" s="199"/>
      <c r="M11640" s="199"/>
      <c r="N11640" s="200"/>
      <c r="P11640" s="199"/>
    </row>
    <row r="11641" spans="7:16" x14ac:dyDescent="0.2">
      <c r="G11641" s="199"/>
      <c r="I11641" s="199"/>
      <c r="K11641" s="199"/>
      <c r="M11641" s="199"/>
      <c r="N11641" s="200"/>
      <c r="P11641" s="199"/>
    </row>
    <row r="11642" spans="7:16" x14ac:dyDescent="0.2">
      <c r="G11642" s="199"/>
      <c r="I11642" s="199"/>
      <c r="K11642" s="199"/>
      <c r="M11642" s="199"/>
      <c r="N11642" s="200"/>
      <c r="P11642" s="199"/>
    </row>
    <row r="11643" spans="7:16" x14ac:dyDescent="0.2">
      <c r="G11643" s="199"/>
      <c r="I11643" s="199"/>
      <c r="K11643" s="199"/>
      <c r="M11643" s="199"/>
      <c r="N11643" s="200"/>
      <c r="P11643" s="199"/>
    </row>
    <row r="11644" spans="7:16" x14ac:dyDescent="0.2">
      <c r="G11644" s="199"/>
      <c r="I11644" s="199"/>
      <c r="K11644" s="199"/>
      <c r="M11644" s="199"/>
      <c r="N11644" s="200"/>
      <c r="P11644" s="199"/>
    </row>
    <row r="11645" spans="7:16" x14ac:dyDescent="0.2">
      <c r="G11645" s="199"/>
      <c r="I11645" s="199"/>
      <c r="K11645" s="199"/>
      <c r="M11645" s="199"/>
      <c r="N11645" s="200"/>
      <c r="P11645" s="199"/>
    </row>
    <row r="11646" spans="7:16" x14ac:dyDescent="0.2">
      <c r="G11646" s="199"/>
      <c r="I11646" s="199"/>
      <c r="K11646" s="199"/>
      <c r="M11646" s="199"/>
      <c r="N11646" s="200"/>
      <c r="P11646" s="199"/>
    </row>
    <row r="11647" spans="7:16" x14ac:dyDescent="0.2">
      <c r="G11647" s="199"/>
      <c r="I11647" s="199"/>
      <c r="K11647" s="199"/>
      <c r="M11647" s="199"/>
      <c r="N11647" s="200"/>
      <c r="P11647" s="199"/>
    </row>
    <row r="11648" spans="7:16" x14ac:dyDescent="0.2">
      <c r="G11648" s="199"/>
      <c r="I11648" s="199"/>
      <c r="K11648" s="199"/>
      <c r="M11648" s="199"/>
      <c r="N11648" s="200"/>
      <c r="P11648" s="199"/>
    </row>
    <row r="11649" spans="7:16" x14ac:dyDescent="0.2">
      <c r="G11649" s="199"/>
      <c r="I11649" s="199"/>
      <c r="K11649" s="199"/>
      <c r="M11649" s="199"/>
      <c r="N11649" s="200"/>
      <c r="P11649" s="199"/>
    </row>
    <row r="11650" spans="7:16" x14ac:dyDescent="0.2">
      <c r="G11650" s="199"/>
      <c r="I11650" s="199"/>
      <c r="K11650" s="199"/>
      <c r="M11650" s="199"/>
      <c r="N11650" s="200"/>
      <c r="P11650" s="199"/>
    </row>
    <row r="11651" spans="7:16" x14ac:dyDescent="0.2">
      <c r="G11651" s="199"/>
      <c r="I11651" s="199"/>
      <c r="K11651" s="199"/>
      <c r="M11651" s="199"/>
      <c r="N11651" s="200"/>
      <c r="P11651" s="199"/>
    </row>
    <row r="11652" spans="7:16" x14ac:dyDescent="0.2">
      <c r="G11652" s="199"/>
      <c r="I11652" s="199"/>
      <c r="K11652" s="199"/>
      <c r="M11652" s="199"/>
      <c r="N11652" s="200"/>
      <c r="P11652" s="199"/>
    </row>
    <row r="11653" spans="7:16" x14ac:dyDescent="0.2">
      <c r="G11653" s="199"/>
      <c r="I11653" s="199"/>
      <c r="K11653" s="199"/>
      <c r="M11653" s="199"/>
      <c r="N11653" s="200"/>
      <c r="P11653" s="199"/>
    </row>
    <row r="11654" spans="7:16" x14ac:dyDescent="0.2">
      <c r="G11654" s="199"/>
      <c r="I11654" s="199"/>
      <c r="K11654" s="199"/>
      <c r="M11654" s="199"/>
      <c r="N11654" s="200"/>
      <c r="P11654" s="199"/>
    </row>
    <row r="11655" spans="7:16" x14ac:dyDescent="0.2">
      <c r="G11655" s="199"/>
      <c r="I11655" s="199"/>
      <c r="K11655" s="199"/>
      <c r="M11655" s="199"/>
      <c r="N11655" s="200"/>
      <c r="P11655" s="199"/>
    </row>
    <row r="11656" spans="7:16" x14ac:dyDescent="0.2">
      <c r="G11656" s="199"/>
      <c r="I11656" s="199"/>
      <c r="K11656" s="199"/>
      <c r="M11656" s="199"/>
      <c r="N11656" s="200"/>
      <c r="P11656" s="199"/>
    </row>
    <row r="11657" spans="7:16" x14ac:dyDescent="0.2">
      <c r="G11657" s="199"/>
      <c r="I11657" s="199"/>
      <c r="K11657" s="199"/>
      <c r="M11657" s="199"/>
      <c r="N11657" s="200"/>
      <c r="P11657" s="199"/>
    </row>
    <row r="11658" spans="7:16" x14ac:dyDescent="0.2">
      <c r="G11658" s="199"/>
      <c r="I11658" s="199"/>
      <c r="K11658" s="199"/>
      <c r="M11658" s="199"/>
      <c r="N11658" s="200"/>
      <c r="P11658" s="199"/>
    </row>
    <row r="11659" spans="7:16" x14ac:dyDescent="0.2">
      <c r="G11659" s="199"/>
      <c r="I11659" s="199"/>
      <c r="K11659" s="199"/>
      <c r="M11659" s="199"/>
      <c r="N11659" s="200"/>
      <c r="P11659" s="199"/>
    </row>
    <row r="11660" spans="7:16" x14ac:dyDescent="0.2">
      <c r="G11660" s="199"/>
      <c r="I11660" s="199"/>
      <c r="K11660" s="199"/>
      <c r="M11660" s="199"/>
      <c r="N11660" s="200"/>
      <c r="P11660" s="199"/>
    </row>
    <row r="11661" spans="7:16" x14ac:dyDescent="0.2">
      <c r="G11661" s="199"/>
      <c r="I11661" s="199"/>
      <c r="K11661" s="199"/>
      <c r="M11661" s="199"/>
      <c r="N11661" s="200"/>
      <c r="P11661" s="199"/>
    </row>
    <row r="11662" spans="7:16" x14ac:dyDescent="0.2">
      <c r="G11662" s="199"/>
      <c r="I11662" s="199"/>
      <c r="K11662" s="199"/>
      <c r="M11662" s="199"/>
      <c r="N11662" s="200"/>
      <c r="P11662" s="199"/>
    </row>
    <row r="11663" spans="7:16" x14ac:dyDescent="0.2">
      <c r="G11663" s="199"/>
      <c r="I11663" s="199"/>
      <c r="K11663" s="199"/>
      <c r="M11663" s="199"/>
      <c r="N11663" s="200"/>
      <c r="P11663" s="199"/>
    </row>
    <row r="11664" spans="7:16" x14ac:dyDescent="0.2">
      <c r="G11664" s="199"/>
      <c r="I11664" s="199"/>
      <c r="K11664" s="199"/>
      <c r="M11664" s="199"/>
      <c r="N11664" s="200"/>
      <c r="P11664" s="199"/>
    </row>
    <row r="11665" spans="7:16" x14ac:dyDescent="0.2">
      <c r="G11665" s="199"/>
      <c r="I11665" s="199"/>
      <c r="K11665" s="199"/>
      <c r="M11665" s="199"/>
      <c r="N11665" s="200"/>
      <c r="P11665" s="199"/>
    </row>
    <row r="11666" spans="7:16" x14ac:dyDescent="0.2">
      <c r="G11666" s="199"/>
      <c r="I11666" s="199"/>
      <c r="K11666" s="199"/>
      <c r="M11666" s="199"/>
      <c r="N11666" s="200"/>
      <c r="P11666" s="199"/>
    </row>
    <row r="11667" spans="7:16" x14ac:dyDescent="0.2">
      <c r="G11667" s="199"/>
      <c r="I11667" s="199"/>
      <c r="K11667" s="199"/>
      <c r="M11667" s="199"/>
      <c r="N11667" s="200"/>
      <c r="P11667" s="199"/>
    </row>
    <row r="11668" spans="7:16" x14ac:dyDescent="0.2">
      <c r="G11668" s="199"/>
      <c r="I11668" s="199"/>
      <c r="K11668" s="199"/>
      <c r="M11668" s="199"/>
      <c r="N11668" s="200"/>
      <c r="P11668" s="199"/>
    </row>
    <row r="11669" spans="7:16" x14ac:dyDescent="0.2">
      <c r="G11669" s="199"/>
      <c r="I11669" s="199"/>
      <c r="K11669" s="199"/>
      <c r="M11669" s="199"/>
      <c r="N11669" s="200"/>
      <c r="P11669" s="199"/>
    </row>
    <row r="11670" spans="7:16" x14ac:dyDescent="0.2">
      <c r="G11670" s="199"/>
      <c r="I11670" s="199"/>
      <c r="K11670" s="199"/>
      <c r="M11670" s="199"/>
      <c r="N11670" s="200"/>
      <c r="P11670" s="199"/>
    </row>
    <row r="11671" spans="7:16" x14ac:dyDescent="0.2">
      <c r="G11671" s="199"/>
      <c r="I11671" s="199"/>
      <c r="K11671" s="199"/>
      <c r="M11671" s="199"/>
      <c r="N11671" s="200"/>
      <c r="P11671" s="199"/>
    </row>
    <row r="11672" spans="7:16" x14ac:dyDescent="0.2">
      <c r="G11672" s="199"/>
      <c r="I11672" s="199"/>
      <c r="K11672" s="199"/>
      <c r="M11672" s="199"/>
      <c r="N11672" s="200"/>
      <c r="P11672" s="199"/>
    </row>
    <row r="11673" spans="7:16" x14ac:dyDescent="0.2">
      <c r="G11673" s="199"/>
      <c r="I11673" s="199"/>
      <c r="K11673" s="199"/>
      <c r="M11673" s="199"/>
      <c r="N11673" s="200"/>
      <c r="P11673" s="199"/>
    </row>
    <row r="11674" spans="7:16" x14ac:dyDescent="0.2">
      <c r="G11674" s="199"/>
      <c r="I11674" s="199"/>
      <c r="K11674" s="199"/>
      <c r="M11674" s="199"/>
      <c r="N11674" s="200"/>
      <c r="P11674" s="199"/>
    </row>
    <row r="11675" spans="7:16" x14ac:dyDescent="0.2">
      <c r="G11675" s="199"/>
      <c r="I11675" s="199"/>
      <c r="K11675" s="199"/>
      <c r="M11675" s="199"/>
      <c r="N11675" s="200"/>
      <c r="P11675" s="199"/>
    </row>
    <row r="11676" spans="7:16" x14ac:dyDescent="0.2">
      <c r="G11676" s="199"/>
      <c r="I11676" s="199"/>
      <c r="K11676" s="199"/>
      <c r="M11676" s="199"/>
      <c r="N11676" s="200"/>
      <c r="P11676" s="199"/>
    </row>
    <row r="11677" spans="7:16" x14ac:dyDescent="0.2">
      <c r="G11677" s="199"/>
      <c r="I11677" s="199"/>
      <c r="K11677" s="199"/>
      <c r="M11677" s="199"/>
      <c r="N11677" s="200"/>
      <c r="P11677" s="199"/>
    </row>
    <row r="11678" spans="7:16" x14ac:dyDescent="0.2">
      <c r="G11678" s="199"/>
      <c r="I11678" s="199"/>
      <c r="K11678" s="199"/>
      <c r="M11678" s="199"/>
      <c r="N11678" s="200"/>
      <c r="P11678" s="199"/>
    </row>
    <row r="11679" spans="7:16" x14ac:dyDescent="0.2">
      <c r="G11679" s="199"/>
      <c r="I11679" s="199"/>
      <c r="K11679" s="199"/>
      <c r="M11679" s="199"/>
      <c r="N11679" s="200"/>
      <c r="P11679" s="199"/>
    </row>
    <row r="11680" spans="7:16" x14ac:dyDescent="0.2">
      <c r="G11680" s="199"/>
      <c r="I11680" s="199"/>
      <c r="K11680" s="199"/>
      <c r="M11680" s="199"/>
      <c r="N11680" s="200"/>
      <c r="P11680" s="199"/>
    </row>
    <row r="11681" spans="7:16" x14ac:dyDescent="0.2">
      <c r="G11681" s="199"/>
      <c r="I11681" s="199"/>
      <c r="K11681" s="199"/>
      <c r="M11681" s="199"/>
      <c r="N11681" s="200"/>
      <c r="P11681" s="199"/>
    </row>
    <row r="11682" spans="7:16" x14ac:dyDescent="0.2">
      <c r="G11682" s="199"/>
      <c r="I11682" s="199"/>
      <c r="K11682" s="199"/>
      <c r="M11682" s="199"/>
      <c r="N11682" s="200"/>
      <c r="P11682" s="199"/>
    </row>
    <row r="11683" spans="7:16" x14ac:dyDescent="0.2">
      <c r="G11683" s="199"/>
      <c r="I11683" s="199"/>
      <c r="K11683" s="199"/>
      <c r="M11683" s="199"/>
      <c r="N11683" s="200"/>
      <c r="P11683" s="199"/>
    </row>
    <row r="11684" spans="7:16" x14ac:dyDescent="0.2">
      <c r="G11684" s="199"/>
      <c r="I11684" s="199"/>
      <c r="K11684" s="199"/>
      <c r="M11684" s="199"/>
      <c r="N11684" s="200"/>
      <c r="P11684" s="199"/>
    </row>
    <row r="11685" spans="7:16" x14ac:dyDescent="0.2">
      <c r="G11685" s="199"/>
      <c r="I11685" s="199"/>
      <c r="K11685" s="199"/>
      <c r="M11685" s="199"/>
      <c r="N11685" s="200"/>
      <c r="P11685" s="199"/>
    </row>
    <row r="11686" spans="7:16" x14ac:dyDescent="0.2">
      <c r="G11686" s="199"/>
      <c r="I11686" s="199"/>
      <c r="K11686" s="199"/>
      <c r="M11686" s="199"/>
      <c r="N11686" s="200"/>
      <c r="P11686" s="199"/>
    </row>
    <row r="11687" spans="7:16" x14ac:dyDescent="0.2">
      <c r="G11687" s="199"/>
      <c r="I11687" s="199"/>
      <c r="K11687" s="199"/>
      <c r="M11687" s="199"/>
      <c r="N11687" s="200"/>
      <c r="P11687" s="199"/>
    </row>
    <row r="11688" spans="7:16" x14ac:dyDescent="0.2">
      <c r="G11688" s="199"/>
      <c r="I11688" s="199"/>
      <c r="K11688" s="199"/>
      <c r="M11688" s="199"/>
      <c r="N11688" s="200"/>
      <c r="P11688" s="199"/>
    </row>
    <row r="11689" spans="7:16" x14ac:dyDescent="0.2">
      <c r="G11689" s="199"/>
      <c r="I11689" s="199"/>
      <c r="K11689" s="199"/>
      <c r="M11689" s="199"/>
      <c r="N11689" s="200"/>
      <c r="P11689" s="199"/>
    </row>
    <row r="11690" spans="7:16" x14ac:dyDescent="0.2">
      <c r="G11690" s="199"/>
      <c r="I11690" s="199"/>
      <c r="K11690" s="199"/>
      <c r="M11690" s="199"/>
      <c r="N11690" s="200"/>
      <c r="P11690" s="199"/>
    </row>
    <row r="11691" spans="7:16" x14ac:dyDescent="0.2">
      <c r="G11691" s="199"/>
      <c r="I11691" s="199"/>
      <c r="K11691" s="199"/>
      <c r="M11691" s="199"/>
      <c r="N11691" s="200"/>
      <c r="P11691" s="199"/>
    </row>
    <row r="11692" spans="7:16" x14ac:dyDescent="0.2">
      <c r="G11692" s="199"/>
      <c r="I11692" s="199"/>
      <c r="K11692" s="199"/>
      <c r="M11692" s="199"/>
      <c r="N11692" s="200"/>
      <c r="P11692" s="199"/>
    </row>
    <row r="11693" spans="7:16" x14ac:dyDescent="0.2">
      <c r="G11693" s="199"/>
      <c r="I11693" s="199"/>
      <c r="K11693" s="199"/>
      <c r="M11693" s="199"/>
      <c r="N11693" s="200"/>
      <c r="P11693" s="199"/>
    </row>
    <row r="11694" spans="7:16" x14ac:dyDescent="0.2">
      <c r="G11694" s="199"/>
      <c r="I11694" s="199"/>
      <c r="K11694" s="199"/>
      <c r="M11694" s="199"/>
      <c r="N11694" s="200"/>
      <c r="P11694" s="199"/>
    </row>
    <row r="11695" spans="7:16" x14ac:dyDescent="0.2">
      <c r="G11695" s="199"/>
      <c r="I11695" s="199"/>
      <c r="K11695" s="199"/>
      <c r="M11695" s="199"/>
      <c r="N11695" s="200"/>
      <c r="P11695" s="199"/>
    </row>
    <row r="11696" spans="7:16" x14ac:dyDescent="0.2">
      <c r="G11696" s="199"/>
      <c r="I11696" s="199"/>
      <c r="K11696" s="199"/>
      <c r="M11696" s="199"/>
      <c r="N11696" s="200"/>
      <c r="P11696" s="199"/>
    </row>
    <row r="11697" spans="7:16" x14ac:dyDescent="0.2">
      <c r="G11697" s="199"/>
      <c r="I11697" s="199"/>
      <c r="K11697" s="199"/>
      <c r="M11697" s="199"/>
      <c r="N11697" s="200"/>
      <c r="P11697" s="199"/>
    </row>
    <row r="11698" spans="7:16" x14ac:dyDescent="0.2">
      <c r="G11698" s="199"/>
      <c r="I11698" s="199"/>
      <c r="K11698" s="199"/>
      <c r="M11698" s="199"/>
      <c r="N11698" s="200"/>
      <c r="P11698" s="199"/>
    </row>
    <row r="11699" spans="7:16" x14ac:dyDescent="0.2">
      <c r="G11699" s="199"/>
      <c r="I11699" s="199"/>
      <c r="K11699" s="199"/>
      <c r="M11699" s="199"/>
      <c r="N11699" s="200"/>
      <c r="P11699" s="199"/>
    </row>
    <row r="11700" spans="7:16" x14ac:dyDescent="0.2">
      <c r="G11700" s="199"/>
      <c r="I11700" s="199"/>
      <c r="K11700" s="199"/>
      <c r="M11700" s="199"/>
      <c r="N11700" s="200"/>
      <c r="P11700" s="199"/>
    </row>
    <row r="11701" spans="7:16" x14ac:dyDescent="0.2">
      <c r="G11701" s="199"/>
      <c r="I11701" s="199"/>
      <c r="K11701" s="199"/>
      <c r="M11701" s="199"/>
      <c r="N11701" s="200"/>
      <c r="P11701" s="199"/>
    </row>
    <row r="11702" spans="7:16" x14ac:dyDescent="0.2">
      <c r="G11702" s="199"/>
      <c r="I11702" s="199"/>
      <c r="K11702" s="199"/>
      <c r="M11702" s="199"/>
      <c r="N11702" s="200"/>
      <c r="P11702" s="199"/>
    </row>
    <row r="11703" spans="7:16" x14ac:dyDescent="0.2">
      <c r="G11703" s="199"/>
      <c r="I11703" s="199"/>
      <c r="K11703" s="199"/>
      <c r="M11703" s="199"/>
      <c r="N11703" s="200"/>
      <c r="P11703" s="199"/>
    </row>
    <row r="11704" spans="7:16" x14ac:dyDescent="0.2">
      <c r="G11704" s="199"/>
      <c r="I11704" s="199"/>
      <c r="K11704" s="199"/>
      <c r="M11704" s="199"/>
      <c r="N11704" s="200"/>
      <c r="P11704" s="199"/>
    </row>
    <row r="11705" spans="7:16" x14ac:dyDescent="0.2">
      <c r="G11705" s="199"/>
      <c r="I11705" s="199"/>
      <c r="K11705" s="199"/>
      <c r="M11705" s="199"/>
      <c r="N11705" s="200"/>
      <c r="P11705" s="199"/>
    </row>
    <row r="11706" spans="7:16" x14ac:dyDescent="0.2">
      <c r="G11706" s="199"/>
      <c r="I11706" s="199"/>
      <c r="K11706" s="199"/>
      <c r="M11706" s="199"/>
      <c r="N11706" s="200"/>
      <c r="P11706" s="199"/>
    </row>
    <row r="11707" spans="7:16" x14ac:dyDescent="0.2">
      <c r="G11707" s="199"/>
      <c r="I11707" s="199"/>
      <c r="K11707" s="199"/>
      <c r="M11707" s="199"/>
      <c r="N11707" s="200"/>
      <c r="P11707" s="199"/>
    </row>
    <row r="11708" spans="7:16" x14ac:dyDescent="0.2">
      <c r="G11708" s="199"/>
      <c r="I11708" s="199"/>
      <c r="K11708" s="199"/>
      <c r="M11708" s="199"/>
      <c r="N11708" s="200"/>
      <c r="P11708" s="199"/>
    </row>
    <row r="11709" spans="7:16" x14ac:dyDescent="0.2">
      <c r="G11709" s="199"/>
      <c r="I11709" s="199"/>
      <c r="K11709" s="199"/>
      <c r="M11709" s="199"/>
      <c r="N11709" s="200"/>
      <c r="P11709" s="199"/>
    </row>
    <row r="11710" spans="7:16" x14ac:dyDescent="0.2">
      <c r="G11710" s="199"/>
      <c r="I11710" s="199"/>
      <c r="K11710" s="199"/>
      <c r="M11710" s="199"/>
      <c r="N11710" s="200"/>
      <c r="P11710" s="199"/>
    </row>
    <row r="11711" spans="7:16" x14ac:dyDescent="0.2">
      <c r="G11711" s="199"/>
      <c r="I11711" s="199"/>
      <c r="K11711" s="199"/>
      <c r="M11711" s="199"/>
      <c r="N11711" s="200"/>
      <c r="P11711" s="199"/>
    </row>
    <row r="11712" spans="7:16" x14ac:dyDescent="0.2">
      <c r="G11712" s="199"/>
      <c r="I11712" s="199"/>
      <c r="K11712" s="199"/>
      <c r="M11712" s="199"/>
      <c r="N11712" s="200"/>
      <c r="P11712" s="199"/>
    </row>
    <row r="11713" spans="7:16" x14ac:dyDescent="0.2">
      <c r="G11713" s="199"/>
      <c r="I11713" s="199"/>
      <c r="K11713" s="199"/>
      <c r="M11713" s="199"/>
      <c r="N11713" s="200"/>
      <c r="P11713" s="199"/>
    </row>
    <row r="11714" spans="7:16" x14ac:dyDescent="0.2">
      <c r="G11714" s="199"/>
      <c r="I11714" s="199"/>
      <c r="K11714" s="199"/>
      <c r="M11714" s="199"/>
      <c r="N11714" s="200"/>
      <c r="P11714" s="199"/>
    </row>
    <row r="11715" spans="7:16" x14ac:dyDescent="0.2">
      <c r="G11715" s="199"/>
      <c r="I11715" s="199"/>
      <c r="K11715" s="199"/>
      <c r="M11715" s="199"/>
      <c r="N11715" s="200"/>
      <c r="P11715" s="199"/>
    </row>
    <row r="11716" spans="7:16" x14ac:dyDescent="0.2">
      <c r="G11716" s="199"/>
      <c r="I11716" s="199"/>
      <c r="K11716" s="199"/>
      <c r="M11716" s="199"/>
      <c r="N11716" s="200"/>
      <c r="P11716" s="199"/>
    </row>
    <row r="11717" spans="7:16" x14ac:dyDescent="0.2">
      <c r="G11717" s="199"/>
      <c r="I11717" s="199"/>
      <c r="K11717" s="199"/>
      <c r="M11717" s="199"/>
      <c r="N11717" s="200"/>
      <c r="P11717" s="199"/>
    </row>
    <row r="11718" spans="7:16" x14ac:dyDescent="0.2">
      <c r="G11718" s="199"/>
      <c r="I11718" s="199"/>
      <c r="K11718" s="199"/>
      <c r="M11718" s="199"/>
      <c r="N11718" s="200"/>
      <c r="P11718" s="199"/>
    </row>
    <row r="11719" spans="7:16" x14ac:dyDescent="0.2">
      <c r="G11719" s="199"/>
      <c r="I11719" s="199"/>
      <c r="K11719" s="199"/>
      <c r="M11719" s="199"/>
      <c r="N11719" s="200"/>
      <c r="P11719" s="199"/>
    </row>
    <row r="11720" spans="7:16" x14ac:dyDescent="0.2">
      <c r="G11720" s="199"/>
      <c r="I11720" s="199"/>
      <c r="K11720" s="199"/>
      <c r="M11720" s="199"/>
      <c r="N11720" s="200"/>
      <c r="P11720" s="199"/>
    </row>
    <row r="11721" spans="7:16" x14ac:dyDescent="0.2">
      <c r="G11721" s="199"/>
      <c r="I11721" s="199"/>
      <c r="K11721" s="199"/>
      <c r="M11721" s="199"/>
      <c r="N11721" s="200"/>
      <c r="P11721" s="199"/>
    </row>
    <row r="11722" spans="7:16" x14ac:dyDescent="0.2">
      <c r="G11722" s="199"/>
      <c r="I11722" s="199"/>
      <c r="K11722" s="199"/>
      <c r="M11722" s="199"/>
      <c r="N11722" s="200"/>
      <c r="P11722" s="199"/>
    </row>
    <row r="11723" spans="7:16" x14ac:dyDescent="0.2">
      <c r="G11723" s="199"/>
      <c r="I11723" s="199"/>
      <c r="K11723" s="199"/>
      <c r="M11723" s="199"/>
      <c r="N11723" s="200"/>
      <c r="P11723" s="199"/>
    </row>
    <row r="11724" spans="7:16" x14ac:dyDescent="0.2">
      <c r="G11724" s="199"/>
      <c r="I11724" s="199"/>
      <c r="K11724" s="199"/>
      <c r="M11724" s="199"/>
      <c r="N11724" s="200"/>
      <c r="P11724" s="199"/>
    </row>
    <row r="11725" spans="7:16" x14ac:dyDescent="0.2">
      <c r="G11725" s="199"/>
      <c r="I11725" s="199"/>
      <c r="K11725" s="199"/>
      <c r="M11725" s="199"/>
      <c r="N11725" s="200"/>
      <c r="P11725" s="199"/>
    </row>
    <row r="11726" spans="7:16" x14ac:dyDescent="0.2">
      <c r="G11726" s="199"/>
      <c r="I11726" s="199"/>
      <c r="K11726" s="199"/>
      <c r="M11726" s="199"/>
      <c r="N11726" s="200"/>
      <c r="P11726" s="199"/>
    </row>
    <row r="11727" spans="7:16" x14ac:dyDescent="0.2">
      <c r="G11727" s="199"/>
      <c r="I11727" s="199"/>
      <c r="K11727" s="199"/>
      <c r="M11727" s="199"/>
      <c r="N11727" s="200"/>
      <c r="P11727" s="199"/>
    </row>
    <row r="11728" spans="7:16" x14ac:dyDescent="0.2">
      <c r="G11728" s="199"/>
      <c r="I11728" s="199"/>
      <c r="K11728" s="199"/>
      <c r="M11728" s="199"/>
      <c r="N11728" s="200"/>
      <c r="P11728" s="199"/>
    </row>
    <row r="11729" spans="7:16" x14ac:dyDescent="0.2">
      <c r="G11729" s="199"/>
      <c r="I11729" s="199"/>
      <c r="K11729" s="199"/>
      <c r="M11729" s="199"/>
      <c r="N11729" s="200"/>
      <c r="P11729" s="199"/>
    </row>
    <row r="11730" spans="7:16" x14ac:dyDescent="0.2">
      <c r="G11730" s="199"/>
      <c r="I11730" s="199"/>
      <c r="K11730" s="199"/>
      <c r="M11730" s="199"/>
      <c r="N11730" s="200"/>
      <c r="P11730" s="199"/>
    </row>
    <row r="11731" spans="7:16" x14ac:dyDescent="0.2">
      <c r="G11731" s="199"/>
      <c r="I11731" s="199"/>
      <c r="K11731" s="199"/>
      <c r="M11731" s="199"/>
      <c r="N11731" s="200"/>
      <c r="P11731" s="199"/>
    </row>
    <row r="11732" spans="7:16" x14ac:dyDescent="0.2">
      <c r="G11732" s="199"/>
      <c r="I11732" s="199"/>
      <c r="K11732" s="199"/>
      <c r="M11732" s="199"/>
      <c r="N11732" s="200"/>
      <c r="P11732" s="199"/>
    </row>
    <row r="11733" spans="7:16" x14ac:dyDescent="0.2">
      <c r="G11733" s="199"/>
      <c r="I11733" s="199"/>
      <c r="K11733" s="199"/>
      <c r="M11733" s="199"/>
      <c r="N11733" s="200"/>
      <c r="P11733" s="199"/>
    </row>
    <row r="11734" spans="7:16" x14ac:dyDescent="0.2">
      <c r="G11734" s="199"/>
      <c r="I11734" s="199"/>
      <c r="K11734" s="199"/>
      <c r="M11734" s="199"/>
      <c r="N11734" s="200"/>
      <c r="P11734" s="199"/>
    </row>
    <row r="11735" spans="7:16" x14ac:dyDescent="0.2">
      <c r="G11735" s="199"/>
      <c r="I11735" s="199"/>
      <c r="K11735" s="199"/>
      <c r="M11735" s="199"/>
      <c r="N11735" s="200"/>
      <c r="P11735" s="199"/>
    </row>
    <row r="11736" spans="7:16" x14ac:dyDescent="0.2">
      <c r="G11736" s="199"/>
      <c r="I11736" s="199"/>
      <c r="K11736" s="199"/>
      <c r="M11736" s="199"/>
      <c r="N11736" s="200"/>
      <c r="P11736" s="199"/>
    </row>
    <row r="11737" spans="7:16" x14ac:dyDescent="0.2">
      <c r="G11737" s="199"/>
      <c r="I11737" s="199"/>
      <c r="K11737" s="199"/>
      <c r="M11737" s="199"/>
      <c r="N11737" s="200"/>
      <c r="P11737" s="199"/>
    </row>
    <row r="11738" spans="7:16" x14ac:dyDescent="0.2">
      <c r="G11738" s="199"/>
      <c r="I11738" s="199"/>
      <c r="K11738" s="199"/>
      <c r="M11738" s="199"/>
      <c r="N11738" s="200"/>
      <c r="P11738" s="199"/>
    </row>
    <row r="11739" spans="7:16" x14ac:dyDescent="0.2">
      <c r="G11739" s="199"/>
      <c r="I11739" s="199"/>
      <c r="K11739" s="199"/>
      <c r="M11739" s="199"/>
      <c r="N11739" s="200"/>
      <c r="P11739" s="199"/>
    </row>
    <row r="11740" spans="7:16" x14ac:dyDescent="0.2">
      <c r="G11740" s="199"/>
      <c r="I11740" s="199"/>
      <c r="K11740" s="199"/>
      <c r="M11740" s="199"/>
      <c r="N11740" s="200"/>
      <c r="P11740" s="199"/>
    </row>
    <row r="11741" spans="7:16" x14ac:dyDescent="0.2">
      <c r="G11741" s="199"/>
      <c r="I11741" s="199"/>
      <c r="K11741" s="199"/>
      <c r="M11741" s="199"/>
      <c r="N11741" s="200"/>
      <c r="P11741" s="199"/>
    </row>
    <row r="11742" spans="7:16" x14ac:dyDescent="0.2">
      <c r="G11742" s="199"/>
      <c r="I11742" s="199"/>
      <c r="K11742" s="199"/>
      <c r="M11742" s="199"/>
      <c r="N11742" s="200"/>
      <c r="P11742" s="199"/>
    </row>
    <row r="11743" spans="7:16" x14ac:dyDescent="0.2">
      <c r="G11743" s="199"/>
      <c r="I11743" s="199"/>
      <c r="K11743" s="199"/>
      <c r="M11743" s="199"/>
      <c r="N11743" s="200"/>
      <c r="P11743" s="199"/>
    </row>
    <row r="11744" spans="7:16" x14ac:dyDescent="0.2">
      <c r="G11744" s="199"/>
      <c r="I11744" s="199"/>
      <c r="K11744" s="199"/>
      <c r="M11744" s="199"/>
      <c r="N11744" s="200"/>
      <c r="P11744" s="199"/>
    </row>
    <row r="11745" spans="7:16" x14ac:dyDescent="0.2">
      <c r="G11745" s="199"/>
      <c r="I11745" s="199"/>
      <c r="K11745" s="199"/>
      <c r="M11745" s="199"/>
      <c r="N11745" s="200"/>
      <c r="P11745" s="199"/>
    </row>
    <row r="11746" spans="7:16" x14ac:dyDescent="0.2">
      <c r="G11746" s="199"/>
      <c r="I11746" s="199"/>
      <c r="K11746" s="199"/>
      <c r="M11746" s="199"/>
      <c r="N11746" s="200"/>
      <c r="P11746" s="199"/>
    </row>
    <row r="11747" spans="7:16" x14ac:dyDescent="0.2">
      <c r="G11747" s="199"/>
      <c r="I11747" s="199"/>
      <c r="K11747" s="199"/>
      <c r="M11747" s="199"/>
      <c r="N11747" s="200"/>
      <c r="P11747" s="199"/>
    </row>
    <row r="11748" spans="7:16" x14ac:dyDescent="0.2">
      <c r="G11748" s="199"/>
      <c r="I11748" s="199"/>
      <c r="K11748" s="199"/>
      <c r="M11748" s="199"/>
      <c r="N11748" s="200"/>
      <c r="P11748" s="199"/>
    </row>
    <row r="11749" spans="7:16" x14ac:dyDescent="0.2">
      <c r="G11749" s="199"/>
      <c r="I11749" s="199"/>
      <c r="K11749" s="199"/>
      <c r="M11749" s="199"/>
      <c r="N11749" s="200"/>
      <c r="P11749" s="199"/>
    </row>
    <row r="11750" spans="7:16" x14ac:dyDescent="0.2">
      <c r="G11750" s="199"/>
      <c r="I11750" s="199"/>
      <c r="K11750" s="199"/>
      <c r="M11750" s="199"/>
      <c r="N11750" s="200"/>
      <c r="P11750" s="199"/>
    </row>
    <row r="11751" spans="7:16" x14ac:dyDescent="0.2">
      <c r="G11751" s="199"/>
      <c r="I11751" s="199"/>
      <c r="K11751" s="199"/>
      <c r="M11751" s="199"/>
      <c r="N11751" s="200"/>
      <c r="P11751" s="199"/>
    </row>
    <row r="11752" spans="7:16" x14ac:dyDescent="0.2">
      <c r="G11752" s="199"/>
      <c r="I11752" s="199"/>
      <c r="K11752" s="199"/>
      <c r="M11752" s="199"/>
      <c r="N11752" s="200"/>
      <c r="P11752" s="199"/>
    </row>
    <row r="11753" spans="7:16" x14ac:dyDescent="0.2">
      <c r="G11753" s="199"/>
      <c r="I11753" s="199"/>
      <c r="K11753" s="199"/>
      <c r="M11753" s="199"/>
      <c r="N11753" s="200"/>
      <c r="P11753" s="199"/>
    </row>
    <row r="11754" spans="7:16" x14ac:dyDescent="0.2">
      <c r="G11754" s="199"/>
      <c r="I11754" s="199"/>
      <c r="K11754" s="199"/>
      <c r="M11754" s="199"/>
      <c r="N11754" s="200"/>
      <c r="P11754" s="199"/>
    </row>
    <row r="11755" spans="7:16" x14ac:dyDescent="0.2">
      <c r="G11755" s="199"/>
      <c r="I11755" s="199"/>
      <c r="K11755" s="199"/>
      <c r="M11755" s="199"/>
      <c r="N11755" s="200"/>
      <c r="P11755" s="199"/>
    </row>
    <row r="11756" spans="7:16" x14ac:dyDescent="0.2">
      <c r="G11756" s="199"/>
      <c r="I11756" s="199"/>
      <c r="K11756" s="199"/>
      <c r="M11756" s="199"/>
      <c r="N11756" s="200"/>
      <c r="P11756" s="199"/>
    </row>
    <row r="11757" spans="7:16" x14ac:dyDescent="0.2">
      <c r="G11757" s="199"/>
      <c r="I11757" s="199"/>
      <c r="K11757" s="199"/>
      <c r="M11757" s="199"/>
      <c r="N11757" s="200"/>
      <c r="P11757" s="199"/>
    </row>
    <row r="11758" spans="7:16" x14ac:dyDescent="0.2">
      <c r="G11758" s="199"/>
      <c r="I11758" s="199"/>
      <c r="K11758" s="199"/>
      <c r="M11758" s="199"/>
      <c r="N11758" s="200"/>
      <c r="P11758" s="199"/>
    </row>
    <row r="11759" spans="7:16" x14ac:dyDescent="0.2">
      <c r="G11759" s="199"/>
      <c r="I11759" s="199"/>
      <c r="K11759" s="199"/>
      <c r="M11759" s="199"/>
      <c r="N11759" s="200"/>
      <c r="P11759" s="199"/>
    </row>
    <row r="11760" spans="7:16" x14ac:dyDescent="0.2">
      <c r="G11760" s="199"/>
      <c r="I11760" s="199"/>
      <c r="K11760" s="199"/>
      <c r="M11760" s="199"/>
      <c r="N11760" s="200"/>
      <c r="P11760" s="199"/>
    </row>
    <row r="11761" spans="7:16" x14ac:dyDescent="0.2">
      <c r="G11761" s="199"/>
      <c r="I11761" s="199"/>
      <c r="K11761" s="199"/>
      <c r="M11761" s="199"/>
      <c r="N11761" s="200"/>
      <c r="P11761" s="199"/>
    </row>
    <row r="11762" spans="7:16" x14ac:dyDescent="0.2">
      <c r="G11762" s="199"/>
      <c r="I11762" s="199"/>
      <c r="K11762" s="199"/>
      <c r="M11762" s="199"/>
      <c r="N11762" s="200"/>
      <c r="P11762" s="199"/>
    </row>
    <row r="11763" spans="7:16" x14ac:dyDescent="0.2">
      <c r="G11763" s="199"/>
      <c r="I11763" s="199"/>
      <c r="K11763" s="199"/>
      <c r="M11763" s="199"/>
      <c r="N11763" s="200"/>
      <c r="P11763" s="199"/>
    </row>
    <row r="11764" spans="7:16" x14ac:dyDescent="0.2">
      <c r="G11764" s="199"/>
      <c r="I11764" s="199"/>
      <c r="K11764" s="199"/>
      <c r="M11764" s="199"/>
      <c r="N11764" s="200"/>
      <c r="P11764" s="199"/>
    </row>
    <row r="11765" spans="7:16" x14ac:dyDescent="0.2">
      <c r="G11765" s="199"/>
      <c r="I11765" s="199"/>
      <c r="K11765" s="199"/>
      <c r="M11765" s="199"/>
      <c r="N11765" s="200"/>
      <c r="P11765" s="199"/>
    </row>
    <row r="11766" spans="7:16" x14ac:dyDescent="0.2">
      <c r="G11766" s="199"/>
      <c r="I11766" s="199"/>
      <c r="K11766" s="199"/>
      <c r="M11766" s="199"/>
      <c r="N11766" s="200"/>
      <c r="P11766" s="199"/>
    </row>
    <row r="11767" spans="7:16" x14ac:dyDescent="0.2">
      <c r="G11767" s="199"/>
      <c r="I11767" s="199"/>
      <c r="K11767" s="199"/>
      <c r="M11767" s="199"/>
      <c r="N11767" s="200"/>
      <c r="P11767" s="199"/>
    </row>
    <row r="11768" spans="7:16" x14ac:dyDescent="0.2">
      <c r="G11768" s="199"/>
      <c r="I11768" s="199"/>
      <c r="K11768" s="199"/>
      <c r="M11768" s="199"/>
      <c r="N11768" s="200"/>
      <c r="P11768" s="199"/>
    </row>
    <row r="11769" spans="7:16" x14ac:dyDescent="0.2">
      <c r="G11769" s="199"/>
      <c r="I11769" s="199"/>
      <c r="K11769" s="199"/>
      <c r="M11769" s="199"/>
      <c r="N11769" s="200"/>
      <c r="P11769" s="199"/>
    </row>
    <row r="11770" spans="7:16" x14ac:dyDescent="0.2">
      <c r="G11770" s="199"/>
      <c r="I11770" s="199"/>
      <c r="K11770" s="199"/>
      <c r="M11770" s="199"/>
      <c r="N11770" s="200"/>
      <c r="P11770" s="199"/>
    </row>
    <row r="11771" spans="7:16" x14ac:dyDescent="0.2">
      <c r="G11771" s="199"/>
      <c r="I11771" s="199"/>
      <c r="K11771" s="199"/>
      <c r="M11771" s="199"/>
      <c r="N11771" s="200"/>
      <c r="P11771" s="199"/>
    </row>
    <row r="11772" spans="7:16" x14ac:dyDescent="0.2">
      <c r="G11772" s="199"/>
      <c r="I11772" s="199"/>
      <c r="K11772" s="199"/>
      <c r="M11772" s="199"/>
      <c r="N11772" s="200"/>
      <c r="P11772" s="199"/>
    </row>
    <row r="11773" spans="7:16" x14ac:dyDescent="0.2">
      <c r="G11773" s="199"/>
      <c r="I11773" s="199"/>
      <c r="K11773" s="199"/>
      <c r="M11773" s="199"/>
      <c r="N11773" s="200"/>
      <c r="P11773" s="199"/>
    </row>
    <row r="11774" spans="7:16" x14ac:dyDescent="0.2">
      <c r="G11774" s="199"/>
      <c r="I11774" s="199"/>
      <c r="K11774" s="199"/>
      <c r="M11774" s="199"/>
      <c r="N11774" s="200"/>
      <c r="P11774" s="199"/>
    </row>
    <row r="11775" spans="7:16" x14ac:dyDescent="0.2">
      <c r="G11775" s="199"/>
      <c r="I11775" s="199"/>
      <c r="K11775" s="199"/>
      <c r="M11775" s="199"/>
      <c r="N11775" s="200"/>
      <c r="P11775" s="199"/>
    </row>
    <row r="11776" spans="7:16" x14ac:dyDescent="0.2">
      <c r="G11776" s="199"/>
      <c r="I11776" s="199"/>
      <c r="K11776" s="199"/>
      <c r="M11776" s="199"/>
      <c r="N11776" s="200"/>
      <c r="P11776" s="199"/>
    </row>
    <row r="11777" spans="7:16" x14ac:dyDescent="0.2">
      <c r="G11777" s="199"/>
      <c r="I11777" s="199"/>
      <c r="K11777" s="199"/>
      <c r="M11777" s="199"/>
      <c r="N11777" s="200"/>
      <c r="P11777" s="199"/>
    </row>
    <row r="11778" spans="7:16" x14ac:dyDescent="0.2">
      <c r="G11778" s="199"/>
      <c r="I11778" s="199"/>
      <c r="K11778" s="199"/>
      <c r="M11778" s="199"/>
      <c r="N11778" s="200"/>
      <c r="P11778" s="199"/>
    </row>
    <row r="11779" spans="7:16" x14ac:dyDescent="0.2">
      <c r="G11779" s="199"/>
      <c r="I11779" s="199"/>
      <c r="K11779" s="199"/>
      <c r="M11779" s="199"/>
      <c r="N11779" s="200"/>
      <c r="P11779" s="199"/>
    </row>
    <row r="11780" spans="7:16" x14ac:dyDescent="0.2">
      <c r="G11780" s="199"/>
      <c r="I11780" s="199"/>
      <c r="K11780" s="199"/>
      <c r="M11780" s="199"/>
      <c r="N11780" s="200"/>
      <c r="P11780" s="199"/>
    </row>
    <row r="11781" spans="7:16" x14ac:dyDescent="0.2">
      <c r="G11781" s="199"/>
      <c r="I11781" s="199"/>
      <c r="K11781" s="199"/>
      <c r="M11781" s="199"/>
      <c r="N11781" s="200"/>
      <c r="P11781" s="199"/>
    </row>
    <row r="11782" spans="7:16" x14ac:dyDescent="0.2">
      <c r="G11782" s="199"/>
      <c r="I11782" s="199"/>
      <c r="K11782" s="199"/>
      <c r="M11782" s="199"/>
      <c r="N11782" s="200"/>
      <c r="P11782" s="199"/>
    </row>
    <row r="11783" spans="7:16" x14ac:dyDescent="0.2">
      <c r="G11783" s="199"/>
      <c r="I11783" s="199"/>
      <c r="K11783" s="199"/>
      <c r="M11783" s="199"/>
      <c r="N11783" s="200"/>
      <c r="P11783" s="199"/>
    </row>
    <row r="11784" spans="7:16" x14ac:dyDescent="0.2">
      <c r="G11784" s="199"/>
      <c r="I11784" s="199"/>
      <c r="K11784" s="199"/>
      <c r="M11784" s="199"/>
      <c r="N11784" s="200"/>
      <c r="P11784" s="199"/>
    </row>
    <row r="11785" spans="7:16" x14ac:dyDescent="0.2">
      <c r="G11785" s="199"/>
      <c r="I11785" s="199"/>
      <c r="K11785" s="199"/>
      <c r="M11785" s="199"/>
      <c r="N11785" s="200"/>
      <c r="P11785" s="199"/>
    </row>
    <row r="11786" spans="7:16" x14ac:dyDescent="0.2">
      <c r="G11786" s="199"/>
      <c r="I11786" s="199"/>
      <c r="K11786" s="199"/>
      <c r="M11786" s="199"/>
      <c r="N11786" s="200"/>
      <c r="P11786" s="199"/>
    </row>
    <row r="11787" spans="7:16" x14ac:dyDescent="0.2">
      <c r="G11787" s="199"/>
      <c r="I11787" s="199"/>
      <c r="K11787" s="199"/>
      <c r="M11787" s="199"/>
      <c r="N11787" s="200"/>
      <c r="P11787" s="199"/>
    </row>
    <row r="11788" spans="7:16" x14ac:dyDescent="0.2">
      <c r="G11788" s="199"/>
      <c r="I11788" s="199"/>
      <c r="K11788" s="199"/>
      <c r="M11788" s="199"/>
      <c r="N11788" s="200"/>
      <c r="P11788" s="199"/>
    </row>
    <row r="11789" spans="7:16" x14ac:dyDescent="0.2">
      <c r="G11789" s="199"/>
      <c r="I11789" s="199"/>
      <c r="K11789" s="199"/>
      <c r="M11789" s="199"/>
      <c r="N11789" s="200"/>
      <c r="P11789" s="199"/>
    </row>
    <row r="11790" spans="7:16" x14ac:dyDescent="0.2">
      <c r="G11790" s="199"/>
      <c r="I11790" s="199"/>
      <c r="K11790" s="199"/>
      <c r="M11790" s="199"/>
      <c r="N11790" s="200"/>
      <c r="P11790" s="199"/>
    </row>
    <row r="11791" spans="7:16" x14ac:dyDescent="0.2">
      <c r="G11791" s="199"/>
      <c r="I11791" s="199"/>
      <c r="K11791" s="199"/>
      <c r="M11791" s="199"/>
      <c r="N11791" s="200"/>
      <c r="P11791" s="199"/>
    </row>
    <row r="11792" spans="7:16" x14ac:dyDescent="0.2">
      <c r="G11792" s="199"/>
      <c r="I11792" s="199"/>
      <c r="K11792" s="199"/>
      <c r="M11792" s="199"/>
      <c r="N11792" s="200"/>
      <c r="P11792" s="199"/>
    </row>
    <row r="11793" spans="7:16" x14ac:dyDescent="0.2">
      <c r="G11793" s="199"/>
      <c r="I11793" s="199"/>
      <c r="K11793" s="199"/>
      <c r="M11793" s="199"/>
      <c r="N11793" s="200"/>
      <c r="P11793" s="199"/>
    </row>
    <row r="11794" spans="7:16" x14ac:dyDescent="0.2">
      <c r="G11794" s="199"/>
      <c r="I11794" s="199"/>
      <c r="K11794" s="199"/>
      <c r="M11794" s="199"/>
      <c r="N11794" s="200"/>
      <c r="P11794" s="199"/>
    </row>
    <row r="11795" spans="7:16" x14ac:dyDescent="0.2">
      <c r="G11795" s="199"/>
      <c r="I11795" s="199"/>
      <c r="K11795" s="199"/>
      <c r="M11795" s="199"/>
      <c r="N11795" s="200"/>
      <c r="P11795" s="199"/>
    </row>
    <row r="11796" spans="7:16" x14ac:dyDescent="0.2">
      <c r="G11796" s="199"/>
      <c r="I11796" s="199"/>
      <c r="K11796" s="199"/>
      <c r="M11796" s="199"/>
      <c r="N11796" s="200"/>
      <c r="P11796" s="199"/>
    </row>
    <row r="11797" spans="7:16" x14ac:dyDescent="0.2">
      <c r="G11797" s="199"/>
      <c r="I11797" s="199"/>
      <c r="K11797" s="199"/>
      <c r="M11797" s="199"/>
      <c r="N11797" s="200"/>
      <c r="P11797" s="199"/>
    </row>
    <row r="11798" spans="7:16" x14ac:dyDescent="0.2">
      <c r="G11798" s="199"/>
      <c r="I11798" s="199"/>
      <c r="K11798" s="199"/>
      <c r="M11798" s="199"/>
      <c r="N11798" s="200"/>
      <c r="P11798" s="199"/>
    </row>
    <row r="11799" spans="7:16" x14ac:dyDescent="0.2">
      <c r="G11799" s="199"/>
      <c r="I11799" s="199"/>
      <c r="K11799" s="199"/>
      <c r="M11799" s="199"/>
      <c r="N11799" s="200"/>
      <c r="P11799" s="199"/>
    </row>
    <row r="11800" spans="7:16" x14ac:dyDescent="0.2">
      <c r="G11800" s="199"/>
      <c r="I11800" s="199"/>
      <c r="K11800" s="199"/>
      <c r="M11800" s="199"/>
      <c r="N11800" s="200"/>
      <c r="P11800" s="199"/>
    </row>
    <row r="11801" spans="7:16" x14ac:dyDescent="0.2">
      <c r="G11801" s="199"/>
      <c r="I11801" s="199"/>
      <c r="K11801" s="199"/>
      <c r="M11801" s="199"/>
      <c r="N11801" s="200"/>
      <c r="P11801" s="199"/>
    </row>
    <row r="11802" spans="7:16" x14ac:dyDescent="0.2">
      <c r="G11802" s="199"/>
      <c r="I11802" s="199"/>
      <c r="K11802" s="199"/>
      <c r="M11802" s="199"/>
      <c r="N11802" s="200"/>
      <c r="P11802" s="199"/>
    </row>
    <row r="11803" spans="7:16" x14ac:dyDescent="0.2">
      <c r="G11803" s="199"/>
      <c r="I11803" s="199"/>
      <c r="K11803" s="199"/>
      <c r="M11803" s="199"/>
      <c r="N11803" s="200"/>
      <c r="P11803" s="199"/>
    </row>
    <row r="11804" spans="7:16" x14ac:dyDescent="0.2">
      <c r="G11804" s="199"/>
      <c r="I11804" s="199"/>
      <c r="K11804" s="199"/>
      <c r="M11804" s="199"/>
      <c r="N11804" s="200"/>
      <c r="P11804" s="199"/>
    </row>
    <row r="11805" spans="7:16" x14ac:dyDescent="0.2">
      <c r="G11805" s="199"/>
      <c r="I11805" s="199"/>
      <c r="K11805" s="199"/>
      <c r="M11805" s="199"/>
      <c r="N11805" s="200"/>
      <c r="P11805" s="199"/>
    </row>
    <row r="11806" spans="7:16" x14ac:dyDescent="0.2">
      <c r="G11806" s="199"/>
      <c r="I11806" s="199"/>
      <c r="K11806" s="199"/>
      <c r="M11806" s="199"/>
      <c r="N11806" s="200"/>
      <c r="P11806" s="199"/>
    </row>
    <row r="11807" spans="7:16" x14ac:dyDescent="0.2">
      <c r="G11807" s="199"/>
      <c r="I11807" s="199"/>
      <c r="K11807" s="199"/>
      <c r="M11807" s="199"/>
      <c r="N11807" s="200"/>
      <c r="P11807" s="199"/>
    </row>
    <row r="11808" spans="7:16" x14ac:dyDescent="0.2">
      <c r="G11808" s="199"/>
      <c r="I11808" s="199"/>
      <c r="K11808" s="199"/>
      <c r="M11808" s="199"/>
      <c r="N11808" s="200"/>
      <c r="P11808" s="199"/>
    </row>
    <row r="11809" spans="7:16" x14ac:dyDescent="0.2">
      <c r="G11809" s="199"/>
      <c r="I11809" s="199"/>
      <c r="K11809" s="199"/>
      <c r="M11809" s="199"/>
      <c r="N11809" s="200"/>
      <c r="P11809" s="199"/>
    </row>
    <row r="11810" spans="7:16" x14ac:dyDescent="0.2">
      <c r="G11810" s="199"/>
      <c r="I11810" s="199"/>
      <c r="K11810" s="199"/>
      <c r="M11810" s="199"/>
      <c r="N11810" s="200"/>
      <c r="P11810" s="199"/>
    </row>
    <row r="11811" spans="7:16" x14ac:dyDescent="0.2">
      <c r="G11811" s="199"/>
      <c r="I11811" s="199"/>
      <c r="K11811" s="199"/>
      <c r="M11811" s="199"/>
      <c r="N11811" s="200"/>
      <c r="P11811" s="199"/>
    </row>
    <row r="11812" spans="7:16" x14ac:dyDescent="0.2">
      <c r="G11812" s="199"/>
      <c r="I11812" s="199"/>
      <c r="K11812" s="199"/>
      <c r="M11812" s="199"/>
      <c r="N11812" s="200"/>
      <c r="P11812" s="199"/>
    </row>
    <row r="11813" spans="7:16" x14ac:dyDescent="0.2">
      <c r="G11813" s="199"/>
      <c r="I11813" s="199"/>
      <c r="K11813" s="199"/>
      <c r="M11813" s="199"/>
      <c r="N11813" s="200"/>
      <c r="P11813" s="199"/>
    </row>
    <row r="11814" spans="7:16" x14ac:dyDescent="0.2">
      <c r="G11814" s="199"/>
      <c r="I11814" s="199"/>
      <c r="K11814" s="199"/>
      <c r="M11814" s="199"/>
      <c r="N11814" s="200"/>
      <c r="P11814" s="199"/>
    </row>
    <row r="11815" spans="7:16" x14ac:dyDescent="0.2">
      <c r="G11815" s="199"/>
      <c r="I11815" s="199"/>
      <c r="K11815" s="199"/>
      <c r="M11815" s="199"/>
      <c r="N11815" s="200"/>
      <c r="P11815" s="199"/>
    </row>
    <row r="11816" spans="7:16" x14ac:dyDescent="0.2">
      <c r="G11816" s="199"/>
      <c r="I11816" s="199"/>
      <c r="K11816" s="199"/>
      <c r="M11816" s="199"/>
      <c r="N11816" s="200"/>
      <c r="P11816" s="199"/>
    </row>
    <row r="11817" spans="7:16" x14ac:dyDescent="0.2">
      <c r="G11817" s="199"/>
      <c r="I11817" s="199"/>
      <c r="K11817" s="199"/>
      <c r="M11817" s="199"/>
      <c r="N11817" s="200"/>
      <c r="P11817" s="199"/>
    </row>
    <row r="11818" spans="7:16" x14ac:dyDescent="0.2">
      <c r="G11818" s="199"/>
      <c r="I11818" s="199"/>
      <c r="K11818" s="199"/>
      <c r="M11818" s="199"/>
      <c r="N11818" s="200"/>
      <c r="P11818" s="199"/>
    </row>
    <row r="11819" spans="7:16" x14ac:dyDescent="0.2">
      <c r="G11819" s="199"/>
      <c r="I11819" s="199"/>
      <c r="K11819" s="199"/>
      <c r="M11819" s="199"/>
      <c r="N11819" s="200"/>
      <c r="P11819" s="199"/>
    </row>
    <row r="11820" spans="7:16" x14ac:dyDescent="0.2">
      <c r="G11820" s="199"/>
      <c r="I11820" s="199"/>
      <c r="K11820" s="199"/>
      <c r="M11820" s="199"/>
      <c r="N11820" s="200"/>
      <c r="P11820" s="199"/>
    </row>
    <row r="11821" spans="7:16" x14ac:dyDescent="0.2">
      <c r="G11821" s="199"/>
      <c r="I11821" s="199"/>
      <c r="K11821" s="199"/>
      <c r="M11821" s="199"/>
      <c r="N11821" s="200"/>
      <c r="P11821" s="199"/>
    </row>
    <row r="11822" spans="7:16" x14ac:dyDescent="0.2">
      <c r="G11822" s="199"/>
      <c r="I11822" s="199"/>
      <c r="K11822" s="199"/>
      <c r="M11822" s="199"/>
      <c r="N11822" s="200"/>
      <c r="P11822" s="199"/>
    </row>
    <row r="11823" spans="7:16" x14ac:dyDescent="0.2">
      <c r="G11823" s="199"/>
      <c r="I11823" s="199"/>
      <c r="K11823" s="199"/>
      <c r="M11823" s="199"/>
      <c r="N11823" s="200"/>
      <c r="P11823" s="199"/>
    </row>
    <row r="11824" spans="7:16" x14ac:dyDescent="0.2">
      <c r="G11824" s="199"/>
      <c r="I11824" s="199"/>
      <c r="K11824" s="199"/>
      <c r="M11824" s="199"/>
      <c r="N11824" s="200"/>
      <c r="P11824" s="199"/>
    </row>
    <row r="11825" spans="7:16" x14ac:dyDescent="0.2">
      <c r="G11825" s="199"/>
      <c r="I11825" s="199"/>
      <c r="K11825" s="199"/>
      <c r="M11825" s="199"/>
      <c r="N11825" s="200"/>
      <c r="P11825" s="199"/>
    </row>
    <row r="11826" spans="7:16" x14ac:dyDescent="0.2">
      <c r="G11826" s="199"/>
      <c r="I11826" s="199"/>
      <c r="K11826" s="199"/>
      <c r="M11826" s="199"/>
      <c r="N11826" s="200"/>
      <c r="P11826" s="199"/>
    </row>
    <row r="11827" spans="7:16" x14ac:dyDescent="0.2">
      <c r="G11827" s="199"/>
      <c r="I11827" s="199"/>
      <c r="K11827" s="199"/>
      <c r="M11827" s="199"/>
      <c r="N11827" s="200"/>
      <c r="P11827" s="199"/>
    </row>
    <row r="11828" spans="7:16" x14ac:dyDescent="0.2">
      <c r="G11828" s="199"/>
      <c r="I11828" s="199"/>
      <c r="K11828" s="199"/>
      <c r="M11828" s="199"/>
      <c r="N11828" s="200"/>
      <c r="P11828" s="199"/>
    </row>
    <row r="11829" spans="7:16" x14ac:dyDescent="0.2">
      <c r="G11829" s="199"/>
      <c r="I11829" s="199"/>
      <c r="K11829" s="199"/>
      <c r="M11829" s="199"/>
      <c r="N11829" s="200"/>
      <c r="P11829" s="199"/>
    </row>
    <row r="11830" spans="7:16" x14ac:dyDescent="0.2">
      <c r="G11830" s="199"/>
      <c r="I11830" s="199"/>
      <c r="K11830" s="199"/>
      <c r="M11830" s="199"/>
      <c r="N11830" s="200"/>
      <c r="P11830" s="199"/>
    </row>
    <row r="11831" spans="7:16" x14ac:dyDescent="0.2">
      <c r="G11831" s="199"/>
      <c r="I11831" s="199"/>
      <c r="K11831" s="199"/>
      <c r="M11831" s="199"/>
      <c r="N11831" s="200"/>
      <c r="P11831" s="199"/>
    </row>
    <row r="11832" spans="7:16" x14ac:dyDescent="0.2">
      <c r="G11832" s="199"/>
      <c r="I11832" s="199"/>
      <c r="K11832" s="199"/>
      <c r="M11832" s="199"/>
      <c r="N11832" s="200"/>
      <c r="P11832" s="199"/>
    </row>
    <row r="11833" spans="7:16" x14ac:dyDescent="0.2">
      <c r="G11833" s="199"/>
      <c r="I11833" s="199"/>
      <c r="K11833" s="199"/>
      <c r="M11833" s="199"/>
      <c r="N11833" s="200"/>
      <c r="P11833" s="199"/>
    </row>
    <row r="11834" spans="7:16" x14ac:dyDescent="0.2">
      <c r="G11834" s="199"/>
      <c r="I11834" s="199"/>
      <c r="K11834" s="199"/>
      <c r="M11834" s="199"/>
      <c r="N11834" s="200"/>
      <c r="P11834" s="199"/>
    </row>
    <row r="11835" spans="7:16" x14ac:dyDescent="0.2">
      <c r="G11835" s="199"/>
      <c r="I11835" s="199"/>
      <c r="K11835" s="199"/>
      <c r="M11835" s="199"/>
      <c r="N11835" s="200"/>
      <c r="P11835" s="199"/>
    </row>
    <row r="11836" spans="7:16" x14ac:dyDescent="0.2">
      <c r="G11836" s="199"/>
      <c r="I11836" s="199"/>
      <c r="K11836" s="199"/>
      <c r="M11836" s="199"/>
      <c r="N11836" s="200"/>
      <c r="P11836" s="199"/>
    </row>
    <row r="11837" spans="7:16" x14ac:dyDescent="0.2">
      <c r="G11837" s="199"/>
      <c r="I11837" s="199"/>
      <c r="K11837" s="199"/>
      <c r="M11837" s="199"/>
      <c r="N11837" s="200"/>
      <c r="P11837" s="199"/>
    </row>
    <row r="11838" spans="7:16" x14ac:dyDescent="0.2">
      <c r="G11838" s="199"/>
      <c r="I11838" s="199"/>
      <c r="K11838" s="199"/>
      <c r="M11838" s="199"/>
      <c r="N11838" s="200"/>
      <c r="P11838" s="199"/>
    </row>
    <row r="11839" spans="7:16" x14ac:dyDescent="0.2">
      <c r="G11839" s="199"/>
      <c r="I11839" s="199"/>
      <c r="K11839" s="199"/>
      <c r="M11839" s="199"/>
      <c r="N11839" s="200"/>
      <c r="P11839" s="199"/>
    </row>
    <row r="11840" spans="7:16" x14ac:dyDescent="0.2">
      <c r="G11840" s="199"/>
      <c r="I11840" s="199"/>
      <c r="K11840" s="199"/>
      <c r="M11840" s="199"/>
      <c r="N11840" s="200"/>
      <c r="P11840" s="199"/>
    </row>
    <row r="11841" spans="7:16" x14ac:dyDescent="0.2">
      <c r="G11841" s="199"/>
      <c r="I11841" s="199"/>
      <c r="K11841" s="199"/>
      <c r="M11841" s="199"/>
      <c r="N11841" s="200"/>
      <c r="P11841" s="199"/>
    </row>
    <row r="11842" spans="7:16" x14ac:dyDescent="0.2">
      <c r="G11842" s="199"/>
      <c r="I11842" s="199"/>
      <c r="K11842" s="199"/>
      <c r="M11842" s="199"/>
      <c r="N11842" s="200"/>
      <c r="P11842" s="199"/>
    </row>
    <row r="11843" spans="7:16" x14ac:dyDescent="0.2">
      <c r="G11843" s="199"/>
      <c r="I11843" s="199"/>
      <c r="K11843" s="199"/>
      <c r="M11843" s="199"/>
      <c r="N11843" s="200"/>
      <c r="P11843" s="199"/>
    </row>
    <row r="11844" spans="7:16" x14ac:dyDescent="0.2">
      <c r="G11844" s="199"/>
      <c r="I11844" s="199"/>
      <c r="K11844" s="199"/>
      <c r="M11844" s="199"/>
      <c r="N11844" s="200"/>
      <c r="P11844" s="199"/>
    </row>
    <row r="11845" spans="7:16" x14ac:dyDescent="0.2">
      <c r="G11845" s="199"/>
      <c r="I11845" s="199"/>
      <c r="K11845" s="199"/>
      <c r="M11845" s="199"/>
      <c r="N11845" s="200"/>
      <c r="P11845" s="199"/>
    </row>
    <row r="11846" spans="7:16" x14ac:dyDescent="0.2">
      <c r="G11846" s="199"/>
      <c r="I11846" s="199"/>
      <c r="K11846" s="199"/>
      <c r="M11846" s="199"/>
      <c r="N11846" s="200"/>
      <c r="P11846" s="199"/>
    </row>
    <row r="11847" spans="7:16" x14ac:dyDescent="0.2">
      <c r="G11847" s="199"/>
      <c r="I11847" s="199"/>
      <c r="K11847" s="199"/>
      <c r="M11847" s="199"/>
      <c r="N11847" s="200"/>
      <c r="P11847" s="199"/>
    </row>
    <row r="11848" spans="7:16" x14ac:dyDescent="0.2">
      <c r="G11848" s="199"/>
      <c r="I11848" s="199"/>
      <c r="K11848" s="199"/>
      <c r="M11848" s="199"/>
      <c r="N11848" s="200"/>
      <c r="P11848" s="199"/>
    </row>
    <row r="11849" spans="7:16" x14ac:dyDescent="0.2">
      <c r="G11849" s="199"/>
      <c r="I11849" s="199"/>
      <c r="K11849" s="199"/>
      <c r="M11849" s="199"/>
      <c r="N11849" s="200"/>
      <c r="P11849" s="199"/>
    </row>
    <row r="11850" spans="7:16" x14ac:dyDescent="0.2">
      <c r="G11850" s="199"/>
      <c r="I11850" s="199"/>
      <c r="K11850" s="199"/>
      <c r="M11850" s="199"/>
      <c r="N11850" s="200"/>
      <c r="P11850" s="199"/>
    </row>
    <row r="11851" spans="7:16" x14ac:dyDescent="0.2">
      <c r="G11851" s="199"/>
      <c r="I11851" s="199"/>
      <c r="K11851" s="199"/>
      <c r="M11851" s="199"/>
      <c r="N11851" s="200"/>
      <c r="P11851" s="199"/>
    </row>
    <row r="11852" spans="7:16" x14ac:dyDescent="0.2">
      <c r="G11852" s="199"/>
      <c r="I11852" s="199"/>
      <c r="K11852" s="199"/>
      <c r="M11852" s="199"/>
      <c r="N11852" s="200"/>
      <c r="P11852" s="199"/>
    </row>
    <row r="11853" spans="7:16" x14ac:dyDescent="0.2">
      <c r="G11853" s="199"/>
      <c r="I11853" s="199"/>
      <c r="K11853" s="199"/>
      <c r="M11853" s="199"/>
      <c r="N11853" s="200"/>
      <c r="P11853" s="199"/>
    </row>
    <row r="11854" spans="7:16" x14ac:dyDescent="0.2">
      <c r="G11854" s="199"/>
      <c r="I11854" s="199"/>
      <c r="K11854" s="199"/>
      <c r="M11854" s="199"/>
      <c r="N11854" s="200"/>
      <c r="P11854" s="199"/>
    </row>
    <row r="11855" spans="7:16" x14ac:dyDescent="0.2">
      <c r="G11855" s="199"/>
      <c r="I11855" s="199"/>
      <c r="K11855" s="199"/>
      <c r="M11855" s="199"/>
      <c r="N11855" s="200"/>
      <c r="P11855" s="199"/>
    </row>
    <row r="11856" spans="7:16" x14ac:dyDescent="0.2">
      <c r="G11856" s="199"/>
      <c r="I11856" s="199"/>
      <c r="K11856" s="199"/>
      <c r="M11856" s="199"/>
      <c r="N11856" s="200"/>
      <c r="P11856" s="199"/>
    </row>
    <row r="11857" spans="7:16" x14ac:dyDescent="0.2">
      <c r="G11857" s="199"/>
      <c r="I11857" s="199"/>
      <c r="K11857" s="199"/>
      <c r="M11857" s="199"/>
      <c r="N11857" s="200"/>
      <c r="P11857" s="199"/>
    </row>
    <row r="11858" spans="7:16" x14ac:dyDescent="0.2">
      <c r="G11858" s="199"/>
      <c r="I11858" s="199"/>
      <c r="K11858" s="199"/>
      <c r="M11858" s="199"/>
      <c r="N11858" s="200"/>
      <c r="P11858" s="199"/>
    </row>
    <row r="11859" spans="7:16" x14ac:dyDescent="0.2">
      <c r="G11859" s="199"/>
      <c r="I11859" s="199"/>
      <c r="K11859" s="199"/>
      <c r="M11859" s="199"/>
      <c r="N11859" s="200"/>
      <c r="P11859" s="199"/>
    </row>
    <row r="11860" spans="7:16" x14ac:dyDescent="0.2">
      <c r="G11860" s="199"/>
      <c r="I11860" s="199"/>
      <c r="K11860" s="199"/>
      <c r="M11860" s="199"/>
      <c r="N11860" s="200"/>
      <c r="P11860" s="199"/>
    </row>
    <row r="11861" spans="7:16" x14ac:dyDescent="0.2">
      <c r="G11861" s="199"/>
      <c r="I11861" s="199"/>
      <c r="K11861" s="199"/>
      <c r="M11861" s="199"/>
      <c r="N11861" s="200"/>
      <c r="P11861" s="199"/>
    </row>
    <row r="11862" spans="7:16" x14ac:dyDescent="0.2">
      <c r="G11862" s="199"/>
      <c r="I11862" s="199"/>
      <c r="K11862" s="199"/>
      <c r="M11862" s="199"/>
      <c r="N11862" s="200"/>
      <c r="P11862" s="199"/>
    </row>
    <row r="11863" spans="7:16" x14ac:dyDescent="0.2">
      <c r="G11863" s="199"/>
      <c r="I11863" s="199"/>
      <c r="K11863" s="199"/>
      <c r="M11863" s="199"/>
      <c r="N11863" s="200"/>
      <c r="P11863" s="199"/>
    </row>
    <row r="11864" spans="7:16" x14ac:dyDescent="0.2">
      <c r="G11864" s="199"/>
      <c r="I11864" s="199"/>
      <c r="K11864" s="199"/>
      <c r="M11864" s="199"/>
      <c r="N11864" s="200"/>
      <c r="P11864" s="199"/>
    </row>
    <row r="11865" spans="7:16" x14ac:dyDescent="0.2">
      <c r="G11865" s="199"/>
      <c r="I11865" s="199"/>
      <c r="K11865" s="199"/>
      <c r="M11865" s="199"/>
      <c r="N11865" s="200"/>
      <c r="P11865" s="199"/>
    </row>
    <row r="11866" spans="7:16" x14ac:dyDescent="0.2">
      <c r="G11866" s="199"/>
      <c r="I11866" s="199"/>
      <c r="K11866" s="199"/>
      <c r="M11866" s="199"/>
      <c r="N11866" s="200"/>
      <c r="P11866" s="199"/>
    </row>
    <row r="11867" spans="7:16" x14ac:dyDescent="0.2">
      <c r="G11867" s="199"/>
      <c r="I11867" s="199"/>
      <c r="K11867" s="199"/>
      <c r="M11867" s="199"/>
      <c r="N11867" s="200"/>
      <c r="P11867" s="199"/>
    </row>
    <row r="11868" spans="7:16" x14ac:dyDescent="0.2">
      <c r="G11868" s="199"/>
      <c r="I11868" s="199"/>
      <c r="K11868" s="199"/>
      <c r="M11868" s="199"/>
      <c r="N11868" s="200"/>
      <c r="P11868" s="199"/>
    </row>
    <row r="11869" spans="7:16" x14ac:dyDescent="0.2">
      <c r="G11869" s="199"/>
      <c r="I11869" s="199"/>
      <c r="K11869" s="199"/>
      <c r="M11869" s="199"/>
      <c r="N11869" s="200"/>
      <c r="P11869" s="199"/>
    </row>
    <row r="11870" spans="7:16" x14ac:dyDescent="0.2">
      <c r="G11870" s="199"/>
      <c r="I11870" s="199"/>
      <c r="K11870" s="199"/>
      <c r="M11870" s="199"/>
      <c r="N11870" s="200"/>
      <c r="P11870" s="199"/>
    </row>
    <row r="11871" spans="7:16" x14ac:dyDescent="0.2">
      <c r="G11871" s="199"/>
      <c r="I11871" s="199"/>
      <c r="K11871" s="199"/>
      <c r="M11871" s="199"/>
      <c r="N11871" s="200"/>
      <c r="P11871" s="199"/>
    </row>
    <row r="11872" spans="7:16" x14ac:dyDescent="0.2">
      <c r="G11872" s="199"/>
      <c r="I11872" s="199"/>
      <c r="K11872" s="199"/>
      <c r="M11872" s="199"/>
      <c r="N11872" s="200"/>
      <c r="P11872" s="199"/>
    </row>
    <row r="11873" spans="7:16" x14ac:dyDescent="0.2">
      <c r="G11873" s="199"/>
      <c r="I11873" s="199"/>
      <c r="K11873" s="199"/>
      <c r="M11873" s="199"/>
      <c r="N11873" s="200"/>
      <c r="P11873" s="199"/>
    </row>
    <row r="11874" spans="7:16" x14ac:dyDescent="0.2">
      <c r="G11874" s="199"/>
      <c r="I11874" s="199"/>
      <c r="K11874" s="199"/>
      <c r="M11874" s="199"/>
      <c r="N11874" s="200"/>
      <c r="P11874" s="199"/>
    </row>
    <row r="11875" spans="7:16" x14ac:dyDescent="0.2">
      <c r="G11875" s="199"/>
      <c r="I11875" s="199"/>
      <c r="K11875" s="199"/>
      <c r="M11875" s="199"/>
      <c r="N11875" s="200"/>
      <c r="P11875" s="199"/>
    </row>
    <row r="11876" spans="7:16" x14ac:dyDescent="0.2">
      <c r="G11876" s="199"/>
      <c r="I11876" s="199"/>
      <c r="K11876" s="199"/>
      <c r="M11876" s="199"/>
      <c r="N11876" s="200"/>
      <c r="P11876" s="199"/>
    </row>
    <row r="11877" spans="7:16" x14ac:dyDescent="0.2">
      <c r="G11877" s="199"/>
      <c r="I11877" s="199"/>
      <c r="K11877" s="199"/>
      <c r="M11877" s="199"/>
      <c r="N11877" s="200"/>
      <c r="P11877" s="199"/>
    </row>
    <row r="11878" spans="7:16" x14ac:dyDescent="0.2">
      <c r="G11878" s="199"/>
      <c r="I11878" s="199"/>
      <c r="K11878" s="199"/>
      <c r="M11878" s="199"/>
      <c r="N11878" s="200"/>
      <c r="P11878" s="199"/>
    </row>
    <row r="11879" spans="7:16" x14ac:dyDescent="0.2">
      <c r="G11879" s="199"/>
      <c r="I11879" s="199"/>
      <c r="K11879" s="199"/>
      <c r="M11879" s="199"/>
      <c r="N11879" s="200"/>
      <c r="P11879" s="199"/>
    </row>
    <row r="11880" spans="7:16" x14ac:dyDescent="0.2">
      <c r="G11880" s="199"/>
      <c r="I11880" s="199"/>
      <c r="K11880" s="199"/>
      <c r="M11880" s="199"/>
      <c r="N11880" s="200"/>
      <c r="P11880" s="199"/>
    </row>
    <row r="11881" spans="7:16" x14ac:dyDescent="0.2">
      <c r="G11881" s="199"/>
      <c r="I11881" s="199"/>
      <c r="K11881" s="199"/>
      <c r="M11881" s="199"/>
      <c r="N11881" s="200"/>
      <c r="P11881" s="199"/>
    </row>
    <row r="11882" spans="7:16" x14ac:dyDescent="0.2">
      <c r="G11882" s="199"/>
      <c r="I11882" s="199"/>
      <c r="K11882" s="199"/>
      <c r="M11882" s="199"/>
      <c r="N11882" s="200"/>
      <c r="P11882" s="199"/>
    </row>
    <row r="11883" spans="7:16" x14ac:dyDescent="0.2">
      <c r="G11883" s="199"/>
      <c r="I11883" s="199"/>
      <c r="K11883" s="199"/>
      <c r="M11883" s="199"/>
      <c r="N11883" s="200"/>
      <c r="P11883" s="199"/>
    </row>
    <row r="11884" spans="7:16" x14ac:dyDescent="0.2">
      <c r="G11884" s="199"/>
      <c r="I11884" s="199"/>
      <c r="K11884" s="199"/>
      <c r="M11884" s="199"/>
      <c r="N11884" s="200"/>
      <c r="P11884" s="199"/>
    </row>
    <row r="11885" spans="7:16" x14ac:dyDescent="0.2">
      <c r="G11885" s="199"/>
      <c r="I11885" s="199"/>
      <c r="K11885" s="199"/>
      <c r="M11885" s="199"/>
      <c r="N11885" s="200"/>
      <c r="P11885" s="199"/>
    </row>
    <row r="11886" spans="7:16" x14ac:dyDescent="0.2">
      <c r="G11886" s="199"/>
      <c r="I11886" s="199"/>
      <c r="K11886" s="199"/>
      <c r="M11886" s="199"/>
      <c r="N11886" s="200"/>
      <c r="P11886" s="199"/>
    </row>
    <row r="11887" spans="7:16" x14ac:dyDescent="0.2">
      <c r="G11887" s="199"/>
      <c r="I11887" s="199"/>
      <c r="K11887" s="199"/>
      <c r="M11887" s="199"/>
      <c r="N11887" s="200"/>
      <c r="P11887" s="199"/>
    </row>
    <row r="11888" spans="7:16" x14ac:dyDescent="0.2">
      <c r="G11888" s="199"/>
      <c r="I11888" s="199"/>
      <c r="K11888" s="199"/>
      <c r="M11888" s="199"/>
      <c r="N11888" s="200"/>
      <c r="P11888" s="199"/>
    </row>
    <row r="11889" spans="7:16" x14ac:dyDescent="0.2">
      <c r="G11889" s="199"/>
      <c r="I11889" s="199"/>
      <c r="K11889" s="199"/>
      <c r="M11889" s="199"/>
      <c r="N11889" s="200"/>
      <c r="P11889" s="199"/>
    </row>
    <row r="11890" spans="7:16" x14ac:dyDescent="0.2">
      <c r="G11890" s="199"/>
      <c r="I11890" s="199"/>
      <c r="K11890" s="199"/>
      <c r="M11890" s="199"/>
      <c r="N11890" s="200"/>
      <c r="P11890" s="199"/>
    </row>
    <row r="11891" spans="7:16" x14ac:dyDescent="0.2">
      <c r="G11891" s="199"/>
      <c r="I11891" s="199"/>
      <c r="K11891" s="199"/>
      <c r="M11891" s="199"/>
      <c r="N11891" s="200"/>
      <c r="P11891" s="199"/>
    </row>
    <row r="11892" spans="7:16" x14ac:dyDescent="0.2">
      <c r="G11892" s="199"/>
      <c r="I11892" s="199"/>
      <c r="K11892" s="199"/>
      <c r="M11892" s="199"/>
      <c r="N11892" s="200"/>
      <c r="P11892" s="199"/>
    </row>
    <row r="11893" spans="7:16" x14ac:dyDescent="0.2">
      <c r="G11893" s="199"/>
      <c r="I11893" s="199"/>
      <c r="K11893" s="199"/>
      <c r="M11893" s="199"/>
      <c r="N11893" s="200"/>
      <c r="P11893" s="199"/>
    </row>
    <row r="11894" spans="7:16" x14ac:dyDescent="0.2">
      <c r="G11894" s="199"/>
      <c r="I11894" s="199"/>
      <c r="K11894" s="199"/>
      <c r="M11894" s="199"/>
      <c r="N11894" s="200"/>
      <c r="P11894" s="199"/>
    </row>
    <row r="11895" spans="7:16" x14ac:dyDescent="0.2">
      <c r="G11895" s="199"/>
      <c r="I11895" s="199"/>
      <c r="K11895" s="199"/>
      <c r="M11895" s="199"/>
      <c r="N11895" s="200"/>
      <c r="P11895" s="199"/>
    </row>
    <row r="11896" spans="7:16" x14ac:dyDescent="0.2">
      <c r="G11896" s="199"/>
      <c r="I11896" s="199"/>
      <c r="K11896" s="199"/>
      <c r="M11896" s="199"/>
      <c r="N11896" s="200"/>
      <c r="P11896" s="199"/>
    </row>
    <row r="11897" spans="7:16" x14ac:dyDescent="0.2">
      <c r="G11897" s="199"/>
      <c r="I11897" s="199"/>
      <c r="K11897" s="199"/>
      <c r="M11897" s="199"/>
      <c r="N11897" s="200"/>
      <c r="P11897" s="199"/>
    </row>
    <row r="11898" spans="7:16" x14ac:dyDescent="0.2">
      <c r="G11898" s="199"/>
      <c r="I11898" s="199"/>
      <c r="K11898" s="199"/>
      <c r="M11898" s="199"/>
      <c r="N11898" s="200"/>
      <c r="P11898" s="199"/>
    </row>
    <row r="11899" spans="7:16" x14ac:dyDescent="0.2">
      <c r="G11899" s="199"/>
      <c r="I11899" s="199"/>
      <c r="K11899" s="199"/>
      <c r="M11899" s="199"/>
      <c r="N11899" s="200"/>
      <c r="P11899" s="199"/>
    </row>
    <row r="11900" spans="7:16" x14ac:dyDescent="0.2">
      <c r="G11900" s="199"/>
      <c r="I11900" s="199"/>
      <c r="K11900" s="199"/>
      <c r="M11900" s="199"/>
      <c r="N11900" s="200"/>
      <c r="P11900" s="199"/>
    </row>
    <row r="11901" spans="7:16" x14ac:dyDescent="0.2">
      <c r="G11901" s="199"/>
      <c r="I11901" s="199"/>
      <c r="K11901" s="199"/>
      <c r="M11901" s="199"/>
      <c r="N11901" s="200"/>
      <c r="P11901" s="199"/>
    </row>
    <row r="11902" spans="7:16" x14ac:dyDescent="0.2">
      <c r="G11902" s="199"/>
      <c r="I11902" s="199"/>
      <c r="K11902" s="199"/>
      <c r="M11902" s="199"/>
      <c r="N11902" s="200"/>
      <c r="P11902" s="199"/>
    </row>
    <row r="11903" spans="7:16" x14ac:dyDescent="0.2">
      <c r="G11903" s="199"/>
      <c r="I11903" s="199"/>
      <c r="K11903" s="199"/>
      <c r="M11903" s="199"/>
      <c r="N11903" s="200"/>
      <c r="P11903" s="199"/>
    </row>
    <row r="11904" spans="7:16" x14ac:dyDescent="0.2">
      <c r="G11904" s="199"/>
      <c r="I11904" s="199"/>
      <c r="K11904" s="199"/>
      <c r="M11904" s="199"/>
      <c r="N11904" s="200"/>
      <c r="P11904" s="199"/>
    </row>
    <row r="11905" spans="7:16" x14ac:dyDescent="0.2">
      <c r="G11905" s="199"/>
      <c r="I11905" s="199"/>
      <c r="K11905" s="199"/>
      <c r="M11905" s="199"/>
      <c r="N11905" s="200"/>
      <c r="P11905" s="199"/>
    </row>
    <row r="11906" spans="7:16" x14ac:dyDescent="0.2">
      <c r="G11906" s="199"/>
      <c r="I11906" s="199"/>
      <c r="K11906" s="199"/>
      <c r="M11906" s="199"/>
      <c r="N11906" s="200"/>
      <c r="P11906" s="199"/>
    </row>
    <row r="11907" spans="7:16" x14ac:dyDescent="0.2">
      <c r="G11907" s="199"/>
      <c r="I11907" s="199"/>
      <c r="K11907" s="199"/>
      <c r="M11907" s="199"/>
      <c r="N11907" s="200"/>
      <c r="P11907" s="199"/>
    </row>
    <row r="11908" spans="7:16" x14ac:dyDescent="0.2">
      <c r="G11908" s="199"/>
      <c r="I11908" s="199"/>
      <c r="K11908" s="199"/>
      <c r="M11908" s="199"/>
      <c r="N11908" s="200"/>
      <c r="P11908" s="199"/>
    </row>
    <row r="11909" spans="7:16" x14ac:dyDescent="0.2">
      <c r="G11909" s="199"/>
      <c r="I11909" s="199"/>
      <c r="K11909" s="199"/>
      <c r="M11909" s="199"/>
      <c r="N11909" s="200"/>
      <c r="P11909" s="199"/>
    </row>
    <row r="11910" spans="7:16" x14ac:dyDescent="0.2">
      <c r="G11910" s="199"/>
      <c r="I11910" s="199"/>
      <c r="K11910" s="199"/>
      <c r="M11910" s="199"/>
      <c r="N11910" s="200"/>
      <c r="P11910" s="199"/>
    </row>
    <row r="11911" spans="7:16" x14ac:dyDescent="0.2">
      <c r="G11911" s="199"/>
      <c r="I11911" s="199"/>
      <c r="K11911" s="199"/>
      <c r="M11911" s="199"/>
      <c r="N11911" s="200"/>
      <c r="P11911" s="199"/>
    </row>
    <row r="11912" spans="7:16" x14ac:dyDescent="0.2">
      <c r="G11912" s="199"/>
      <c r="I11912" s="199"/>
      <c r="K11912" s="199"/>
      <c r="M11912" s="199"/>
      <c r="N11912" s="200"/>
      <c r="P11912" s="199"/>
    </row>
    <row r="11913" spans="7:16" x14ac:dyDescent="0.2">
      <c r="G11913" s="199"/>
      <c r="I11913" s="199"/>
      <c r="K11913" s="199"/>
      <c r="M11913" s="199"/>
      <c r="N11913" s="200"/>
      <c r="P11913" s="199"/>
    </row>
    <row r="11914" spans="7:16" x14ac:dyDescent="0.2">
      <c r="G11914" s="199"/>
      <c r="I11914" s="199"/>
      <c r="K11914" s="199"/>
      <c r="M11914" s="199"/>
      <c r="N11914" s="200"/>
      <c r="P11914" s="199"/>
    </row>
    <row r="11915" spans="7:16" x14ac:dyDescent="0.2">
      <c r="G11915" s="199"/>
      <c r="I11915" s="199"/>
      <c r="K11915" s="199"/>
      <c r="M11915" s="199"/>
      <c r="N11915" s="200"/>
      <c r="P11915" s="199"/>
    </row>
    <row r="11916" spans="7:16" x14ac:dyDescent="0.2">
      <c r="G11916" s="199"/>
      <c r="I11916" s="199"/>
      <c r="K11916" s="199"/>
      <c r="M11916" s="199"/>
      <c r="N11916" s="200"/>
      <c r="P11916" s="199"/>
    </row>
    <row r="11917" spans="7:16" x14ac:dyDescent="0.2">
      <c r="G11917" s="199"/>
      <c r="I11917" s="199"/>
      <c r="K11917" s="199"/>
      <c r="M11917" s="199"/>
      <c r="N11917" s="200"/>
      <c r="P11917" s="199"/>
    </row>
    <row r="11918" spans="7:16" x14ac:dyDescent="0.2">
      <c r="G11918" s="199"/>
      <c r="I11918" s="199"/>
      <c r="K11918" s="199"/>
      <c r="M11918" s="199"/>
      <c r="N11918" s="200"/>
      <c r="P11918" s="199"/>
    </row>
    <row r="11919" spans="7:16" x14ac:dyDescent="0.2">
      <c r="G11919" s="199"/>
      <c r="I11919" s="199"/>
      <c r="K11919" s="199"/>
      <c r="M11919" s="199"/>
      <c r="N11919" s="200"/>
      <c r="P11919" s="199"/>
    </row>
    <row r="11920" spans="7:16" x14ac:dyDescent="0.2">
      <c r="G11920" s="199"/>
      <c r="I11920" s="199"/>
      <c r="K11920" s="199"/>
      <c r="M11920" s="199"/>
      <c r="N11920" s="200"/>
      <c r="P11920" s="199"/>
    </row>
    <row r="11921" spans="7:16" x14ac:dyDescent="0.2">
      <c r="G11921" s="199"/>
      <c r="I11921" s="199"/>
      <c r="K11921" s="199"/>
      <c r="M11921" s="199"/>
      <c r="N11921" s="200"/>
      <c r="P11921" s="199"/>
    </row>
    <row r="11922" spans="7:16" x14ac:dyDescent="0.2">
      <c r="G11922" s="199"/>
      <c r="I11922" s="199"/>
      <c r="K11922" s="199"/>
      <c r="M11922" s="199"/>
      <c r="N11922" s="200"/>
      <c r="P11922" s="199"/>
    </row>
    <row r="11923" spans="7:16" x14ac:dyDescent="0.2">
      <c r="G11923" s="199"/>
      <c r="I11923" s="199"/>
      <c r="K11923" s="199"/>
      <c r="M11923" s="199"/>
      <c r="N11923" s="200"/>
      <c r="P11923" s="199"/>
    </row>
    <row r="11924" spans="7:16" x14ac:dyDescent="0.2">
      <c r="G11924" s="199"/>
      <c r="I11924" s="199"/>
      <c r="K11924" s="199"/>
      <c r="M11924" s="199"/>
      <c r="N11924" s="200"/>
      <c r="P11924" s="199"/>
    </row>
    <row r="11925" spans="7:16" x14ac:dyDescent="0.2">
      <c r="G11925" s="199"/>
      <c r="I11925" s="199"/>
      <c r="K11925" s="199"/>
      <c r="M11925" s="199"/>
      <c r="N11925" s="200"/>
      <c r="P11925" s="199"/>
    </row>
    <row r="11926" spans="7:16" x14ac:dyDescent="0.2">
      <c r="G11926" s="199"/>
      <c r="I11926" s="199"/>
      <c r="K11926" s="199"/>
      <c r="M11926" s="199"/>
      <c r="N11926" s="200"/>
      <c r="P11926" s="199"/>
    </row>
    <row r="11927" spans="7:16" x14ac:dyDescent="0.2">
      <c r="G11927" s="199"/>
      <c r="I11927" s="199"/>
      <c r="K11927" s="199"/>
      <c r="M11927" s="199"/>
      <c r="N11927" s="200"/>
      <c r="P11927" s="199"/>
    </row>
    <row r="11928" spans="7:16" x14ac:dyDescent="0.2">
      <c r="G11928" s="199"/>
      <c r="I11928" s="199"/>
      <c r="K11928" s="199"/>
      <c r="M11928" s="199"/>
      <c r="N11928" s="200"/>
      <c r="P11928" s="199"/>
    </row>
    <row r="11929" spans="7:16" x14ac:dyDescent="0.2">
      <c r="G11929" s="199"/>
      <c r="I11929" s="199"/>
      <c r="K11929" s="199"/>
      <c r="M11929" s="199"/>
      <c r="N11929" s="200"/>
      <c r="P11929" s="199"/>
    </row>
    <row r="11930" spans="7:16" x14ac:dyDescent="0.2">
      <c r="G11930" s="199"/>
      <c r="I11930" s="199"/>
      <c r="K11930" s="199"/>
      <c r="M11930" s="199"/>
      <c r="N11930" s="200"/>
      <c r="P11930" s="199"/>
    </row>
    <row r="11931" spans="7:16" x14ac:dyDescent="0.2">
      <c r="G11931" s="199"/>
      <c r="I11931" s="199"/>
      <c r="K11931" s="199"/>
      <c r="M11931" s="199"/>
      <c r="N11931" s="200"/>
      <c r="P11931" s="199"/>
    </row>
    <row r="11932" spans="7:16" x14ac:dyDescent="0.2">
      <c r="G11932" s="199"/>
      <c r="I11932" s="199"/>
      <c r="K11932" s="199"/>
      <c r="M11932" s="199"/>
      <c r="N11932" s="200"/>
      <c r="P11932" s="199"/>
    </row>
    <row r="11933" spans="7:16" x14ac:dyDescent="0.2">
      <c r="G11933" s="199"/>
      <c r="I11933" s="199"/>
      <c r="K11933" s="199"/>
      <c r="M11933" s="199"/>
      <c r="N11933" s="200"/>
      <c r="P11933" s="199"/>
    </row>
    <row r="11934" spans="7:16" x14ac:dyDescent="0.2">
      <c r="G11934" s="199"/>
      <c r="I11934" s="199"/>
      <c r="K11934" s="199"/>
      <c r="M11934" s="199"/>
      <c r="N11934" s="200"/>
      <c r="P11934" s="199"/>
    </row>
    <row r="11935" spans="7:16" x14ac:dyDescent="0.2">
      <c r="G11935" s="199"/>
      <c r="I11935" s="199"/>
      <c r="K11935" s="199"/>
      <c r="M11935" s="199"/>
      <c r="N11935" s="200"/>
      <c r="P11935" s="199"/>
    </row>
    <row r="11936" spans="7:16" x14ac:dyDescent="0.2">
      <c r="G11936" s="199"/>
      <c r="I11936" s="199"/>
      <c r="K11936" s="199"/>
      <c r="M11936" s="199"/>
      <c r="N11936" s="200"/>
      <c r="P11936" s="199"/>
    </row>
    <row r="11937" spans="7:16" x14ac:dyDescent="0.2">
      <c r="G11937" s="199"/>
      <c r="I11937" s="199"/>
      <c r="K11937" s="199"/>
      <c r="M11937" s="199"/>
      <c r="N11937" s="200"/>
      <c r="P11937" s="199"/>
    </row>
    <row r="11938" spans="7:16" x14ac:dyDescent="0.2">
      <c r="G11938" s="199"/>
      <c r="I11938" s="199"/>
      <c r="K11938" s="199"/>
      <c r="M11938" s="199"/>
      <c r="N11938" s="200"/>
      <c r="P11938" s="199"/>
    </row>
    <row r="11939" spans="7:16" x14ac:dyDescent="0.2">
      <c r="G11939" s="199"/>
      <c r="I11939" s="199"/>
      <c r="K11939" s="199"/>
      <c r="M11939" s="199"/>
      <c r="N11939" s="200"/>
      <c r="P11939" s="199"/>
    </row>
    <row r="11940" spans="7:16" x14ac:dyDescent="0.2">
      <c r="G11940" s="199"/>
      <c r="I11940" s="199"/>
      <c r="K11940" s="199"/>
      <c r="M11940" s="199"/>
      <c r="N11940" s="200"/>
      <c r="P11940" s="199"/>
    </row>
    <row r="11941" spans="7:16" x14ac:dyDescent="0.2">
      <c r="G11941" s="199"/>
      <c r="I11941" s="199"/>
      <c r="K11941" s="199"/>
      <c r="M11941" s="199"/>
      <c r="N11941" s="200"/>
      <c r="P11941" s="199"/>
    </row>
    <row r="11942" spans="7:16" x14ac:dyDescent="0.2">
      <c r="G11942" s="199"/>
      <c r="I11942" s="199"/>
      <c r="K11942" s="199"/>
      <c r="M11942" s="199"/>
      <c r="N11942" s="200"/>
      <c r="P11942" s="199"/>
    </row>
    <row r="11943" spans="7:16" x14ac:dyDescent="0.2">
      <c r="G11943" s="199"/>
      <c r="I11943" s="199"/>
      <c r="K11943" s="199"/>
      <c r="M11943" s="199"/>
      <c r="N11943" s="200"/>
      <c r="P11943" s="199"/>
    </row>
    <row r="11944" spans="7:16" x14ac:dyDescent="0.2">
      <c r="G11944" s="199"/>
      <c r="I11944" s="199"/>
      <c r="K11944" s="199"/>
      <c r="M11944" s="199"/>
      <c r="N11944" s="200"/>
      <c r="P11944" s="199"/>
    </row>
    <row r="11945" spans="7:16" x14ac:dyDescent="0.2">
      <c r="G11945" s="199"/>
      <c r="I11945" s="199"/>
      <c r="K11945" s="199"/>
      <c r="M11945" s="199"/>
      <c r="N11945" s="200"/>
      <c r="P11945" s="199"/>
    </row>
    <row r="11946" spans="7:16" x14ac:dyDescent="0.2">
      <c r="G11946" s="199"/>
      <c r="I11946" s="199"/>
      <c r="K11946" s="199"/>
      <c r="M11946" s="199"/>
      <c r="N11946" s="200"/>
      <c r="P11946" s="199"/>
    </row>
    <row r="11947" spans="7:16" x14ac:dyDescent="0.2">
      <c r="G11947" s="199"/>
      <c r="I11947" s="199"/>
      <c r="K11947" s="199"/>
      <c r="M11947" s="199"/>
      <c r="N11947" s="200"/>
      <c r="P11947" s="199"/>
    </row>
    <row r="11948" spans="7:16" x14ac:dyDescent="0.2">
      <c r="G11948" s="199"/>
      <c r="I11948" s="199"/>
      <c r="K11948" s="199"/>
      <c r="M11948" s="199"/>
      <c r="N11948" s="200"/>
      <c r="P11948" s="199"/>
    </row>
    <row r="11949" spans="7:16" x14ac:dyDescent="0.2">
      <c r="G11949" s="199"/>
      <c r="I11949" s="199"/>
      <c r="K11949" s="199"/>
      <c r="M11949" s="199"/>
      <c r="N11949" s="200"/>
      <c r="P11949" s="199"/>
    </row>
    <row r="11950" spans="7:16" x14ac:dyDescent="0.2">
      <c r="G11950" s="199"/>
      <c r="I11950" s="199"/>
      <c r="K11950" s="199"/>
      <c r="M11950" s="199"/>
      <c r="N11950" s="200"/>
      <c r="P11950" s="199"/>
    </row>
    <row r="11951" spans="7:16" x14ac:dyDescent="0.2">
      <c r="G11951" s="199"/>
      <c r="I11951" s="199"/>
      <c r="K11951" s="199"/>
      <c r="M11951" s="199"/>
      <c r="N11951" s="200"/>
      <c r="P11951" s="199"/>
    </row>
    <row r="11952" spans="7:16" x14ac:dyDescent="0.2">
      <c r="G11952" s="199"/>
      <c r="I11952" s="199"/>
      <c r="K11952" s="199"/>
      <c r="M11952" s="199"/>
      <c r="N11952" s="200"/>
      <c r="P11952" s="199"/>
    </row>
    <row r="11953" spans="7:16" x14ac:dyDescent="0.2">
      <c r="G11953" s="199"/>
      <c r="I11953" s="199"/>
      <c r="K11953" s="199"/>
      <c r="M11953" s="199"/>
      <c r="N11953" s="200"/>
      <c r="P11953" s="199"/>
    </row>
    <row r="11954" spans="7:16" x14ac:dyDescent="0.2">
      <c r="G11954" s="199"/>
      <c r="I11954" s="199"/>
      <c r="K11954" s="199"/>
      <c r="M11954" s="199"/>
      <c r="N11954" s="200"/>
      <c r="P11954" s="199"/>
    </row>
    <row r="11955" spans="7:16" x14ac:dyDescent="0.2">
      <c r="G11955" s="199"/>
      <c r="I11955" s="199"/>
      <c r="K11955" s="199"/>
      <c r="M11955" s="199"/>
      <c r="N11955" s="200"/>
      <c r="P11955" s="199"/>
    </row>
    <row r="11956" spans="7:16" x14ac:dyDescent="0.2">
      <c r="G11956" s="199"/>
      <c r="I11956" s="199"/>
      <c r="K11956" s="199"/>
      <c r="M11956" s="199"/>
      <c r="N11956" s="200"/>
      <c r="P11956" s="199"/>
    </row>
    <row r="11957" spans="7:16" x14ac:dyDescent="0.2">
      <c r="G11957" s="199"/>
      <c r="I11957" s="199"/>
      <c r="K11957" s="199"/>
      <c r="M11957" s="199"/>
      <c r="N11957" s="200"/>
      <c r="P11957" s="199"/>
    </row>
    <row r="11958" spans="7:16" x14ac:dyDescent="0.2">
      <c r="G11958" s="199"/>
      <c r="I11958" s="199"/>
      <c r="K11958" s="199"/>
      <c r="M11958" s="199"/>
      <c r="N11958" s="200"/>
      <c r="P11958" s="199"/>
    </row>
    <row r="11959" spans="7:16" x14ac:dyDescent="0.2">
      <c r="G11959" s="199"/>
      <c r="I11959" s="199"/>
      <c r="K11959" s="199"/>
      <c r="M11959" s="199"/>
      <c r="N11959" s="200"/>
      <c r="P11959" s="199"/>
    </row>
    <row r="11960" spans="7:16" x14ac:dyDescent="0.2">
      <c r="G11960" s="199"/>
      <c r="I11960" s="199"/>
      <c r="K11960" s="199"/>
      <c r="M11960" s="199"/>
      <c r="N11960" s="200"/>
      <c r="P11960" s="199"/>
    </row>
    <row r="11961" spans="7:16" x14ac:dyDescent="0.2">
      <c r="G11961" s="199"/>
      <c r="I11961" s="199"/>
      <c r="K11961" s="199"/>
      <c r="M11961" s="199"/>
      <c r="N11961" s="200"/>
      <c r="P11961" s="199"/>
    </row>
    <row r="11962" spans="7:16" x14ac:dyDescent="0.2">
      <c r="G11962" s="199"/>
      <c r="I11962" s="199"/>
      <c r="K11962" s="199"/>
      <c r="M11962" s="199"/>
      <c r="N11962" s="200"/>
      <c r="P11962" s="199"/>
    </row>
    <row r="11963" spans="7:16" x14ac:dyDescent="0.2">
      <c r="G11963" s="199"/>
      <c r="I11963" s="199"/>
      <c r="K11963" s="199"/>
      <c r="M11963" s="199"/>
      <c r="N11963" s="200"/>
      <c r="P11963" s="199"/>
    </row>
    <row r="11964" spans="7:16" x14ac:dyDescent="0.2">
      <c r="G11964" s="199"/>
      <c r="I11964" s="199"/>
      <c r="K11964" s="199"/>
      <c r="M11964" s="199"/>
      <c r="N11964" s="200"/>
      <c r="P11964" s="199"/>
    </row>
    <row r="11965" spans="7:16" x14ac:dyDescent="0.2">
      <c r="G11965" s="199"/>
      <c r="I11965" s="199"/>
      <c r="K11965" s="199"/>
      <c r="M11965" s="199"/>
      <c r="N11965" s="200"/>
      <c r="P11965" s="199"/>
    </row>
    <row r="11966" spans="7:16" x14ac:dyDescent="0.2">
      <c r="G11966" s="199"/>
      <c r="I11966" s="199"/>
      <c r="K11966" s="199"/>
      <c r="M11966" s="199"/>
      <c r="N11966" s="200"/>
      <c r="P11966" s="199"/>
    </row>
    <row r="11967" spans="7:16" x14ac:dyDescent="0.2">
      <c r="G11967" s="199"/>
      <c r="I11967" s="199"/>
      <c r="K11967" s="199"/>
      <c r="M11967" s="199"/>
      <c r="N11967" s="200"/>
      <c r="P11967" s="199"/>
    </row>
    <row r="11968" spans="7:16" x14ac:dyDescent="0.2">
      <c r="G11968" s="199"/>
      <c r="I11968" s="199"/>
      <c r="K11968" s="199"/>
      <c r="M11968" s="199"/>
      <c r="N11968" s="200"/>
      <c r="P11968" s="199"/>
    </row>
    <row r="11969" spans="7:16" x14ac:dyDescent="0.2">
      <c r="G11969" s="199"/>
      <c r="I11969" s="199"/>
      <c r="K11969" s="199"/>
      <c r="M11969" s="199"/>
      <c r="N11969" s="200"/>
      <c r="P11969" s="199"/>
    </row>
    <row r="11970" spans="7:16" x14ac:dyDescent="0.2">
      <c r="G11970" s="199"/>
      <c r="I11970" s="199"/>
      <c r="K11970" s="199"/>
      <c r="M11970" s="199"/>
      <c r="N11970" s="200"/>
      <c r="P11970" s="199"/>
    </row>
    <row r="11971" spans="7:16" x14ac:dyDescent="0.2">
      <c r="G11971" s="199"/>
      <c r="I11971" s="199"/>
      <c r="K11971" s="199"/>
      <c r="M11971" s="199"/>
      <c r="N11971" s="200"/>
      <c r="P11971" s="199"/>
    </row>
    <row r="11972" spans="7:16" x14ac:dyDescent="0.2">
      <c r="G11972" s="199"/>
      <c r="I11972" s="199"/>
      <c r="K11972" s="199"/>
      <c r="M11972" s="199"/>
      <c r="N11972" s="200"/>
      <c r="P11972" s="199"/>
    </row>
    <row r="11973" spans="7:16" x14ac:dyDescent="0.2">
      <c r="G11973" s="199"/>
      <c r="I11973" s="199"/>
      <c r="K11973" s="199"/>
      <c r="M11973" s="199"/>
      <c r="N11973" s="200"/>
      <c r="P11973" s="199"/>
    </row>
    <row r="11974" spans="7:16" x14ac:dyDescent="0.2">
      <c r="G11974" s="199"/>
      <c r="I11974" s="199"/>
      <c r="K11974" s="199"/>
      <c r="M11974" s="199"/>
      <c r="N11974" s="200"/>
      <c r="P11974" s="199"/>
    </row>
    <row r="11975" spans="7:16" x14ac:dyDescent="0.2">
      <c r="G11975" s="199"/>
      <c r="I11975" s="199"/>
      <c r="K11975" s="199"/>
      <c r="M11975" s="199"/>
      <c r="N11975" s="200"/>
      <c r="P11975" s="199"/>
    </row>
    <row r="11976" spans="7:16" x14ac:dyDescent="0.2">
      <c r="G11976" s="199"/>
      <c r="I11976" s="199"/>
      <c r="K11976" s="199"/>
      <c r="M11976" s="199"/>
      <c r="N11976" s="200"/>
      <c r="P11976" s="199"/>
    </row>
    <row r="11977" spans="7:16" x14ac:dyDescent="0.2">
      <c r="G11977" s="199"/>
      <c r="I11977" s="199"/>
      <c r="K11977" s="199"/>
      <c r="M11977" s="199"/>
      <c r="N11977" s="200"/>
      <c r="P11977" s="199"/>
    </row>
    <row r="11978" spans="7:16" x14ac:dyDescent="0.2">
      <c r="G11978" s="199"/>
      <c r="I11978" s="199"/>
      <c r="K11978" s="199"/>
      <c r="M11978" s="199"/>
      <c r="N11978" s="200"/>
      <c r="P11978" s="199"/>
    </row>
    <row r="11979" spans="7:16" x14ac:dyDescent="0.2">
      <c r="G11979" s="199"/>
      <c r="I11979" s="199"/>
      <c r="K11979" s="199"/>
      <c r="M11979" s="199"/>
      <c r="N11979" s="200"/>
      <c r="P11979" s="199"/>
    </row>
    <row r="11980" spans="7:16" x14ac:dyDescent="0.2">
      <c r="G11980" s="199"/>
      <c r="I11980" s="199"/>
      <c r="K11980" s="199"/>
      <c r="M11980" s="199"/>
      <c r="N11980" s="200"/>
      <c r="P11980" s="199"/>
    </row>
    <row r="11981" spans="7:16" x14ac:dyDescent="0.2">
      <c r="G11981" s="199"/>
      <c r="I11981" s="199"/>
      <c r="K11981" s="199"/>
      <c r="M11981" s="199"/>
      <c r="N11981" s="200"/>
      <c r="P11981" s="199"/>
    </row>
    <row r="11982" spans="7:16" x14ac:dyDescent="0.2">
      <c r="G11982" s="199"/>
      <c r="I11982" s="199"/>
      <c r="K11982" s="199"/>
      <c r="M11982" s="199"/>
      <c r="N11982" s="200"/>
      <c r="P11982" s="199"/>
    </row>
    <row r="11983" spans="7:16" x14ac:dyDescent="0.2">
      <c r="G11983" s="199"/>
      <c r="I11983" s="199"/>
      <c r="K11983" s="199"/>
      <c r="M11983" s="199"/>
      <c r="N11983" s="200"/>
      <c r="P11983" s="199"/>
    </row>
    <row r="11984" spans="7:16" x14ac:dyDescent="0.2">
      <c r="G11984" s="199"/>
      <c r="I11984" s="199"/>
      <c r="K11984" s="199"/>
      <c r="M11984" s="199"/>
      <c r="N11984" s="200"/>
      <c r="P11984" s="199"/>
    </row>
    <row r="11985" spans="7:16" x14ac:dyDescent="0.2">
      <c r="G11985" s="199"/>
      <c r="I11985" s="199"/>
      <c r="K11985" s="199"/>
      <c r="M11985" s="199"/>
      <c r="N11985" s="200"/>
      <c r="P11985" s="199"/>
    </row>
    <row r="11986" spans="7:16" x14ac:dyDescent="0.2">
      <c r="G11986" s="199"/>
      <c r="I11986" s="199"/>
      <c r="K11986" s="199"/>
      <c r="M11986" s="199"/>
      <c r="N11986" s="200"/>
      <c r="P11986" s="199"/>
    </row>
    <row r="11987" spans="7:16" x14ac:dyDescent="0.2">
      <c r="G11987" s="199"/>
      <c r="I11987" s="199"/>
      <c r="K11987" s="199"/>
      <c r="M11987" s="199"/>
      <c r="N11987" s="200"/>
      <c r="P11987" s="199"/>
    </row>
    <row r="11988" spans="7:16" x14ac:dyDescent="0.2">
      <c r="G11988" s="199"/>
      <c r="I11988" s="199"/>
      <c r="K11988" s="199"/>
      <c r="M11988" s="199"/>
      <c r="N11988" s="200"/>
      <c r="P11988" s="199"/>
    </row>
    <row r="11989" spans="7:16" x14ac:dyDescent="0.2">
      <c r="G11989" s="199"/>
      <c r="I11989" s="199"/>
      <c r="K11989" s="199"/>
      <c r="M11989" s="199"/>
      <c r="N11989" s="200"/>
      <c r="P11989" s="199"/>
    </row>
    <row r="11990" spans="7:16" x14ac:dyDescent="0.2">
      <c r="G11990" s="199"/>
      <c r="I11990" s="199"/>
      <c r="K11990" s="199"/>
      <c r="M11990" s="199"/>
      <c r="N11990" s="200"/>
      <c r="P11990" s="199"/>
    </row>
    <row r="11991" spans="7:16" x14ac:dyDescent="0.2">
      <c r="G11991" s="199"/>
      <c r="I11991" s="199"/>
      <c r="K11991" s="199"/>
      <c r="M11991" s="199"/>
      <c r="N11991" s="200"/>
      <c r="P11991" s="199"/>
    </row>
    <row r="11992" spans="7:16" x14ac:dyDescent="0.2">
      <c r="G11992" s="199"/>
      <c r="I11992" s="199"/>
      <c r="K11992" s="199"/>
      <c r="M11992" s="199"/>
      <c r="N11992" s="200"/>
      <c r="P11992" s="199"/>
    </row>
    <row r="11993" spans="7:16" x14ac:dyDescent="0.2">
      <c r="G11993" s="199"/>
      <c r="I11993" s="199"/>
      <c r="K11993" s="199"/>
      <c r="M11993" s="199"/>
      <c r="N11993" s="200"/>
      <c r="P11993" s="199"/>
    </row>
    <row r="11994" spans="7:16" x14ac:dyDescent="0.2">
      <c r="G11994" s="199"/>
      <c r="I11994" s="199"/>
      <c r="K11994" s="199"/>
      <c r="M11994" s="199"/>
      <c r="N11994" s="200"/>
      <c r="P11994" s="199"/>
    </row>
    <row r="11995" spans="7:16" x14ac:dyDescent="0.2">
      <c r="G11995" s="199"/>
      <c r="I11995" s="199"/>
      <c r="K11995" s="199"/>
      <c r="M11995" s="199"/>
      <c r="N11995" s="200"/>
      <c r="P11995" s="199"/>
    </row>
    <row r="11996" spans="7:16" x14ac:dyDescent="0.2">
      <c r="G11996" s="199"/>
      <c r="I11996" s="199"/>
      <c r="K11996" s="199"/>
      <c r="M11996" s="199"/>
      <c r="N11996" s="200"/>
      <c r="P11996" s="199"/>
    </row>
    <row r="11997" spans="7:16" x14ac:dyDescent="0.2">
      <c r="G11997" s="199"/>
      <c r="I11997" s="199"/>
      <c r="K11997" s="199"/>
      <c r="M11997" s="199"/>
      <c r="N11997" s="200"/>
      <c r="P11997" s="199"/>
    </row>
    <row r="11998" spans="7:16" x14ac:dyDescent="0.2">
      <c r="G11998" s="199"/>
      <c r="I11998" s="199"/>
      <c r="K11998" s="199"/>
      <c r="M11998" s="199"/>
      <c r="N11998" s="200"/>
      <c r="P11998" s="199"/>
    </row>
    <row r="11999" spans="7:16" x14ac:dyDescent="0.2">
      <c r="G11999" s="199"/>
      <c r="I11999" s="199"/>
      <c r="K11999" s="199"/>
      <c r="M11999" s="199"/>
      <c r="N11999" s="200"/>
      <c r="P11999" s="199"/>
    </row>
    <row r="12000" spans="7:16" x14ac:dyDescent="0.2">
      <c r="G12000" s="199"/>
      <c r="I12000" s="199"/>
      <c r="K12000" s="199"/>
      <c r="M12000" s="199"/>
      <c r="N12000" s="200"/>
      <c r="P12000" s="199"/>
    </row>
    <row r="12001" spans="7:16" x14ac:dyDescent="0.2">
      <c r="G12001" s="199"/>
      <c r="I12001" s="199"/>
      <c r="K12001" s="199"/>
      <c r="M12001" s="199"/>
      <c r="N12001" s="200"/>
      <c r="P12001" s="199"/>
    </row>
    <row r="12002" spans="7:16" x14ac:dyDescent="0.2">
      <c r="G12002" s="199"/>
      <c r="I12002" s="199"/>
      <c r="K12002" s="199"/>
      <c r="M12002" s="199"/>
      <c r="N12002" s="200"/>
      <c r="P12002" s="199"/>
    </row>
    <row r="12003" spans="7:16" x14ac:dyDescent="0.2">
      <c r="G12003" s="199"/>
      <c r="I12003" s="199"/>
      <c r="K12003" s="199"/>
      <c r="M12003" s="199"/>
      <c r="N12003" s="200"/>
      <c r="P12003" s="199"/>
    </row>
    <row r="12004" spans="7:16" x14ac:dyDescent="0.2">
      <c r="G12004" s="199"/>
      <c r="I12004" s="199"/>
      <c r="K12004" s="199"/>
      <c r="M12004" s="199"/>
      <c r="N12004" s="200"/>
      <c r="P12004" s="199"/>
    </row>
    <row r="12005" spans="7:16" x14ac:dyDescent="0.2">
      <c r="G12005" s="199"/>
      <c r="I12005" s="199"/>
      <c r="K12005" s="199"/>
      <c r="M12005" s="199"/>
      <c r="N12005" s="200"/>
      <c r="P12005" s="199"/>
    </row>
    <row r="12006" spans="7:16" x14ac:dyDescent="0.2">
      <c r="G12006" s="199"/>
      <c r="I12006" s="199"/>
      <c r="K12006" s="199"/>
      <c r="M12006" s="199"/>
      <c r="N12006" s="200"/>
      <c r="P12006" s="199"/>
    </row>
    <row r="12007" spans="7:16" x14ac:dyDescent="0.2">
      <c r="G12007" s="199"/>
      <c r="I12007" s="199"/>
      <c r="K12007" s="199"/>
      <c r="M12007" s="199"/>
      <c r="N12007" s="200"/>
      <c r="P12007" s="199"/>
    </row>
    <row r="12008" spans="7:16" x14ac:dyDescent="0.2">
      <c r="G12008" s="199"/>
      <c r="I12008" s="199"/>
      <c r="K12008" s="199"/>
      <c r="M12008" s="199"/>
      <c r="N12008" s="200"/>
      <c r="P12008" s="199"/>
    </row>
    <row r="12009" spans="7:16" x14ac:dyDescent="0.2">
      <c r="G12009" s="199"/>
      <c r="I12009" s="199"/>
      <c r="K12009" s="199"/>
      <c r="M12009" s="199"/>
      <c r="N12009" s="200"/>
      <c r="P12009" s="199"/>
    </row>
    <row r="12010" spans="7:16" x14ac:dyDescent="0.2">
      <c r="G12010" s="199"/>
      <c r="I12010" s="199"/>
      <c r="K12010" s="199"/>
      <c r="M12010" s="199"/>
      <c r="N12010" s="200"/>
      <c r="P12010" s="199"/>
    </row>
    <row r="12011" spans="7:16" x14ac:dyDescent="0.2">
      <c r="G12011" s="199"/>
      <c r="I12011" s="199"/>
      <c r="K12011" s="199"/>
      <c r="M12011" s="199"/>
      <c r="N12011" s="200"/>
      <c r="P12011" s="199"/>
    </row>
    <row r="12012" spans="7:16" x14ac:dyDescent="0.2">
      <c r="G12012" s="199"/>
      <c r="I12012" s="199"/>
      <c r="K12012" s="199"/>
      <c r="M12012" s="199"/>
      <c r="N12012" s="200"/>
      <c r="P12012" s="199"/>
    </row>
    <row r="12013" spans="7:16" x14ac:dyDescent="0.2">
      <c r="G12013" s="199"/>
      <c r="I12013" s="199"/>
      <c r="K12013" s="199"/>
      <c r="M12013" s="199"/>
      <c r="N12013" s="200"/>
      <c r="P12013" s="199"/>
    </row>
    <row r="12014" spans="7:16" x14ac:dyDescent="0.2">
      <c r="G12014" s="199"/>
      <c r="I12014" s="199"/>
      <c r="K12014" s="199"/>
      <c r="M12014" s="199"/>
      <c r="N12014" s="200"/>
      <c r="P12014" s="199"/>
    </row>
    <row r="12015" spans="7:16" x14ac:dyDescent="0.2">
      <c r="G12015" s="199"/>
      <c r="I12015" s="199"/>
      <c r="K12015" s="199"/>
      <c r="M12015" s="199"/>
      <c r="N12015" s="200"/>
      <c r="P12015" s="199"/>
    </row>
    <row r="12016" spans="7:16" x14ac:dyDescent="0.2">
      <c r="G12016" s="199"/>
      <c r="I12016" s="199"/>
      <c r="K12016" s="199"/>
      <c r="M12016" s="199"/>
      <c r="N12016" s="200"/>
      <c r="P12016" s="199"/>
    </row>
    <row r="12017" spans="7:16" x14ac:dyDescent="0.2">
      <c r="G12017" s="199"/>
      <c r="I12017" s="199"/>
      <c r="K12017" s="199"/>
      <c r="M12017" s="199"/>
      <c r="N12017" s="200"/>
      <c r="P12017" s="199"/>
    </row>
    <row r="12018" spans="7:16" x14ac:dyDescent="0.2">
      <c r="G12018" s="199"/>
      <c r="I12018" s="199"/>
      <c r="K12018" s="199"/>
      <c r="M12018" s="199"/>
      <c r="N12018" s="200"/>
      <c r="P12018" s="199"/>
    </row>
    <row r="12019" spans="7:16" x14ac:dyDescent="0.2">
      <c r="G12019" s="199"/>
      <c r="I12019" s="199"/>
      <c r="K12019" s="199"/>
      <c r="M12019" s="199"/>
      <c r="N12019" s="200"/>
      <c r="P12019" s="199"/>
    </row>
    <row r="12020" spans="7:16" x14ac:dyDescent="0.2">
      <c r="G12020" s="199"/>
      <c r="I12020" s="199"/>
      <c r="K12020" s="199"/>
      <c r="M12020" s="199"/>
      <c r="N12020" s="200"/>
      <c r="P12020" s="199"/>
    </row>
    <row r="12021" spans="7:16" x14ac:dyDescent="0.2">
      <c r="G12021" s="199"/>
      <c r="I12021" s="199"/>
      <c r="K12021" s="199"/>
      <c r="M12021" s="199"/>
      <c r="N12021" s="200"/>
      <c r="P12021" s="199"/>
    </row>
    <row r="12022" spans="7:16" x14ac:dyDescent="0.2">
      <c r="G12022" s="199"/>
      <c r="I12022" s="199"/>
      <c r="K12022" s="199"/>
      <c r="M12022" s="199"/>
      <c r="N12022" s="200"/>
      <c r="P12022" s="199"/>
    </row>
    <row r="12023" spans="7:16" x14ac:dyDescent="0.2">
      <c r="G12023" s="199"/>
      <c r="I12023" s="199"/>
      <c r="K12023" s="199"/>
      <c r="M12023" s="199"/>
      <c r="N12023" s="200"/>
      <c r="P12023" s="199"/>
    </row>
    <row r="12024" spans="7:16" x14ac:dyDescent="0.2">
      <c r="G12024" s="199"/>
      <c r="I12024" s="199"/>
      <c r="K12024" s="199"/>
      <c r="M12024" s="199"/>
      <c r="N12024" s="200"/>
      <c r="P12024" s="199"/>
    </row>
    <row r="12025" spans="7:16" x14ac:dyDescent="0.2">
      <c r="G12025" s="199"/>
      <c r="I12025" s="199"/>
      <c r="K12025" s="199"/>
      <c r="M12025" s="199"/>
      <c r="N12025" s="200"/>
      <c r="P12025" s="199"/>
    </row>
    <row r="12026" spans="7:16" x14ac:dyDescent="0.2">
      <c r="G12026" s="199"/>
      <c r="I12026" s="199"/>
      <c r="K12026" s="199"/>
      <c r="M12026" s="199"/>
      <c r="N12026" s="200"/>
      <c r="P12026" s="199"/>
    </row>
    <row r="12027" spans="7:16" x14ac:dyDescent="0.2">
      <c r="G12027" s="199"/>
      <c r="I12027" s="199"/>
      <c r="K12027" s="199"/>
      <c r="M12027" s="199"/>
      <c r="N12027" s="200"/>
      <c r="P12027" s="199"/>
    </row>
    <row r="12028" spans="7:16" x14ac:dyDescent="0.2">
      <c r="G12028" s="199"/>
      <c r="I12028" s="199"/>
      <c r="K12028" s="199"/>
      <c r="M12028" s="199"/>
      <c r="N12028" s="200"/>
      <c r="P12028" s="199"/>
    </row>
    <row r="12029" spans="7:16" x14ac:dyDescent="0.2">
      <c r="G12029" s="199"/>
      <c r="I12029" s="199"/>
      <c r="K12029" s="199"/>
      <c r="M12029" s="199"/>
      <c r="N12029" s="200"/>
      <c r="P12029" s="199"/>
    </row>
    <row r="12030" spans="7:16" x14ac:dyDescent="0.2">
      <c r="G12030" s="199"/>
      <c r="I12030" s="199"/>
      <c r="K12030" s="199"/>
      <c r="M12030" s="199"/>
      <c r="N12030" s="200"/>
      <c r="P12030" s="199"/>
    </row>
    <row r="12031" spans="7:16" x14ac:dyDescent="0.2">
      <c r="G12031" s="199"/>
      <c r="I12031" s="199"/>
      <c r="K12031" s="199"/>
      <c r="M12031" s="199"/>
      <c r="N12031" s="200"/>
      <c r="P12031" s="199"/>
    </row>
    <row r="12032" spans="7:16" x14ac:dyDescent="0.2">
      <c r="G12032" s="199"/>
      <c r="I12032" s="199"/>
      <c r="K12032" s="199"/>
      <c r="M12032" s="199"/>
      <c r="N12032" s="200"/>
      <c r="P12032" s="199"/>
    </row>
    <row r="12033" spans="7:16" x14ac:dyDescent="0.2">
      <c r="G12033" s="199"/>
      <c r="I12033" s="199"/>
      <c r="K12033" s="199"/>
      <c r="M12033" s="199"/>
      <c r="N12033" s="200"/>
      <c r="P12033" s="199"/>
    </row>
    <row r="12034" spans="7:16" x14ac:dyDescent="0.2">
      <c r="G12034" s="199"/>
      <c r="I12034" s="199"/>
      <c r="K12034" s="199"/>
      <c r="M12034" s="199"/>
      <c r="N12034" s="200"/>
      <c r="P12034" s="199"/>
    </row>
    <row r="12035" spans="7:16" x14ac:dyDescent="0.2">
      <c r="G12035" s="199"/>
      <c r="I12035" s="199"/>
      <c r="K12035" s="199"/>
      <c r="M12035" s="199"/>
      <c r="N12035" s="200"/>
      <c r="P12035" s="199"/>
    </row>
    <row r="12036" spans="7:16" x14ac:dyDescent="0.2">
      <c r="G12036" s="199"/>
      <c r="I12036" s="199"/>
      <c r="K12036" s="199"/>
      <c r="M12036" s="199"/>
      <c r="N12036" s="200"/>
      <c r="P12036" s="199"/>
    </row>
    <row r="12037" spans="7:16" x14ac:dyDescent="0.2">
      <c r="G12037" s="199"/>
      <c r="I12037" s="199"/>
      <c r="K12037" s="199"/>
      <c r="M12037" s="199"/>
      <c r="N12037" s="200"/>
      <c r="P12037" s="199"/>
    </row>
    <row r="12038" spans="7:16" x14ac:dyDescent="0.2">
      <c r="G12038" s="199"/>
      <c r="I12038" s="199"/>
      <c r="K12038" s="199"/>
      <c r="M12038" s="199"/>
      <c r="N12038" s="200"/>
      <c r="P12038" s="199"/>
    </row>
    <row r="12039" spans="7:16" x14ac:dyDescent="0.2">
      <c r="G12039" s="199"/>
      <c r="I12039" s="199"/>
      <c r="K12039" s="199"/>
      <c r="M12039" s="199"/>
      <c r="N12039" s="200"/>
      <c r="P12039" s="199"/>
    </row>
    <row r="12040" spans="7:16" x14ac:dyDescent="0.2">
      <c r="G12040" s="199"/>
      <c r="I12040" s="199"/>
      <c r="K12040" s="199"/>
      <c r="M12040" s="199"/>
      <c r="N12040" s="200"/>
      <c r="P12040" s="199"/>
    </row>
    <row r="12041" spans="7:16" x14ac:dyDescent="0.2">
      <c r="G12041" s="199"/>
      <c r="I12041" s="199"/>
      <c r="K12041" s="199"/>
      <c r="M12041" s="199"/>
      <c r="N12041" s="200"/>
      <c r="P12041" s="199"/>
    </row>
    <row r="12042" spans="7:16" x14ac:dyDescent="0.2">
      <c r="G12042" s="199"/>
      <c r="I12042" s="199"/>
      <c r="K12042" s="199"/>
      <c r="M12042" s="199"/>
      <c r="N12042" s="200"/>
      <c r="P12042" s="199"/>
    </row>
    <row r="12043" spans="7:16" x14ac:dyDescent="0.2">
      <c r="G12043" s="199"/>
      <c r="I12043" s="199"/>
      <c r="K12043" s="199"/>
      <c r="M12043" s="199"/>
      <c r="N12043" s="200"/>
      <c r="P12043" s="199"/>
    </row>
    <row r="12044" spans="7:16" x14ac:dyDescent="0.2">
      <c r="G12044" s="199"/>
      <c r="I12044" s="199"/>
      <c r="K12044" s="199"/>
      <c r="M12044" s="199"/>
      <c r="N12044" s="200"/>
      <c r="P12044" s="199"/>
    </row>
    <row r="12045" spans="7:16" x14ac:dyDescent="0.2">
      <c r="G12045" s="199"/>
      <c r="I12045" s="199"/>
      <c r="K12045" s="199"/>
      <c r="M12045" s="199"/>
      <c r="N12045" s="200"/>
      <c r="P12045" s="199"/>
    </row>
    <row r="12046" spans="7:16" x14ac:dyDescent="0.2">
      <c r="G12046" s="199"/>
      <c r="I12046" s="199"/>
      <c r="K12046" s="199"/>
      <c r="M12046" s="199"/>
      <c r="N12046" s="200"/>
      <c r="P12046" s="199"/>
    </row>
    <row r="12047" spans="7:16" x14ac:dyDescent="0.2">
      <c r="G12047" s="199"/>
      <c r="I12047" s="199"/>
      <c r="K12047" s="199"/>
      <c r="M12047" s="199"/>
      <c r="N12047" s="200"/>
      <c r="P12047" s="199"/>
    </row>
    <row r="12048" spans="7:16" x14ac:dyDescent="0.2">
      <c r="G12048" s="199"/>
      <c r="I12048" s="199"/>
      <c r="K12048" s="199"/>
      <c r="M12048" s="199"/>
      <c r="N12048" s="200"/>
      <c r="P12048" s="199"/>
    </row>
    <row r="12049" spans="7:16" x14ac:dyDescent="0.2">
      <c r="G12049" s="199"/>
      <c r="I12049" s="199"/>
      <c r="K12049" s="199"/>
      <c r="M12049" s="199"/>
      <c r="N12049" s="200"/>
      <c r="P12049" s="199"/>
    </row>
    <row r="12050" spans="7:16" x14ac:dyDescent="0.2">
      <c r="G12050" s="199"/>
      <c r="I12050" s="199"/>
      <c r="K12050" s="199"/>
      <c r="M12050" s="199"/>
      <c r="N12050" s="200"/>
      <c r="P12050" s="199"/>
    </row>
    <row r="12051" spans="7:16" x14ac:dyDescent="0.2">
      <c r="G12051" s="199"/>
      <c r="I12051" s="199"/>
      <c r="K12051" s="199"/>
      <c r="M12051" s="199"/>
      <c r="N12051" s="200"/>
      <c r="P12051" s="199"/>
    </row>
    <row r="12052" spans="7:16" x14ac:dyDescent="0.2">
      <c r="G12052" s="199"/>
      <c r="I12052" s="199"/>
      <c r="K12052" s="199"/>
      <c r="M12052" s="199"/>
      <c r="N12052" s="200"/>
      <c r="P12052" s="199"/>
    </row>
    <row r="12053" spans="7:16" x14ac:dyDescent="0.2">
      <c r="G12053" s="199"/>
      <c r="I12053" s="199"/>
      <c r="K12053" s="199"/>
      <c r="M12053" s="199"/>
      <c r="N12053" s="200"/>
      <c r="P12053" s="199"/>
    </row>
    <row r="12054" spans="7:16" x14ac:dyDescent="0.2">
      <c r="G12054" s="199"/>
      <c r="I12054" s="199"/>
      <c r="K12054" s="199"/>
      <c r="M12054" s="199"/>
      <c r="N12054" s="200"/>
      <c r="P12054" s="199"/>
    </row>
    <row r="12055" spans="7:16" x14ac:dyDescent="0.2">
      <c r="G12055" s="199"/>
      <c r="I12055" s="199"/>
      <c r="K12055" s="199"/>
      <c r="M12055" s="199"/>
      <c r="N12055" s="200"/>
      <c r="P12055" s="199"/>
    </row>
    <row r="12056" spans="7:16" x14ac:dyDescent="0.2">
      <c r="G12056" s="199"/>
      <c r="I12056" s="199"/>
      <c r="K12056" s="199"/>
      <c r="M12056" s="199"/>
      <c r="N12056" s="200"/>
      <c r="P12056" s="199"/>
    </row>
    <row r="12057" spans="7:16" x14ac:dyDescent="0.2">
      <c r="G12057" s="199"/>
      <c r="I12057" s="199"/>
      <c r="K12057" s="199"/>
      <c r="M12057" s="199"/>
      <c r="N12057" s="200"/>
      <c r="P12057" s="199"/>
    </row>
    <row r="12058" spans="7:16" x14ac:dyDescent="0.2">
      <c r="G12058" s="199"/>
      <c r="I12058" s="199"/>
      <c r="K12058" s="199"/>
      <c r="M12058" s="199"/>
      <c r="N12058" s="200"/>
      <c r="P12058" s="199"/>
    </row>
    <row r="12059" spans="7:16" x14ac:dyDescent="0.2">
      <c r="G12059" s="199"/>
      <c r="I12059" s="199"/>
      <c r="K12059" s="199"/>
      <c r="M12059" s="199"/>
      <c r="N12059" s="200"/>
      <c r="P12059" s="199"/>
    </row>
    <row r="12060" spans="7:16" x14ac:dyDescent="0.2">
      <c r="G12060" s="199"/>
      <c r="I12060" s="199"/>
      <c r="K12060" s="199"/>
      <c r="M12060" s="199"/>
      <c r="N12060" s="200"/>
      <c r="P12060" s="199"/>
    </row>
    <row r="12061" spans="7:16" x14ac:dyDescent="0.2">
      <c r="G12061" s="199"/>
      <c r="I12061" s="199"/>
      <c r="K12061" s="199"/>
      <c r="M12061" s="199"/>
      <c r="N12061" s="200"/>
      <c r="P12061" s="199"/>
    </row>
    <row r="12062" spans="7:16" x14ac:dyDescent="0.2">
      <c r="G12062" s="199"/>
      <c r="I12062" s="199"/>
      <c r="K12062" s="199"/>
      <c r="M12062" s="199"/>
      <c r="N12062" s="200"/>
      <c r="P12062" s="199"/>
    </row>
    <row r="12063" spans="7:16" x14ac:dyDescent="0.2">
      <c r="G12063" s="199"/>
      <c r="I12063" s="199"/>
      <c r="K12063" s="199"/>
      <c r="M12063" s="199"/>
      <c r="N12063" s="200"/>
      <c r="P12063" s="199"/>
    </row>
    <row r="12064" spans="7:16" x14ac:dyDescent="0.2">
      <c r="G12064" s="199"/>
      <c r="I12064" s="199"/>
      <c r="K12064" s="199"/>
      <c r="M12064" s="199"/>
      <c r="N12064" s="200"/>
      <c r="P12064" s="199"/>
    </row>
    <row r="12065" spans="7:16" x14ac:dyDescent="0.2">
      <c r="G12065" s="199"/>
      <c r="I12065" s="199"/>
      <c r="K12065" s="199"/>
      <c r="M12065" s="199"/>
      <c r="N12065" s="200"/>
      <c r="P12065" s="199"/>
    </row>
    <row r="12066" spans="7:16" x14ac:dyDescent="0.2">
      <c r="G12066" s="199"/>
      <c r="I12066" s="199"/>
      <c r="K12066" s="199"/>
      <c r="M12066" s="199"/>
      <c r="N12066" s="200"/>
      <c r="P12066" s="199"/>
    </row>
    <row r="12067" spans="7:16" x14ac:dyDescent="0.2">
      <c r="G12067" s="199"/>
      <c r="I12067" s="199"/>
      <c r="K12067" s="199"/>
      <c r="M12067" s="199"/>
      <c r="N12067" s="200"/>
      <c r="P12067" s="199"/>
    </row>
    <row r="12068" spans="7:16" x14ac:dyDescent="0.2">
      <c r="G12068" s="199"/>
      <c r="I12068" s="199"/>
      <c r="K12068" s="199"/>
      <c r="M12068" s="199"/>
      <c r="N12068" s="200"/>
      <c r="P12068" s="199"/>
    </row>
    <row r="12069" spans="7:16" x14ac:dyDescent="0.2">
      <c r="G12069" s="199"/>
      <c r="I12069" s="199"/>
      <c r="K12069" s="199"/>
      <c r="M12069" s="199"/>
      <c r="N12069" s="200"/>
      <c r="P12069" s="199"/>
    </row>
    <row r="12070" spans="7:16" x14ac:dyDescent="0.2">
      <c r="G12070" s="199"/>
      <c r="I12070" s="199"/>
      <c r="K12070" s="199"/>
      <c r="M12070" s="199"/>
      <c r="N12070" s="200"/>
      <c r="P12070" s="199"/>
    </row>
    <row r="12071" spans="7:16" x14ac:dyDescent="0.2">
      <c r="G12071" s="199"/>
      <c r="I12071" s="199"/>
      <c r="K12071" s="199"/>
      <c r="M12071" s="199"/>
      <c r="N12071" s="200"/>
      <c r="P12071" s="199"/>
    </row>
    <row r="12072" spans="7:16" x14ac:dyDescent="0.2">
      <c r="G12072" s="199"/>
      <c r="I12072" s="199"/>
      <c r="K12072" s="199"/>
      <c r="M12072" s="199"/>
      <c r="N12072" s="200"/>
      <c r="P12072" s="199"/>
    </row>
    <row r="12073" spans="7:16" x14ac:dyDescent="0.2">
      <c r="G12073" s="199"/>
      <c r="I12073" s="199"/>
      <c r="K12073" s="199"/>
      <c r="M12073" s="199"/>
      <c r="N12073" s="200"/>
      <c r="P12073" s="199"/>
    </row>
    <row r="12074" spans="7:16" x14ac:dyDescent="0.2">
      <c r="G12074" s="199"/>
      <c r="I12074" s="199"/>
      <c r="K12074" s="199"/>
      <c r="M12074" s="199"/>
      <c r="N12074" s="200"/>
      <c r="P12074" s="199"/>
    </row>
    <row r="12075" spans="7:16" x14ac:dyDescent="0.2">
      <c r="G12075" s="199"/>
      <c r="I12075" s="199"/>
      <c r="K12075" s="199"/>
      <c r="M12075" s="199"/>
      <c r="N12075" s="200"/>
      <c r="P12075" s="199"/>
    </row>
    <row r="12076" spans="7:16" x14ac:dyDescent="0.2">
      <c r="G12076" s="199"/>
      <c r="I12076" s="199"/>
      <c r="K12076" s="199"/>
      <c r="M12076" s="199"/>
      <c r="N12076" s="200"/>
      <c r="P12076" s="199"/>
    </row>
    <row r="12077" spans="7:16" x14ac:dyDescent="0.2">
      <c r="G12077" s="199"/>
      <c r="I12077" s="199"/>
      <c r="K12077" s="199"/>
      <c r="M12077" s="199"/>
      <c r="N12077" s="200"/>
      <c r="P12077" s="199"/>
    </row>
    <row r="12078" spans="7:16" x14ac:dyDescent="0.2">
      <c r="G12078" s="199"/>
      <c r="I12078" s="199"/>
      <c r="K12078" s="199"/>
      <c r="M12078" s="199"/>
      <c r="N12078" s="200"/>
      <c r="P12078" s="199"/>
    </row>
    <row r="12079" spans="7:16" x14ac:dyDescent="0.2">
      <c r="G12079" s="199"/>
      <c r="I12079" s="199"/>
      <c r="K12079" s="199"/>
      <c r="M12079" s="199"/>
      <c r="N12079" s="200"/>
      <c r="P12079" s="199"/>
    </row>
    <row r="12080" spans="7:16" x14ac:dyDescent="0.2">
      <c r="G12080" s="199"/>
      <c r="I12080" s="199"/>
      <c r="K12080" s="199"/>
      <c r="M12080" s="199"/>
      <c r="N12080" s="200"/>
      <c r="P12080" s="199"/>
    </row>
    <row r="12081" spans="7:16" x14ac:dyDescent="0.2">
      <c r="G12081" s="199"/>
      <c r="I12081" s="199"/>
      <c r="K12081" s="199"/>
      <c r="M12081" s="199"/>
      <c r="N12081" s="200"/>
      <c r="P12081" s="199"/>
    </row>
    <row r="12082" spans="7:16" x14ac:dyDescent="0.2">
      <c r="G12082" s="199"/>
      <c r="I12082" s="199"/>
      <c r="K12082" s="199"/>
      <c r="M12082" s="199"/>
      <c r="N12082" s="200"/>
      <c r="P12082" s="199"/>
    </row>
    <row r="12083" spans="7:16" x14ac:dyDescent="0.2">
      <c r="G12083" s="199"/>
      <c r="I12083" s="199"/>
      <c r="K12083" s="199"/>
      <c r="M12083" s="199"/>
      <c r="N12083" s="200"/>
      <c r="P12083" s="199"/>
    </row>
    <row r="12084" spans="7:16" x14ac:dyDescent="0.2">
      <c r="G12084" s="199"/>
      <c r="I12084" s="199"/>
      <c r="K12084" s="199"/>
      <c r="M12084" s="199"/>
      <c r="N12084" s="200"/>
      <c r="P12084" s="199"/>
    </row>
    <row r="12085" spans="7:16" x14ac:dyDescent="0.2">
      <c r="G12085" s="199"/>
      <c r="I12085" s="199"/>
      <c r="K12085" s="199"/>
      <c r="M12085" s="199"/>
      <c r="N12085" s="200"/>
      <c r="P12085" s="199"/>
    </row>
    <row r="12086" spans="7:16" x14ac:dyDescent="0.2">
      <c r="G12086" s="199"/>
      <c r="I12086" s="199"/>
      <c r="K12086" s="199"/>
      <c r="M12086" s="199"/>
      <c r="N12086" s="200"/>
      <c r="P12086" s="199"/>
    </row>
    <row r="12087" spans="7:16" x14ac:dyDescent="0.2">
      <c r="G12087" s="199"/>
      <c r="I12087" s="199"/>
      <c r="K12087" s="199"/>
      <c r="M12087" s="199"/>
      <c r="N12087" s="200"/>
      <c r="P12087" s="199"/>
    </row>
    <row r="12088" spans="7:16" x14ac:dyDescent="0.2">
      <c r="G12088" s="199"/>
      <c r="I12088" s="199"/>
      <c r="K12088" s="199"/>
      <c r="M12088" s="199"/>
      <c r="N12088" s="200"/>
      <c r="P12088" s="199"/>
    </row>
    <row r="12089" spans="7:16" x14ac:dyDescent="0.2">
      <c r="G12089" s="199"/>
      <c r="I12089" s="199"/>
      <c r="K12089" s="199"/>
      <c r="M12089" s="199"/>
      <c r="N12089" s="200"/>
      <c r="P12089" s="199"/>
    </row>
    <row r="12090" spans="7:16" x14ac:dyDescent="0.2">
      <c r="G12090" s="199"/>
      <c r="I12090" s="199"/>
      <c r="K12090" s="199"/>
      <c r="M12090" s="199"/>
      <c r="N12090" s="200"/>
      <c r="P12090" s="199"/>
    </row>
    <row r="12091" spans="7:16" x14ac:dyDescent="0.2">
      <c r="G12091" s="199"/>
      <c r="I12091" s="199"/>
      <c r="K12091" s="199"/>
      <c r="M12091" s="199"/>
      <c r="N12091" s="200"/>
      <c r="P12091" s="199"/>
    </row>
    <row r="12092" spans="7:16" x14ac:dyDescent="0.2">
      <c r="G12092" s="199"/>
      <c r="I12092" s="199"/>
      <c r="K12092" s="199"/>
      <c r="M12092" s="199"/>
      <c r="N12092" s="200"/>
      <c r="P12092" s="199"/>
    </row>
    <row r="12093" spans="7:16" x14ac:dyDescent="0.2">
      <c r="G12093" s="199"/>
      <c r="I12093" s="199"/>
      <c r="K12093" s="199"/>
      <c r="M12093" s="199"/>
      <c r="N12093" s="200"/>
      <c r="P12093" s="199"/>
    </row>
    <row r="12094" spans="7:16" x14ac:dyDescent="0.2">
      <c r="G12094" s="199"/>
      <c r="I12094" s="199"/>
      <c r="K12094" s="199"/>
      <c r="M12094" s="199"/>
      <c r="N12094" s="200"/>
      <c r="P12094" s="199"/>
    </row>
    <row r="12095" spans="7:16" x14ac:dyDescent="0.2">
      <c r="G12095" s="199"/>
      <c r="I12095" s="199"/>
      <c r="K12095" s="199"/>
      <c r="M12095" s="199"/>
      <c r="N12095" s="200"/>
      <c r="P12095" s="199"/>
    </row>
    <row r="12096" spans="7:16" x14ac:dyDescent="0.2">
      <c r="G12096" s="199"/>
      <c r="I12096" s="199"/>
      <c r="K12096" s="199"/>
      <c r="M12096" s="199"/>
      <c r="N12096" s="200"/>
      <c r="P12096" s="199"/>
    </row>
    <row r="12097" spans="7:16" x14ac:dyDescent="0.2">
      <c r="G12097" s="199"/>
      <c r="I12097" s="199"/>
      <c r="K12097" s="199"/>
      <c r="M12097" s="199"/>
      <c r="N12097" s="200"/>
      <c r="P12097" s="199"/>
    </row>
    <row r="12098" spans="7:16" x14ac:dyDescent="0.2">
      <c r="G12098" s="199"/>
      <c r="I12098" s="199"/>
      <c r="K12098" s="199"/>
      <c r="M12098" s="199"/>
      <c r="N12098" s="200"/>
      <c r="P12098" s="199"/>
    </row>
    <row r="12099" spans="7:16" x14ac:dyDescent="0.2">
      <c r="G12099" s="199"/>
      <c r="I12099" s="199"/>
      <c r="K12099" s="199"/>
      <c r="M12099" s="199"/>
      <c r="N12099" s="200"/>
      <c r="P12099" s="199"/>
    </row>
    <row r="12100" spans="7:16" x14ac:dyDescent="0.2">
      <c r="G12100" s="199"/>
      <c r="I12100" s="199"/>
      <c r="K12100" s="199"/>
      <c r="M12100" s="199"/>
      <c r="N12100" s="200"/>
      <c r="P12100" s="199"/>
    </row>
    <row r="12101" spans="7:16" x14ac:dyDescent="0.2">
      <c r="G12101" s="199"/>
      <c r="I12101" s="199"/>
      <c r="K12101" s="199"/>
      <c r="M12101" s="199"/>
      <c r="N12101" s="200"/>
      <c r="P12101" s="199"/>
    </row>
    <row r="12102" spans="7:16" x14ac:dyDescent="0.2">
      <c r="G12102" s="199"/>
      <c r="I12102" s="199"/>
      <c r="K12102" s="199"/>
      <c r="M12102" s="199"/>
      <c r="N12102" s="200"/>
      <c r="P12102" s="199"/>
    </row>
    <row r="12103" spans="7:16" x14ac:dyDescent="0.2">
      <c r="G12103" s="199"/>
      <c r="I12103" s="199"/>
      <c r="K12103" s="199"/>
      <c r="M12103" s="199"/>
      <c r="N12103" s="200"/>
      <c r="P12103" s="199"/>
    </row>
    <row r="12104" spans="7:16" x14ac:dyDescent="0.2">
      <c r="G12104" s="199"/>
      <c r="I12104" s="199"/>
      <c r="K12104" s="199"/>
      <c r="M12104" s="199"/>
      <c r="N12104" s="200"/>
      <c r="P12104" s="199"/>
    </row>
    <row r="12105" spans="7:16" x14ac:dyDescent="0.2">
      <c r="G12105" s="199"/>
      <c r="I12105" s="199"/>
      <c r="K12105" s="199"/>
      <c r="M12105" s="199"/>
      <c r="N12105" s="200"/>
      <c r="P12105" s="199"/>
    </row>
    <row r="12106" spans="7:16" x14ac:dyDescent="0.2">
      <c r="G12106" s="199"/>
      <c r="I12106" s="199"/>
      <c r="K12106" s="199"/>
      <c r="M12106" s="199"/>
      <c r="N12106" s="200"/>
      <c r="P12106" s="199"/>
    </row>
    <row r="12107" spans="7:16" x14ac:dyDescent="0.2">
      <c r="G12107" s="199"/>
      <c r="I12107" s="199"/>
      <c r="K12107" s="199"/>
      <c r="M12107" s="199"/>
      <c r="N12107" s="200"/>
      <c r="P12107" s="199"/>
    </row>
    <row r="12108" spans="7:16" x14ac:dyDescent="0.2">
      <c r="G12108" s="199"/>
      <c r="I12108" s="199"/>
      <c r="K12108" s="199"/>
      <c r="M12108" s="199"/>
      <c r="N12108" s="200"/>
      <c r="P12108" s="199"/>
    </row>
    <row r="12109" spans="7:16" x14ac:dyDescent="0.2">
      <c r="G12109" s="199"/>
      <c r="I12109" s="199"/>
      <c r="K12109" s="199"/>
      <c r="M12109" s="199"/>
      <c r="N12109" s="200"/>
      <c r="P12109" s="199"/>
    </row>
    <row r="12110" spans="7:16" x14ac:dyDescent="0.2">
      <c r="G12110" s="199"/>
      <c r="I12110" s="199"/>
      <c r="K12110" s="199"/>
      <c r="M12110" s="199"/>
      <c r="N12110" s="200"/>
      <c r="P12110" s="199"/>
    </row>
    <row r="12111" spans="7:16" x14ac:dyDescent="0.2">
      <c r="G12111" s="199"/>
      <c r="I12111" s="199"/>
      <c r="K12111" s="199"/>
      <c r="M12111" s="199"/>
      <c r="N12111" s="200"/>
      <c r="P12111" s="199"/>
    </row>
    <row r="12112" spans="7:16" x14ac:dyDescent="0.2">
      <c r="G12112" s="199"/>
      <c r="I12112" s="199"/>
      <c r="K12112" s="199"/>
      <c r="M12112" s="199"/>
      <c r="N12112" s="200"/>
      <c r="P12112" s="199"/>
    </row>
    <row r="12113" spans="7:16" x14ac:dyDescent="0.2">
      <c r="G12113" s="199"/>
      <c r="I12113" s="199"/>
      <c r="K12113" s="199"/>
      <c r="M12113" s="199"/>
      <c r="N12113" s="200"/>
      <c r="P12113" s="199"/>
    </row>
    <row r="12114" spans="7:16" x14ac:dyDescent="0.2">
      <c r="G12114" s="199"/>
      <c r="I12114" s="199"/>
      <c r="K12114" s="199"/>
      <c r="M12114" s="199"/>
      <c r="N12114" s="200"/>
      <c r="P12114" s="199"/>
    </row>
    <row r="12115" spans="7:16" x14ac:dyDescent="0.2">
      <c r="G12115" s="199"/>
      <c r="I12115" s="199"/>
      <c r="K12115" s="199"/>
      <c r="M12115" s="199"/>
      <c r="N12115" s="200"/>
      <c r="P12115" s="199"/>
    </row>
    <row r="12116" spans="7:16" x14ac:dyDescent="0.2">
      <c r="G12116" s="199"/>
      <c r="I12116" s="199"/>
      <c r="K12116" s="199"/>
      <c r="M12116" s="199"/>
      <c r="N12116" s="200"/>
      <c r="P12116" s="199"/>
    </row>
    <row r="12117" spans="7:16" x14ac:dyDescent="0.2">
      <c r="G12117" s="199"/>
      <c r="I12117" s="199"/>
      <c r="K12117" s="199"/>
      <c r="M12117" s="199"/>
      <c r="N12117" s="200"/>
      <c r="P12117" s="199"/>
    </row>
    <row r="12118" spans="7:16" x14ac:dyDescent="0.2">
      <c r="G12118" s="199"/>
      <c r="I12118" s="199"/>
      <c r="K12118" s="199"/>
      <c r="M12118" s="199"/>
      <c r="N12118" s="200"/>
      <c r="P12118" s="199"/>
    </row>
    <row r="12119" spans="7:16" x14ac:dyDescent="0.2">
      <c r="G12119" s="199"/>
      <c r="I12119" s="199"/>
      <c r="K12119" s="199"/>
      <c r="M12119" s="199"/>
      <c r="N12119" s="200"/>
      <c r="P12119" s="199"/>
    </row>
    <row r="12120" spans="7:16" x14ac:dyDescent="0.2">
      <c r="G12120" s="199"/>
      <c r="I12120" s="199"/>
      <c r="K12120" s="199"/>
      <c r="M12120" s="199"/>
      <c r="N12120" s="200"/>
      <c r="P12120" s="199"/>
    </row>
    <row r="12121" spans="7:16" x14ac:dyDescent="0.2">
      <c r="G12121" s="199"/>
      <c r="I12121" s="199"/>
      <c r="K12121" s="199"/>
      <c r="M12121" s="199"/>
      <c r="N12121" s="200"/>
      <c r="P12121" s="199"/>
    </row>
    <row r="12122" spans="7:16" x14ac:dyDescent="0.2">
      <c r="G12122" s="199"/>
      <c r="I12122" s="199"/>
      <c r="K12122" s="199"/>
      <c r="M12122" s="199"/>
      <c r="N12122" s="200"/>
      <c r="P12122" s="199"/>
    </row>
    <row r="12123" spans="7:16" x14ac:dyDescent="0.2">
      <c r="G12123" s="199"/>
      <c r="I12123" s="199"/>
      <c r="K12123" s="199"/>
      <c r="M12123" s="199"/>
      <c r="N12123" s="200"/>
      <c r="P12123" s="199"/>
    </row>
    <row r="12124" spans="7:16" x14ac:dyDescent="0.2">
      <c r="G12124" s="199"/>
      <c r="I12124" s="199"/>
      <c r="K12124" s="199"/>
      <c r="M12124" s="199"/>
      <c r="N12124" s="200"/>
      <c r="P12124" s="199"/>
    </row>
    <row r="12125" spans="7:16" x14ac:dyDescent="0.2">
      <c r="G12125" s="199"/>
      <c r="I12125" s="199"/>
      <c r="K12125" s="199"/>
      <c r="M12125" s="199"/>
      <c r="N12125" s="200"/>
      <c r="P12125" s="199"/>
    </row>
    <row r="12126" spans="7:16" x14ac:dyDescent="0.2">
      <c r="G12126" s="199"/>
      <c r="I12126" s="199"/>
      <c r="K12126" s="199"/>
      <c r="M12126" s="199"/>
      <c r="N12126" s="200"/>
      <c r="P12126" s="199"/>
    </row>
    <row r="12127" spans="7:16" x14ac:dyDescent="0.2">
      <c r="G12127" s="199"/>
      <c r="I12127" s="199"/>
      <c r="K12127" s="199"/>
      <c r="M12127" s="199"/>
      <c r="N12127" s="200"/>
      <c r="P12127" s="199"/>
    </row>
    <row r="12128" spans="7:16" x14ac:dyDescent="0.2">
      <c r="G12128" s="199"/>
      <c r="I12128" s="199"/>
      <c r="K12128" s="199"/>
      <c r="M12128" s="199"/>
      <c r="N12128" s="200"/>
      <c r="P12128" s="199"/>
    </row>
    <row r="12129" spans="7:16" x14ac:dyDescent="0.2">
      <c r="G12129" s="199"/>
      <c r="I12129" s="199"/>
      <c r="K12129" s="199"/>
      <c r="M12129" s="199"/>
      <c r="N12129" s="200"/>
      <c r="P12129" s="199"/>
    </row>
    <row r="12130" spans="7:16" x14ac:dyDescent="0.2">
      <c r="G12130" s="199"/>
      <c r="I12130" s="199"/>
      <c r="K12130" s="199"/>
      <c r="M12130" s="199"/>
      <c r="N12130" s="200"/>
      <c r="P12130" s="199"/>
    </row>
    <row r="12131" spans="7:16" x14ac:dyDescent="0.2">
      <c r="G12131" s="199"/>
      <c r="I12131" s="199"/>
      <c r="K12131" s="199"/>
      <c r="M12131" s="199"/>
      <c r="N12131" s="200"/>
      <c r="P12131" s="199"/>
    </row>
    <row r="12132" spans="7:16" x14ac:dyDescent="0.2">
      <c r="G12132" s="199"/>
      <c r="I12132" s="199"/>
      <c r="K12132" s="199"/>
      <c r="M12132" s="199"/>
      <c r="N12132" s="200"/>
      <c r="P12132" s="199"/>
    </row>
    <row r="12133" spans="7:16" x14ac:dyDescent="0.2">
      <c r="G12133" s="199"/>
      <c r="I12133" s="199"/>
      <c r="K12133" s="199"/>
      <c r="M12133" s="199"/>
      <c r="N12133" s="200"/>
      <c r="P12133" s="199"/>
    </row>
    <row r="12134" spans="7:16" x14ac:dyDescent="0.2">
      <c r="G12134" s="199"/>
      <c r="I12134" s="199"/>
      <c r="K12134" s="199"/>
      <c r="M12134" s="199"/>
      <c r="N12134" s="200"/>
      <c r="P12134" s="199"/>
    </row>
    <row r="12135" spans="7:16" x14ac:dyDescent="0.2">
      <c r="G12135" s="199"/>
      <c r="I12135" s="199"/>
      <c r="K12135" s="199"/>
      <c r="M12135" s="199"/>
      <c r="N12135" s="200"/>
      <c r="P12135" s="199"/>
    </row>
    <row r="12136" spans="7:16" x14ac:dyDescent="0.2">
      <c r="G12136" s="199"/>
      <c r="I12136" s="199"/>
      <c r="K12136" s="199"/>
      <c r="M12136" s="199"/>
      <c r="N12136" s="200"/>
      <c r="P12136" s="199"/>
    </row>
    <row r="12137" spans="7:16" x14ac:dyDescent="0.2">
      <c r="G12137" s="199"/>
      <c r="I12137" s="199"/>
      <c r="K12137" s="199"/>
      <c r="M12137" s="199"/>
      <c r="N12137" s="200"/>
      <c r="P12137" s="199"/>
    </row>
    <row r="12138" spans="7:16" x14ac:dyDescent="0.2">
      <c r="G12138" s="199"/>
      <c r="I12138" s="199"/>
      <c r="K12138" s="199"/>
      <c r="M12138" s="199"/>
      <c r="N12138" s="200"/>
      <c r="P12138" s="199"/>
    </row>
    <row r="12139" spans="7:16" x14ac:dyDescent="0.2">
      <c r="G12139" s="199"/>
      <c r="I12139" s="199"/>
      <c r="K12139" s="199"/>
      <c r="M12139" s="199"/>
      <c r="N12139" s="200"/>
      <c r="P12139" s="199"/>
    </row>
    <row r="12140" spans="7:16" x14ac:dyDescent="0.2">
      <c r="G12140" s="199"/>
      <c r="I12140" s="199"/>
      <c r="K12140" s="199"/>
      <c r="M12140" s="199"/>
      <c r="N12140" s="200"/>
      <c r="P12140" s="199"/>
    </row>
    <row r="12141" spans="7:16" x14ac:dyDescent="0.2">
      <c r="G12141" s="199"/>
      <c r="I12141" s="199"/>
      <c r="K12141" s="199"/>
      <c r="M12141" s="199"/>
      <c r="N12141" s="200"/>
      <c r="P12141" s="199"/>
    </row>
    <row r="12142" spans="7:16" x14ac:dyDescent="0.2">
      <c r="G12142" s="199"/>
      <c r="I12142" s="199"/>
      <c r="K12142" s="199"/>
      <c r="M12142" s="199"/>
      <c r="N12142" s="200"/>
      <c r="P12142" s="199"/>
    </row>
    <row r="12143" spans="7:16" x14ac:dyDescent="0.2">
      <c r="G12143" s="199"/>
      <c r="I12143" s="199"/>
      <c r="K12143" s="199"/>
      <c r="M12143" s="199"/>
      <c r="N12143" s="200"/>
      <c r="P12143" s="199"/>
    </row>
    <row r="12144" spans="7:16" x14ac:dyDescent="0.2">
      <c r="G12144" s="199"/>
      <c r="I12144" s="199"/>
      <c r="K12144" s="199"/>
      <c r="M12144" s="199"/>
      <c r="N12144" s="200"/>
      <c r="P12144" s="199"/>
    </row>
    <row r="12145" spans="7:16" x14ac:dyDescent="0.2">
      <c r="G12145" s="199"/>
      <c r="I12145" s="199"/>
      <c r="K12145" s="199"/>
      <c r="M12145" s="199"/>
      <c r="N12145" s="200"/>
      <c r="P12145" s="199"/>
    </row>
    <row r="12146" spans="7:16" x14ac:dyDescent="0.2">
      <c r="G12146" s="199"/>
      <c r="I12146" s="199"/>
      <c r="K12146" s="199"/>
      <c r="M12146" s="199"/>
      <c r="N12146" s="200"/>
      <c r="P12146" s="199"/>
    </row>
    <row r="12147" spans="7:16" x14ac:dyDescent="0.2">
      <c r="G12147" s="199"/>
      <c r="I12147" s="199"/>
      <c r="K12147" s="199"/>
      <c r="M12147" s="199"/>
      <c r="N12147" s="200"/>
      <c r="P12147" s="199"/>
    </row>
    <row r="12148" spans="7:16" x14ac:dyDescent="0.2">
      <c r="G12148" s="199"/>
      <c r="I12148" s="199"/>
      <c r="K12148" s="199"/>
      <c r="M12148" s="199"/>
      <c r="N12148" s="200"/>
      <c r="P12148" s="199"/>
    </row>
    <row r="12149" spans="7:16" x14ac:dyDescent="0.2">
      <c r="G12149" s="199"/>
      <c r="I12149" s="199"/>
      <c r="K12149" s="199"/>
      <c r="M12149" s="199"/>
      <c r="N12149" s="200"/>
      <c r="P12149" s="199"/>
    </row>
    <row r="12150" spans="7:16" x14ac:dyDescent="0.2">
      <c r="G12150" s="199"/>
      <c r="I12150" s="199"/>
      <c r="K12150" s="199"/>
      <c r="M12150" s="199"/>
      <c r="N12150" s="200"/>
      <c r="P12150" s="199"/>
    </row>
    <row r="12151" spans="7:16" x14ac:dyDescent="0.2">
      <c r="G12151" s="199"/>
      <c r="I12151" s="199"/>
      <c r="K12151" s="199"/>
      <c r="M12151" s="199"/>
      <c r="N12151" s="200"/>
      <c r="P12151" s="199"/>
    </row>
    <row r="12152" spans="7:16" x14ac:dyDescent="0.2">
      <c r="G12152" s="199"/>
      <c r="I12152" s="199"/>
      <c r="K12152" s="199"/>
      <c r="M12152" s="199"/>
      <c r="N12152" s="200"/>
      <c r="P12152" s="199"/>
    </row>
    <row r="12153" spans="7:16" x14ac:dyDescent="0.2">
      <c r="G12153" s="199"/>
      <c r="I12153" s="199"/>
      <c r="K12153" s="199"/>
      <c r="M12153" s="199"/>
      <c r="N12153" s="200"/>
      <c r="P12153" s="199"/>
    </row>
    <row r="12154" spans="7:16" x14ac:dyDescent="0.2">
      <c r="G12154" s="199"/>
      <c r="I12154" s="199"/>
      <c r="K12154" s="199"/>
      <c r="M12154" s="199"/>
      <c r="N12154" s="200"/>
      <c r="P12154" s="199"/>
    </row>
    <row r="12155" spans="7:16" x14ac:dyDescent="0.2">
      <c r="G12155" s="199"/>
      <c r="I12155" s="199"/>
      <c r="K12155" s="199"/>
      <c r="M12155" s="199"/>
      <c r="N12155" s="200"/>
      <c r="P12155" s="199"/>
    </row>
    <row r="12156" spans="7:16" x14ac:dyDescent="0.2">
      <c r="G12156" s="199"/>
      <c r="I12156" s="199"/>
      <c r="K12156" s="199"/>
      <c r="M12156" s="199"/>
      <c r="N12156" s="200"/>
      <c r="P12156" s="199"/>
    </row>
    <row r="12157" spans="7:16" x14ac:dyDescent="0.2">
      <c r="G12157" s="199"/>
      <c r="I12157" s="199"/>
      <c r="K12157" s="199"/>
      <c r="M12157" s="199"/>
      <c r="N12157" s="200"/>
      <c r="P12157" s="199"/>
    </row>
    <row r="12158" spans="7:16" x14ac:dyDescent="0.2">
      <c r="G12158" s="199"/>
      <c r="I12158" s="199"/>
      <c r="K12158" s="199"/>
      <c r="M12158" s="199"/>
      <c r="N12158" s="200"/>
      <c r="P12158" s="199"/>
    </row>
    <row r="12159" spans="7:16" x14ac:dyDescent="0.2">
      <c r="G12159" s="199"/>
      <c r="I12159" s="199"/>
      <c r="K12159" s="199"/>
      <c r="M12159" s="199"/>
      <c r="N12159" s="200"/>
      <c r="P12159" s="199"/>
    </row>
    <row r="12160" spans="7:16" x14ac:dyDescent="0.2">
      <c r="G12160" s="199"/>
      <c r="I12160" s="199"/>
      <c r="K12160" s="199"/>
      <c r="M12160" s="199"/>
      <c r="N12160" s="200"/>
      <c r="P12160" s="199"/>
    </row>
    <row r="12161" spans="7:16" x14ac:dyDescent="0.2">
      <c r="G12161" s="199"/>
      <c r="I12161" s="199"/>
      <c r="K12161" s="199"/>
      <c r="M12161" s="199"/>
      <c r="N12161" s="200"/>
      <c r="P12161" s="199"/>
    </row>
    <row r="12162" spans="7:16" x14ac:dyDescent="0.2">
      <c r="G12162" s="199"/>
      <c r="I12162" s="199"/>
      <c r="K12162" s="199"/>
      <c r="M12162" s="199"/>
      <c r="N12162" s="200"/>
      <c r="P12162" s="199"/>
    </row>
    <row r="12163" spans="7:16" x14ac:dyDescent="0.2">
      <c r="G12163" s="199"/>
      <c r="I12163" s="199"/>
      <c r="K12163" s="199"/>
      <c r="M12163" s="199"/>
      <c r="N12163" s="200"/>
      <c r="P12163" s="199"/>
    </row>
    <row r="12164" spans="7:16" x14ac:dyDescent="0.2">
      <c r="G12164" s="199"/>
      <c r="I12164" s="199"/>
      <c r="K12164" s="199"/>
      <c r="M12164" s="199"/>
      <c r="N12164" s="200"/>
      <c r="P12164" s="199"/>
    </row>
    <row r="12165" spans="7:16" x14ac:dyDescent="0.2">
      <c r="G12165" s="199"/>
      <c r="I12165" s="199"/>
      <c r="K12165" s="199"/>
      <c r="M12165" s="199"/>
      <c r="N12165" s="200"/>
      <c r="P12165" s="199"/>
    </row>
    <row r="12166" spans="7:16" x14ac:dyDescent="0.2">
      <c r="G12166" s="199"/>
      <c r="I12166" s="199"/>
      <c r="K12166" s="199"/>
      <c r="M12166" s="199"/>
      <c r="N12166" s="200"/>
      <c r="P12166" s="199"/>
    </row>
    <row r="12167" spans="7:16" x14ac:dyDescent="0.2">
      <c r="G12167" s="199"/>
      <c r="I12167" s="199"/>
      <c r="K12167" s="199"/>
      <c r="M12167" s="199"/>
      <c r="N12167" s="200"/>
      <c r="P12167" s="199"/>
    </row>
    <row r="12168" spans="7:16" x14ac:dyDescent="0.2">
      <c r="G12168" s="199"/>
      <c r="I12168" s="199"/>
      <c r="K12168" s="199"/>
      <c r="M12168" s="199"/>
      <c r="N12168" s="200"/>
      <c r="P12168" s="199"/>
    </row>
    <row r="12169" spans="7:16" x14ac:dyDescent="0.2">
      <c r="G12169" s="199"/>
      <c r="I12169" s="199"/>
      <c r="K12169" s="199"/>
      <c r="M12169" s="199"/>
      <c r="N12169" s="200"/>
      <c r="P12169" s="199"/>
    </row>
    <row r="12170" spans="7:16" x14ac:dyDescent="0.2">
      <c r="G12170" s="199"/>
      <c r="I12170" s="199"/>
      <c r="K12170" s="199"/>
      <c r="M12170" s="199"/>
      <c r="N12170" s="200"/>
      <c r="P12170" s="199"/>
    </row>
    <row r="12171" spans="7:16" x14ac:dyDescent="0.2">
      <c r="G12171" s="199"/>
      <c r="I12171" s="199"/>
      <c r="K12171" s="199"/>
      <c r="M12171" s="199"/>
      <c r="N12171" s="200"/>
      <c r="P12171" s="199"/>
    </row>
    <row r="12172" spans="7:16" x14ac:dyDescent="0.2">
      <c r="G12172" s="199"/>
      <c r="I12172" s="199"/>
      <c r="K12172" s="199"/>
      <c r="M12172" s="199"/>
      <c r="N12172" s="200"/>
      <c r="P12172" s="199"/>
    </row>
    <row r="12173" spans="7:16" x14ac:dyDescent="0.2">
      <c r="G12173" s="199"/>
      <c r="I12173" s="199"/>
      <c r="K12173" s="199"/>
      <c r="M12173" s="199"/>
      <c r="N12173" s="200"/>
      <c r="P12173" s="199"/>
    </row>
    <row r="12174" spans="7:16" x14ac:dyDescent="0.2">
      <c r="G12174" s="199"/>
      <c r="I12174" s="199"/>
      <c r="K12174" s="199"/>
      <c r="M12174" s="199"/>
      <c r="N12174" s="200"/>
      <c r="P12174" s="199"/>
    </row>
    <row r="12175" spans="7:16" x14ac:dyDescent="0.2">
      <c r="G12175" s="199"/>
      <c r="I12175" s="199"/>
      <c r="K12175" s="199"/>
      <c r="M12175" s="199"/>
      <c r="N12175" s="200"/>
      <c r="P12175" s="199"/>
    </row>
    <row r="12176" spans="7:16" x14ac:dyDescent="0.2">
      <c r="G12176" s="199"/>
      <c r="I12176" s="199"/>
      <c r="K12176" s="199"/>
      <c r="M12176" s="199"/>
      <c r="N12176" s="200"/>
      <c r="P12176" s="199"/>
    </row>
    <row r="12177" spans="7:16" x14ac:dyDescent="0.2">
      <c r="G12177" s="199"/>
      <c r="I12177" s="199"/>
      <c r="K12177" s="199"/>
      <c r="M12177" s="199"/>
      <c r="N12177" s="200"/>
      <c r="P12177" s="199"/>
    </row>
    <row r="12178" spans="7:16" x14ac:dyDescent="0.2">
      <c r="G12178" s="199"/>
      <c r="I12178" s="199"/>
      <c r="K12178" s="199"/>
      <c r="M12178" s="199"/>
      <c r="N12178" s="200"/>
      <c r="P12178" s="199"/>
    </row>
    <row r="12179" spans="7:16" x14ac:dyDescent="0.2">
      <c r="G12179" s="199"/>
      <c r="I12179" s="199"/>
      <c r="K12179" s="199"/>
      <c r="M12179" s="199"/>
      <c r="N12179" s="200"/>
      <c r="P12179" s="199"/>
    </row>
    <row r="12180" spans="7:16" x14ac:dyDescent="0.2">
      <c r="G12180" s="199"/>
      <c r="I12180" s="199"/>
      <c r="K12180" s="199"/>
      <c r="M12180" s="199"/>
      <c r="N12180" s="200"/>
      <c r="P12180" s="199"/>
    </row>
    <row r="12181" spans="7:16" x14ac:dyDescent="0.2">
      <c r="G12181" s="199"/>
      <c r="I12181" s="199"/>
      <c r="K12181" s="199"/>
      <c r="M12181" s="199"/>
      <c r="N12181" s="200"/>
      <c r="P12181" s="199"/>
    </row>
    <row r="12182" spans="7:16" x14ac:dyDescent="0.2">
      <c r="G12182" s="199"/>
      <c r="I12182" s="199"/>
      <c r="K12182" s="199"/>
      <c r="M12182" s="199"/>
      <c r="N12182" s="200"/>
      <c r="P12182" s="199"/>
    </row>
    <row r="12183" spans="7:16" x14ac:dyDescent="0.2">
      <c r="G12183" s="199"/>
      <c r="I12183" s="199"/>
      <c r="K12183" s="199"/>
      <c r="M12183" s="199"/>
      <c r="N12183" s="200"/>
      <c r="P12183" s="199"/>
    </row>
    <row r="12184" spans="7:16" x14ac:dyDescent="0.2">
      <c r="G12184" s="199"/>
      <c r="I12184" s="199"/>
      <c r="K12184" s="199"/>
      <c r="M12184" s="199"/>
      <c r="N12184" s="200"/>
      <c r="P12184" s="199"/>
    </row>
    <row r="12185" spans="7:16" x14ac:dyDescent="0.2">
      <c r="G12185" s="199"/>
      <c r="I12185" s="199"/>
      <c r="K12185" s="199"/>
      <c r="M12185" s="199"/>
      <c r="N12185" s="200"/>
      <c r="P12185" s="199"/>
    </row>
    <row r="12186" spans="7:16" x14ac:dyDescent="0.2">
      <c r="G12186" s="199"/>
      <c r="I12186" s="199"/>
      <c r="K12186" s="199"/>
      <c r="M12186" s="199"/>
      <c r="N12186" s="200"/>
      <c r="P12186" s="199"/>
    </row>
    <row r="12187" spans="7:16" x14ac:dyDescent="0.2">
      <c r="G12187" s="199"/>
      <c r="I12187" s="199"/>
      <c r="K12187" s="199"/>
      <c r="M12187" s="199"/>
      <c r="N12187" s="200"/>
      <c r="P12187" s="199"/>
    </row>
    <row r="12188" spans="7:16" x14ac:dyDescent="0.2">
      <c r="G12188" s="199"/>
      <c r="I12188" s="199"/>
      <c r="K12188" s="199"/>
      <c r="M12188" s="199"/>
      <c r="N12188" s="200"/>
      <c r="P12188" s="199"/>
    </row>
    <row r="12189" spans="7:16" x14ac:dyDescent="0.2">
      <c r="G12189" s="199"/>
      <c r="I12189" s="199"/>
      <c r="K12189" s="199"/>
      <c r="M12189" s="199"/>
      <c r="N12189" s="200"/>
      <c r="P12189" s="199"/>
    </row>
    <row r="12190" spans="7:16" x14ac:dyDescent="0.2">
      <c r="G12190" s="199"/>
      <c r="I12190" s="199"/>
      <c r="K12190" s="199"/>
      <c r="M12190" s="199"/>
      <c r="N12190" s="200"/>
      <c r="P12190" s="199"/>
    </row>
    <row r="12191" spans="7:16" x14ac:dyDescent="0.2">
      <c r="G12191" s="199"/>
      <c r="I12191" s="199"/>
      <c r="K12191" s="199"/>
      <c r="M12191" s="199"/>
      <c r="N12191" s="200"/>
      <c r="P12191" s="199"/>
    </row>
    <row r="12192" spans="7:16" x14ac:dyDescent="0.2">
      <c r="G12192" s="199"/>
      <c r="I12192" s="199"/>
      <c r="K12192" s="199"/>
      <c r="M12192" s="199"/>
      <c r="N12192" s="200"/>
      <c r="P12192" s="199"/>
    </row>
    <row r="12193" spans="7:16" x14ac:dyDescent="0.2">
      <c r="G12193" s="199"/>
      <c r="I12193" s="199"/>
      <c r="K12193" s="199"/>
      <c r="M12193" s="199"/>
      <c r="N12193" s="200"/>
      <c r="P12193" s="199"/>
    </row>
    <row r="12194" spans="7:16" x14ac:dyDescent="0.2">
      <c r="G12194" s="199"/>
      <c r="I12194" s="199"/>
      <c r="K12194" s="199"/>
      <c r="M12194" s="199"/>
      <c r="N12194" s="200"/>
      <c r="P12194" s="199"/>
    </row>
    <row r="12195" spans="7:16" x14ac:dyDescent="0.2">
      <c r="G12195" s="199"/>
      <c r="I12195" s="199"/>
      <c r="K12195" s="199"/>
      <c r="M12195" s="199"/>
      <c r="N12195" s="200"/>
      <c r="P12195" s="199"/>
    </row>
    <row r="12196" spans="7:16" x14ac:dyDescent="0.2">
      <c r="G12196" s="199"/>
      <c r="I12196" s="199"/>
      <c r="K12196" s="199"/>
      <c r="M12196" s="199"/>
      <c r="N12196" s="200"/>
      <c r="P12196" s="199"/>
    </row>
    <row r="12197" spans="7:16" x14ac:dyDescent="0.2">
      <c r="G12197" s="199"/>
      <c r="I12197" s="199"/>
      <c r="K12197" s="199"/>
      <c r="M12197" s="199"/>
      <c r="N12197" s="200"/>
      <c r="P12197" s="199"/>
    </row>
    <row r="12198" spans="7:16" x14ac:dyDescent="0.2">
      <c r="G12198" s="199"/>
      <c r="I12198" s="199"/>
      <c r="K12198" s="199"/>
      <c r="M12198" s="199"/>
      <c r="N12198" s="200"/>
      <c r="P12198" s="199"/>
    </row>
    <row r="12199" spans="7:16" x14ac:dyDescent="0.2">
      <c r="G12199" s="199"/>
      <c r="I12199" s="199"/>
      <c r="K12199" s="199"/>
      <c r="M12199" s="199"/>
      <c r="N12199" s="200"/>
      <c r="P12199" s="199"/>
    </row>
    <row r="12200" spans="7:16" x14ac:dyDescent="0.2">
      <c r="G12200" s="199"/>
      <c r="I12200" s="199"/>
      <c r="K12200" s="199"/>
      <c r="M12200" s="199"/>
      <c r="N12200" s="200"/>
      <c r="P12200" s="199"/>
    </row>
    <row r="12201" spans="7:16" x14ac:dyDescent="0.2">
      <c r="G12201" s="199"/>
      <c r="I12201" s="199"/>
      <c r="K12201" s="199"/>
      <c r="M12201" s="199"/>
      <c r="N12201" s="200"/>
      <c r="P12201" s="199"/>
    </row>
    <row r="12202" spans="7:16" x14ac:dyDescent="0.2">
      <c r="G12202" s="199"/>
      <c r="I12202" s="199"/>
      <c r="K12202" s="199"/>
      <c r="M12202" s="199"/>
      <c r="N12202" s="200"/>
      <c r="P12202" s="199"/>
    </row>
    <row r="12203" spans="7:16" x14ac:dyDescent="0.2">
      <c r="G12203" s="199"/>
      <c r="I12203" s="199"/>
      <c r="K12203" s="199"/>
      <c r="M12203" s="199"/>
      <c r="N12203" s="200"/>
      <c r="P12203" s="199"/>
    </row>
    <row r="12204" spans="7:16" x14ac:dyDescent="0.2">
      <c r="G12204" s="199"/>
      <c r="I12204" s="199"/>
      <c r="K12204" s="199"/>
      <c r="M12204" s="199"/>
      <c r="N12204" s="200"/>
      <c r="P12204" s="199"/>
    </row>
    <row r="12205" spans="7:16" x14ac:dyDescent="0.2">
      <c r="G12205" s="199"/>
      <c r="I12205" s="199"/>
      <c r="K12205" s="199"/>
      <c r="M12205" s="199"/>
      <c r="N12205" s="200"/>
      <c r="P12205" s="199"/>
    </row>
    <row r="12206" spans="7:16" x14ac:dyDescent="0.2">
      <c r="G12206" s="199"/>
      <c r="I12206" s="199"/>
      <c r="K12206" s="199"/>
      <c r="M12206" s="199"/>
      <c r="N12206" s="200"/>
      <c r="P12206" s="199"/>
    </row>
    <row r="12207" spans="7:16" x14ac:dyDescent="0.2">
      <c r="G12207" s="199"/>
      <c r="I12207" s="199"/>
      <c r="K12207" s="199"/>
      <c r="M12207" s="199"/>
      <c r="N12207" s="200"/>
      <c r="P12207" s="199"/>
    </row>
    <row r="12208" spans="7:16" x14ac:dyDescent="0.2">
      <c r="G12208" s="199"/>
      <c r="I12208" s="199"/>
      <c r="K12208" s="199"/>
      <c r="M12208" s="199"/>
      <c r="N12208" s="200"/>
      <c r="P12208" s="199"/>
    </row>
    <row r="12209" spans="7:16" x14ac:dyDescent="0.2">
      <c r="G12209" s="199"/>
      <c r="I12209" s="199"/>
      <c r="K12209" s="199"/>
      <c r="M12209" s="199"/>
      <c r="N12209" s="200"/>
      <c r="P12209" s="199"/>
    </row>
    <row r="12210" spans="7:16" x14ac:dyDescent="0.2">
      <c r="G12210" s="199"/>
      <c r="I12210" s="199"/>
      <c r="K12210" s="199"/>
      <c r="M12210" s="199"/>
      <c r="N12210" s="200"/>
      <c r="P12210" s="199"/>
    </row>
    <row r="12211" spans="7:16" x14ac:dyDescent="0.2">
      <c r="G12211" s="199"/>
      <c r="I12211" s="199"/>
      <c r="K12211" s="199"/>
      <c r="M12211" s="199"/>
      <c r="N12211" s="200"/>
      <c r="P12211" s="199"/>
    </row>
    <row r="12212" spans="7:16" x14ac:dyDescent="0.2">
      <c r="G12212" s="199"/>
      <c r="I12212" s="199"/>
      <c r="K12212" s="199"/>
      <c r="M12212" s="199"/>
      <c r="N12212" s="200"/>
      <c r="P12212" s="199"/>
    </row>
    <row r="12213" spans="7:16" x14ac:dyDescent="0.2">
      <c r="G12213" s="199"/>
      <c r="I12213" s="199"/>
      <c r="K12213" s="199"/>
      <c r="M12213" s="199"/>
      <c r="N12213" s="200"/>
      <c r="P12213" s="199"/>
    </row>
    <row r="12214" spans="7:16" x14ac:dyDescent="0.2">
      <c r="G12214" s="199"/>
      <c r="I12214" s="199"/>
      <c r="K12214" s="199"/>
      <c r="M12214" s="199"/>
      <c r="N12214" s="200"/>
      <c r="P12214" s="199"/>
    </row>
    <row r="12215" spans="7:16" x14ac:dyDescent="0.2">
      <c r="G12215" s="199"/>
      <c r="I12215" s="199"/>
      <c r="K12215" s="199"/>
      <c r="M12215" s="199"/>
      <c r="N12215" s="200"/>
      <c r="P12215" s="199"/>
    </row>
    <row r="12216" spans="7:16" x14ac:dyDescent="0.2">
      <c r="G12216" s="199"/>
      <c r="I12216" s="199"/>
      <c r="K12216" s="199"/>
      <c r="M12216" s="199"/>
      <c r="N12216" s="200"/>
      <c r="P12216" s="199"/>
    </row>
    <row r="12217" spans="7:16" x14ac:dyDescent="0.2">
      <c r="G12217" s="199"/>
      <c r="I12217" s="199"/>
      <c r="K12217" s="199"/>
      <c r="M12217" s="199"/>
      <c r="N12217" s="200"/>
      <c r="P12217" s="199"/>
    </row>
    <row r="12218" spans="7:16" x14ac:dyDescent="0.2">
      <c r="G12218" s="199"/>
      <c r="I12218" s="199"/>
      <c r="K12218" s="199"/>
      <c r="M12218" s="199"/>
      <c r="N12218" s="200"/>
      <c r="P12218" s="199"/>
    </row>
    <row r="12219" spans="7:16" x14ac:dyDescent="0.2">
      <c r="G12219" s="199"/>
      <c r="I12219" s="199"/>
      <c r="K12219" s="199"/>
      <c r="M12219" s="199"/>
      <c r="N12219" s="200"/>
      <c r="P12219" s="199"/>
    </row>
    <row r="12220" spans="7:16" x14ac:dyDescent="0.2">
      <c r="G12220" s="199"/>
      <c r="I12220" s="199"/>
      <c r="K12220" s="199"/>
      <c r="M12220" s="199"/>
      <c r="N12220" s="200"/>
      <c r="P12220" s="199"/>
    </row>
    <row r="12221" spans="7:16" x14ac:dyDescent="0.2">
      <c r="G12221" s="199"/>
      <c r="I12221" s="199"/>
      <c r="K12221" s="199"/>
      <c r="M12221" s="199"/>
      <c r="N12221" s="200"/>
      <c r="P12221" s="199"/>
    </row>
    <row r="12222" spans="7:16" x14ac:dyDescent="0.2">
      <c r="G12222" s="199"/>
      <c r="I12222" s="199"/>
      <c r="K12222" s="199"/>
      <c r="M12222" s="199"/>
      <c r="N12222" s="200"/>
      <c r="P12222" s="199"/>
    </row>
    <row r="12223" spans="7:16" x14ac:dyDescent="0.2">
      <c r="G12223" s="199"/>
      <c r="I12223" s="199"/>
      <c r="K12223" s="199"/>
      <c r="M12223" s="199"/>
      <c r="N12223" s="200"/>
      <c r="P12223" s="199"/>
    </row>
    <row r="12224" spans="7:16" x14ac:dyDescent="0.2">
      <c r="G12224" s="199"/>
      <c r="I12224" s="199"/>
      <c r="K12224" s="199"/>
      <c r="M12224" s="199"/>
      <c r="N12224" s="200"/>
      <c r="P12224" s="199"/>
    </row>
    <row r="12225" spans="7:16" x14ac:dyDescent="0.2">
      <c r="G12225" s="199"/>
      <c r="I12225" s="199"/>
      <c r="K12225" s="199"/>
      <c r="M12225" s="199"/>
      <c r="N12225" s="200"/>
      <c r="P12225" s="199"/>
    </row>
    <row r="12226" spans="7:16" x14ac:dyDescent="0.2">
      <c r="G12226" s="199"/>
      <c r="I12226" s="199"/>
      <c r="K12226" s="199"/>
      <c r="M12226" s="199"/>
      <c r="N12226" s="200"/>
      <c r="P12226" s="199"/>
    </row>
    <row r="12227" spans="7:16" x14ac:dyDescent="0.2">
      <c r="G12227" s="199"/>
      <c r="I12227" s="199"/>
      <c r="K12227" s="199"/>
      <c r="M12227" s="199"/>
      <c r="N12227" s="200"/>
      <c r="P12227" s="199"/>
    </row>
    <row r="12228" spans="7:16" x14ac:dyDescent="0.2">
      <c r="G12228" s="199"/>
      <c r="I12228" s="199"/>
      <c r="K12228" s="199"/>
      <c r="M12228" s="199"/>
      <c r="N12228" s="200"/>
      <c r="P12228" s="199"/>
    </row>
    <row r="12229" spans="7:16" x14ac:dyDescent="0.2">
      <c r="G12229" s="199"/>
      <c r="I12229" s="199"/>
      <c r="K12229" s="199"/>
      <c r="M12229" s="199"/>
      <c r="N12229" s="200"/>
      <c r="P12229" s="199"/>
    </row>
    <row r="12230" spans="7:16" x14ac:dyDescent="0.2">
      <c r="G12230" s="199"/>
      <c r="I12230" s="199"/>
      <c r="K12230" s="199"/>
      <c r="M12230" s="199"/>
      <c r="N12230" s="200"/>
      <c r="P12230" s="199"/>
    </row>
    <row r="12231" spans="7:16" x14ac:dyDescent="0.2">
      <c r="G12231" s="199"/>
      <c r="I12231" s="199"/>
      <c r="K12231" s="199"/>
      <c r="M12231" s="199"/>
      <c r="N12231" s="200"/>
      <c r="P12231" s="199"/>
    </row>
    <row r="12232" spans="7:16" x14ac:dyDescent="0.2">
      <c r="G12232" s="199"/>
      <c r="I12232" s="199"/>
      <c r="K12232" s="199"/>
      <c r="M12232" s="199"/>
      <c r="N12232" s="200"/>
      <c r="P12232" s="199"/>
    </row>
    <row r="12233" spans="7:16" x14ac:dyDescent="0.2">
      <c r="G12233" s="199"/>
      <c r="I12233" s="199"/>
      <c r="K12233" s="199"/>
      <c r="M12233" s="199"/>
      <c r="N12233" s="200"/>
      <c r="P12233" s="199"/>
    </row>
    <row r="12234" spans="7:16" x14ac:dyDescent="0.2">
      <c r="G12234" s="199"/>
      <c r="I12234" s="199"/>
      <c r="K12234" s="199"/>
      <c r="M12234" s="199"/>
      <c r="N12234" s="200"/>
      <c r="P12234" s="199"/>
    </row>
    <row r="12235" spans="7:16" x14ac:dyDescent="0.2">
      <c r="G12235" s="199"/>
      <c r="I12235" s="199"/>
      <c r="K12235" s="199"/>
      <c r="M12235" s="199"/>
      <c r="N12235" s="200"/>
      <c r="P12235" s="199"/>
    </row>
    <row r="12236" spans="7:16" x14ac:dyDescent="0.2">
      <c r="G12236" s="199"/>
      <c r="I12236" s="199"/>
      <c r="K12236" s="199"/>
      <c r="M12236" s="199"/>
      <c r="N12236" s="200"/>
      <c r="P12236" s="199"/>
    </row>
    <row r="12237" spans="7:16" x14ac:dyDescent="0.2">
      <c r="G12237" s="199"/>
      <c r="I12237" s="199"/>
      <c r="K12237" s="199"/>
      <c r="M12237" s="199"/>
      <c r="N12237" s="200"/>
      <c r="P12237" s="199"/>
    </row>
    <row r="12238" spans="7:16" x14ac:dyDescent="0.2">
      <c r="G12238" s="199"/>
      <c r="I12238" s="199"/>
      <c r="K12238" s="199"/>
      <c r="M12238" s="199"/>
      <c r="N12238" s="200"/>
      <c r="P12238" s="199"/>
    </row>
    <row r="12239" spans="7:16" x14ac:dyDescent="0.2">
      <c r="G12239" s="199"/>
      <c r="I12239" s="199"/>
      <c r="K12239" s="199"/>
      <c r="M12239" s="199"/>
      <c r="N12239" s="200"/>
      <c r="P12239" s="199"/>
    </row>
    <row r="12240" spans="7:16" x14ac:dyDescent="0.2">
      <c r="G12240" s="199"/>
      <c r="I12240" s="199"/>
      <c r="K12240" s="199"/>
      <c r="M12240" s="199"/>
      <c r="N12240" s="200"/>
      <c r="P12240" s="199"/>
    </row>
    <row r="12241" spans="7:16" x14ac:dyDescent="0.2">
      <c r="G12241" s="199"/>
      <c r="I12241" s="199"/>
      <c r="K12241" s="199"/>
      <c r="M12241" s="199"/>
      <c r="N12241" s="200"/>
      <c r="P12241" s="199"/>
    </row>
    <row r="12242" spans="7:16" x14ac:dyDescent="0.2">
      <c r="G12242" s="199"/>
      <c r="I12242" s="199"/>
      <c r="K12242" s="199"/>
      <c r="M12242" s="199"/>
      <c r="N12242" s="200"/>
      <c r="P12242" s="199"/>
    </row>
    <row r="12243" spans="7:16" x14ac:dyDescent="0.2">
      <c r="G12243" s="199"/>
      <c r="I12243" s="199"/>
      <c r="K12243" s="199"/>
      <c r="M12243" s="199"/>
      <c r="N12243" s="200"/>
      <c r="P12243" s="199"/>
    </row>
    <row r="12244" spans="7:16" x14ac:dyDescent="0.2">
      <c r="G12244" s="199"/>
      <c r="I12244" s="199"/>
      <c r="K12244" s="199"/>
      <c r="M12244" s="199"/>
      <c r="N12244" s="200"/>
      <c r="P12244" s="199"/>
    </row>
    <row r="12245" spans="7:16" x14ac:dyDescent="0.2">
      <c r="G12245" s="199"/>
      <c r="I12245" s="199"/>
      <c r="K12245" s="199"/>
      <c r="M12245" s="199"/>
      <c r="N12245" s="200"/>
      <c r="P12245" s="199"/>
    </row>
    <row r="12246" spans="7:16" x14ac:dyDescent="0.2">
      <c r="G12246" s="199"/>
      <c r="I12246" s="199"/>
      <c r="K12246" s="199"/>
      <c r="M12246" s="199"/>
      <c r="N12246" s="200"/>
      <c r="P12246" s="199"/>
    </row>
    <row r="12247" spans="7:16" x14ac:dyDescent="0.2">
      <c r="G12247" s="199"/>
      <c r="I12247" s="199"/>
      <c r="K12247" s="199"/>
      <c r="M12247" s="199"/>
      <c r="N12247" s="200"/>
      <c r="P12247" s="199"/>
    </row>
    <row r="12248" spans="7:16" x14ac:dyDescent="0.2">
      <c r="G12248" s="199"/>
      <c r="I12248" s="199"/>
      <c r="K12248" s="199"/>
      <c r="M12248" s="199"/>
      <c r="N12248" s="200"/>
      <c r="P12248" s="199"/>
    </row>
    <row r="12249" spans="7:16" x14ac:dyDescent="0.2">
      <c r="G12249" s="199"/>
      <c r="I12249" s="199"/>
      <c r="K12249" s="199"/>
      <c r="M12249" s="199"/>
      <c r="N12249" s="200"/>
      <c r="P12249" s="199"/>
    </row>
    <row r="12250" spans="7:16" x14ac:dyDescent="0.2">
      <c r="G12250" s="199"/>
      <c r="I12250" s="199"/>
      <c r="K12250" s="199"/>
      <c r="M12250" s="199"/>
      <c r="N12250" s="200"/>
      <c r="P12250" s="199"/>
    </row>
    <row r="12251" spans="7:16" x14ac:dyDescent="0.2">
      <c r="G12251" s="199"/>
      <c r="I12251" s="199"/>
      <c r="K12251" s="199"/>
      <c r="M12251" s="199"/>
      <c r="N12251" s="200"/>
      <c r="P12251" s="199"/>
    </row>
    <row r="12252" spans="7:16" x14ac:dyDescent="0.2">
      <c r="G12252" s="199"/>
      <c r="I12252" s="199"/>
      <c r="K12252" s="199"/>
      <c r="M12252" s="199"/>
      <c r="N12252" s="200"/>
      <c r="P12252" s="199"/>
    </row>
    <row r="12253" spans="7:16" x14ac:dyDescent="0.2">
      <c r="G12253" s="199"/>
      <c r="I12253" s="199"/>
      <c r="K12253" s="199"/>
      <c r="M12253" s="199"/>
      <c r="N12253" s="200"/>
      <c r="P12253" s="199"/>
    </row>
    <row r="12254" spans="7:16" x14ac:dyDescent="0.2">
      <c r="G12254" s="199"/>
      <c r="I12254" s="199"/>
      <c r="K12254" s="199"/>
      <c r="M12254" s="199"/>
      <c r="N12254" s="200"/>
      <c r="P12254" s="199"/>
    </row>
    <row r="12255" spans="7:16" x14ac:dyDescent="0.2">
      <c r="G12255" s="199"/>
      <c r="I12255" s="199"/>
      <c r="K12255" s="199"/>
      <c r="M12255" s="199"/>
      <c r="N12255" s="200"/>
      <c r="P12255" s="199"/>
    </row>
    <row r="12256" spans="7:16" x14ac:dyDescent="0.2">
      <c r="G12256" s="199"/>
      <c r="I12256" s="199"/>
      <c r="K12256" s="199"/>
      <c r="M12256" s="199"/>
      <c r="N12256" s="200"/>
      <c r="P12256" s="199"/>
    </row>
    <row r="12257" spans="7:16" x14ac:dyDescent="0.2">
      <c r="G12257" s="199"/>
      <c r="I12257" s="199"/>
      <c r="K12257" s="199"/>
      <c r="M12257" s="199"/>
      <c r="N12257" s="200"/>
      <c r="P12257" s="199"/>
    </row>
    <row r="12258" spans="7:16" x14ac:dyDescent="0.2">
      <c r="G12258" s="199"/>
      <c r="I12258" s="199"/>
      <c r="K12258" s="199"/>
      <c r="M12258" s="199"/>
      <c r="N12258" s="200"/>
      <c r="P12258" s="199"/>
    </row>
    <row r="12259" spans="7:16" x14ac:dyDescent="0.2">
      <c r="G12259" s="199"/>
      <c r="I12259" s="199"/>
      <c r="K12259" s="199"/>
      <c r="M12259" s="199"/>
      <c r="N12259" s="200"/>
      <c r="P12259" s="199"/>
    </row>
    <row r="12260" spans="7:16" x14ac:dyDescent="0.2">
      <c r="G12260" s="199"/>
      <c r="I12260" s="199"/>
      <c r="K12260" s="199"/>
      <c r="M12260" s="199"/>
      <c r="N12260" s="200"/>
      <c r="P12260" s="199"/>
    </row>
    <row r="12261" spans="7:16" x14ac:dyDescent="0.2">
      <c r="G12261" s="199"/>
      <c r="I12261" s="199"/>
      <c r="K12261" s="199"/>
      <c r="M12261" s="199"/>
      <c r="N12261" s="200"/>
      <c r="P12261" s="199"/>
    </row>
    <row r="12262" spans="7:16" x14ac:dyDescent="0.2">
      <c r="G12262" s="199"/>
      <c r="I12262" s="199"/>
      <c r="K12262" s="199"/>
      <c r="M12262" s="199"/>
      <c r="N12262" s="200"/>
      <c r="P12262" s="199"/>
    </row>
    <row r="12263" spans="7:16" x14ac:dyDescent="0.2">
      <c r="G12263" s="199"/>
      <c r="I12263" s="199"/>
      <c r="K12263" s="199"/>
      <c r="M12263" s="199"/>
      <c r="N12263" s="200"/>
      <c r="P12263" s="199"/>
    </row>
    <row r="12264" spans="7:16" x14ac:dyDescent="0.2">
      <c r="G12264" s="199"/>
      <c r="I12264" s="199"/>
      <c r="K12264" s="199"/>
      <c r="M12264" s="199"/>
      <c r="N12264" s="200"/>
      <c r="P12264" s="199"/>
    </row>
    <row r="12265" spans="7:16" x14ac:dyDescent="0.2">
      <c r="G12265" s="199"/>
      <c r="I12265" s="199"/>
      <c r="K12265" s="199"/>
      <c r="M12265" s="199"/>
      <c r="N12265" s="200"/>
      <c r="P12265" s="199"/>
    </row>
    <row r="12266" spans="7:16" x14ac:dyDescent="0.2">
      <c r="G12266" s="199"/>
      <c r="I12266" s="199"/>
      <c r="K12266" s="199"/>
      <c r="M12266" s="199"/>
      <c r="N12266" s="200"/>
      <c r="P12266" s="199"/>
    </row>
    <row r="12267" spans="7:16" x14ac:dyDescent="0.2">
      <c r="G12267" s="199"/>
      <c r="I12267" s="199"/>
      <c r="K12267" s="199"/>
      <c r="M12267" s="199"/>
      <c r="N12267" s="200"/>
      <c r="P12267" s="199"/>
    </row>
    <row r="12268" spans="7:16" x14ac:dyDescent="0.2">
      <c r="G12268" s="199"/>
      <c r="I12268" s="199"/>
      <c r="K12268" s="199"/>
      <c r="M12268" s="199"/>
      <c r="N12268" s="200"/>
      <c r="P12268" s="199"/>
    </row>
    <row r="12269" spans="7:16" x14ac:dyDescent="0.2">
      <c r="G12269" s="199"/>
      <c r="I12269" s="199"/>
      <c r="K12269" s="199"/>
      <c r="M12269" s="199"/>
      <c r="N12269" s="200"/>
      <c r="P12269" s="199"/>
    </row>
    <row r="12270" spans="7:16" x14ac:dyDescent="0.2">
      <c r="G12270" s="199"/>
      <c r="I12270" s="199"/>
      <c r="K12270" s="199"/>
      <c r="M12270" s="199"/>
      <c r="N12270" s="200"/>
      <c r="P12270" s="199"/>
    </row>
    <row r="12271" spans="7:16" x14ac:dyDescent="0.2">
      <c r="G12271" s="199"/>
      <c r="I12271" s="199"/>
      <c r="K12271" s="199"/>
      <c r="M12271" s="199"/>
      <c r="N12271" s="200"/>
      <c r="P12271" s="199"/>
    </row>
    <row r="12272" spans="7:16" x14ac:dyDescent="0.2">
      <c r="G12272" s="199"/>
      <c r="I12272" s="199"/>
      <c r="K12272" s="199"/>
      <c r="M12272" s="199"/>
      <c r="N12272" s="200"/>
      <c r="P12272" s="199"/>
    </row>
    <row r="12273" spans="7:16" x14ac:dyDescent="0.2">
      <c r="G12273" s="199"/>
      <c r="I12273" s="199"/>
      <c r="K12273" s="199"/>
      <c r="M12273" s="199"/>
      <c r="N12273" s="200"/>
      <c r="P12273" s="199"/>
    </row>
    <row r="12274" spans="7:16" x14ac:dyDescent="0.2">
      <c r="G12274" s="199"/>
      <c r="I12274" s="199"/>
      <c r="K12274" s="199"/>
      <c r="M12274" s="199"/>
      <c r="N12274" s="200"/>
      <c r="P12274" s="199"/>
    </row>
    <row r="12275" spans="7:16" x14ac:dyDescent="0.2">
      <c r="G12275" s="199"/>
      <c r="I12275" s="199"/>
      <c r="K12275" s="199"/>
      <c r="M12275" s="199"/>
      <c r="N12275" s="200"/>
      <c r="P12275" s="199"/>
    </row>
    <row r="12276" spans="7:16" x14ac:dyDescent="0.2">
      <c r="G12276" s="199"/>
      <c r="I12276" s="199"/>
      <c r="K12276" s="199"/>
      <c r="M12276" s="199"/>
      <c r="N12276" s="200"/>
      <c r="P12276" s="199"/>
    </row>
    <row r="12277" spans="7:16" x14ac:dyDescent="0.2">
      <c r="G12277" s="199"/>
      <c r="I12277" s="199"/>
      <c r="K12277" s="199"/>
      <c r="M12277" s="199"/>
      <c r="N12277" s="200"/>
      <c r="P12277" s="199"/>
    </row>
    <row r="12278" spans="7:16" x14ac:dyDescent="0.2">
      <c r="G12278" s="199"/>
      <c r="I12278" s="199"/>
      <c r="K12278" s="199"/>
      <c r="M12278" s="199"/>
      <c r="N12278" s="200"/>
      <c r="P12278" s="199"/>
    </row>
    <row r="12279" spans="7:16" x14ac:dyDescent="0.2">
      <c r="G12279" s="199"/>
      <c r="I12279" s="199"/>
      <c r="K12279" s="199"/>
      <c r="M12279" s="199"/>
      <c r="N12279" s="200"/>
      <c r="P12279" s="199"/>
    </row>
    <row r="12280" spans="7:16" x14ac:dyDescent="0.2">
      <c r="G12280" s="199"/>
      <c r="I12280" s="199"/>
      <c r="K12280" s="199"/>
      <c r="M12280" s="199"/>
      <c r="N12280" s="200"/>
      <c r="P12280" s="199"/>
    </row>
    <row r="12281" spans="7:16" x14ac:dyDescent="0.2">
      <c r="G12281" s="199"/>
      <c r="I12281" s="199"/>
      <c r="K12281" s="199"/>
      <c r="M12281" s="199"/>
      <c r="N12281" s="200"/>
      <c r="P12281" s="199"/>
    </row>
    <row r="12282" spans="7:16" x14ac:dyDescent="0.2">
      <c r="G12282" s="199"/>
      <c r="I12282" s="199"/>
      <c r="K12282" s="199"/>
      <c r="M12282" s="199"/>
      <c r="N12282" s="200"/>
      <c r="P12282" s="199"/>
    </row>
    <row r="12283" spans="7:16" x14ac:dyDescent="0.2">
      <c r="G12283" s="199"/>
      <c r="I12283" s="199"/>
      <c r="K12283" s="199"/>
      <c r="M12283" s="199"/>
      <c r="N12283" s="200"/>
      <c r="P12283" s="199"/>
    </row>
    <row r="12284" spans="7:16" x14ac:dyDescent="0.2">
      <c r="G12284" s="199"/>
      <c r="I12284" s="199"/>
      <c r="K12284" s="199"/>
      <c r="M12284" s="199"/>
      <c r="N12284" s="200"/>
      <c r="P12284" s="199"/>
    </row>
    <row r="12285" spans="7:16" x14ac:dyDescent="0.2">
      <c r="G12285" s="199"/>
      <c r="I12285" s="199"/>
      <c r="K12285" s="199"/>
      <c r="M12285" s="199"/>
      <c r="N12285" s="200"/>
      <c r="P12285" s="199"/>
    </row>
    <row r="12286" spans="7:16" x14ac:dyDescent="0.2">
      <c r="G12286" s="199"/>
      <c r="I12286" s="199"/>
      <c r="K12286" s="199"/>
      <c r="M12286" s="199"/>
      <c r="N12286" s="200"/>
      <c r="P12286" s="199"/>
    </row>
    <row r="12287" spans="7:16" x14ac:dyDescent="0.2">
      <c r="G12287" s="199"/>
      <c r="I12287" s="199"/>
      <c r="K12287" s="199"/>
      <c r="M12287" s="199"/>
      <c r="N12287" s="200"/>
      <c r="P12287" s="199"/>
    </row>
    <row r="12288" spans="7:16" x14ac:dyDescent="0.2">
      <c r="G12288" s="199"/>
      <c r="I12288" s="199"/>
      <c r="K12288" s="199"/>
      <c r="M12288" s="199"/>
      <c r="N12288" s="200"/>
      <c r="P12288" s="199"/>
    </row>
    <row r="12289" spans="7:16" x14ac:dyDescent="0.2">
      <c r="G12289" s="199"/>
      <c r="I12289" s="199"/>
      <c r="K12289" s="199"/>
      <c r="M12289" s="199"/>
      <c r="N12289" s="200"/>
      <c r="P12289" s="199"/>
    </row>
    <row r="12290" spans="7:16" x14ac:dyDescent="0.2">
      <c r="G12290" s="199"/>
      <c r="I12290" s="199"/>
      <c r="K12290" s="199"/>
      <c r="M12290" s="199"/>
      <c r="N12290" s="200"/>
      <c r="P12290" s="199"/>
    </row>
    <row r="12291" spans="7:16" x14ac:dyDescent="0.2">
      <c r="G12291" s="199"/>
      <c r="I12291" s="199"/>
      <c r="K12291" s="199"/>
      <c r="M12291" s="199"/>
      <c r="N12291" s="200"/>
      <c r="P12291" s="199"/>
    </row>
    <row r="12292" spans="7:16" x14ac:dyDescent="0.2">
      <c r="G12292" s="199"/>
      <c r="I12292" s="199"/>
      <c r="K12292" s="199"/>
      <c r="M12292" s="199"/>
      <c r="N12292" s="200"/>
      <c r="P12292" s="199"/>
    </row>
    <row r="12293" spans="7:16" x14ac:dyDescent="0.2">
      <c r="G12293" s="199"/>
      <c r="I12293" s="199"/>
      <c r="K12293" s="199"/>
      <c r="M12293" s="199"/>
      <c r="N12293" s="200"/>
      <c r="P12293" s="199"/>
    </row>
    <row r="12294" spans="7:16" x14ac:dyDescent="0.2">
      <c r="G12294" s="199"/>
      <c r="I12294" s="199"/>
      <c r="K12294" s="199"/>
      <c r="M12294" s="199"/>
      <c r="N12294" s="200"/>
      <c r="P12294" s="199"/>
    </row>
    <row r="12295" spans="7:16" x14ac:dyDescent="0.2">
      <c r="G12295" s="199"/>
      <c r="I12295" s="199"/>
      <c r="K12295" s="199"/>
      <c r="M12295" s="199"/>
      <c r="N12295" s="200"/>
      <c r="P12295" s="199"/>
    </row>
    <row r="12296" spans="7:16" x14ac:dyDescent="0.2">
      <c r="G12296" s="199"/>
      <c r="I12296" s="199"/>
      <c r="K12296" s="199"/>
      <c r="M12296" s="199"/>
      <c r="N12296" s="200"/>
      <c r="P12296" s="199"/>
    </row>
    <row r="12297" spans="7:16" x14ac:dyDescent="0.2">
      <c r="G12297" s="199"/>
      <c r="I12297" s="199"/>
      <c r="K12297" s="199"/>
      <c r="M12297" s="199"/>
      <c r="N12297" s="200"/>
      <c r="P12297" s="199"/>
    </row>
    <row r="12298" spans="7:16" x14ac:dyDescent="0.2">
      <c r="G12298" s="199"/>
      <c r="I12298" s="199"/>
      <c r="K12298" s="199"/>
      <c r="M12298" s="199"/>
      <c r="N12298" s="200"/>
      <c r="P12298" s="199"/>
    </row>
    <row r="12299" spans="7:16" x14ac:dyDescent="0.2">
      <c r="G12299" s="199"/>
      <c r="I12299" s="199"/>
      <c r="K12299" s="199"/>
      <c r="M12299" s="199"/>
      <c r="N12299" s="200"/>
      <c r="P12299" s="199"/>
    </row>
    <row r="12300" spans="7:16" x14ac:dyDescent="0.2">
      <c r="G12300" s="199"/>
      <c r="I12300" s="199"/>
      <c r="K12300" s="199"/>
      <c r="M12300" s="199"/>
      <c r="N12300" s="200"/>
      <c r="P12300" s="199"/>
    </row>
    <row r="12301" spans="7:16" x14ac:dyDescent="0.2">
      <c r="G12301" s="199"/>
      <c r="I12301" s="199"/>
      <c r="K12301" s="199"/>
      <c r="M12301" s="199"/>
      <c r="N12301" s="200"/>
      <c r="P12301" s="199"/>
    </row>
    <row r="12302" spans="7:16" x14ac:dyDescent="0.2">
      <c r="G12302" s="199"/>
      <c r="I12302" s="199"/>
      <c r="K12302" s="199"/>
      <c r="M12302" s="199"/>
      <c r="N12302" s="200"/>
      <c r="P12302" s="199"/>
    </row>
    <row r="12303" spans="7:16" x14ac:dyDescent="0.2">
      <c r="G12303" s="199"/>
      <c r="I12303" s="199"/>
      <c r="K12303" s="199"/>
      <c r="M12303" s="199"/>
      <c r="N12303" s="200"/>
      <c r="P12303" s="199"/>
    </row>
    <row r="12304" spans="7:16" x14ac:dyDescent="0.2">
      <c r="G12304" s="199"/>
      <c r="I12304" s="199"/>
      <c r="K12304" s="199"/>
      <c r="M12304" s="199"/>
      <c r="N12304" s="200"/>
      <c r="P12304" s="199"/>
    </row>
    <row r="12305" spans="7:16" x14ac:dyDescent="0.2">
      <c r="G12305" s="199"/>
      <c r="I12305" s="199"/>
      <c r="K12305" s="199"/>
      <c r="M12305" s="199"/>
      <c r="N12305" s="200"/>
      <c r="P12305" s="199"/>
    </row>
    <row r="12306" spans="7:16" x14ac:dyDescent="0.2">
      <c r="G12306" s="199"/>
      <c r="I12306" s="199"/>
      <c r="K12306" s="199"/>
      <c r="M12306" s="199"/>
      <c r="N12306" s="200"/>
      <c r="P12306" s="199"/>
    </row>
    <row r="12307" spans="7:16" x14ac:dyDescent="0.2">
      <c r="G12307" s="199"/>
      <c r="I12307" s="199"/>
      <c r="K12307" s="199"/>
      <c r="M12307" s="199"/>
      <c r="N12307" s="200"/>
      <c r="P12307" s="199"/>
    </row>
    <row r="12308" spans="7:16" x14ac:dyDescent="0.2">
      <c r="G12308" s="199"/>
      <c r="I12308" s="199"/>
      <c r="K12308" s="199"/>
      <c r="M12308" s="199"/>
      <c r="N12308" s="200"/>
      <c r="P12308" s="199"/>
    </row>
    <row r="12309" spans="7:16" x14ac:dyDescent="0.2">
      <c r="G12309" s="199"/>
      <c r="I12309" s="199"/>
      <c r="K12309" s="199"/>
      <c r="M12309" s="199"/>
      <c r="N12309" s="200"/>
      <c r="P12309" s="199"/>
    </row>
    <row r="12310" spans="7:16" x14ac:dyDescent="0.2">
      <c r="G12310" s="199"/>
      <c r="I12310" s="199"/>
      <c r="K12310" s="199"/>
      <c r="M12310" s="199"/>
      <c r="N12310" s="200"/>
      <c r="P12310" s="199"/>
    </row>
    <row r="12311" spans="7:16" x14ac:dyDescent="0.2">
      <c r="G12311" s="199"/>
      <c r="I12311" s="199"/>
      <c r="K12311" s="199"/>
      <c r="M12311" s="199"/>
      <c r="N12311" s="200"/>
      <c r="P12311" s="199"/>
    </row>
    <row r="12312" spans="7:16" x14ac:dyDescent="0.2">
      <c r="G12312" s="199"/>
      <c r="I12312" s="199"/>
      <c r="K12312" s="199"/>
      <c r="M12312" s="199"/>
      <c r="N12312" s="200"/>
      <c r="P12312" s="199"/>
    </row>
    <row r="12313" spans="7:16" x14ac:dyDescent="0.2">
      <c r="G12313" s="199"/>
      <c r="I12313" s="199"/>
      <c r="K12313" s="199"/>
      <c r="M12313" s="199"/>
      <c r="N12313" s="200"/>
      <c r="P12313" s="199"/>
    </row>
    <row r="12314" spans="7:16" x14ac:dyDescent="0.2">
      <c r="G12314" s="199"/>
      <c r="I12314" s="199"/>
      <c r="K12314" s="199"/>
      <c r="M12314" s="199"/>
      <c r="N12314" s="200"/>
      <c r="P12314" s="199"/>
    </row>
    <row r="12315" spans="7:16" x14ac:dyDescent="0.2">
      <c r="G12315" s="199"/>
      <c r="I12315" s="199"/>
      <c r="K12315" s="199"/>
      <c r="M12315" s="199"/>
      <c r="N12315" s="200"/>
      <c r="P12315" s="199"/>
    </row>
    <row r="12316" spans="7:16" x14ac:dyDescent="0.2">
      <c r="G12316" s="199"/>
      <c r="I12316" s="199"/>
      <c r="K12316" s="199"/>
      <c r="M12316" s="199"/>
      <c r="N12316" s="200"/>
      <c r="P12316" s="199"/>
    </row>
    <row r="12317" spans="7:16" x14ac:dyDescent="0.2">
      <c r="G12317" s="199"/>
      <c r="I12317" s="199"/>
      <c r="K12317" s="199"/>
      <c r="M12317" s="199"/>
      <c r="N12317" s="200"/>
      <c r="P12317" s="199"/>
    </row>
    <row r="12318" spans="7:16" x14ac:dyDescent="0.2">
      <c r="G12318" s="199"/>
      <c r="I12318" s="199"/>
      <c r="K12318" s="199"/>
      <c r="M12318" s="199"/>
      <c r="N12318" s="200"/>
      <c r="P12318" s="199"/>
    </row>
    <row r="12319" spans="7:16" x14ac:dyDescent="0.2">
      <c r="G12319" s="199"/>
      <c r="I12319" s="199"/>
      <c r="K12319" s="199"/>
      <c r="M12319" s="199"/>
      <c r="N12319" s="200"/>
      <c r="P12319" s="199"/>
    </row>
    <row r="12320" spans="7:16" x14ac:dyDescent="0.2">
      <c r="G12320" s="199"/>
      <c r="I12320" s="199"/>
      <c r="K12320" s="199"/>
      <c r="M12320" s="199"/>
      <c r="N12320" s="200"/>
      <c r="P12320" s="199"/>
    </row>
    <row r="12321" spans="7:16" x14ac:dyDescent="0.2">
      <c r="G12321" s="199"/>
      <c r="I12321" s="199"/>
      <c r="K12321" s="199"/>
      <c r="M12321" s="199"/>
      <c r="N12321" s="200"/>
      <c r="P12321" s="199"/>
    </row>
    <row r="12322" spans="7:16" x14ac:dyDescent="0.2">
      <c r="G12322" s="199"/>
      <c r="I12322" s="199"/>
      <c r="K12322" s="199"/>
      <c r="M12322" s="199"/>
      <c r="N12322" s="200"/>
      <c r="P12322" s="199"/>
    </row>
    <row r="12323" spans="7:16" x14ac:dyDescent="0.2">
      <c r="G12323" s="199"/>
      <c r="I12323" s="199"/>
      <c r="K12323" s="199"/>
      <c r="M12323" s="199"/>
      <c r="N12323" s="200"/>
      <c r="P12323" s="199"/>
    </row>
    <row r="12324" spans="7:16" x14ac:dyDescent="0.2">
      <c r="G12324" s="199"/>
      <c r="I12324" s="199"/>
      <c r="K12324" s="199"/>
      <c r="M12324" s="199"/>
      <c r="N12324" s="200"/>
      <c r="P12324" s="199"/>
    </row>
    <row r="12325" spans="7:16" x14ac:dyDescent="0.2">
      <c r="G12325" s="199"/>
      <c r="I12325" s="199"/>
      <c r="K12325" s="199"/>
      <c r="M12325" s="199"/>
      <c r="N12325" s="200"/>
      <c r="P12325" s="199"/>
    </row>
    <row r="12326" spans="7:16" x14ac:dyDescent="0.2">
      <c r="G12326" s="199"/>
      <c r="I12326" s="199"/>
      <c r="K12326" s="199"/>
      <c r="M12326" s="199"/>
      <c r="N12326" s="200"/>
      <c r="P12326" s="199"/>
    </row>
    <row r="12327" spans="7:16" x14ac:dyDescent="0.2">
      <c r="G12327" s="199"/>
      <c r="I12327" s="199"/>
      <c r="K12327" s="199"/>
      <c r="M12327" s="199"/>
      <c r="N12327" s="200"/>
      <c r="P12327" s="199"/>
    </row>
    <row r="12328" spans="7:16" x14ac:dyDescent="0.2">
      <c r="G12328" s="199"/>
      <c r="I12328" s="199"/>
      <c r="K12328" s="199"/>
      <c r="M12328" s="199"/>
      <c r="N12328" s="200"/>
      <c r="P12328" s="199"/>
    </row>
    <row r="12329" spans="7:16" x14ac:dyDescent="0.2">
      <c r="G12329" s="199"/>
      <c r="I12329" s="199"/>
      <c r="K12329" s="199"/>
      <c r="M12329" s="199"/>
      <c r="N12329" s="200"/>
      <c r="P12329" s="199"/>
    </row>
    <row r="12330" spans="7:16" x14ac:dyDescent="0.2">
      <c r="G12330" s="199"/>
      <c r="I12330" s="199"/>
      <c r="K12330" s="199"/>
      <c r="M12330" s="199"/>
      <c r="N12330" s="200"/>
      <c r="P12330" s="199"/>
    </row>
    <row r="12331" spans="7:16" x14ac:dyDescent="0.2">
      <c r="G12331" s="199"/>
      <c r="I12331" s="199"/>
      <c r="K12331" s="199"/>
      <c r="M12331" s="199"/>
      <c r="N12331" s="200"/>
      <c r="P12331" s="199"/>
    </row>
    <row r="12332" spans="7:16" x14ac:dyDescent="0.2">
      <c r="G12332" s="199"/>
      <c r="I12332" s="199"/>
      <c r="K12332" s="199"/>
      <c r="M12332" s="199"/>
      <c r="N12332" s="200"/>
      <c r="P12332" s="199"/>
    </row>
    <row r="12333" spans="7:16" x14ac:dyDescent="0.2">
      <c r="G12333" s="199"/>
      <c r="I12333" s="199"/>
      <c r="K12333" s="199"/>
      <c r="M12333" s="199"/>
      <c r="N12333" s="200"/>
      <c r="P12333" s="199"/>
    </row>
    <row r="12334" spans="7:16" x14ac:dyDescent="0.2">
      <c r="G12334" s="199"/>
      <c r="I12334" s="199"/>
      <c r="K12334" s="199"/>
      <c r="M12334" s="199"/>
      <c r="N12334" s="200"/>
      <c r="P12334" s="199"/>
    </row>
    <row r="12335" spans="7:16" x14ac:dyDescent="0.2">
      <c r="G12335" s="199"/>
      <c r="I12335" s="199"/>
      <c r="K12335" s="199"/>
      <c r="M12335" s="199"/>
      <c r="N12335" s="200"/>
      <c r="P12335" s="199"/>
    </row>
    <row r="12336" spans="7:16" x14ac:dyDescent="0.2">
      <c r="G12336" s="199"/>
      <c r="I12336" s="199"/>
      <c r="K12336" s="199"/>
      <c r="M12336" s="199"/>
      <c r="N12336" s="200"/>
      <c r="P12336" s="199"/>
    </row>
    <row r="12337" spans="7:16" x14ac:dyDescent="0.2">
      <c r="G12337" s="199"/>
      <c r="I12337" s="199"/>
      <c r="K12337" s="199"/>
      <c r="M12337" s="199"/>
      <c r="N12337" s="200"/>
      <c r="P12337" s="199"/>
    </row>
    <row r="12338" spans="7:16" x14ac:dyDescent="0.2">
      <c r="G12338" s="199"/>
      <c r="I12338" s="199"/>
      <c r="K12338" s="199"/>
      <c r="M12338" s="199"/>
      <c r="N12338" s="200"/>
      <c r="P12338" s="199"/>
    </row>
    <row r="12339" spans="7:16" x14ac:dyDescent="0.2">
      <c r="G12339" s="199"/>
      <c r="I12339" s="199"/>
      <c r="K12339" s="199"/>
      <c r="M12339" s="199"/>
      <c r="N12339" s="200"/>
      <c r="P12339" s="199"/>
    </row>
    <row r="12340" spans="7:16" x14ac:dyDescent="0.2">
      <c r="G12340" s="199"/>
      <c r="I12340" s="199"/>
      <c r="K12340" s="199"/>
      <c r="M12340" s="199"/>
      <c r="N12340" s="200"/>
      <c r="P12340" s="199"/>
    </row>
    <row r="12341" spans="7:16" x14ac:dyDescent="0.2">
      <c r="G12341" s="199"/>
      <c r="I12341" s="199"/>
      <c r="K12341" s="199"/>
      <c r="M12341" s="199"/>
      <c r="N12341" s="200"/>
      <c r="P12341" s="199"/>
    </row>
    <row r="12342" spans="7:16" x14ac:dyDescent="0.2">
      <c r="G12342" s="199"/>
      <c r="I12342" s="199"/>
      <c r="K12342" s="199"/>
      <c r="M12342" s="199"/>
      <c r="N12342" s="200"/>
      <c r="P12342" s="199"/>
    </row>
    <row r="12343" spans="7:16" x14ac:dyDescent="0.2">
      <c r="G12343" s="199"/>
      <c r="I12343" s="199"/>
      <c r="K12343" s="199"/>
      <c r="M12343" s="199"/>
      <c r="N12343" s="200"/>
      <c r="P12343" s="199"/>
    </row>
    <row r="12344" spans="7:16" x14ac:dyDescent="0.2">
      <c r="G12344" s="199"/>
      <c r="I12344" s="199"/>
      <c r="K12344" s="199"/>
      <c r="M12344" s="199"/>
      <c r="N12344" s="200"/>
      <c r="P12344" s="199"/>
    </row>
    <row r="12345" spans="7:16" x14ac:dyDescent="0.2">
      <c r="G12345" s="199"/>
      <c r="I12345" s="199"/>
      <c r="K12345" s="199"/>
      <c r="M12345" s="199"/>
      <c r="N12345" s="200"/>
      <c r="P12345" s="199"/>
    </row>
    <row r="12346" spans="7:16" x14ac:dyDescent="0.2">
      <c r="G12346" s="199"/>
      <c r="I12346" s="199"/>
      <c r="K12346" s="199"/>
      <c r="M12346" s="199"/>
      <c r="N12346" s="200"/>
      <c r="P12346" s="199"/>
    </row>
    <row r="12347" spans="7:16" x14ac:dyDescent="0.2">
      <c r="G12347" s="199"/>
      <c r="I12347" s="199"/>
      <c r="K12347" s="199"/>
      <c r="M12347" s="199"/>
      <c r="N12347" s="200"/>
      <c r="P12347" s="199"/>
    </row>
    <row r="12348" spans="7:16" x14ac:dyDescent="0.2">
      <c r="G12348" s="199"/>
      <c r="I12348" s="199"/>
      <c r="K12348" s="199"/>
      <c r="M12348" s="199"/>
      <c r="N12348" s="200"/>
      <c r="P12348" s="199"/>
    </row>
    <row r="12349" spans="7:16" x14ac:dyDescent="0.2">
      <c r="G12349" s="199"/>
      <c r="I12349" s="199"/>
      <c r="K12349" s="199"/>
      <c r="M12349" s="199"/>
      <c r="N12349" s="200"/>
      <c r="P12349" s="199"/>
    </row>
    <row r="12350" spans="7:16" x14ac:dyDescent="0.2">
      <c r="G12350" s="199"/>
      <c r="I12350" s="199"/>
      <c r="K12350" s="199"/>
      <c r="M12350" s="199"/>
      <c r="N12350" s="200"/>
      <c r="P12350" s="199"/>
    </row>
    <row r="12351" spans="7:16" x14ac:dyDescent="0.2">
      <c r="G12351" s="199"/>
      <c r="I12351" s="199"/>
      <c r="K12351" s="199"/>
      <c r="M12351" s="199"/>
      <c r="N12351" s="200"/>
      <c r="P12351" s="199"/>
    </row>
    <row r="12352" spans="7:16" x14ac:dyDescent="0.2">
      <c r="G12352" s="199"/>
      <c r="I12352" s="199"/>
      <c r="K12352" s="199"/>
      <c r="M12352" s="199"/>
      <c r="N12352" s="200"/>
      <c r="P12352" s="199"/>
    </row>
    <row r="12353" spans="7:16" x14ac:dyDescent="0.2">
      <c r="G12353" s="199"/>
      <c r="I12353" s="199"/>
      <c r="K12353" s="199"/>
      <c r="M12353" s="199"/>
      <c r="N12353" s="200"/>
      <c r="P12353" s="199"/>
    </row>
    <row r="12354" spans="7:16" x14ac:dyDescent="0.2">
      <c r="G12354" s="199"/>
      <c r="I12354" s="199"/>
      <c r="K12354" s="199"/>
      <c r="M12354" s="199"/>
      <c r="N12354" s="200"/>
      <c r="P12354" s="199"/>
    </row>
    <row r="12355" spans="7:16" x14ac:dyDescent="0.2">
      <c r="G12355" s="199"/>
      <c r="I12355" s="199"/>
      <c r="K12355" s="199"/>
      <c r="M12355" s="199"/>
      <c r="N12355" s="200"/>
      <c r="P12355" s="199"/>
    </row>
    <row r="12356" spans="7:16" x14ac:dyDescent="0.2">
      <c r="G12356" s="199"/>
      <c r="I12356" s="199"/>
      <c r="K12356" s="199"/>
      <c r="M12356" s="199"/>
      <c r="N12356" s="200"/>
      <c r="P12356" s="199"/>
    </row>
    <row r="12357" spans="7:16" x14ac:dyDescent="0.2">
      <c r="G12357" s="199"/>
      <c r="I12357" s="199"/>
      <c r="K12357" s="199"/>
      <c r="M12357" s="199"/>
      <c r="N12357" s="200"/>
      <c r="P12357" s="199"/>
    </row>
    <row r="12358" spans="7:16" x14ac:dyDescent="0.2">
      <c r="G12358" s="199"/>
      <c r="I12358" s="199"/>
      <c r="K12358" s="199"/>
      <c r="M12358" s="199"/>
      <c r="N12358" s="200"/>
      <c r="P12358" s="199"/>
    </row>
    <row r="12359" spans="7:16" x14ac:dyDescent="0.2">
      <c r="G12359" s="199"/>
      <c r="I12359" s="199"/>
      <c r="K12359" s="199"/>
      <c r="M12359" s="199"/>
      <c r="N12359" s="200"/>
      <c r="P12359" s="199"/>
    </row>
    <row r="12360" spans="7:16" x14ac:dyDescent="0.2">
      <c r="G12360" s="199"/>
      <c r="I12360" s="199"/>
      <c r="K12360" s="199"/>
      <c r="M12360" s="199"/>
      <c r="N12360" s="200"/>
      <c r="P12360" s="199"/>
    </row>
    <row r="12361" spans="7:16" x14ac:dyDescent="0.2">
      <c r="G12361" s="199"/>
      <c r="I12361" s="199"/>
      <c r="K12361" s="199"/>
      <c r="M12361" s="199"/>
      <c r="N12361" s="200"/>
      <c r="P12361" s="199"/>
    </row>
    <row r="12362" spans="7:16" x14ac:dyDescent="0.2">
      <c r="G12362" s="199"/>
      <c r="I12362" s="199"/>
      <c r="K12362" s="199"/>
      <c r="M12362" s="199"/>
      <c r="N12362" s="200"/>
      <c r="P12362" s="199"/>
    </row>
    <row r="12363" spans="7:16" x14ac:dyDescent="0.2">
      <c r="G12363" s="199"/>
      <c r="I12363" s="199"/>
      <c r="K12363" s="199"/>
      <c r="M12363" s="199"/>
      <c r="N12363" s="200"/>
      <c r="P12363" s="199"/>
    </row>
    <row r="12364" spans="7:16" x14ac:dyDescent="0.2">
      <c r="G12364" s="199"/>
      <c r="I12364" s="199"/>
      <c r="K12364" s="199"/>
      <c r="M12364" s="199"/>
      <c r="N12364" s="200"/>
      <c r="P12364" s="199"/>
    </row>
    <row r="12365" spans="7:16" x14ac:dyDescent="0.2">
      <c r="G12365" s="199"/>
      <c r="I12365" s="199"/>
      <c r="K12365" s="199"/>
      <c r="M12365" s="199"/>
      <c r="N12365" s="200"/>
      <c r="P12365" s="199"/>
    </row>
    <row r="12366" spans="7:16" x14ac:dyDescent="0.2">
      <c r="G12366" s="199"/>
      <c r="I12366" s="199"/>
      <c r="K12366" s="199"/>
      <c r="M12366" s="199"/>
      <c r="N12366" s="200"/>
      <c r="P12366" s="199"/>
    </row>
    <row r="12367" spans="7:16" x14ac:dyDescent="0.2">
      <c r="G12367" s="199"/>
      <c r="I12367" s="199"/>
      <c r="K12367" s="199"/>
      <c r="M12367" s="199"/>
      <c r="N12367" s="200"/>
      <c r="P12367" s="199"/>
    </row>
    <row r="12368" spans="7:16" x14ac:dyDescent="0.2">
      <c r="G12368" s="199"/>
      <c r="I12368" s="199"/>
      <c r="K12368" s="199"/>
      <c r="M12368" s="199"/>
      <c r="N12368" s="200"/>
      <c r="P12368" s="199"/>
    </row>
    <row r="12369" spans="7:16" x14ac:dyDescent="0.2">
      <c r="G12369" s="199"/>
      <c r="I12369" s="199"/>
      <c r="K12369" s="199"/>
      <c r="M12369" s="199"/>
      <c r="N12369" s="200"/>
      <c r="P12369" s="199"/>
    </row>
    <row r="12370" spans="7:16" x14ac:dyDescent="0.2">
      <c r="G12370" s="199"/>
      <c r="I12370" s="199"/>
      <c r="K12370" s="199"/>
      <c r="M12370" s="199"/>
      <c r="N12370" s="200"/>
      <c r="P12370" s="199"/>
    </row>
    <row r="12371" spans="7:16" x14ac:dyDescent="0.2">
      <c r="G12371" s="199"/>
      <c r="I12371" s="199"/>
      <c r="K12371" s="199"/>
      <c r="M12371" s="199"/>
      <c r="N12371" s="200"/>
      <c r="P12371" s="199"/>
    </row>
    <row r="12372" spans="7:16" x14ac:dyDescent="0.2">
      <c r="G12372" s="199"/>
      <c r="I12372" s="199"/>
      <c r="K12372" s="199"/>
      <c r="M12372" s="199"/>
      <c r="N12372" s="200"/>
      <c r="P12372" s="199"/>
    </row>
    <row r="12373" spans="7:16" x14ac:dyDescent="0.2">
      <c r="G12373" s="199"/>
      <c r="I12373" s="199"/>
      <c r="K12373" s="199"/>
      <c r="M12373" s="199"/>
      <c r="N12373" s="200"/>
      <c r="P12373" s="199"/>
    </row>
    <row r="12374" spans="7:16" x14ac:dyDescent="0.2">
      <c r="G12374" s="199"/>
      <c r="I12374" s="199"/>
      <c r="K12374" s="199"/>
      <c r="M12374" s="199"/>
      <c r="N12374" s="200"/>
      <c r="P12374" s="199"/>
    </row>
    <row r="12375" spans="7:16" x14ac:dyDescent="0.2">
      <c r="G12375" s="199"/>
      <c r="I12375" s="199"/>
      <c r="K12375" s="199"/>
      <c r="M12375" s="199"/>
      <c r="N12375" s="200"/>
      <c r="P12375" s="199"/>
    </row>
    <row r="12376" spans="7:16" x14ac:dyDescent="0.2">
      <c r="G12376" s="199"/>
      <c r="I12376" s="199"/>
      <c r="K12376" s="199"/>
      <c r="M12376" s="199"/>
      <c r="N12376" s="200"/>
      <c r="P12376" s="199"/>
    </row>
    <row r="12377" spans="7:16" x14ac:dyDescent="0.2">
      <c r="G12377" s="199"/>
      <c r="I12377" s="199"/>
      <c r="K12377" s="199"/>
      <c r="M12377" s="199"/>
      <c r="N12377" s="200"/>
      <c r="P12377" s="199"/>
    </row>
    <row r="12378" spans="7:16" x14ac:dyDescent="0.2">
      <c r="G12378" s="199"/>
      <c r="I12378" s="199"/>
      <c r="K12378" s="199"/>
      <c r="M12378" s="199"/>
      <c r="N12378" s="200"/>
      <c r="P12378" s="199"/>
    </row>
    <row r="12379" spans="7:16" x14ac:dyDescent="0.2">
      <c r="G12379" s="199"/>
      <c r="I12379" s="199"/>
      <c r="K12379" s="199"/>
      <c r="M12379" s="199"/>
      <c r="N12379" s="200"/>
      <c r="P12379" s="199"/>
    </row>
    <row r="12380" spans="7:16" x14ac:dyDescent="0.2">
      <c r="G12380" s="199"/>
      <c r="I12380" s="199"/>
      <c r="K12380" s="199"/>
      <c r="M12380" s="199"/>
      <c r="N12380" s="200"/>
      <c r="P12380" s="199"/>
    </row>
    <row r="12381" spans="7:16" x14ac:dyDescent="0.2">
      <c r="G12381" s="199"/>
      <c r="I12381" s="199"/>
      <c r="K12381" s="199"/>
      <c r="M12381" s="199"/>
      <c r="N12381" s="200"/>
      <c r="P12381" s="199"/>
    </row>
    <row r="12382" spans="7:16" x14ac:dyDescent="0.2">
      <c r="G12382" s="199"/>
      <c r="I12382" s="199"/>
      <c r="K12382" s="199"/>
      <c r="M12382" s="199"/>
      <c r="N12382" s="200"/>
      <c r="P12382" s="199"/>
    </row>
    <row r="12383" spans="7:16" x14ac:dyDescent="0.2">
      <c r="G12383" s="199"/>
      <c r="I12383" s="199"/>
      <c r="K12383" s="199"/>
      <c r="M12383" s="199"/>
      <c r="N12383" s="200"/>
      <c r="P12383" s="199"/>
    </row>
    <row r="12384" spans="7:16" x14ac:dyDescent="0.2">
      <c r="G12384" s="199"/>
      <c r="I12384" s="199"/>
      <c r="K12384" s="199"/>
      <c r="M12384" s="199"/>
      <c r="N12384" s="200"/>
      <c r="P12384" s="199"/>
    </row>
    <row r="12385" spans="7:16" x14ac:dyDescent="0.2">
      <c r="G12385" s="199"/>
      <c r="I12385" s="199"/>
      <c r="K12385" s="199"/>
      <c r="M12385" s="199"/>
      <c r="N12385" s="200"/>
      <c r="P12385" s="199"/>
    </row>
    <row r="12386" spans="7:16" x14ac:dyDescent="0.2">
      <c r="G12386" s="199"/>
      <c r="I12386" s="199"/>
      <c r="K12386" s="199"/>
      <c r="M12386" s="199"/>
      <c r="N12386" s="200"/>
      <c r="P12386" s="199"/>
    </row>
    <row r="12387" spans="7:16" x14ac:dyDescent="0.2">
      <c r="G12387" s="199"/>
      <c r="I12387" s="199"/>
      <c r="K12387" s="199"/>
      <c r="M12387" s="199"/>
      <c r="N12387" s="200"/>
      <c r="P12387" s="199"/>
    </row>
    <row r="12388" spans="7:16" x14ac:dyDescent="0.2">
      <c r="G12388" s="199"/>
      <c r="I12388" s="199"/>
      <c r="K12388" s="199"/>
      <c r="M12388" s="199"/>
      <c r="N12388" s="200"/>
      <c r="P12388" s="199"/>
    </row>
    <row r="12389" spans="7:16" x14ac:dyDescent="0.2">
      <c r="G12389" s="199"/>
      <c r="I12389" s="199"/>
      <c r="K12389" s="199"/>
      <c r="M12389" s="199"/>
      <c r="N12389" s="200"/>
      <c r="P12389" s="199"/>
    </row>
    <row r="12390" spans="7:16" x14ac:dyDescent="0.2">
      <c r="G12390" s="199"/>
      <c r="I12390" s="199"/>
      <c r="K12390" s="199"/>
      <c r="M12390" s="199"/>
      <c r="N12390" s="200"/>
      <c r="P12390" s="199"/>
    </row>
    <row r="12391" spans="7:16" x14ac:dyDescent="0.2">
      <c r="G12391" s="199"/>
      <c r="I12391" s="199"/>
      <c r="K12391" s="199"/>
      <c r="M12391" s="199"/>
      <c r="N12391" s="200"/>
      <c r="P12391" s="199"/>
    </row>
    <row r="12392" spans="7:16" x14ac:dyDescent="0.2">
      <c r="G12392" s="199"/>
      <c r="I12392" s="199"/>
      <c r="K12392" s="199"/>
      <c r="M12392" s="199"/>
      <c r="N12392" s="200"/>
      <c r="P12392" s="199"/>
    </row>
    <row r="12393" spans="7:16" x14ac:dyDescent="0.2">
      <c r="G12393" s="199"/>
      <c r="I12393" s="199"/>
      <c r="K12393" s="199"/>
      <c r="M12393" s="199"/>
      <c r="N12393" s="200"/>
      <c r="P12393" s="199"/>
    </row>
    <row r="12394" spans="7:16" x14ac:dyDescent="0.2">
      <c r="G12394" s="199"/>
      <c r="I12394" s="199"/>
      <c r="K12394" s="199"/>
      <c r="M12394" s="199"/>
      <c r="N12394" s="200"/>
      <c r="P12394" s="199"/>
    </row>
    <row r="12395" spans="7:16" x14ac:dyDescent="0.2">
      <c r="G12395" s="199"/>
      <c r="I12395" s="199"/>
      <c r="K12395" s="199"/>
      <c r="M12395" s="199"/>
      <c r="N12395" s="200"/>
      <c r="P12395" s="199"/>
    </row>
    <row r="12396" spans="7:16" x14ac:dyDescent="0.2">
      <c r="G12396" s="199"/>
      <c r="I12396" s="199"/>
      <c r="K12396" s="199"/>
      <c r="M12396" s="199"/>
      <c r="N12396" s="200"/>
      <c r="P12396" s="199"/>
    </row>
    <row r="12397" spans="7:16" x14ac:dyDescent="0.2">
      <c r="G12397" s="199"/>
      <c r="I12397" s="199"/>
      <c r="K12397" s="199"/>
      <c r="M12397" s="199"/>
      <c r="N12397" s="200"/>
      <c r="P12397" s="199"/>
    </row>
    <row r="12398" spans="7:16" x14ac:dyDescent="0.2">
      <c r="G12398" s="199"/>
      <c r="I12398" s="199"/>
      <c r="K12398" s="199"/>
      <c r="M12398" s="199"/>
      <c r="N12398" s="200"/>
      <c r="P12398" s="199"/>
    </row>
    <row r="12399" spans="7:16" x14ac:dyDescent="0.2">
      <c r="G12399" s="199"/>
      <c r="I12399" s="199"/>
      <c r="K12399" s="199"/>
      <c r="M12399" s="199"/>
      <c r="N12399" s="200"/>
      <c r="P12399" s="199"/>
    </row>
    <row r="12400" spans="7:16" x14ac:dyDescent="0.2">
      <c r="G12400" s="199"/>
      <c r="I12400" s="199"/>
      <c r="K12400" s="199"/>
      <c r="M12400" s="199"/>
      <c r="N12400" s="200"/>
      <c r="P12400" s="199"/>
    </row>
    <row r="12401" spans="7:16" x14ac:dyDescent="0.2">
      <c r="G12401" s="199"/>
      <c r="I12401" s="199"/>
      <c r="K12401" s="199"/>
      <c r="M12401" s="199"/>
      <c r="N12401" s="200"/>
      <c r="P12401" s="199"/>
    </row>
    <row r="12402" spans="7:16" x14ac:dyDescent="0.2">
      <c r="G12402" s="199"/>
      <c r="I12402" s="199"/>
      <c r="K12402" s="199"/>
      <c r="M12402" s="199"/>
      <c r="N12402" s="200"/>
      <c r="P12402" s="199"/>
    </row>
    <row r="12403" spans="7:16" x14ac:dyDescent="0.2">
      <c r="G12403" s="199"/>
      <c r="I12403" s="199"/>
      <c r="K12403" s="199"/>
      <c r="M12403" s="199"/>
      <c r="N12403" s="200"/>
      <c r="P12403" s="199"/>
    </row>
    <row r="12404" spans="7:16" x14ac:dyDescent="0.2">
      <c r="G12404" s="199"/>
      <c r="I12404" s="199"/>
      <c r="K12404" s="199"/>
      <c r="M12404" s="199"/>
      <c r="N12404" s="200"/>
      <c r="P12404" s="199"/>
    </row>
    <row r="12405" spans="7:16" x14ac:dyDescent="0.2">
      <c r="G12405" s="199"/>
      <c r="I12405" s="199"/>
      <c r="K12405" s="199"/>
      <c r="M12405" s="199"/>
      <c r="N12405" s="200"/>
      <c r="P12405" s="199"/>
    </row>
    <row r="12406" spans="7:16" x14ac:dyDescent="0.2">
      <c r="G12406" s="199"/>
      <c r="I12406" s="199"/>
      <c r="K12406" s="199"/>
      <c r="M12406" s="199"/>
      <c r="N12406" s="200"/>
      <c r="P12406" s="199"/>
    </row>
    <row r="12407" spans="7:16" x14ac:dyDescent="0.2">
      <c r="G12407" s="199"/>
      <c r="I12407" s="199"/>
      <c r="K12407" s="199"/>
      <c r="M12407" s="199"/>
      <c r="N12407" s="200"/>
      <c r="P12407" s="199"/>
    </row>
    <row r="12408" spans="7:16" x14ac:dyDescent="0.2">
      <c r="G12408" s="199"/>
      <c r="I12408" s="199"/>
      <c r="K12408" s="199"/>
      <c r="M12408" s="199"/>
      <c r="N12408" s="200"/>
      <c r="P12408" s="199"/>
    </row>
    <row r="12409" spans="7:16" x14ac:dyDescent="0.2">
      <c r="G12409" s="199"/>
      <c r="I12409" s="199"/>
      <c r="K12409" s="199"/>
      <c r="M12409" s="199"/>
      <c r="N12409" s="200"/>
      <c r="P12409" s="199"/>
    </row>
    <row r="12410" spans="7:16" x14ac:dyDescent="0.2">
      <c r="G12410" s="199"/>
      <c r="I12410" s="199"/>
      <c r="K12410" s="199"/>
      <c r="M12410" s="199"/>
      <c r="N12410" s="200"/>
      <c r="P12410" s="199"/>
    </row>
    <row r="12411" spans="7:16" x14ac:dyDescent="0.2">
      <c r="G12411" s="199"/>
      <c r="I12411" s="199"/>
      <c r="K12411" s="199"/>
      <c r="M12411" s="199"/>
      <c r="N12411" s="200"/>
      <c r="P12411" s="199"/>
    </row>
    <row r="12412" spans="7:16" x14ac:dyDescent="0.2">
      <c r="G12412" s="199"/>
      <c r="I12412" s="199"/>
      <c r="K12412" s="199"/>
      <c r="M12412" s="199"/>
      <c r="N12412" s="200"/>
      <c r="P12412" s="199"/>
    </row>
    <row r="12413" spans="7:16" x14ac:dyDescent="0.2">
      <c r="G12413" s="199"/>
      <c r="I12413" s="199"/>
      <c r="K12413" s="199"/>
      <c r="M12413" s="199"/>
      <c r="N12413" s="200"/>
      <c r="P12413" s="199"/>
    </row>
    <row r="12414" spans="7:16" x14ac:dyDescent="0.2">
      <c r="G12414" s="199"/>
      <c r="I12414" s="199"/>
      <c r="K12414" s="199"/>
      <c r="M12414" s="199"/>
      <c r="N12414" s="200"/>
      <c r="P12414" s="199"/>
    </row>
    <row r="12415" spans="7:16" x14ac:dyDescent="0.2">
      <c r="G12415" s="199"/>
      <c r="I12415" s="199"/>
      <c r="K12415" s="199"/>
      <c r="M12415" s="199"/>
      <c r="N12415" s="200"/>
      <c r="P12415" s="199"/>
    </row>
    <row r="12416" spans="7:16" x14ac:dyDescent="0.2">
      <c r="G12416" s="199"/>
      <c r="I12416" s="199"/>
      <c r="K12416" s="199"/>
      <c r="M12416" s="199"/>
      <c r="N12416" s="200"/>
      <c r="P12416" s="199"/>
    </row>
    <row r="12417" spans="7:16" x14ac:dyDescent="0.2">
      <c r="G12417" s="199"/>
      <c r="I12417" s="199"/>
      <c r="K12417" s="199"/>
      <c r="M12417" s="199"/>
      <c r="N12417" s="200"/>
      <c r="P12417" s="199"/>
    </row>
    <row r="12418" spans="7:16" x14ac:dyDescent="0.2">
      <c r="G12418" s="199"/>
      <c r="I12418" s="199"/>
      <c r="K12418" s="199"/>
      <c r="M12418" s="199"/>
      <c r="N12418" s="200"/>
      <c r="P12418" s="199"/>
    </row>
    <row r="12419" spans="7:16" x14ac:dyDescent="0.2">
      <c r="G12419" s="199"/>
      <c r="I12419" s="199"/>
      <c r="K12419" s="199"/>
      <c r="M12419" s="199"/>
      <c r="N12419" s="200"/>
      <c r="P12419" s="199"/>
    </row>
    <row r="12420" spans="7:16" x14ac:dyDescent="0.2">
      <c r="G12420" s="199"/>
      <c r="I12420" s="199"/>
      <c r="K12420" s="199"/>
      <c r="M12420" s="199"/>
      <c r="N12420" s="200"/>
      <c r="P12420" s="199"/>
    </row>
    <row r="12421" spans="7:16" x14ac:dyDescent="0.2">
      <c r="G12421" s="199"/>
      <c r="I12421" s="199"/>
      <c r="K12421" s="199"/>
      <c r="M12421" s="199"/>
      <c r="N12421" s="200"/>
      <c r="P12421" s="199"/>
    </row>
    <row r="12422" spans="7:16" x14ac:dyDescent="0.2">
      <c r="G12422" s="199"/>
      <c r="I12422" s="199"/>
      <c r="K12422" s="199"/>
      <c r="M12422" s="199"/>
      <c r="N12422" s="200"/>
      <c r="P12422" s="199"/>
    </row>
    <row r="12423" spans="7:16" x14ac:dyDescent="0.2">
      <c r="G12423" s="199"/>
      <c r="I12423" s="199"/>
      <c r="K12423" s="199"/>
      <c r="M12423" s="199"/>
      <c r="N12423" s="200"/>
      <c r="P12423" s="199"/>
    </row>
    <row r="12424" spans="7:16" x14ac:dyDescent="0.2">
      <c r="G12424" s="199"/>
      <c r="I12424" s="199"/>
      <c r="K12424" s="199"/>
      <c r="M12424" s="199"/>
      <c r="N12424" s="200"/>
      <c r="P12424" s="199"/>
    </row>
    <row r="12425" spans="7:16" x14ac:dyDescent="0.2">
      <c r="G12425" s="199"/>
      <c r="I12425" s="199"/>
      <c r="K12425" s="199"/>
      <c r="M12425" s="199"/>
      <c r="N12425" s="200"/>
      <c r="P12425" s="199"/>
    </row>
    <row r="12426" spans="7:16" x14ac:dyDescent="0.2">
      <c r="G12426" s="199"/>
      <c r="I12426" s="199"/>
      <c r="K12426" s="199"/>
      <c r="M12426" s="199"/>
      <c r="N12426" s="200"/>
      <c r="P12426" s="199"/>
    </row>
    <row r="12427" spans="7:16" x14ac:dyDescent="0.2">
      <c r="G12427" s="199"/>
      <c r="I12427" s="199"/>
      <c r="K12427" s="199"/>
      <c r="M12427" s="199"/>
      <c r="N12427" s="200"/>
      <c r="P12427" s="199"/>
    </row>
    <row r="12428" spans="7:16" x14ac:dyDescent="0.2">
      <c r="G12428" s="199"/>
      <c r="I12428" s="199"/>
      <c r="K12428" s="199"/>
      <c r="M12428" s="199"/>
      <c r="N12428" s="200"/>
      <c r="P12428" s="199"/>
    </row>
    <row r="12429" spans="7:16" x14ac:dyDescent="0.2">
      <c r="G12429" s="199"/>
      <c r="I12429" s="199"/>
      <c r="K12429" s="199"/>
      <c r="M12429" s="199"/>
      <c r="N12429" s="200"/>
      <c r="P12429" s="199"/>
    </row>
    <row r="12430" spans="7:16" x14ac:dyDescent="0.2">
      <c r="G12430" s="199"/>
      <c r="I12430" s="199"/>
      <c r="K12430" s="199"/>
      <c r="M12430" s="199"/>
      <c r="N12430" s="200"/>
      <c r="P12430" s="199"/>
    </row>
    <row r="12431" spans="7:16" x14ac:dyDescent="0.2">
      <c r="G12431" s="199"/>
      <c r="I12431" s="199"/>
      <c r="K12431" s="199"/>
      <c r="M12431" s="199"/>
      <c r="N12431" s="200"/>
      <c r="P12431" s="199"/>
    </row>
    <row r="12432" spans="7:16" x14ac:dyDescent="0.2">
      <c r="G12432" s="199"/>
      <c r="I12432" s="199"/>
      <c r="K12432" s="199"/>
      <c r="M12432" s="199"/>
      <c r="N12432" s="200"/>
      <c r="P12432" s="199"/>
    </row>
    <row r="12433" spans="7:16" x14ac:dyDescent="0.2">
      <c r="G12433" s="199"/>
      <c r="I12433" s="199"/>
      <c r="K12433" s="199"/>
      <c r="M12433" s="199"/>
      <c r="N12433" s="200"/>
      <c r="P12433" s="199"/>
    </row>
    <row r="12434" spans="7:16" x14ac:dyDescent="0.2">
      <c r="G12434" s="199"/>
      <c r="I12434" s="199"/>
      <c r="K12434" s="199"/>
      <c r="M12434" s="199"/>
      <c r="N12434" s="200"/>
      <c r="P12434" s="199"/>
    </row>
    <row r="12435" spans="7:16" x14ac:dyDescent="0.2">
      <c r="G12435" s="199"/>
      <c r="I12435" s="199"/>
      <c r="K12435" s="199"/>
      <c r="M12435" s="199"/>
      <c r="N12435" s="200"/>
      <c r="P12435" s="199"/>
    </row>
    <row r="12436" spans="7:16" x14ac:dyDescent="0.2">
      <c r="G12436" s="199"/>
      <c r="I12436" s="199"/>
      <c r="K12436" s="199"/>
      <c r="M12436" s="199"/>
      <c r="N12436" s="200"/>
      <c r="P12436" s="199"/>
    </row>
    <row r="12437" spans="7:16" x14ac:dyDescent="0.2">
      <c r="G12437" s="199"/>
      <c r="I12437" s="199"/>
      <c r="K12437" s="199"/>
      <c r="M12437" s="199"/>
      <c r="N12437" s="200"/>
      <c r="P12437" s="199"/>
    </row>
    <row r="12438" spans="7:16" x14ac:dyDescent="0.2">
      <c r="G12438" s="199"/>
      <c r="I12438" s="199"/>
      <c r="K12438" s="199"/>
      <c r="M12438" s="199"/>
      <c r="N12438" s="200"/>
      <c r="P12438" s="199"/>
    </row>
    <row r="12439" spans="7:16" x14ac:dyDescent="0.2">
      <c r="G12439" s="199"/>
      <c r="I12439" s="199"/>
      <c r="K12439" s="199"/>
      <c r="M12439" s="199"/>
      <c r="N12439" s="200"/>
      <c r="P12439" s="199"/>
    </row>
    <row r="12440" spans="7:16" x14ac:dyDescent="0.2">
      <c r="G12440" s="199"/>
      <c r="I12440" s="199"/>
      <c r="K12440" s="199"/>
      <c r="M12440" s="199"/>
      <c r="N12440" s="200"/>
      <c r="P12440" s="199"/>
    </row>
    <row r="12441" spans="7:16" x14ac:dyDescent="0.2">
      <c r="G12441" s="199"/>
      <c r="I12441" s="199"/>
      <c r="K12441" s="199"/>
      <c r="M12441" s="199"/>
      <c r="N12441" s="200"/>
      <c r="P12441" s="199"/>
    </row>
    <row r="12442" spans="7:16" x14ac:dyDescent="0.2">
      <c r="G12442" s="199"/>
      <c r="I12442" s="199"/>
      <c r="K12442" s="199"/>
      <c r="M12442" s="199"/>
      <c r="N12442" s="200"/>
      <c r="P12442" s="199"/>
    </row>
    <row r="12443" spans="7:16" x14ac:dyDescent="0.2">
      <c r="G12443" s="199"/>
      <c r="I12443" s="199"/>
      <c r="K12443" s="199"/>
      <c r="M12443" s="199"/>
      <c r="N12443" s="200"/>
      <c r="P12443" s="199"/>
    </row>
    <row r="12444" spans="7:16" x14ac:dyDescent="0.2">
      <c r="G12444" s="199"/>
      <c r="I12444" s="199"/>
      <c r="K12444" s="199"/>
      <c r="M12444" s="199"/>
      <c r="N12444" s="200"/>
      <c r="P12444" s="199"/>
    </row>
    <row r="12445" spans="7:16" x14ac:dyDescent="0.2">
      <c r="G12445" s="199"/>
      <c r="I12445" s="199"/>
      <c r="K12445" s="199"/>
      <c r="M12445" s="199"/>
      <c r="N12445" s="200"/>
      <c r="P12445" s="199"/>
    </row>
    <row r="12446" spans="7:16" x14ac:dyDescent="0.2">
      <c r="G12446" s="199"/>
      <c r="I12446" s="199"/>
      <c r="K12446" s="199"/>
      <c r="M12446" s="199"/>
      <c r="N12446" s="200"/>
      <c r="P12446" s="199"/>
    </row>
    <row r="12447" spans="7:16" x14ac:dyDescent="0.2">
      <c r="G12447" s="199"/>
      <c r="I12447" s="199"/>
      <c r="K12447" s="199"/>
      <c r="M12447" s="199"/>
      <c r="N12447" s="200"/>
      <c r="P12447" s="199"/>
    </row>
    <row r="12448" spans="7:16" x14ac:dyDescent="0.2">
      <c r="G12448" s="199"/>
      <c r="I12448" s="199"/>
      <c r="K12448" s="199"/>
      <c r="M12448" s="199"/>
      <c r="N12448" s="200"/>
      <c r="P12448" s="199"/>
    </row>
    <row r="12449" spans="7:16" x14ac:dyDescent="0.2">
      <c r="G12449" s="199"/>
      <c r="I12449" s="199"/>
      <c r="K12449" s="199"/>
      <c r="M12449" s="199"/>
      <c r="N12449" s="200"/>
      <c r="P12449" s="199"/>
    </row>
    <row r="12450" spans="7:16" x14ac:dyDescent="0.2">
      <c r="G12450" s="199"/>
      <c r="I12450" s="199"/>
      <c r="K12450" s="199"/>
      <c r="M12450" s="199"/>
      <c r="N12450" s="200"/>
      <c r="P12450" s="199"/>
    </row>
    <row r="12451" spans="7:16" x14ac:dyDescent="0.2">
      <c r="G12451" s="199"/>
      <c r="I12451" s="199"/>
      <c r="K12451" s="199"/>
      <c r="M12451" s="199"/>
      <c r="N12451" s="200"/>
      <c r="P12451" s="199"/>
    </row>
    <row r="12452" spans="7:16" x14ac:dyDescent="0.2">
      <c r="G12452" s="199"/>
      <c r="I12452" s="199"/>
      <c r="K12452" s="199"/>
      <c r="M12452" s="199"/>
      <c r="N12452" s="200"/>
      <c r="P12452" s="199"/>
    </row>
    <row r="12453" spans="7:16" x14ac:dyDescent="0.2">
      <c r="G12453" s="199"/>
      <c r="I12453" s="199"/>
      <c r="K12453" s="199"/>
      <c r="M12453" s="199"/>
      <c r="N12453" s="200"/>
      <c r="P12453" s="199"/>
    </row>
    <row r="12454" spans="7:16" x14ac:dyDescent="0.2">
      <c r="G12454" s="199"/>
      <c r="I12454" s="199"/>
      <c r="K12454" s="199"/>
      <c r="M12454" s="199"/>
      <c r="N12454" s="200"/>
      <c r="P12454" s="199"/>
    </row>
    <row r="12455" spans="7:16" x14ac:dyDescent="0.2">
      <c r="G12455" s="199"/>
      <c r="I12455" s="199"/>
      <c r="K12455" s="199"/>
      <c r="M12455" s="199"/>
      <c r="N12455" s="200"/>
      <c r="P12455" s="199"/>
    </row>
    <row r="12456" spans="7:16" x14ac:dyDescent="0.2">
      <c r="G12456" s="199"/>
      <c r="I12456" s="199"/>
      <c r="K12456" s="199"/>
      <c r="M12456" s="199"/>
      <c r="N12456" s="200"/>
      <c r="P12456" s="199"/>
    </row>
    <row r="12457" spans="7:16" x14ac:dyDescent="0.2">
      <c r="G12457" s="199"/>
      <c r="I12457" s="199"/>
      <c r="K12457" s="199"/>
      <c r="M12457" s="199"/>
      <c r="N12457" s="200"/>
      <c r="P12457" s="199"/>
    </row>
    <row r="12458" spans="7:16" x14ac:dyDescent="0.2">
      <c r="G12458" s="199"/>
      <c r="I12458" s="199"/>
      <c r="K12458" s="199"/>
      <c r="M12458" s="199"/>
      <c r="N12458" s="200"/>
      <c r="P12458" s="199"/>
    </row>
    <row r="12459" spans="7:16" x14ac:dyDescent="0.2">
      <c r="G12459" s="199"/>
      <c r="I12459" s="199"/>
      <c r="K12459" s="199"/>
      <c r="M12459" s="199"/>
      <c r="N12459" s="200"/>
      <c r="P12459" s="199"/>
    </row>
    <row r="12460" spans="7:16" x14ac:dyDescent="0.2">
      <c r="G12460" s="199"/>
      <c r="I12460" s="199"/>
      <c r="K12460" s="199"/>
      <c r="M12460" s="199"/>
      <c r="N12460" s="200"/>
      <c r="P12460" s="199"/>
    </row>
    <row r="12461" spans="7:16" x14ac:dyDescent="0.2">
      <c r="G12461" s="199"/>
      <c r="I12461" s="199"/>
      <c r="K12461" s="199"/>
      <c r="M12461" s="199"/>
      <c r="N12461" s="200"/>
      <c r="P12461" s="199"/>
    </row>
    <row r="12462" spans="7:16" x14ac:dyDescent="0.2">
      <c r="G12462" s="199"/>
      <c r="I12462" s="199"/>
      <c r="K12462" s="199"/>
      <c r="M12462" s="199"/>
      <c r="N12462" s="200"/>
      <c r="P12462" s="199"/>
    </row>
    <row r="12463" spans="7:16" x14ac:dyDescent="0.2">
      <c r="G12463" s="199"/>
      <c r="I12463" s="199"/>
      <c r="K12463" s="199"/>
      <c r="M12463" s="199"/>
      <c r="N12463" s="200"/>
      <c r="P12463" s="199"/>
    </row>
    <row r="12464" spans="7:16" x14ac:dyDescent="0.2">
      <c r="G12464" s="199"/>
      <c r="I12464" s="199"/>
      <c r="K12464" s="199"/>
      <c r="M12464" s="199"/>
      <c r="N12464" s="200"/>
      <c r="P12464" s="199"/>
    </row>
    <row r="12465" spans="7:16" x14ac:dyDescent="0.2">
      <c r="G12465" s="199"/>
      <c r="I12465" s="199"/>
      <c r="K12465" s="199"/>
      <c r="M12465" s="199"/>
      <c r="N12465" s="200"/>
      <c r="P12465" s="199"/>
    </row>
    <row r="12466" spans="7:16" x14ac:dyDescent="0.2">
      <c r="G12466" s="199"/>
      <c r="I12466" s="199"/>
      <c r="K12466" s="199"/>
      <c r="M12466" s="199"/>
      <c r="N12466" s="200"/>
      <c r="P12466" s="199"/>
    </row>
    <row r="12467" spans="7:16" x14ac:dyDescent="0.2">
      <c r="G12467" s="199"/>
      <c r="I12467" s="199"/>
      <c r="K12467" s="199"/>
      <c r="M12467" s="199"/>
      <c r="N12467" s="200"/>
      <c r="P12467" s="199"/>
    </row>
    <row r="12468" spans="7:16" x14ac:dyDescent="0.2">
      <c r="G12468" s="199"/>
      <c r="I12468" s="199"/>
      <c r="K12468" s="199"/>
      <c r="M12468" s="199"/>
      <c r="N12468" s="200"/>
      <c r="P12468" s="199"/>
    </row>
    <row r="12469" spans="7:16" x14ac:dyDescent="0.2">
      <c r="G12469" s="199"/>
      <c r="I12469" s="199"/>
      <c r="K12469" s="199"/>
      <c r="M12469" s="199"/>
      <c r="N12469" s="200"/>
      <c r="P12469" s="199"/>
    </row>
    <row r="12470" spans="7:16" x14ac:dyDescent="0.2">
      <c r="G12470" s="199"/>
      <c r="I12470" s="199"/>
      <c r="K12470" s="199"/>
      <c r="M12470" s="199"/>
      <c r="N12470" s="200"/>
      <c r="P12470" s="199"/>
    </row>
    <row r="12471" spans="7:16" x14ac:dyDescent="0.2">
      <c r="G12471" s="199"/>
      <c r="I12471" s="199"/>
      <c r="K12471" s="199"/>
      <c r="M12471" s="199"/>
      <c r="N12471" s="200"/>
      <c r="P12471" s="199"/>
    </row>
    <row r="12472" spans="7:16" x14ac:dyDescent="0.2">
      <c r="G12472" s="199"/>
      <c r="I12472" s="199"/>
      <c r="K12472" s="199"/>
      <c r="M12472" s="199"/>
      <c r="N12472" s="200"/>
      <c r="P12472" s="199"/>
    </row>
    <row r="12473" spans="7:16" x14ac:dyDescent="0.2">
      <c r="G12473" s="199"/>
      <c r="I12473" s="199"/>
      <c r="K12473" s="199"/>
      <c r="M12473" s="199"/>
      <c r="N12473" s="200"/>
      <c r="P12473" s="199"/>
    </row>
    <row r="12474" spans="7:16" x14ac:dyDescent="0.2">
      <c r="G12474" s="199"/>
      <c r="I12474" s="199"/>
      <c r="K12474" s="199"/>
      <c r="M12474" s="199"/>
      <c r="N12474" s="200"/>
      <c r="P12474" s="199"/>
    </row>
    <row r="12475" spans="7:16" x14ac:dyDescent="0.2">
      <c r="G12475" s="199"/>
      <c r="I12475" s="199"/>
      <c r="K12475" s="199"/>
      <c r="M12475" s="199"/>
      <c r="N12475" s="200"/>
      <c r="P12475" s="199"/>
    </row>
    <row r="12476" spans="7:16" x14ac:dyDescent="0.2">
      <c r="G12476" s="199"/>
      <c r="I12476" s="199"/>
      <c r="K12476" s="199"/>
      <c r="M12476" s="199"/>
      <c r="N12476" s="200"/>
      <c r="P12476" s="199"/>
    </row>
    <row r="12477" spans="7:16" x14ac:dyDescent="0.2">
      <c r="G12477" s="199"/>
      <c r="I12477" s="199"/>
      <c r="K12477" s="199"/>
      <c r="M12477" s="199"/>
      <c r="N12477" s="200"/>
      <c r="P12477" s="199"/>
    </row>
    <row r="12478" spans="7:16" x14ac:dyDescent="0.2">
      <c r="G12478" s="199"/>
      <c r="I12478" s="199"/>
      <c r="K12478" s="199"/>
      <c r="M12478" s="199"/>
      <c r="N12478" s="200"/>
      <c r="P12478" s="199"/>
    </row>
    <row r="12479" spans="7:16" x14ac:dyDescent="0.2">
      <c r="G12479" s="199"/>
      <c r="I12479" s="199"/>
      <c r="K12479" s="199"/>
      <c r="M12479" s="199"/>
      <c r="N12479" s="200"/>
      <c r="P12479" s="199"/>
    </row>
    <row r="12480" spans="7:16" x14ac:dyDescent="0.2">
      <c r="G12480" s="199"/>
      <c r="I12480" s="199"/>
      <c r="K12480" s="199"/>
      <c r="M12480" s="199"/>
      <c r="N12480" s="200"/>
      <c r="P12480" s="199"/>
    </row>
    <row r="12481" spans="7:16" x14ac:dyDescent="0.2">
      <c r="G12481" s="199"/>
      <c r="I12481" s="199"/>
      <c r="K12481" s="199"/>
      <c r="M12481" s="199"/>
      <c r="N12481" s="200"/>
      <c r="P12481" s="199"/>
    </row>
    <row r="12482" spans="7:16" x14ac:dyDescent="0.2">
      <c r="G12482" s="199"/>
      <c r="I12482" s="199"/>
      <c r="K12482" s="199"/>
      <c r="M12482" s="199"/>
      <c r="N12482" s="200"/>
      <c r="P12482" s="199"/>
    </row>
    <row r="12483" spans="7:16" x14ac:dyDescent="0.2">
      <c r="G12483" s="199"/>
      <c r="I12483" s="199"/>
      <c r="K12483" s="199"/>
      <c r="M12483" s="199"/>
      <c r="N12483" s="200"/>
      <c r="P12483" s="199"/>
    </row>
    <row r="12484" spans="7:16" x14ac:dyDescent="0.2">
      <c r="G12484" s="199"/>
      <c r="I12484" s="199"/>
      <c r="K12484" s="199"/>
      <c r="M12484" s="199"/>
      <c r="N12484" s="200"/>
      <c r="P12484" s="199"/>
    </row>
    <row r="12485" spans="7:16" x14ac:dyDescent="0.2">
      <c r="G12485" s="199"/>
      <c r="I12485" s="199"/>
      <c r="K12485" s="199"/>
      <c r="M12485" s="199"/>
      <c r="N12485" s="200"/>
      <c r="P12485" s="199"/>
    </row>
    <row r="12486" spans="7:16" x14ac:dyDescent="0.2">
      <c r="G12486" s="199"/>
      <c r="I12486" s="199"/>
      <c r="K12486" s="199"/>
      <c r="M12486" s="199"/>
      <c r="N12486" s="200"/>
      <c r="P12486" s="199"/>
    </row>
    <row r="12487" spans="7:16" x14ac:dyDescent="0.2">
      <c r="G12487" s="199"/>
      <c r="I12487" s="199"/>
      <c r="K12487" s="199"/>
      <c r="M12487" s="199"/>
      <c r="N12487" s="200"/>
      <c r="P12487" s="199"/>
    </row>
    <row r="12488" spans="7:16" x14ac:dyDescent="0.2">
      <c r="G12488" s="199"/>
      <c r="I12488" s="199"/>
      <c r="K12488" s="199"/>
      <c r="M12488" s="199"/>
      <c r="N12488" s="200"/>
      <c r="P12488" s="199"/>
    </row>
    <row r="12489" spans="7:16" x14ac:dyDescent="0.2">
      <c r="G12489" s="199"/>
      <c r="I12489" s="199"/>
      <c r="K12489" s="199"/>
      <c r="M12489" s="199"/>
      <c r="N12489" s="200"/>
      <c r="P12489" s="199"/>
    </row>
    <row r="12490" spans="7:16" x14ac:dyDescent="0.2">
      <c r="G12490" s="199"/>
      <c r="I12490" s="199"/>
      <c r="K12490" s="199"/>
      <c r="M12490" s="199"/>
      <c r="N12490" s="200"/>
      <c r="P12490" s="199"/>
    </row>
    <row r="12491" spans="7:16" x14ac:dyDescent="0.2">
      <c r="G12491" s="199"/>
      <c r="I12491" s="199"/>
      <c r="K12491" s="199"/>
      <c r="M12491" s="199"/>
      <c r="N12491" s="200"/>
      <c r="P12491" s="199"/>
    </row>
    <row r="12492" spans="7:16" x14ac:dyDescent="0.2">
      <c r="G12492" s="199"/>
      <c r="I12492" s="199"/>
      <c r="K12492" s="199"/>
      <c r="M12492" s="199"/>
      <c r="N12492" s="200"/>
      <c r="P12492" s="199"/>
    </row>
    <row r="12493" spans="7:16" x14ac:dyDescent="0.2">
      <c r="G12493" s="199"/>
      <c r="I12493" s="199"/>
      <c r="K12493" s="199"/>
      <c r="M12493" s="199"/>
      <c r="N12493" s="200"/>
      <c r="P12493" s="199"/>
    </row>
    <row r="12494" spans="7:16" x14ac:dyDescent="0.2">
      <c r="G12494" s="199"/>
      <c r="I12494" s="199"/>
      <c r="K12494" s="199"/>
      <c r="M12494" s="199"/>
      <c r="N12494" s="200"/>
      <c r="P12494" s="199"/>
    </row>
    <row r="12495" spans="7:16" x14ac:dyDescent="0.2">
      <c r="G12495" s="199"/>
      <c r="I12495" s="199"/>
      <c r="K12495" s="199"/>
      <c r="M12495" s="199"/>
      <c r="N12495" s="200"/>
      <c r="P12495" s="199"/>
    </row>
    <row r="12496" spans="7:16" x14ac:dyDescent="0.2">
      <c r="G12496" s="199"/>
      <c r="I12496" s="199"/>
      <c r="K12496" s="199"/>
      <c r="M12496" s="199"/>
      <c r="N12496" s="200"/>
      <c r="P12496" s="199"/>
    </row>
    <row r="12497" spans="7:16" x14ac:dyDescent="0.2">
      <c r="G12497" s="199"/>
      <c r="I12497" s="199"/>
      <c r="K12497" s="199"/>
      <c r="M12497" s="199"/>
      <c r="N12497" s="200"/>
      <c r="P12497" s="199"/>
    </row>
    <row r="12498" spans="7:16" x14ac:dyDescent="0.2">
      <c r="G12498" s="199"/>
      <c r="I12498" s="199"/>
      <c r="K12498" s="199"/>
      <c r="M12498" s="199"/>
      <c r="N12498" s="200"/>
      <c r="P12498" s="199"/>
    </row>
    <row r="12499" spans="7:16" x14ac:dyDescent="0.2">
      <c r="G12499" s="199"/>
      <c r="I12499" s="199"/>
      <c r="K12499" s="199"/>
      <c r="M12499" s="199"/>
      <c r="N12499" s="200"/>
      <c r="P12499" s="199"/>
    </row>
    <row r="12500" spans="7:16" x14ac:dyDescent="0.2">
      <c r="G12500" s="199"/>
      <c r="I12500" s="199"/>
      <c r="K12500" s="199"/>
      <c r="M12500" s="199"/>
      <c r="N12500" s="200"/>
      <c r="P12500" s="199"/>
    </row>
    <row r="12501" spans="7:16" x14ac:dyDescent="0.2">
      <c r="G12501" s="199"/>
      <c r="I12501" s="199"/>
      <c r="K12501" s="199"/>
      <c r="M12501" s="199"/>
      <c r="N12501" s="200"/>
      <c r="P12501" s="199"/>
    </row>
    <row r="12502" spans="7:16" x14ac:dyDescent="0.2">
      <c r="G12502" s="199"/>
      <c r="I12502" s="199"/>
      <c r="K12502" s="199"/>
      <c r="M12502" s="199"/>
      <c r="N12502" s="200"/>
      <c r="P12502" s="199"/>
    </row>
    <row r="12503" spans="7:16" x14ac:dyDescent="0.2">
      <c r="G12503" s="199"/>
      <c r="I12503" s="199"/>
      <c r="K12503" s="199"/>
      <c r="M12503" s="199"/>
      <c r="N12503" s="200"/>
      <c r="P12503" s="199"/>
    </row>
    <row r="12504" spans="7:16" x14ac:dyDescent="0.2">
      <c r="G12504" s="199"/>
      <c r="I12504" s="199"/>
      <c r="K12504" s="199"/>
      <c r="M12504" s="199"/>
      <c r="N12504" s="200"/>
      <c r="P12504" s="199"/>
    </row>
    <row r="12505" spans="7:16" x14ac:dyDescent="0.2">
      <c r="G12505" s="199"/>
      <c r="I12505" s="199"/>
      <c r="K12505" s="199"/>
      <c r="M12505" s="199"/>
      <c r="N12505" s="200"/>
      <c r="P12505" s="199"/>
    </row>
    <row r="12506" spans="7:16" x14ac:dyDescent="0.2">
      <c r="G12506" s="199"/>
      <c r="I12506" s="199"/>
      <c r="K12506" s="199"/>
      <c r="M12506" s="199"/>
      <c r="N12506" s="200"/>
      <c r="P12506" s="199"/>
    </row>
    <row r="12507" spans="7:16" x14ac:dyDescent="0.2">
      <c r="G12507" s="199"/>
      <c r="I12507" s="199"/>
      <c r="K12507" s="199"/>
      <c r="M12507" s="199"/>
      <c r="N12507" s="200"/>
      <c r="P12507" s="199"/>
    </row>
    <row r="12508" spans="7:16" x14ac:dyDescent="0.2">
      <c r="G12508" s="199"/>
      <c r="I12508" s="199"/>
      <c r="K12508" s="199"/>
      <c r="M12508" s="199"/>
      <c r="N12508" s="200"/>
      <c r="P12508" s="199"/>
    </row>
    <row r="12509" spans="7:16" x14ac:dyDescent="0.2">
      <c r="G12509" s="199"/>
      <c r="I12509" s="199"/>
      <c r="K12509" s="199"/>
      <c r="M12509" s="199"/>
      <c r="N12509" s="200"/>
      <c r="P12509" s="199"/>
    </row>
    <row r="12510" spans="7:16" x14ac:dyDescent="0.2">
      <c r="G12510" s="199"/>
      <c r="I12510" s="199"/>
      <c r="K12510" s="199"/>
      <c r="M12510" s="199"/>
      <c r="N12510" s="200"/>
      <c r="P12510" s="199"/>
    </row>
    <row r="12511" spans="7:16" x14ac:dyDescent="0.2">
      <c r="G12511" s="199"/>
      <c r="I12511" s="199"/>
      <c r="K12511" s="199"/>
      <c r="M12511" s="199"/>
      <c r="N12511" s="200"/>
      <c r="P12511" s="199"/>
    </row>
    <row r="12512" spans="7:16" x14ac:dyDescent="0.2">
      <c r="G12512" s="199"/>
      <c r="I12512" s="199"/>
      <c r="K12512" s="199"/>
      <c r="M12512" s="199"/>
      <c r="N12512" s="200"/>
      <c r="P12512" s="199"/>
    </row>
    <row r="12513" spans="7:16" x14ac:dyDescent="0.2">
      <c r="G12513" s="199"/>
      <c r="I12513" s="199"/>
      <c r="K12513" s="199"/>
      <c r="M12513" s="199"/>
      <c r="N12513" s="200"/>
      <c r="P12513" s="199"/>
    </row>
    <row r="12514" spans="7:16" x14ac:dyDescent="0.2">
      <c r="G12514" s="199"/>
      <c r="I12514" s="199"/>
      <c r="K12514" s="199"/>
      <c r="M12514" s="199"/>
      <c r="N12514" s="200"/>
      <c r="P12514" s="199"/>
    </row>
    <row r="12515" spans="7:16" x14ac:dyDescent="0.2">
      <c r="G12515" s="199"/>
      <c r="I12515" s="199"/>
      <c r="K12515" s="199"/>
      <c r="M12515" s="199"/>
      <c r="N12515" s="200"/>
      <c r="P12515" s="199"/>
    </row>
    <row r="12516" spans="7:16" x14ac:dyDescent="0.2">
      <c r="G12516" s="199"/>
      <c r="I12516" s="199"/>
      <c r="K12516" s="199"/>
      <c r="M12516" s="199"/>
      <c r="N12516" s="200"/>
      <c r="P12516" s="199"/>
    </row>
    <row r="12517" spans="7:16" x14ac:dyDescent="0.2">
      <c r="G12517" s="199"/>
      <c r="I12517" s="199"/>
      <c r="K12517" s="199"/>
      <c r="M12517" s="199"/>
      <c r="N12517" s="200"/>
      <c r="P12517" s="199"/>
    </row>
    <row r="12518" spans="7:16" x14ac:dyDescent="0.2">
      <c r="G12518" s="199"/>
      <c r="I12518" s="199"/>
      <c r="K12518" s="199"/>
      <c r="M12518" s="199"/>
      <c r="N12518" s="200"/>
      <c r="P12518" s="199"/>
    </row>
    <row r="12519" spans="7:16" x14ac:dyDescent="0.2">
      <c r="G12519" s="199"/>
      <c r="I12519" s="199"/>
      <c r="K12519" s="199"/>
      <c r="M12519" s="199"/>
      <c r="N12519" s="200"/>
      <c r="P12519" s="199"/>
    </row>
    <row r="12520" spans="7:16" x14ac:dyDescent="0.2">
      <c r="G12520" s="199"/>
      <c r="I12520" s="199"/>
      <c r="K12520" s="199"/>
      <c r="M12520" s="199"/>
      <c r="N12520" s="200"/>
      <c r="P12520" s="199"/>
    </row>
    <row r="12521" spans="7:16" x14ac:dyDescent="0.2">
      <c r="G12521" s="199"/>
      <c r="I12521" s="199"/>
      <c r="K12521" s="199"/>
      <c r="M12521" s="199"/>
      <c r="N12521" s="200"/>
      <c r="P12521" s="199"/>
    </row>
    <row r="12522" spans="7:16" x14ac:dyDescent="0.2">
      <c r="G12522" s="199"/>
      <c r="I12522" s="199"/>
      <c r="K12522" s="199"/>
      <c r="M12522" s="199"/>
      <c r="N12522" s="200"/>
      <c r="P12522" s="199"/>
    </row>
    <row r="12523" spans="7:16" x14ac:dyDescent="0.2">
      <c r="G12523" s="199"/>
      <c r="I12523" s="199"/>
      <c r="K12523" s="199"/>
      <c r="M12523" s="199"/>
      <c r="N12523" s="200"/>
      <c r="P12523" s="199"/>
    </row>
    <row r="12524" spans="7:16" x14ac:dyDescent="0.2">
      <c r="G12524" s="199"/>
      <c r="I12524" s="199"/>
      <c r="K12524" s="199"/>
      <c r="M12524" s="199"/>
      <c r="N12524" s="200"/>
      <c r="P12524" s="199"/>
    </row>
    <row r="12525" spans="7:16" x14ac:dyDescent="0.2">
      <c r="G12525" s="199"/>
      <c r="I12525" s="199"/>
      <c r="K12525" s="199"/>
      <c r="M12525" s="199"/>
      <c r="N12525" s="200"/>
      <c r="P12525" s="199"/>
    </row>
    <row r="12526" spans="7:16" x14ac:dyDescent="0.2">
      <c r="G12526" s="199"/>
      <c r="I12526" s="199"/>
      <c r="K12526" s="199"/>
      <c r="M12526" s="199"/>
      <c r="N12526" s="200"/>
      <c r="P12526" s="199"/>
    </row>
    <row r="12527" spans="7:16" x14ac:dyDescent="0.2">
      <c r="G12527" s="199"/>
      <c r="I12527" s="199"/>
      <c r="K12527" s="199"/>
      <c r="M12527" s="199"/>
      <c r="N12527" s="200"/>
      <c r="P12527" s="199"/>
    </row>
    <row r="12528" spans="7:16" x14ac:dyDescent="0.2">
      <c r="G12528" s="199"/>
      <c r="I12528" s="199"/>
      <c r="K12528" s="199"/>
      <c r="M12528" s="199"/>
      <c r="N12528" s="200"/>
      <c r="P12528" s="199"/>
    </row>
    <row r="12529" spans="7:16" x14ac:dyDescent="0.2">
      <c r="G12529" s="199"/>
      <c r="I12529" s="199"/>
      <c r="K12529" s="199"/>
      <c r="M12529" s="199"/>
      <c r="N12529" s="200"/>
      <c r="P12529" s="199"/>
    </row>
    <row r="12530" spans="7:16" x14ac:dyDescent="0.2">
      <c r="G12530" s="199"/>
      <c r="I12530" s="199"/>
      <c r="K12530" s="199"/>
      <c r="M12530" s="199"/>
      <c r="N12530" s="200"/>
      <c r="P12530" s="199"/>
    </row>
    <row r="12531" spans="7:16" x14ac:dyDescent="0.2">
      <c r="G12531" s="199"/>
      <c r="I12531" s="199"/>
      <c r="K12531" s="199"/>
      <c r="M12531" s="199"/>
      <c r="N12531" s="200"/>
      <c r="P12531" s="199"/>
    </row>
    <row r="12532" spans="7:16" x14ac:dyDescent="0.2">
      <c r="G12532" s="199"/>
      <c r="I12532" s="199"/>
      <c r="K12532" s="199"/>
      <c r="M12532" s="199"/>
      <c r="N12532" s="200"/>
      <c r="P12532" s="199"/>
    </row>
    <row r="12533" spans="7:16" x14ac:dyDescent="0.2">
      <c r="G12533" s="199"/>
      <c r="I12533" s="199"/>
      <c r="K12533" s="199"/>
      <c r="M12533" s="199"/>
      <c r="N12533" s="200"/>
      <c r="P12533" s="199"/>
    </row>
    <row r="12534" spans="7:16" x14ac:dyDescent="0.2">
      <c r="G12534" s="199"/>
      <c r="I12534" s="199"/>
      <c r="K12534" s="199"/>
      <c r="M12534" s="199"/>
      <c r="N12534" s="200"/>
      <c r="P12534" s="199"/>
    </row>
    <row r="12535" spans="7:16" x14ac:dyDescent="0.2">
      <c r="G12535" s="199"/>
      <c r="I12535" s="199"/>
      <c r="K12535" s="199"/>
      <c r="M12535" s="199"/>
      <c r="N12535" s="200"/>
      <c r="P12535" s="199"/>
    </row>
    <row r="12536" spans="7:16" x14ac:dyDescent="0.2">
      <c r="G12536" s="199"/>
      <c r="I12536" s="199"/>
      <c r="K12536" s="199"/>
      <c r="M12536" s="199"/>
      <c r="N12536" s="200"/>
      <c r="P12536" s="199"/>
    </row>
    <row r="12537" spans="7:16" x14ac:dyDescent="0.2">
      <c r="G12537" s="199"/>
      <c r="I12537" s="199"/>
      <c r="K12537" s="199"/>
      <c r="M12537" s="199"/>
      <c r="N12537" s="200"/>
      <c r="P12537" s="199"/>
    </row>
    <row r="12538" spans="7:16" x14ac:dyDescent="0.2">
      <c r="G12538" s="199"/>
      <c r="I12538" s="199"/>
      <c r="K12538" s="199"/>
      <c r="M12538" s="199"/>
      <c r="N12538" s="200"/>
      <c r="P12538" s="199"/>
    </row>
    <row r="12539" spans="7:16" x14ac:dyDescent="0.2">
      <c r="G12539" s="199"/>
      <c r="I12539" s="199"/>
      <c r="K12539" s="199"/>
      <c r="M12539" s="199"/>
      <c r="N12539" s="200"/>
      <c r="P12539" s="199"/>
    </row>
    <row r="12540" spans="7:16" x14ac:dyDescent="0.2">
      <c r="G12540" s="199"/>
      <c r="I12540" s="199"/>
      <c r="K12540" s="199"/>
      <c r="M12540" s="199"/>
      <c r="N12540" s="200"/>
      <c r="P12540" s="199"/>
    </row>
    <row r="12541" spans="7:16" x14ac:dyDescent="0.2">
      <c r="G12541" s="199"/>
      <c r="I12541" s="199"/>
      <c r="K12541" s="199"/>
      <c r="M12541" s="199"/>
      <c r="N12541" s="200"/>
      <c r="P12541" s="199"/>
    </row>
    <row r="12542" spans="7:16" x14ac:dyDescent="0.2">
      <c r="G12542" s="199"/>
      <c r="I12542" s="199"/>
      <c r="K12542" s="199"/>
      <c r="M12542" s="199"/>
      <c r="N12542" s="200"/>
      <c r="P12542" s="199"/>
    </row>
    <row r="12543" spans="7:16" x14ac:dyDescent="0.2">
      <c r="G12543" s="199"/>
      <c r="I12543" s="199"/>
      <c r="K12543" s="199"/>
      <c r="M12543" s="199"/>
      <c r="N12543" s="200"/>
      <c r="P12543" s="199"/>
    </row>
    <row r="12544" spans="7:16" x14ac:dyDescent="0.2">
      <c r="G12544" s="199"/>
      <c r="I12544" s="199"/>
      <c r="K12544" s="199"/>
      <c r="M12544" s="199"/>
      <c r="N12544" s="200"/>
      <c r="P12544" s="199"/>
    </row>
    <row r="12545" spans="7:16" x14ac:dyDescent="0.2">
      <c r="G12545" s="199"/>
      <c r="I12545" s="199"/>
      <c r="K12545" s="199"/>
      <c r="M12545" s="199"/>
      <c r="N12545" s="200"/>
      <c r="P12545" s="199"/>
    </row>
    <row r="12546" spans="7:16" x14ac:dyDescent="0.2">
      <c r="G12546" s="199"/>
      <c r="I12546" s="199"/>
      <c r="K12546" s="199"/>
      <c r="M12546" s="199"/>
      <c r="N12546" s="200"/>
      <c r="P12546" s="199"/>
    </row>
    <row r="12547" spans="7:16" x14ac:dyDescent="0.2">
      <c r="G12547" s="199"/>
      <c r="I12547" s="199"/>
      <c r="K12547" s="199"/>
      <c r="M12547" s="199"/>
      <c r="N12547" s="200"/>
      <c r="P12547" s="199"/>
    </row>
    <row r="12548" spans="7:16" x14ac:dyDescent="0.2">
      <c r="G12548" s="199"/>
      <c r="I12548" s="199"/>
      <c r="K12548" s="199"/>
      <c r="M12548" s="199"/>
      <c r="N12548" s="200"/>
      <c r="P12548" s="199"/>
    </row>
    <row r="12549" spans="7:16" x14ac:dyDescent="0.2">
      <c r="G12549" s="199"/>
      <c r="I12549" s="199"/>
      <c r="K12549" s="199"/>
      <c r="M12549" s="199"/>
      <c r="N12549" s="200"/>
      <c r="P12549" s="199"/>
    </row>
    <row r="12550" spans="7:16" x14ac:dyDescent="0.2">
      <c r="G12550" s="199"/>
      <c r="I12550" s="199"/>
      <c r="K12550" s="199"/>
      <c r="M12550" s="199"/>
      <c r="N12550" s="200"/>
      <c r="P12550" s="199"/>
    </row>
    <row r="12551" spans="7:16" x14ac:dyDescent="0.2">
      <c r="G12551" s="199"/>
      <c r="I12551" s="199"/>
      <c r="K12551" s="199"/>
      <c r="M12551" s="199"/>
      <c r="N12551" s="200"/>
      <c r="P12551" s="199"/>
    </row>
    <row r="12552" spans="7:16" x14ac:dyDescent="0.2">
      <c r="G12552" s="199"/>
      <c r="I12552" s="199"/>
      <c r="K12552" s="199"/>
      <c r="M12552" s="199"/>
      <c r="N12552" s="200"/>
      <c r="P12552" s="199"/>
    </row>
    <row r="12553" spans="7:16" x14ac:dyDescent="0.2">
      <c r="G12553" s="199"/>
      <c r="I12553" s="199"/>
      <c r="K12553" s="199"/>
      <c r="M12553" s="199"/>
      <c r="N12553" s="200"/>
      <c r="P12553" s="199"/>
    </row>
    <row r="12554" spans="7:16" x14ac:dyDescent="0.2">
      <c r="G12554" s="199"/>
      <c r="I12554" s="199"/>
      <c r="K12554" s="199"/>
      <c r="M12554" s="199"/>
      <c r="N12554" s="200"/>
      <c r="P12554" s="199"/>
    </row>
    <row r="12555" spans="7:16" x14ac:dyDescent="0.2">
      <c r="G12555" s="199"/>
      <c r="I12555" s="199"/>
      <c r="K12555" s="199"/>
      <c r="M12555" s="199"/>
      <c r="N12555" s="200"/>
      <c r="P12555" s="199"/>
    </row>
    <row r="12556" spans="7:16" x14ac:dyDescent="0.2">
      <c r="G12556" s="199"/>
      <c r="I12556" s="199"/>
      <c r="K12556" s="199"/>
      <c r="M12556" s="199"/>
      <c r="N12556" s="200"/>
      <c r="P12556" s="199"/>
    </row>
    <row r="12557" spans="7:16" x14ac:dyDescent="0.2">
      <c r="G12557" s="199"/>
      <c r="I12557" s="199"/>
      <c r="K12557" s="199"/>
      <c r="M12557" s="199"/>
      <c r="N12557" s="200"/>
      <c r="P12557" s="199"/>
    </row>
    <row r="12558" spans="7:16" x14ac:dyDescent="0.2">
      <c r="G12558" s="199"/>
      <c r="I12558" s="199"/>
      <c r="K12558" s="199"/>
      <c r="M12558" s="199"/>
      <c r="N12558" s="200"/>
      <c r="P12558" s="199"/>
    </row>
    <row r="12559" spans="7:16" x14ac:dyDescent="0.2">
      <c r="G12559" s="199"/>
      <c r="I12559" s="199"/>
      <c r="K12559" s="199"/>
      <c r="M12559" s="199"/>
      <c r="N12559" s="200"/>
      <c r="P12559" s="199"/>
    </row>
    <row r="12560" spans="7:16" x14ac:dyDescent="0.2">
      <c r="G12560" s="199"/>
      <c r="I12560" s="199"/>
      <c r="K12560" s="199"/>
      <c r="M12560" s="199"/>
      <c r="N12560" s="200"/>
      <c r="P12560" s="199"/>
    </row>
    <row r="12561" spans="7:16" x14ac:dyDescent="0.2">
      <c r="G12561" s="199"/>
      <c r="I12561" s="199"/>
      <c r="K12561" s="199"/>
      <c r="M12561" s="199"/>
      <c r="N12561" s="200"/>
      <c r="P12561" s="199"/>
    </row>
    <row r="12562" spans="7:16" x14ac:dyDescent="0.2">
      <c r="G12562" s="199"/>
      <c r="I12562" s="199"/>
      <c r="K12562" s="199"/>
      <c r="M12562" s="199"/>
      <c r="N12562" s="200"/>
      <c r="P12562" s="199"/>
    </row>
    <row r="12563" spans="7:16" x14ac:dyDescent="0.2">
      <c r="G12563" s="199"/>
      <c r="I12563" s="199"/>
      <c r="K12563" s="199"/>
      <c r="M12563" s="199"/>
      <c r="N12563" s="200"/>
      <c r="P12563" s="199"/>
    </row>
    <row r="12564" spans="7:16" x14ac:dyDescent="0.2">
      <c r="G12564" s="199"/>
      <c r="I12564" s="199"/>
      <c r="K12564" s="199"/>
      <c r="M12564" s="199"/>
      <c r="N12564" s="200"/>
      <c r="P12564" s="199"/>
    </row>
    <row r="12565" spans="7:16" x14ac:dyDescent="0.2">
      <c r="G12565" s="199"/>
      <c r="I12565" s="199"/>
      <c r="K12565" s="199"/>
      <c r="M12565" s="199"/>
      <c r="N12565" s="200"/>
      <c r="P12565" s="199"/>
    </row>
    <row r="12566" spans="7:16" x14ac:dyDescent="0.2">
      <c r="G12566" s="199"/>
      <c r="I12566" s="199"/>
      <c r="K12566" s="199"/>
      <c r="M12566" s="199"/>
      <c r="N12566" s="200"/>
      <c r="P12566" s="199"/>
    </row>
    <row r="12567" spans="7:16" x14ac:dyDescent="0.2">
      <c r="G12567" s="199"/>
      <c r="I12567" s="199"/>
      <c r="K12567" s="199"/>
      <c r="M12567" s="199"/>
      <c r="N12567" s="200"/>
      <c r="P12567" s="199"/>
    </row>
    <row r="12568" spans="7:16" x14ac:dyDescent="0.2">
      <c r="G12568" s="199"/>
      <c r="I12568" s="199"/>
      <c r="K12568" s="199"/>
      <c r="M12568" s="199"/>
      <c r="N12568" s="200"/>
      <c r="P12568" s="199"/>
    </row>
    <row r="12569" spans="7:16" x14ac:dyDescent="0.2">
      <c r="G12569" s="199"/>
      <c r="I12569" s="199"/>
      <c r="K12569" s="199"/>
      <c r="M12569" s="199"/>
      <c r="N12569" s="200"/>
      <c r="P12569" s="199"/>
    </row>
    <row r="12570" spans="7:16" x14ac:dyDescent="0.2">
      <c r="G12570" s="199"/>
      <c r="I12570" s="199"/>
      <c r="K12570" s="199"/>
      <c r="M12570" s="199"/>
      <c r="N12570" s="200"/>
      <c r="P12570" s="199"/>
    </row>
    <row r="12571" spans="7:16" x14ac:dyDescent="0.2">
      <c r="G12571" s="199"/>
      <c r="I12571" s="199"/>
      <c r="K12571" s="199"/>
      <c r="M12571" s="199"/>
      <c r="N12571" s="200"/>
      <c r="P12571" s="199"/>
    </row>
    <row r="12572" spans="7:16" x14ac:dyDescent="0.2">
      <c r="G12572" s="199"/>
      <c r="I12572" s="199"/>
      <c r="K12572" s="199"/>
      <c r="M12572" s="199"/>
      <c r="N12572" s="200"/>
      <c r="P12572" s="199"/>
    </row>
    <row r="12573" spans="7:16" x14ac:dyDescent="0.2">
      <c r="G12573" s="199"/>
      <c r="I12573" s="199"/>
      <c r="K12573" s="199"/>
      <c r="M12573" s="199"/>
      <c r="N12573" s="200"/>
      <c r="P12573" s="199"/>
    </row>
    <row r="12574" spans="7:16" x14ac:dyDescent="0.2">
      <c r="G12574" s="199"/>
      <c r="I12574" s="199"/>
      <c r="K12574" s="199"/>
      <c r="M12574" s="199"/>
      <c r="N12574" s="200"/>
      <c r="P12574" s="199"/>
    </row>
    <row r="12575" spans="7:16" x14ac:dyDescent="0.2">
      <c r="G12575" s="199"/>
      <c r="I12575" s="199"/>
      <c r="K12575" s="199"/>
      <c r="M12575" s="199"/>
      <c r="N12575" s="200"/>
      <c r="P12575" s="199"/>
    </row>
    <row r="12576" spans="7:16" x14ac:dyDescent="0.2">
      <c r="G12576" s="199"/>
      <c r="I12576" s="199"/>
      <c r="K12576" s="199"/>
      <c r="M12576" s="199"/>
      <c r="N12576" s="200"/>
      <c r="P12576" s="199"/>
    </row>
    <row r="12577" spans="7:16" x14ac:dyDescent="0.2">
      <c r="G12577" s="199"/>
      <c r="I12577" s="199"/>
      <c r="K12577" s="199"/>
      <c r="M12577" s="199"/>
      <c r="N12577" s="200"/>
      <c r="P12577" s="199"/>
    </row>
    <row r="12578" spans="7:16" x14ac:dyDescent="0.2">
      <c r="G12578" s="199"/>
      <c r="I12578" s="199"/>
      <c r="K12578" s="199"/>
      <c r="M12578" s="199"/>
      <c r="N12578" s="200"/>
      <c r="P12578" s="199"/>
    </row>
    <row r="12579" spans="7:16" x14ac:dyDescent="0.2">
      <c r="G12579" s="199"/>
      <c r="I12579" s="199"/>
      <c r="K12579" s="199"/>
      <c r="M12579" s="199"/>
      <c r="N12579" s="200"/>
      <c r="P12579" s="199"/>
    </row>
    <row r="12580" spans="7:16" x14ac:dyDescent="0.2">
      <c r="G12580" s="199"/>
      <c r="I12580" s="199"/>
      <c r="K12580" s="199"/>
      <c r="M12580" s="199"/>
      <c r="N12580" s="200"/>
      <c r="P12580" s="199"/>
    </row>
    <row r="12581" spans="7:16" x14ac:dyDescent="0.2">
      <c r="G12581" s="199"/>
      <c r="I12581" s="199"/>
      <c r="K12581" s="199"/>
      <c r="M12581" s="199"/>
      <c r="N12581" s="200"/>
      <c r="P12581" s="199"/>
    </row>
    <row r="12582" spans="7:16" x14ac:dyDescent="0.2">
      <c r="G12582" s="199"/>
      <c r="I12582" s="199"/>
      <c r="K12582" s="199"/>
      <c r="M12582" s="199"/>
      <c r="N12582" s="200"/>
      <c r="P12582" s="199"/>
    </row>
    <row r="12583" spans="7:16" x14ac:dyDescent="0.2">
      <c r="G12583" s="199"/>
      <c r="I12583" s="199"/>
      <c r="K12583" s="199"/>
      <c r="M12583" s="199"/>
      <c r="N12583" s="200"/>
      <c r="P12583" s="199"/>
    </row>
    <row r="12584" spans="7:16" x14ac:dyDescent="0.2">
      <c r="G12584" s="199"/>
      <c r="I12584" s="199"/>
      <c r="K12584" s="199"/>
      <c r="M12584" s="199"/>
      <c r="N12584" s="200"/>
      <c r="P12584" s="199"/>
    </row>
    <row r="12585" spans="7:16" x14ac:dyDescent="0.2">
      <c r="G12585" s="199"/>
      <c r="I12585" s="199"/>
      <c r="K12585" s="199"/>
      <c r="M12585" s="199"/>
      <c r="N12585" s="200"/>
      <c r="P12585" s="199"/>
    </row>
    <row r="12586" spans="7:16" x14ac:dyDescent="0.2">
      <c r="G12586" s="199"/>
      <c r="I12586" s="199"/>
      <c r="K12586" s="199"/>
      <c r="M12586" s="199"/>
      <c r="N12586" s="200"/>
      <c r="P12586" s="199"/>
    </row>
    <row r="12587" spans="7:16" x14ac:dyDescent="0.2">
      <c r="G12587" s="199"/>
      <c r="I12587" s="199"/>
      <c r="K12587" s="199"/>
      <c r="M12587" s="199"/>
      <c r="N12587" s="200"/>
      <c r="P12587" s="199"/>
    </row>
    <row r="12588" spans="7:16" x14ac:dyDescent="0.2">
      <c r="G12588" s="199"/>
      <c r="I12588" s="199"/>
      <c r="K12588" s="199"/>
      <c r="M12588" s="199"/>
      <c r="N12588" s="200"/>
      <c r="P12588" s="199"/>
    </row>
    <row r="12589" spans="7:16" x14ac:dyDescent="0.2">
      <c r="G12589" s="199"/>
      <c r="I12589" s="199"/>
      <c r="K12589" s="199"/>
      <c r="M12589" s="199"/>
      <c r="N12589" s="200"/>
      <c r="P12589" s="199"/>
    </row>
    <row r="12590" spans="7:16" x14ac:dyDescent="0.2">
      <c r="G12590" s="199"/>
      <c r="I12590" s="199"/>
      <c r="K12590" s="199"/>
      <c r="M12590" s="199"/>
      <c r="N12590" s="200"/>
      <c r="P12590" s="199"/>
    </row>
    <row r="12591" spans="7:16" x14ac:dyDescent="0.2">
      <c r="G12591" s="199"/>
      <c r="I12591" s="199"/>
      <c r="K12591" s="199"/>
      <c r="M12591" s="199"/>
      <c r="N12591" s="200"/>
      <c r="P12591" s="199"/>
    </row>
    <row r="12592" spans="7:16" x14ac:dyDescent="0.2">
      <c r="G12592" s="199"/>
      <c r="I12592" s="199"/>
      <c r="K12592" s="199"/>
      <c r="M12592" s="199"/>
      <c r="N12592" s="200"/>
      <c r="P12592" s="199"/>
    </row>
    <row r="12593" spans="7:16" x14ac:dyDescent="0.2">
      <c r="G12593" s="199"/>
      <c r="I12593" s="199"/>
      <c r="K12593" s="199"/>
      <c r="M12593" s="199"/>
      <c r="N12593" s="200"/>
      <c r="P12593" s="199"/>
    </row>
    <row r="12594" spans="7:16" x14ac:dyDescent="0.2">
      <c r="G12594" s="199"/>
      <c r="I12594" s="199"/>
      <c r="K12594" s="199"/>
      <c r="M12594" s="199"/>
      <c r="N12594" s="200"/>
      <c r="P12594" s="199"/>
    </row>
    <row r="12595" spans="7:16" x14ac:dyDescent="0.2">
      <c r="G12595" s="199"/>
      <c r="I12595" s="199"/>
      <c r="K12595" s="199"/>
      <c r="M12595" s="199"/>
      <c r="N12595" s="200"/>
      <c r="P12595" s="199"/>
    </row>
    <row r="12596" spans="7:16" x14ac:dyDescent="0.2">
      <c r="G12596" s="199"/>
      <c r="I12596" s="199"/>
      <c r="K12596" s="199"/>
      <c r="M12596" s="199"/>
      <c r="N12596" s="200"/>
      <c r="P12596" s="199"/>
    </row>
    <row r="12597" spans="7:16" x14ac:dyDescent="0.2">
      <c r="G12597" s="199"/>
      <c r="I12597" s="199"/>
      <c r="K12597" s="199"/>
      <c r="M12597" s="199"/>
      <c r="N12597" s="200"/>
      <c r="P12597" s="199"/>
    </row>
    <row r="12598" spans="7:16" x14ac:dyDescent="0.2">
      <c r="G12598" s="199"/>
      <c r="I12598" s="199"/>
      <c r="K12598" s="199"/>
      <c r="M12598" s="199"/>
      <c r="N12598" s="200"/>
      <c r="P12598" s="199"/>
    </row>
    <row r="12599" spans="7:16" x14ac:dyDescent="0.2">
      <c r="G12599" s="199"/>
      <c r="I12599" s="199"/>
      <c r="K12599" s="199"/>
      <c r="M12599" s="199"/>
      <c r="N12599" s="200"/>
      <c r="P12599" s="199"/>
    </row>
    <row r="12600" spans="7:16" x14ac:dyDescent="0.2">
      <c r="G12600" s="199"/>
      <c r="I12600" s="199"/>
      <c r="K12600" s="199"/>
      <c r="M12600" s="199"/>
      <c r="N12600" s="200"/>
      <c r="P12600" s="199"/>
    </row>
    <row r="12601" spans="7:16" x14ac:dyDescent="0.2">
      <c r="G12601" s="199"/>
      <c r="I12601" s="199"/>
      <c r="K12601" s="199"/>
      <c r="M12601" s="199"/>
      <c r="N12601" s="200"/>
      <c r="P12601" s="199"/>
    </row>
    <row r="12602" spans="7:16" x14ac:dyDescent="0.2">
      <c r="G12602" s="199"/>
      <c r="I12602" s="199"/>
      <c r="K12602" s="199"/>
      <c r="M12602" s="199"/>
      <c r="N12602" s="200"/>
      <c r="P12602" s="199"/>
    </row>
    <row r="12603" spans="7:16" x14ac:dyDescent="0.2">
      <c r="G12603" s="199"/>
      <c r="I12603" s="199"/>
      <c r="K12603" s="199"/>
      <c r="M12603" s="199"/>
      <c r="N12603" s="200"/>
      <c r="P12603" s="199"/>
    </row>
    <row r="12604" spans="7:16" x14ac:dyDescent="0.2">
      <c r="G12604" s="199"/>
      <c r="I12604" s="199"/>
      <c r="K12604" s="199"/>
      <c r="M12604" s="199"/>
      <c r="N12604" s="200"/>
      <c r="P12604" s="199"/>
    </row>
    <row r="12605" spans="7:16" x14ac:dyDescent="0.2">
      <c r="G12605" s="199"/>
      <c r="I12605" s="199"/>
      <c r="K12605" s="199"/>
      <c r="M12605" s="199"/>
      <c r="N12605" s="200"/>
      <c r="P12605" s="199"/>
    </row>
    <row r="12606" spans="7:16" x14ac:dyDescent="0.2">
      <c r="G12606" s="199"/>
      <c r="I12606" s="199"/>
      <c r="K12606" s="199"/>
      <c r="M12606" s="199"/>
      <c r="N12606" s="200"/>
      <c r="P12606" s="199"/>
    </row>
    <row r="12607" spans="7:16" x14ac:dyDescent="0.2">
      <c r="G12607" s="199"/>
      <c r="I12607" s="199"/>
      <c r="K12607" s="199"/>
      <c r="M12607" s="199"/>
      <c r="N12607" s="200"/>
      <c r="P12607" s="199"/>
    </row>
    <row r="12608" spans="7:16" x14ac:dyDescent="0.2">
      <c r="G12608" s="199"/>
      <c r="I12608" s="199"/>
      <c r="K12608" s="199"/>
      <c r="M12608" s="199"/>
      <c r="N12608" s="200"/>
      <c r="P12608" s="199"/>
    </row>
    <row r="12609" spans="7:16" x14ac:dyDescent="0.2">
      <c r="G12609" s="199"/>
      <c r="I12609" s="199"/>
      <c r="K12609" s="199"/>
      <c r="M12609" s="199"/>
      <c r="N12609" s="200"/>
      <c r="P12609" s="199"/>
    </row>
    <row r="12610" spans="7:16" x14ac:dyDescent="0.2">
      <c r="G12610" s="199"/>
      <c r="I12610" s="199"/>
      <c r="K12610" s="199"/>
      <c r="M12610" s="199"/>
      <c r="N12610" s="200"/>
      <c r="P12610" s="199"/>
    </row>
    <row r="12611" spans="7:16" x14ac:dyDescent="0.2">
      <c r="G12611" s="199"/>
      <c r="I12611" s="199"/>
      <c r="K12611" s="199"/>
      <c r="M12611" s="199"/>
      <c r="N12611" s="200"/>
      <c r="P12611" s="199"/>
    </row>
    <row r="12612" spans="7:16" x14ac:dyDescent="0.2">
      <c r="G12612" s="199"/>
      <c r="I12612" s="199"/>
      <c r="K12612" s="199"/>
      <c r="M12612" s="199"/>
      <c r="N12612" s="200"/>
      <c r="P12612" s="199"/>
    </row>
    <row r="12613" spans="7:16" x14ac:dyDescent="0.2">
      <c r="G12613" s="199"/>
      <c r="I12613" s="199"/>
      <c r="K12613" s="199"/>
      <c r="M12613" s="199"/>
      <c r="N12613" s="200"/>
      <c r="P12613" s="199"/>
    </row>
    <row r="12614" spans="7:16" x14ac:dyDescent="0.2">
      <c r="G12614" s="199"/>
      <c r="I12614" s="199"/>
      <c r="K12614" s="199"/>
      <c r="M12614" s="199"/>
      <c r="N12614" s="200"/>
      <c r="P12614" s="199"/>
    </row>
    <row r="12615" spans="7:16" x14ac:dyDescent="0.2">
      <c r="G12615" s="199"/>
      <c r="I12615" s="199"/>
      <c r="K12615" s="199"/>
      <c r="M12615" s="199"/>
      <c r="N12615" s="200"/>
      <c r="P12615" s="199"/>
    </row>
    <row r="12616" spans="7:16" x14ac:dyDescent="0.2">
      <c r="G12616" s="199"/>
      <c r="I12616" s="199"/>
      <c r="K12616" s="199"/>
      <c r="M12616" s="199"/>
      <c r="N12616" s="200"/>
      <c r="P12616" s="199"/>
    </row>
    <row r="12617" spans="7:16" x14ac:dyDescent="0.2">
      <c r="G12617" s="199"/>
      <c r="I12617" s="199"/>
      <c r="K12617" s="199"/>
      <c r="M12617" s="199"/>
      <c r="N12617" s="200"/>
      <c r="P12617" s="199"/>
    </row>
    <row r="12618" spans="7:16" x14ac:dyDescent="0.2">
      <c r="G12618" s="199"/>
      <c r="I12618" s="199"/>
      <c r="K12618" s="199"/>
      <c r="M12618" s="199"/>
      <c r="N12618" s="200"/>
      <c r="P12618" s="199"/>
    </row>
    <row r="12619" spans="7:16" x14ac:dyDescent="0.2">
      <c r="G12619" s="199"/>
      <c r="I12619" s="199"/>
      <c r="K12619" s="199"/>
      <c r="M12619" s="199"/>
      <c r="N12619" s="200"/>
      <c r="P12619" s="199"/>
    </row>
    <row r="12620" spans="7:16" x14ac:dyDescent="0.2">
      <c r="G12620" s="199"/>
      <c r="I12620" s="199"/>
      <c r="K12620" s="199"/>
      <c r="M12620" s="199"/>
      <c r="N12620" s="200"/>
      <c r="P12620" s="199"/>
    </row>
    <row r="12621" spans="7:16" x14ac:dyDescent="0.2">
      <c r="G12621" s="199"/>
      <c r="I12621" s="199"/>
      <c r="K12621" s="199"/>
      <c r="M12621" s="199"/>
      <c r="N12621" s="200"/>
      <c r="P12621" s="199"/>
    </row>
    <row r="12622" spans="7:16" x14ac:dyDescent="0.2">
      <c r="G12622" s="199"/>
      <c r="I12622" s="199"/>
      <c r="K12622" s="199"/>
      <c r="M12622" s="199"/>
      <c r="N12622" s="200"/>
      <c r="P12622" s="199"/>
    </row>
    <row r="12623" spans="7:16" x14ac:dyDescent="0.2">
      <c r="G12623" s="199"/>
      <c r="I12623" s="199"/>
      <c r="K12623" s="199"/>
      <c r="M12623" s="199"/>
      <c r="N12623" s="200"/>
      <c r="P12623" s="199"/>
    </row>
    <row r="12624" spans="7:16" x14ac:dyDescent="0.2">
      <c r="G12624" s="199"/>
      <c r="I12624" s="199"/>
      <c r="K12624" s="199"/>
      <c r="M12624" s="199"/>
      <c r="N12624" s="200"/>
      <c r="P12624" s="199"/>
    </row>
    <row r="12625" spans="7:16" x14ac:dyDescent="0.2">
      <c r="G12625" s="199"/>
      <c r="I12625" s="199"/>
      <c r="K12625" s="199"/>
      <c r="M12625" s="199"/>
      <c r="N12625" s="200"/>
      <c r="P12625" s="199"/>
    </row>
    <row r="12626" spans="7:16" x14ac:dyDescent="0.2">
      <c r="G12626" s="199"/>
      <c r="I12626" s="199"/>
      <c r="K12626" s="199"/>
      <c r="M12626" s="199"/>
      <c r="N12626" s="200"/>
      <c r="P12626" s="199"/>
    </row>
    <row r="12627" spans="7:16" x14ac:dyDescent="0.2">
      <c r="G12627" s="199"/>
      <c r="I12627" s="199"/>
      <c r="K12627" s="199"/>
      <c r="M12627" s="199"/>
      <c r="N12627" s="200"/>
      <c r="P12627" s="199"/>
    </row>
    <row r="12628" spans="7:16" x14ac:dyDescent="0.2">
      <c r="G12628" s="199"/>
      <c r="I12628" s="199"/>
      <c r="K12628" s="199"/>
      <c r="M12628" s="199"/>
      <c r="N12628" s="200"/>
      <c r="P12628" s="199"/>
    </row>
    <row r="12629" spans="7:16" x14ac:dyDescent="0.2">
      <c r="G12629" s="199"/>
      <c r="I12629" s="199"/>
      <c r="K12629" s="199"/>
      <c r="M12629" s="199"/>
      <c r="N12629" s="200"/>
      <c r="P12629" s="199"/>
    </row>
    <row r="12630" spans="7:16" x14ac:dyDescent="0.2">
      <c r="G12630" s="199"/>
      <c r="I12630" s="199"/>
      <c r="K12630" s="199"/>
      <c r="M12630" s="199"/>
      <c r="N12630" s="200"/>
      <c r="P12630" s="199"/>
    </row>
    <row r="12631" spans="7:16" x14ac:dyDescent="0.2">
      <c r="G12631" s="199"/>
      <c r="I12631" s="199"/>
      <c r="K12631" s="199"/>
      <c r="M12631" s="199"/>
      <c r="N12631" s="200"/>
      <c r="P12631" s="199"/>
    </row>
    <row r="12632" spans="7:16" x14ac:dyDescent="0.2">
      <c r="G12632" s="199"/>
      <c r="I12632" s="199"/>
      <c r="K12632" s="199"/>
      <c r="M12632" s="199"/>
      <c r="N12632" s="200"/>
      <c r="P12632" s="199"/>
    </row>
    <row r="12633" spans="7:16" x14ac:dyDescent="0.2">
      <c r="G12633" s="199"/>
      <c r="I12633" s="199"/>
      <c r="K12633" s="199"/>
      <c r="M12633" s="199"/>
      <c r="N12633" s="200"/>
      <c r="P12633" s="199"/>
    </row>
    <row r="12634" spans="7:16" x14ac:dyDescent="0.2">
      <c r="G12634" s="199"/>
      <c r="I12634" s="199"/>
      <c r="K12634" s="199"/>
      <c r="M12634" s="199"/>
      <c r="N12634" s="200"/>
      <c r="P12634" s="199"/>
    </row>
    <row r="12635" spans="7:16" x14ac:dyDescent="0.2">
      <c r="G12635" s="199"/>
      <c r="I12635" s="199"/>
      <c r="K12635" s="199"/>
      <c r="M12635" s="199"/>
      <c r="N12635" s="200"/>
      <c r="P12635" s="199"/>
    </row>
    <row r="12636" spans="7:16" x14ac:dyDescent="0.2">
      <c r="G12636" s="199"/>
      <c r="I12636" s="199"/>
      <c r="K12636" s="199"/>
      <c r="M12636" s="199"/>
      <c r="N12636" s="200"/>
      <c r="P12636" s="199"/>
    </row>
    <row r="12637" spans="7:16" x14ac:dyDescent="0.2">
      <c r="G12637" s="199"/>
      <c r="I12637" s="199"/>
      <c r="K12637" s="199"/>
      <c r="M12637" s="199"/>
      <c r="N12637" s="200"/>
      <c r="P12637" s="199"/>
    </row>
    <row r="12638" spans="7:16" x14ac:dyDescent="0.2">
      <c r="G12638" s="199"/>
      <c r="I12638" s="199"/>
      <c r="K12638" s="199"/>
      <c r="M12638" s="199"/>
      <c r="N12638" s="200"/>
      <c r="P12638" s="199"/>
    </row>
    <row r="12639" spans="7:16" x14ac:dyDescent="0.2">
      <c r="G12639" s="199"/>
      <c r="I12639" s="199"/>
      <c r="K12639" s="199"/>
      <c r="M12639" s="199"/>
      <c r="N12639" s="200"/>
      <c r="P12639" s="199"/>
    </row>
    <row r="12640" spans="7:16" x14ac:dyDescent="0.2">
      <c r="G12640" s="199"/>
      <c r="I12640" s="199"/>
      <c r="K12640" s="199"/>
      <c r="M12640" s="199"/>
      <c r="N12640" s="200"/>
      <c r="P12640" s="199"/>
    </row>
    <row r="12641" spans="7:16" x14ac:dyDescent="0.2">
      <c r="G12641" s="199"/>
      <c r="I12641" s="199"/>
      <c r="K12641" s="199"/>
      <c r="M12641" s="199"/>
      <c r="N12641" s="200"/>
      <c r="P12641" s="199"/>
    </row>
    <row r="12642" spans="7:16" x14ac:dyDescent="0.2">
      <c r="G12642" s="199"/>
      <c r="I12642" s="199"/>
      <c r="K12642" s="199"/>
      <c r="M12642" s="199"/>
      <c r="N12642" s="200"/>
      <c r="P12642" s="199"/>
    </row>
    <row r="12643" spans="7:16" x14ac:dyDescent="0.2">
      <c r="G12643" s="199"/>
      <c r="I12643" s="199"/>
      <c r="K12643" s="199"/>
      <c r="M12643" s="199"/>
      <c r="N12643" s="200"/>
      <c r="P12643" s="199"/>
    </row>
    <row r="12644" spans="7:16" x14ac:dyDescent="0.2">
      <c r="G12644" s="199"/>
      <c r="I12644" s="199"/>
      <c r="K12644" s="199"/>
      <c r="M12644" s="199"/>
      <c r="N12644" s="200"/>
      <c r="P12644" s="199"/>
    </row>
    <row r="12645" spans="7:16" x14ac:dyDescent="0.2">
      <c r="G12645" s="199"/>
      <c r="I12645" s="199"/>
      <c r="K12645" s="199"/>
      <c r="M12645" s="199"/>
      <c r="N12645" s="200"/>
      <c r="P12645" s="199"/>
    </row>
    <row r="12646" spans="7:16" x14ac:dyDescent="0.2">
      <c r="G12646" s="199"/>
      <c r="I12646" s="199"/>
      <c r="K12646" s="199"/>
      <c r="M12646" s="199"/>
      <c r="N12646" s="200"/>
      <c r="P12646" s="199"/>
    </row>
    <row r="12647" spans="7:16" x14ac:dyDescent="0.2">
      <c r="G12647" s="199"/>
      <c r="I12647" s="199"/>
      <c r="K12647" s="199"/>
      <c r="M12647" s="199"/>
      <c r="N12647" s="200"/>
      <c r="P12647" s="199"/>
    </row>
    <row r="12648" spans="7:16" x14ac:dyDescent="0.2">
      <c r="G12648" s="199"/>
      <c r="I12648" s="199"/>
      <c r="K12648" s="199"/>
      <c r="M12648" s="199"/>
      <c r="N12648" s="200"/>
      <c r="P12648" s="199"/>
    </row>
    <row r="12649" spans="7:16" x14ac:dyDescent="0.2">
      <c r="G12649" s="199"/>
      <c r="I12649" s="199"/>
      <c r="K12649" s="199"/>
      <c r="M12649" s="199"/>
      <c r="N12649" s="200"/>
      <c r="P12649" s="199"/>
    </row>
    <row r="12650" spans="7:16" x14ac:dyDescent="0.2">
      <c r="G12650" s="199"/>
      <c r="I12650" s="199"/>
      <c r="K12650" s="199"/>
      <c r="M12650" s="199"/>
      <c r="N12650" s="200"/>
      <c r="P12650" s="199"/>
    </row>
    <row r="12651" spans="7:16" x14ac:dyDescent="0.2">
      <c r="G12651" s="199"/>
      <c r="I12651" s="199"/>
      <c r="K12651" s="199"/>
      <c r="M12651" s="199"/>
      <c r="N12651" s="200"/>
      <c r="P12651" s="199"/>
    </row>
    <row r="12652" spans="7:16" x14ac:dyDescent="0.2">
      <c r="G12652" s="199"/>
      <c r="I12652" s="199"/>
      <c r="K12652" s="199"/>
      <c r="M12652" s="199"/>
      <c r="N12652" s="200"/>
      <c r="P12652" s="199"/>
    </row>
    <row r="12653" spans="7:16" x14ac:dyDescent="0.2">
      <c r="G12653" s="199"/>
      <c r="I12653" s="199"/>
      <c r="K12653" s="199"/>
      <c r="M12653" s="199"/>
      <c r="N12653" s="200"/>
      <c r="P12653" s="199"/>
    </row>
    <row r="12654" spans="7:16" x14ac:dyDescent="0.2">
      <c r="G12654" s="199"/>
      <c r="I12654" s="199"/>
      <c r="K12654" s="199"/>
      <c r="M12654" s="199"/>
      <c r="N12654" s="200"/>
      <c r="P12654" s="199"/>
    </row>
    <row r="12655" spans="7:16" x14ac:dyDescent="0.2">
      <c r="G12655" s="199"/>
      <c r="I12655" s="199"/>
      <c r="K12655" s="199"/>
      <c r="M12655" s="199"/>
      <c r="N12655" s="200"/>
      <c r="P12655" s="199"/>
    </row>
    <row r="12656" spans="7:16" x14ac:dyDescent="0.2">
      <c r="G12656" s="199"/>
      <c r="I12656" s="199"/>
      <c r="K12656" s="199"/>
      <c r="M12656" s="199"/>
      <c r="N12656" s="200"/>
      <c r="P12656" s="199"/>
    </row>
    <row r="12657" spans="7:16" x14ac:dyDescent="0.2">
      <c r="G12657" s="199"/>
      <c r="I12657" s="199"/>
      <c r="K12657" s="199"/>
      <c r="M12657" s="199"/>
      <c r="N12657" s="200"/>
      <c r="P12657" s="199"/>
    </row>
    <row r="12658" spans="7:16" x14ac:dyDescent="0.2">
      <c r="G12658" s="199"/>
      <c r="I12658" s="199"/>
      <c r="K12658" s="199"/>
      <c r="M12658" s="199"/>
      <c r="N12658" s="200"/>
      <c r="P12658" s="199"/>
    </row>
    <row r="12659" spans="7:16" x14ac:dyDescent="0.2">
      <c r="G12659" s="199"/>
      <c r="I12659" s="199"/>
      <c r="K12659" s="199"/>
      <c r="M12659" s="199"/>
      <c r="N12659" s="200"/>
      <c r="P12659" s="199"/>
    </row>
    <row r="12660" spans="7:16" x14ac:dyDescent="0.2">
      <c r="G12660" s="199"/>
      <c r="I12660" s="199"/>
      <c r="K12660" s="199"/>
      <c r="M12660" s="199"/>
      <c r="N12660" s="200"/>
      <c r="P12660" s="199"/>
    </row>
    <row r="12661" spans="7:16" x14ac:dyDescent="0.2">
      <c r="G12661" s="199"/>
      <c r="I12661" s="199"/>
      <c r="K12661" s="199"/>
      <c r="M12661" s="199"/>
      <c r="N12661" s="200"/>
      <c r="P12661" s="199"/>
    </row>
    <row r="12662" spans="7:16" x14ac:dyDescent="0.2">
      <c r="G12662" s="199"/>
      <c r="I12662" s="199"/>
      <c r="K12662" s="199"/>
      <c r="M12662" s="199"/>
      <c r="N12662" s="200"/>
      <c r="P12662" s="199"/>
    </row>
    <row r="12663" spans="7:16" x14ac:dyDescent="0.2">
      <c r="G12663" s="199"/>
      <c r="I12663" s="199"/>
      <c r="K12663" s="199"/>
      <c r="M12663" s="199"/>
      <c r="N12663" s="200"/>
      <c r="P12663" s="199"/>
    </row>
    <row r="12664" spans="7:16" x14ac:dyDescent="0.2">
      <c r="G12664" s="199"/>
      <c r="I12664" s="199"/>
      <c r="K12664" s="199"/>
      <c r="M12664" s="199"/>
      <c r="N12664" s="200"/>
      <c r="P12664" s="199"/>
    </row>
    <row r="12665" spans="7:16" x14ac:dyDescent="0.2">
      <c r="G12665" s="199"/>
      <c r="I12665" s="199"/>
      <c r="K12665" s="199"/>
      <c r="M12665" s="199"/>
      <c r="N12665" s="200"/>
      <c r="P12665" s="199"/>
    </row>
    <row r="12666" spans="7:16" x14ac:dyDescent="0.2">
      <c r="G12666" s="199"/>
      <c r="I12666" s="199"/>
      <c r="K12666" s="199"/>
      <c r="M12666" s="199"/>
      <c r="N12666" s="200"/>
      <c r="P12666" s="199"/>
    </row>
    <row r="12667" spans="7:16" x14ac:dyDescent="0.2">
      <c r="G12667" s="199"/>
      <c r="I12667" s="199"/>
      <c r="K12667" s="199"/>
      <c r="M12667" s="199"/>
      <c r="N12667" s="200"/>
      <c r="P12667" s="199"/>
    </row>
    <row r="12668" spans="7:16" x14ac:dyDescent="0.2">
      <c r="G12668" s="199"/>
      <c r="I12668" s="199"/>
      <c r="K12668" s="199"/>
      <c r="M12668" s="199"/>
      <c r="N12668" s="200"/>
      <c r="P12668" s="199"/>
    </row>
    <row r="12669" spans="7:16" x14ac:dyDescent="0.2">
      <c r="G12669" s="199"/>
      <c r="I12669" s="199"/>
      <c r="K12669" s="199"/>
      <c r="M12669" s="199"/>
      <c r="N12669" s="200"/>
      <c r="P12669" s="199"/>
    </row>
    <row r="12670" spans="7:16" x14ac:dyDescent="0.2">
      <c r="G12670" s="199"/>
      <c r="I12670" s="199"/>
      <c r="K12670" s="199"/>
      <c r="M12670" s="199"/>
      <c r="N12670" s="200"/>
      <c r="P12670" s="199"/>
    </row>
    <row r="12671" spans="7:16" x14ac:dyDescent="0.2">
      <c r="G12671" s="199"/>
      <c r="I12671" s="199"/>
      <c r="K12671" s="199"/>
      <c r="M12671" s="199"/>
      <c r="N12671" s="200"/>
      <c r="P12671" s="199"/>
    </row>
    <row r="12672" spans="7:16" x14ac:dyDescent="0.2">
      <c r="G12672" s="199"/>
      <c r="I12672" s="199"/>
      <c r="K12672" s="199"/>
      <c r="M12672" s="199"/>
      <c r="N12672" s="200"/>
      <c r="P12672" s="199"/>
    </row>
    <row r="12673" spans="7:16" x14ac:dyDescent="0.2">
      <c r="G12673" s="199"/>
      <c r="I12673" s="199"/>
      <c r="K12673" s="199"/>
      <c r="M12673" s="199"/>
      <c r="N12673" s="200"/>
      <c r="P12673" s="199"/>
    </row>
    <row r="12674" spans="7:16" x14ac:dyDescent="0.2">
      <c r="G12674" s="199"/>
      <c r="I12674" s="199"/>
      <c r="K12674" s="199"/>
      <c r="M12674" s="199"/>
      <c r="N12674" s="200"/>
      <c r="P12674" s="199"/>
    </row>
    <row r="12675" spans="7:16" x14ac:dyDescent="0.2">
      <c r="G12675" s="199"/>
      <c r="I12675" s="199"/>
      <c r="K12675" s="199"/>
      <c r="M12675" s="199"/>
      <c r="N12675" s="200"/>
      <c r="P12675" s="199"/>
    </row>
    <row r="12676" spans="7:16" x14ac:dyDescent="0.2">
      <c r="G12676" s="199"/>
      <c r="I12676" s="199"/>
      <c r="K12676" s="199"/>
      <c r="M12676" s="199"/>
      <c r="N12676" s="200"/>
      <c r="P12676" s="199"/>
    </row>
    <row r="12677" spans="7:16" x14ac:dyDescent="0.2">
      <c r="G12677" s="199"/>
      <c r="I12677" s="199"/>
      <c r="K12677" s="199"/>
      <c r="M12677" s="199"/>
      <c r="N12677" s="200"/>
      <c r="P12677" s="199"/>
    </row>
    <row r="12678" spans="7:16" x14ac:dyDescent="0.2">
      <c r="G12678" s="199"/>
      <c r="I12678" s="199"/>
      <c r="K12678" s="199"/>
      <c r="M12678" s="199"/>
      <c r="N12678" s="200"/>
      <c r="P12678" s="199"/>
    </row>
    <row r="12679" spans="7:16" x14ac:dyDescent="0.2">
      <c r="G12679" s="199"/>
      <c r="I12679" s="199"/>
      <c r="K12679" s="199"/>
      <c r="M12679" s="199"/>
      <c r="N12679" s="200"/>
      <c r="P12679" s="199"/>
    </row>
    <row r="12680" spans="7:16" x14ac:dyDescent="0.2">
      <c r="G12680" s="199"/>
      <c r="I12680" s="199"/>
      <c r="K12680" s="199"/>
      <c r="M12680" s="199"/>
      <c r="N12680" s="200"/>
      <c r="P12680" s="199"/>
    </row>
    <row r="12681" spans="7:16" x14ac:dyDescent="0.2">
      <c r="G12681" s="199"/>
      <c r="I12681" s="199"/>
      <c r="K12681" s="199"/>
      <c r="M12681" s="199"/>
      <c r="N12681" s="200"/>
      <c r="P12681" s="199"/>
    </row>
    <row r="12682" spans="7:16" x14ac:dyDescent="0.2">
      <c r="G12682" s="199"/>
      <c r="I12682" s="199"/>
      <c r="K12682" s="199"/>
      <c r="M12682" s="199"/>
      <c r="N12682" s="200"/>
      <c r="P12682" s="199"/>
    </row>
    <row r="12683" spans="7:16" x14ac:dyDescent="0.2">
      <c r="G12683" s="199"/>
      <c r="I12683" s="199"/>
      <c r="K12683" s="199"/>
      <c r="M12683" s="199"/>
      <c r="N12683" s="200"/>
      <c r="P12683" s="199"/>
    </row>
    <row r="12684" spans="7:16" x14ac:dyDescent="0.2">
      <c r="G12684" s="199"/>
      <c r="I12684" s="199"/>
      <c r="K12684" s="199"/>
      <c r="M12684" s="199"/>
      <c r="N12684" s="200"/>
      <c r="P12684" s="199"/>
    </row>
    <row r="12685" spans="7:16" x14ac:dyDescent="0.2">
      <c r="G12685" s="199"/>
      <c r="I12685" s="199"/>
      <c r="K12685" s="199"/>
      <c r="M12685" s="199"/>
      <c r="N12685" s="200"/>
      <c r="P12685" s="199"/>
    </row>
    <row r="12686" spans="7:16" x14ac:dyDescent="0.2">
      <c r="G12686" s="199"/>
      <c r="I12686" s="199"/>
      <c r="K12686" s="199"/>
      <c r="M12686" s="199"/>
      <c r="N12686" s="200"/>
      <c r="P12686" s="199"/>
    </row>
    <row r="12687" spans="7:16" x14ac:dyDescent="0.2">
      <c r="G12687" s="199"/>
      <c r="I12687" s="199"/>
      <c r="K12687" s="199"/>
      <c r="M12687" s="199"/>
      <c r="N12687" s="200"/>
      <c r="P12687" s="199"/>
    </row>
    <row r="12688" spans="7:16" x14ac:dyDescent="0.2">
      <c r="G12688" s="199"/>
      <c r="I12688" s="199"/>
      <c r="K12688" s="199"/>
      <c r="M12688" s="199"/>
      <c r="N12688" s="200"/>
      <c r="P12688" s="199"/>
    </row>
    <row r="12689" spans="7:16" x14ac:dyDescent="0.2">
      <c r="G12689" s="199"/>
      <c r="I12689" s="199"/>
      <c r="K12689" s="199"/>
      <c r="M12689" s="199"/>
      <c r="N12689" s="200"/>
      <c r="P12689" s="199"/>
    </row>
    <row r="12690" spans="7:16" x14ac:dyDescent="0.2">
      <c r="G12690" s="199"/>
      <c r="I12690" s="199"/>
      <c r="K12690" s="199"/>
      <c r="M12690" s="199"/>
      <c r="N12690" s="200"/>
      <c r="P12690" s="199"/>
    </row>
    <row r="12691" spans="7:16" x14ac:dyDescent="0.2">
      <c r="G12691" s="199"/>
      <c r="I12691" s="199"/>
      <c r="K12691" s="199"/>
      <c r="M12691" s="199"/>
      <c r="N12691" s="200"/>
      <c r="P12691" s="199"/>
    </row>
    <row r="12692" spans="7:16" x14ac:dyDescent="0.2">
      <c r="G12692" s="199"/>
      <c r="I12692" s="199"/>
      <c r="K12692" s="199"/>
      <c r="M12692" s="199"/>
      <c r="N12692" s="200"/>
      <c r="P12692" s="199"/>
    </row>
    <row r="12693" spans="7:16" x14ac:dyDescent="0.2">
      <c r="G12693" s="199"/>
      <c r="I12693" s="199"/>
      <c r="K12693" s="199"/>
      <c r="M12693" s="199"/>
      <c r="N12693" s="200"/>
      <c r="P12693" s="199"/>
    </row>
    <row r="12694" spans="7:16" x14ac:dyDescent="0.2">
      <c r="G12694" s="199"/>
      <c r="I12694" s="199"/>
      <c r="K12694" s="199"/>
      <c r="M12694" s="199"/>
      <c r="N12694" s="200"/>
      <c r="P12694" s="199"/>
    </row>
    <row r="12695" spans="7:16" x14ac:dyDescent="0.2">
      <c r="G12695" s="199"/>
      <c r="I12695" s="199"/>
      <c r="K12695" s="199"/>
      <c r="M12695" s="199"/>
      <c r="N12695" s="200"/>
      <c r="P12695" s="199"/>
    </row>
    <row r="12696" spans="7:16" x14ac:dyDescent="0.2">
      <c r="G12696" s="199"/>
      <c r="I12696" s="199"/>
      <c r="K12696" s="199"/>
      <c r="M12696" s="199"/>
      <c r="N12696" s="200"/>
      <c r="P12696" s="199"/>
    </row>
    <row r="12697" spans="7:16" x14ac:dyDescent="0.2">
      <c r="G12697" s="199"/>
      <c r="I12697" s="199"/>
      <c r="K12697" s="199"/>
      <c r="M12697" s="199"/>
      <c r="N12697" s="200"/>
      <c r="P12697" s="199"/>
    </row>
    <row r="12698" spans="7:16" x14ac:dyDescent="0.2">
      <c r="G12698" s="199"/>
      <c r="I12698" s="199"/>
      <c r="K12698" s="199"/>
      <c r="M12698" s="199"/>
      <c r="N12698" s="200"/>
      <c r="P12698" s="199"/>
    </row>
    <row r="12699" spans="7:16" x14ac:dyDescent="0.2">
      <c r="G12699" s="199"/>
      <c r="I12699" s="199"/>
      <c r="K12699" s="199"/>
      <c r="M12699" s="199"/>
      <c r="N12699" s="200"/>
      <c r="P12699" s="199"/>
    </row>
    <row r="12700" spans="7:16" x14ac:dyDescent="0.2">
      <c r="G12700" s="199"/>
      <c r="I12700" s="199"/>
      <c r="K12700" s="199"/>
      <c r="M12700" s="199"/>
      <c r="N12700" s="200"/>
      <c r="P12700" s="199"/>
    </row>
    <row r="12701" spans="7:16" x14ac:dyDescent="0.2">
      <c r="G12701" s="199"/>
      <c r="I12701" s="199"/>
      <c r="K12701" s="199"/>
      <c r="M12701" s="199"/>
      <c r="N12701" s="200"/>
      <c r="P12701" s="199"/>
    </row>
    <row r="12702" spans="7:16" x14ac:dyDescent="0.2">
      <c r="G12702" s="199"/>
      <c r="I12702" s="199"/>
      <c r="K12702" s="199"/>
      <c r="M12702" s="199"/>
      <c r="N12702" s="200"/>
      <c r="P12702" s="199"/>
    </row>
    <row r="12703" spans="7:16" x14ac:dyDescent="0.2">
      <c r="G12703" s="199"/>
      <c r="I12703" s="199"/>
      <c r="K12703" s="199"/>
      <c r="M12703" s="199"/>
      <c r="N12703" s="200"/>
      <c r="P12703" s="199"/>
    </row>
    <row r="12704" spans="7:16" x14ac:dyDescent="0.2">
      <c r="G12704" s="199"/>
      <c r="I12704" s="199"/>
      <c r="K12704" s="199"/>
      <c r="M12704" s="199"/>
      <c r="N12704" s="200"/>
      <c r="P12704" s="199"/>
    </row>
    <row r="12705" spans="7:16" x14ac:dyDescent="0.2">
      <c r="G12705" s="199"/>
      <c r="I12705" s="199"/>
      <c r="K12705" s="199"/>
      <c r="M12705" s="199"/>
      <c r="N12705" s="200"/>
      <c r="P12705" s="199"/>
    </row>
    <row r="12706" spans="7:16" x14ac:dyDescent="0.2">
      <c r="G12706" s="199"/>
      <c r="I12706" s="199"/>
      <c r="K12706" s="199"/>
      <c r="M12706" s="199"/>
      <c r="N12706" s="200"/>
      <c r="P12706" s="199"/>
    </row>
    <row r="12707" spans="7:16" x14ac:dyDescent="0.2">
      <c r="G12707" s="199"/>
      <c r="I12707" s="199"/>
      <c r="K12707" s="199"/>
      <c r="M12707" s="199"/>
      <c r="N12707" s="200"/>
      <c r="P12707" s="199"/>
    </row>
    <row r="12708" spans="7:16" x14ac:dyDescent="0.2">
      <c r="G12708" s="199"/>
      <c r="I12708" s="199"/>
      <c r="K12708" s="199"/>
      <c r="M12708" s="199"/>
      <c r="N12708" s="200"/>
      <c r="P12708" s="199"/>
    </row>
    <row r="12709" spans="7:16" x14ac:dyDescent="0.2">
      <c r="G12709" s="199"/>
      <c r="I12709" s="199"/>
      <c r="K12709" s="199"/>
      <c r="M12709" s="199"/>
      <c r="N12709" s="200"/>
      <c r="P12709" s="199"/>
    </row>
    <row r="12710" spans="7:16" x14ac:dyDescent="0.2">
      <c r="G12710" s="199"/>
      <c r="I12710" s="199"/>
      <c r="K12710" s="199"/>
      <c r="M12710" s="199"/>
      <c r="N12710" s="200"/>
      <c r="P12710" s="199"/>
    </row>
    <row r="12711" spans="7:16" x14ac:dyDescent="0.2">
      <c r="G12711" s="199"/>
      <c r="I12711" s="199"/>
      <c r="K12711" s="199"/>
      <c r="M12711" s="199"/>
      <c r="N12711" s="200"/>
      <c r="P12711" s="199"/>
    </row>
    <row r="12712" spans="7:16" x14ac:dyDescent="0.2">
      <c r="G12712" s="199"/>
      <c r="I12712" s="199"/>
      <c r="K12712" s="199"/>
      <c r="M12712" s="199"/>
      <c r="N12712" s="200"/>
      <c r="P12712" s="199"/>
    </row>
    <row r="12713" spans="7:16" x14ac:dyDescent="0.2">
      <c r="G12713" s="199"/>
      <c r="I12713" s="199"/>
      <c r="K12713" s="199"/>
      <c r="M12713" s="199"/>
      <c r="N12713" s="200"/>
      <c r="P12713" s="199"/>
    </row>
    <row r="12714" spans="7:16" x14ac:dyDescent="0.2">
      <c r="G12714" s="199"/>
      <c r="I12714" s="199"/>
      <c r="K12714" s="199"/>
      <c r="M12714" s="199"/>
      <c r="N12714" s="200"/>
      <c r="P12714" s="199"/>
    </row>
    <row r="12715" spans="7:16" x14ac:dyDescent="0.2">
      <c r="G12715" s="199"/>
      <c r="I12715" s="199"/>
      <c r="K12715" s="199"/>
      <c r="M12715" s="199"/>
      <c r="N12715" s="200"/>
      <c r="P12715" s="199"/>
    </row>
    <row r="12716" spans="7:16" x14ac:dyDescent="0.2">
      <c r="G12716" s="199"/>
      <c r="I12716" s="199"/>
      <c r="K12716" s="199"/>
      <c r="M12716" s="199"/>
      <c r="N12716" s="200"/>
      <c r="P12716" s="199"/>
    </row>
    <row r="12717" spans="7:16" x14ac:dyDescent="0.2">
      <c r="G12717" s="199"/>
      <c r="I12717" s="199"/>
      <c r="K12717" s="199"/>
      <c r="M12717" s="199"/>
      <c r="N12717" s="200"/>
      <c r="P12717" s="199"/>
    </row>
    <row r="12718" spans="7:16" x14ac:dyDescent="0.2">
      <c r="G12718" s="199"/>
      <c r="I12718" s="199"/>
      <c r="K12718" s="199"/>
      <c r="M12718" s="199"/>
      <c r="N12718" s="200"/>
      <c r="P12718" s="199"/>
    </row>
    <row r="12719" spans="7:16" x14ac:dyDescent="0.2">
      <c r="G12719" s="199"/>
      <c r="I12719" s="199"/>
      <c r="K12719" s="199"/>
      <c r="M12719" s="199"/>
      <c r="N12719" s="200"/>
      <c r="P12719" s="199"/>
    </row>
    <row r="12720" spans="7:16" x14ac:dyDescent="0.2">
      <c r="G12720" s="199"/>
      <c r="I12720" s="199"/>
      <c r="K12720" s="199"/>
      <c r="M12720" s="199"/>
      <c r="N12720" s="200"/>
      <c r="P12720" s="199"/>
    </row>
    <row r="12721" spans="7:16" x14ac:dyDescent="0.2">
      <c r="G12721" s="199"/>
      <c r="I12721" s="199"/>
      <c r="K12721" s="199"/>
      <c r="M12721" s="199"/>
      <c r="N12721" s="200"/>
      <c r="P12721" s="199"/>
    </row>
    <row r="12722" spans="7:16" x14ac:dyDescent="0.2">
      <c r="G12722" s="199"/>
      <c r="I12722" s="199"/>
      <c r="K12722" s="199"/>
      <c r="M12722" s="199"/>
      <c r="N12722" s="200"/>
      <c r="P12722" s="199"/>
    </row>
    <row r="12723" spans="7:16" x14ac:dyDescent="0.2">
      <c r="G12723" s="199"/>
      <c r="I12723" s="199"/>
      <c r="K12723" s="199"/>
      <c r="M12723" s="199"/>
      <c r="N12723" s="200"/>
      <c r="P12723" s="199"/>
    </row>
    <row r="12724" spans="7:16" x14ac:dyDescent="0.2">
      <c r="G12724" s="199"/>
      <c r="I12724" s="199"/>
      <c r="K12724" s="199"/>
      <c r="M12724" s="199"/>
      <c r="N12724" s="200"/>
      <c r="P12724" s="199"/>
    </row>
    <row r="12725" spans="7:16" x14ac:dyDescent="0.2">
      <c r="G12725" s="199"/>
      <c r="I12725" s="199"/>
      <c r="K12725" s="199"/>
      <c r="M12725" s="199"/>
      <c r="N12725" s="200"/>
      <c r="P12725" s="199"/>
    </row>
    <row r="12726" spans="7:16" x14ac:dyDescent="0.2">
      <c r="G12726" s="199"/>
      <c r="I12726" s="199"/>
      <c r="K12726" s="199"/>
      <c r="M12726" s="199"/>
      <c r="N12726" s="200"/>
      <c r="P12726" s="199"/>
    </row>
    <row r="12727" spans="7:16" x14ac:dyDescent="0.2">
      <c r="G12727" s="199"/>
      <c r="I12727" s="199"/>
      <c r="K12727" s="199"/>
      <c r="M12727" s="199"/>
      <c r="N12727" s="200"/>
      <c r="P12727" s="199"/>
    </row>
    <row r="12728" spans="7:16" x14ac:dyDescent="0.2">
      <c r="G12728" s="199"/>
      <c r="I12728" s="199"/>
      <c r="K12728" s="199"/>
      <c r="M12728" s="199"/>
      <c r="N12728" s="200"/>
      <c r="P12728" s="199"/>
    </row>
    <row r="12729" spans="7:16" x14ac:dyDescent="0.2">
      <c r="G12729" s="199"/>
      <c r="I12729" s="199"/>
      <c r="K12729" s="199"/>
      <c r="M12729" s="199"/>
      <c r="N12729" s="200"/>
      <c r="P12729" s="199"/>
    </row>
    <row r="12730" spans="7:16" x14ac:dyDescent="0.2">
      <c r="G12730" s="199"/>
      <c r="I12730" s="199"/>
      <c r="K12730" s="199"/>
      <c r="M12730" s="199"/>
      <c r="N12730" s="200"/>
      <c r="P12730" s="199"/>
    </row>
    <row r="12731" spans="7:16" x14ac:dyDescent="0.2">
      <c r="G12731" s="199"/>
      <c r="I12731" s="199"/>
      <c r="K12731" s="199"/>
      <c r="M12731" s="199"/>
      <c r="N12731" s="200"/>
      <c r="P12731" s="199"/>
    </row>
    <row r="12732" spans="7:16" x14ac:dyDescent="0.2">
      <c r="G12732" s="199"/>
      <c r="I12732" s="199"/>
      <c r="K12732" s="199"/>
      <c r="M12732" s="199"/>
      <c r="N12732" s="200"/>
      <c r="P12732" s="199"/>
    </row>
    <row r="12733" spans="7:16" x14ac:dyDescent="0.2">
      <c r="G12733" s="199"/>
      <c r="I12733" s="199"/>
      <c r="K12733" s="199"/>
      <c r="M12733" s="199"/>
      <c r="N12733" s="200"/>
      <c r="P12733" s="199"/>
    </row>
    <row r="12734" spans="7:16" x14ac:dyDescent="0.2">
      <c r="G12734" s="199"/>
      <c r="I12734" s="199"/>
      <c r="K12734" s="199"/>
      <c r="M12734" s="199"/>
      <c r="N12734" s="200"/>
      <c r="P12734" s="199"/>
    </row>
    <row r="12735" spans="7:16" x14ac:dyDescent="0.2">
      <c r="G12735" s="199"/>
      <c r="I12735" s="199"/>
      <c r="K12735" s="199"/>
      <c r="M12735" s="199"/>
      <c r="N12735" s="200"/>
      <c r="P12735" s="199"/>
    </row>
    <row r="12736" spans="7:16" x14ac:dyDescent="0.2">
      <c r="G12736" s="199"/>
      <c r="I12736" s="199"/>
      <c r="K12736" s="199"/>
      <c r="M12736" s="199"/>
      <c r="N12736" s="200"/>
      <c r="P12736" s="199"/>
    </row>
    <row r="12737" spans="7:16" x14ac:dyDescent="0.2">
      <c r="G12737" s="199"/>
      <c r="I12737" s="199"/>
      <c r="K12737" s="199"/>
      <c r="M12737" s="199"/>
      <c r="N12737" s="200"/>
      <c r="P12737" s="199"/>
    </row>
    <row r="12738" spans="7:16" x14ac:dyDescent="0.2">
      <c r="G12738" s="199"/>
      <c r="I12738" s="199"/>
      <c r="K12738" s="199"/>
      <c r="M12738" s="199"/>
      <c r="N12738" s="200"/>
      <c r="P12738" s="199"/>
    </row>
    <row r="12739" spans="7:16" x14ac:dyDescent="0.2">
      <c r="G12739" s="199"/>
      <c r="I12739" s="199"/>
      <c r="K12739" s="199"/>
      <c r="M12739" s="199"/>
      <c r="N12739" s="200"/>
      <c r="P12739" s="199"/>
    </row>
    <row r="12740" spans="7:16" x14ac:dyDescent="0.2">
      <c r="G12740" s="199"/>
      <c r="I12740" s="199"/>
      <c r="K12740" s="199"/>
      <c r="M12740" s="199"/>
      <c r="N12740" s="200"/>
      <c r="P12740" s="199"/>
    </row>
    <row r="12741" spans="7:16" x14ac:dyDescent="0.2">
      <c r="G12741" s="199"/>
      <c r="I12741" s="199"/>
      <c r="K12741" s="199"/>
      <c r="M12741" s="199"/>
      <c r="N12741" s="200"/>
      <c r="P12741" s="199"/>
    </row>
    <row r="12742" spans="7:16" x14ac:dyDescent="0.2">
      <c r="G12742" s="199"/>
      <c r="I12742" s="199"/>
      <c r="K12742" s="199"/>
      <c r="M12742" s="199"/>
      <c r="N12742" s="200"/>
      <c r="P12742" s="199"/>
    </row>
    <row r="12743" spans="7:16" x14ac:dyDescent="0.2">
      <c r="G12743" s="199"/>
      <c r="I12743" s="199"/>
      <c r="K12743" s="199"/>
      <c r="M12743" s="199"/>
      <c r="N12743" s="200"/>
      <c r="P12743" s="199"/>
    </row>
    <row r="12744" spans="7:16" x14ac:dyDescent="0.2">
      <c r="G12744" s="199"/>
      <c r="I12744" s="199"/>
      <c r="K12744" s="199"/>
      <c r="M12744" s="199"/>
      <c r="N12744" s="200"/>
      <c r="P12744" s="199"/>
    </row>
    <row r="12745" spans="7:16" x14ac:dyDescent="0.2">
      <c r="G12745" s="199"/>
      <c r="I12745" s="199"/>
      <c r="K12745" s="199"/>
      <c r="M12745" s="199"/>
      <c r="N12745" s="200"/>
      <c r="P12745" s="199"/>
    </row>
    <row r="12746" spans="7:16" x14ac:dyDescent="0.2">
      <c r="G12746" s="199"/>
      <c r="I12746" s="199"/>
      <c r="K12746" s="199"/>
      <c r="M12746" s="199"/>
      <c r="N12746" s="200"/>
      <c r="P12746" s="199"/>
    </row>
    <row r="12747" spans="7:16" x14ac:dyDescent="0.2">
      <c r="G12747" s="199"/>
      <c r="I12747" s="199"/>
      <c r="K12747" s="199"/>
      <c r="M12747" s="199"/>
      <c r="N12747" s="200"/>
      <c r="P12747" s="199"/>
    </row>
    <row r="12748" spans="7:16" x14ac:dyDescent="0.2">
      <c r="G12748" s="199"/>
      <c r="I12748" s="199"/>
      <c r="K12748" s="199"/>
      <c r="M12748" s="199"/>
      <c r="N12748" s="200"/>
      <c r="P12748" s="199"/>
    </row>
    <row r="12749" spans="7:16" x14ac:dyDescent="0.2">
      <c r="G12749" s="199"/>
      <c r="I12749" s="199"/>
      <c r="K12749" s="199"/>
      <c r="M12749" s="199"/>
      <c r="N12749" s="200"/>
      <c r="P12749" s="199"/>
    </row>
    <row r="12750" spans="7:16" x14ac:dyDescent="0.2">
      <c r="G12750" s="199"/>
      <c r="I12750" s="199"/>
      <c r="K12750" s="199"/>
      <c r="M12750" s="199"/>
      <c r="N12750" s="200"/>
      <c r="P12750" s="199"/>
    </row>
    <row r="12751" spans="7:16" x14ac:dyDescent="0.2">
      <c r="G12751" s="199"/>
      <c r="I12751" s="199"/>
      <c r="K12751" s="199"/>
      <c r="M12751" s="199"/>
      <c r="N12751" s="200"/>
      <c r="P12751" s="199"/>
    </row>
    <row r="12752" spans="7:16" x14ac:dyDescent="0.2">
      <c r="G12752" s="199"/>
      <c r="I12752" s="199"/>
      <c r="K12752" s="199"/>
      <c r="M12752" s="199"/>
      <c r="N12752" s="200"/>
      <c r="P12752" s="199"/>
    </row>
    <row r="12753" spans="7:16" x14ac:dyDescent="0.2">
      <c r="G12753" s="199"/>
      <c r="I12753" s="199"/>
      <c r="K12753" s="199"/>
      <c r="M12753" s="199"/>
      <c r="N12753" s="200"/>
      <c r="P12753" s="199"/>
    </row>
    <row r="12754" spans="7:16" x14ac:dyDescent="0.2">
      <c r="G12754" s="199"/>
      <c r="I12754" s="199"/>
      <c r="K12754" s="199"/>
      <c r="M12754" s="199"/>
      <c r="N12754" s="200"/>
      <c r="P12754" s="199"/>
    </row>
    <row r="12755" spans="7:16" x14ac:dyDescent="0.2">
      <c r="G12755" s="199"/>
      <c r="I12755" s="199"/>
      <c r="K12755" s="199"/>
      <c r="M12755" s="199"/>
      <c r="N12755" s="200"/>
      <c r="P12755" s="199"/>
    </row>
    <row r="12756" spans="7:16" x14ac:dyDescent="0.2">
      <c r="G12756" s="199"/>
      <c r="I12756" s="199"/>
      <c r="K12756" s="199"/>
      <c r="M12756" s="199"/>
      <c r="N12756" s="200"/>
      <c r="P12756" s="199"/>
    </row>
    <row r="12757" spans="7:16" x14ac:dyDescent="0.2">
      <c r="G12757" s="199"/>
      <c r="I12757" s="199"/>
      <c r="K12757" s="199"/>
      <c r="M12757" s="199"/>
      <c r="N12757" s="200"/>
      <c r="P12757" s="199"/>
    </row>
    <row r="12758" spans="7:16" x14ac:dyDescent="0.2">
      <c r="G12758" s="199"/>
      <c r="I12758" s="199"/>
      <c r="K12758" s="199"/>
      <c r="M12758" s="199"/>
      <c r="N12758" s="200"/>
      <c r="P12758" s="199"/>
    </row>
    <row r="12759" spans="7:16" x14ac:dyDescent="0.2">
      <c r="G12759" s="199"/>
      <c r="I12759" s="199"/>
      <c r="K12759" s="199"/>
      <c r="M12759" s="199"/>
      <c r="N12759" s="200"/>
      <c r="P12759" s="199"/>
    </row>
    <row r="12760" spans="7:16" x14ac:dyDescent="0.2">
      <c r="G12760" s="199"/>
      <c r="I12760" s="199"/>
      <c r="K12760" s="199"/>
      <c r="M12760" s="199"/>
      <c r="N12760" s="200"/>
      <c r="P12760" s="199"/>
    </row>
    <row r="12761" spans="7:16" x14ac:dyDescent="0.2">
      <c r="G12761" s="199"/>
      <c r="I12761" s="199"/>
      <c r="K12761" s="199"/>
      <c r="M12761" s="199"/>
      <c r="N12761" s="200"/>
      <c r="P12761" s="199"/>
    </row>
    <row r="12762" spans="7:16" x14ac:dyDescent="0.2">
      <c r="G12762" s="199"/>
      <c r="I12762" s="199"/>
      <c r="K12762" s="199"/>
      <c r="M12762" s="199"/>
      <c r="N12762" s="200"/>
      <c r="P12762" s="199"/>
    </row>
    <row r="12763" spans="7:16" x14ac:dyDescent="0.2">
      <c r="G12763" s="199"/>
      <c r="I12763" s="199"/>
      <c r="K12763" s="199"/>
      <c r="M12763" s="199"/>
      <c r="N12763" s="200"/>
      <c r="P12763" s="199"/>
    </row>
    <row r="12764" spans="7:16" x14ac:dyDescent="0.2">
      <c r="G12764" s="199"/>
      <c r="I12764" s="199"/>
      <c r="K12764" s="199"/>
      <c r="M12764" s="199"/>
      <c r="N12764" s="200"/>
      <c r="P12764" s="199"/>
    </row>
    <row r="12765" spans="7:16" x14ac:dyDescent="0.2">
      <c r="G12765" s="199"/>
      <c r="I12765" s="199"/>
      <c r="K12765" s="199"/>
      <c r="M12765" s="199"/>
      <c r="N12765" s="200"/>
      <c r="P12765" s="199"/>
    </row>
    <row r="12766" spans="7:16" x14ac:dyDescent="0.2">
      <c r="G12766" s="199"/>
      <c r="I12766" s="199"/>
      <c r="K12766" s="199"/>
      <c r="M12766" s="199"/>
      <c r="N12766" s="200"/>
      <c r="P12766" s="199"/>
    </row>
    <row r="12767" spans="7:16" x14ac:dyDescent="0.2">
      <c r="G12767" s="199"/>
      <c r="I12767" s="199"/>
      <c r="K12767" s="199"/>
      <c r="M12767" s="199"/>
      <c r="N12767" s="200"/>
      <c r="P12767" s="199"/>
    </row>
    <row r="12768" spans="7:16" x14ac:dyDescent="0.2">
      <c r="G12768" s="199"/>
      <c r="I12768" s="199"/>
      <c r="K12768" s="199"/>
      <c r="M12768" s="199"/>
      <c r="N12768" s="200"/>
      <c r="P12768" s="199"/>
    </row>
    <row r="12769" spans="7:16" x14ac:dyDescent="0.2">
      <c r="G12769" s="199"/>
      <c r="I12769" s="199"/>
      <c r="K12769" s="199"/>
      <c r="M12769" s="199"/>
      <c r="N12769" s="200"/>
      <c r="P12769" s="199"/>
    </row>
    <row r="12770" spans="7:16" x14ac:dyDescent="0.2">
      <c r="G12770" s="199"/>
      <c r="I12770" s="199"/>
      <c r="K12770" s="199"/>
      <c r="M12770" s="199"/>
      <c r="N12770" s="200"/>
      <c r="P12770" s="199"/>
    </row>
    <row r="12771" spans="7:16" x14ac:dyDescent="0.2">
      <c r="G12771" s="199"/>
      <c r="I12771" s="199"/>
      <c r="K12771" s="199"/>
      <c r="M12771" s="199"/>
      <c r="N12771" s="200"/>
      <c r="P12771" s="199"/>
    </row>
    <row r="12772" spans="7:16" x14ac:dyDescent="0.2">
      <c r="G12772" s="199"/>
      <c r="I12772" s="199"/>
      <c r="K12772" s="199"/>
      <c r="M12772" s="199"/>
      <c r="N12772" s="200"/>
      <c r="P12772" s="199"/>
    </row>
    <row r="12773" spans="7:16" x14ac:dyDescent="0.2">
      <c r="G12773" s="199"/>
      <c r="I12773" s="199"/>
      <c r="K12773" s="199"/>
      <c r="M12773" s="199"/>
      <c r="N12773" s="200"/>
      <c r="P12773" s="199"/>
    </row>
    <row r="12774" spans="7:16" x14ac:dyDescent="0.2">
      <c r="G12774" s="199"/>
      <c r="I12774" s="199"/>
      <c r="K12774" s="199"/>
      <c r="M12774" s="199"/>
      <c r="N12774" s="200"/>
      <c r="P12774" s="199"/>
    </row>
    <row r="12775" spans="7:16" x14ac:dyDescent="0.2">
      <c r="G12775" s="199"/>
      <c r="I12775" s="199"/>
      <c r="K12775" s="199"/>
      <c r="M12775" s="199"/>
      <c r="N12775" s="200"/>
      <c r="P12775" s="199"/>
    </row>
    <row r="12776" spans="7:16" x14ac:dyDescent="0.2">
      <c r="G12776" s="199"/>
      <c r="I12776" s="199"/>
      <c r="K12776" s="199"/>
      <c r="M12776" s="199"/>
      <c r="N12776" s="200"/>
      <c r="P12776" s="199"/>
    </row>
    <row r="12777" spans="7:16" x14ac:dyDescent="0.2">
      <c r="G12777" s="199"/>
      <c r="I12777" s="199"/>
      <c r="K12777" s="199"/>
      <c r="M12777" s="199"/>
      <c r="N12777" s="200"/>
      <c r="P12777" s="199"/>
    </row>
    <row r="12778" spans="7:16" x14ac:dyDescent="0.2">
      <c r="G12778" s="199"/>
      <c r="I12778" s="199"/>
      <c r="K12778" s="199"/>
      <c r="M12778" s="199"/>
      <c r="N12778" s="200"/>
      <c r="P12778" s="199"/>
    </row>
    <row r="12779" spans="7:16" x14ac:dyDescent="0.2">
      <c r="G12779" s="199"/>
      <c r="I12779" s="199"/>
      <c r="K12779" s="199"/>
      <c r="M12779" s="199"/>
      <c r="N12779" s="200"/>
      <c r="P12779" s="199"/>
    </row>
    <row r="12780" spans="7:16" x14ac:dyDescent="0.2">
      <c r="G12780" s="199"/>
      <c r="I12780" s="199"/>
      <c r="K12780" s="199"/>
      <c r="M12780" s="199"/>
      <c r="N12780" s="200"/>
      <c r="P12780" s="199"/>
    </row>
    <row r="12781" spans="7:16" x14ac:dyDescent="0.2">
      <c r="G12781" s="199"/>
      <c r="I12781" s="199"/>
      <c r="K12781" s="199"/>
      <c r="M12781" s="199"/>
      <c r="N12781" s="200"/>
      <c r="P12781" s="199"/>
    </row>
    <row r="12782" spans="7:16" x14ac:dyDescent="0.2">
      <c r="G12782" s="199"/>
      <c r="I12782" s="199"/>
      <c r="K12782" s="199"/>
      <c r="M12782" s="199"/>
      <c r="N12782" s="200"/>
      <c r="P12782" s="199"/>
    </row>
    <row r="12783" spans="7:16" x14ac:dyDescent="0.2">
      <c r="G12783" s="199"/>
      <c r="I12783" s="199"/>
      <c r="K12783" s="199"/>
      <c r="M12783" s="199"/>
      <c r="N12783" s="200"/>
      <c r="P12783" s="199"/>
    </row>
    <row r="12784" spans="7:16" x14ac:dyDescent="0.2">
      <c r="G12784" s="199"/>
      <c r="I12784" s="199"/>
      <c r="K12784" s="199"/>
      <c r="M12784" s="199"/>
      <c r="N12784" s="200"/>
      <c r="P12784" s="199"/>
    </row>
    <row r="12785" spans="7:16" x14ac:dyDescent="0.2">
      <c r="G12785" s="199"/>
      <c r="I12785" s="199"/>
      <c r="K12785" s="199"/>
      <c r="M12785" s="199"/>
      <c r="N12785" s="200"/>
      <c r="P12785" s="199"/>
    </row>
    <row r="12786" spans="7:16" x14ac:dyDescent="0.2">
      <c r="G12786" s="199"/>
      <c r="I12786" s="199"/>
      <c r="K12786" s="199"/>
      <c r="M12786" s="199"/>
      <c r="N12786" s="200"/>
      <c r="P12786" s="199"/>
    </row>
    <row r="12787" spans="7:16" x14ac:dyDescent="0.2">
      <c r="G12787" s="199"/>
      <c r="I12787" s="199"/>
      <c r="K12787" s="199"/>
      <c r="M12787" s="199"/>
      <c r="N12787" s="200"/>
      <c r="P12787" s="199"/>
    </row>
    <row r="12788" spans="7:16" x14ac:dyDescent="0.2">
      <c r="G12788" s="199"/>
      <c r="I12788" s="199"/>
      <c r="K12788" s="199"/>
      <c r="M12788" s="199"/>
      <c r="N12788" s="200"/>
      <c r="P12788" s="199"/>
    </row>
    <row r="12789" spans="7:16" x14ac:dyDescent="0.2">
      <c r="G12789" s="199"/>
      <c r="I12789" s="199"/>
      <c r="K12789" s="199"/>
      <c r="M12789" s="199"/>
      <c r="N12789" s="200"/>
      <c r="P12789" s="199"/>
    </row>
    <row r="12790" spans="7:16" x14ac:dyDescent="0.2">
      <c r="G12790" s="199"/>
      <c r="I12790" s="199"/>
      <c r="K12790" s="199"/>
      <c r="M12790" s="199"/>
      <c r="N12790" s="200"/>
      <c r="P12790" s="199"/>
    </row>
    <row r="12791" spans="7:16" x14ac:dyDescent="0.2">
      <c r="G12791" s="199"/>
      <c r="I12791" s="199"/>
      <c r="K12791" s="199"/>
      <c r="M12791" s="199"/>
      <c r="N12791" s="200"/>
      <c r="P12791" s="199"/>
    </row>
    <row r="12792" spans="7:16" x14ac:dyDescent="0.2">
      <c r="G12792" s="199"/>
      <c r="I12792" s="199"/>
      <c r="K12792" s="199"/>
      <c r="M12792" s="199"/>
      <c r="N12792" s="200"/>
      <c r="P12792" s="199"/>
    </row>
    <row r="12793" spans="7:16" x14ac:dyDescent="0.2">
      <c r="G12793" s="199"/>
      <c r="I12793" s="199"/>
      <c r="K12793" s="199"/>
      <c r="M12793" s="199"/>
      <c r="N12793" s="200"/>
      <c r="P12793" s="199"/>
    </row>
    <row r="12794" spans="7:16" x14ac:dyDescent="0.2">
      <c r="G12794" s="199"/>
      <c r="I12794" s="199"/>
      <c r="K12794" s="199"/>
      <c r="M12794" s="199"/>
      <c r="N12794" s="200"/>
      <c r="P12794" s="199"/>
    </row>
    <row r="12795" spans="7:16" x14ac:dyDescent="0.2">
      <c r="G12795" s="199"/>
      <c r="I12795" s="199"/>
      <c r="K12795" s="199"/>
      <c r="M12795" s="199"/>
      <c r="N12795" s="200"/>
      <c r="P12795" s="199"/>
    </row>
    <row r="12796" spans="7:16" x14ac:dyDescent="0.2">
      <c r="G12796" s="199"/>
      <c r="I12796" s="199"/>
      <c r="K12796" s="199"/>
      <c r="M12796" s="199"/>
      <c r="N12796" s="200"/>
      <c r="P12796" s="199"/>
    </row>
    <row r="12797" spans="7:16" x14ac:dyDescent="0.2">
      <c r="G12797" s="199"/>
      <c r="I12797" s="199"/>
      <c r="K12797" s="199"/>
      <c r="M12797" s="199"/>
      <c r="N12797" s="200"/>
      <c r="P12797" s="199"/>
    </row>
    <row r="12798" spans="7:16" x14ac:dyDescent="0.2">
      <c r="G12798" s="199"/>
      <c r="I12798" s="199"/>
      <c r="K12798" s="199"/>
      <c r="M12798" s="199"/>
      <c r="N12798" s="200"/>
      <c r="P12798" s="199"/>
    </row>
    <row r="12799" spans="7:16" x14ac:dyDescent="0.2">
      <c r="G12799" s="199"/>
      <c r="I12799" s="199"/>
      <c r="K12799" s="199"/>
      <c r="M12799" s="199"/>
      <c r="N12799" s="200"/>
      <c r="P12799" s="199"/>
    </row>
    <row r="12800" spans="7:16" x14ac:dyDescent="0.2">
      <c r="G12800" s="199"/>
      <c r="I12800" s="199"/>
      <c r="K12800" s="199"/>
      <c r="M12800" s="199"/>
      <c r="N12800" s="200"/>
      <c r="P12800" s="199"/>
    </row>
    <row r="12801" spans="7:16" x14ac:dyDescent="0.2">
      <c r="G12801" s="199"/>
      <c r="I12801" s="199"/>
      <c r="K12801" s="199"/>
      <c r="M12801" s="199"/>
      <c r="N12801" s="200"/>
      <c r="P12801" s="199"/>
    </row>
    <row r="12802" spans="7:16" x14ac:dyDescent="0.2">
      <c r="G12802" s="199"/>
      <c r="I12802" s="199"/>
      <c r="K12802" s="199"/>
      <c r="M12802" s="199"/>
      <c r="N12802" s="200"/>
      <c r="P12802" s="199"/>
    </row>
    <row r="12803" spans="7:16" x14ac:dyDescent="0.2">
      <c r="G12803" s="199"/>
      <c r="I12803" s="199"/>
      <c r="K12803" s="199"/>
      <c r="M12803" s="199"/>
      <c r="N12803" s="200"/>
      <c r="P12803" s="199"/>
    </row>
    <row r="12804" spans="7:16" x14ac:dyDescent="0.2">
      <c r="G12804" s="199"/>
      <c r="I12804" s="199"/>
      <c r="K12804" s="199"/>
      <c r="M12804" s="199"/>
      <c r="N12804" s="200"/>
      <c r="P12804" s="199"/>
    </row>
    <row r="12805" spans="7:16" x14ac:dyDescent="0.2">
      <c r="G12805" s="199"/>
      <c r="I12805" s="199"/>
      <c r="K12805" s="199"/>
      <c r="M12805" s="199"/>
      <c r="N12805" s="200"/>
      <c r="P12805" s="199"/>
    </row>
    <row r="12806" spans="7:16" x14ac:dyDescent="0.2">
      <c r="G12806" s="199"/>
      <c r="I12806" s="199"/>
      <c r="K12806" s="199"/>
      <c r="M12806" s="199"/>
      <c r="N12806" s="200"/>
      <c r="P12806" s="199"/>
    </row>
    <row r="12807" spans="7:16" x14ac:dyDescent="0.2">
      <c r="G12807" s="199"/>
      <c r="I12807" s="199"/>
      <c r="K12807" s="199"/>
      <c r="M12807" s="199"/>
      <c r="N12807" s="200"/>
      <c r="P12807" s="199"/>
    </row>
    <row r="12808" spans="7:16" x14ac:dyDescent="0.2">
      <c r="G12808" s="199"/>
      <c r="I12808" s="199"/>
      <c r="K12808" s="199"/>
      <c r="M12808" s="199"/>
      <c r="N12808" s="200"/>
      <c r="P12808" s="199"/>
    </row>
    <row r="12809" spans="7:16" x14ac:dyDescent="0.2">
      <c r="G12809" s="199"/>
      <c r="I12809" s="199"/>
      <c r="K12809" s="199"/>
      <c r="M12809" s="199"/>
      <c r="N12809" s="200"/>
      <c r="P12809" s="199"/>
    </row>
    <row r="12810" spans="7:16" x14ac:dyDescent="0.2">
      <c r="G12810" s="199"/>
      <c r="I12810" s="199"/>
      <c r="K12810" s="199"/>
      <c r="M12810" s="199"/>
      <c r="N12810" s="200"/>
      <c r="P12810" s="199"/>
    </row>
    <row r="12811" spans="7:16" x14ac:dyDescent="0.2">
      <c r="G12811" s="199"/>
      <c r="I12811" s="199"/>
      <c r="K12811" s="199"/>
      <c r="M12811" s="199"/>
      <c r="N12811" s="200"/>
      <c r="P12811" s="199"/>
    </row>
    <row r="12812" spans="7:16" x14ac:dyDescent="0.2">
      <c r="G12812" s="199"/>
      <c r="I12812" s="199"/>
      <c r="K12812" s="199"/>
      <c r="M12812" s="199"/>
      <c r="N12812" s="200"/>
      <c r="P12812" s="199"/>
    </row>
    <row r="12813" spans="7:16" x14ac:dyDescent="0.2">
      <c r="G12813" s="199"/>
      <c r="I12813" s="199"/>
      <c r="K12813" s="199"/>
      <c r="M12813" s="199"/>
      <c r="N12813" s="200"/>
      <c r="P12813" s="199"/>
    </row>
    <row r="12814" spans="7:16" x14ac:dyDescent="0.2">
      <c r="G12814" s="199"/>
      <c r="I12814" s="199"/>
      <c r="K12814" s="199"/>
      <c r="M12814" s="199"/>
      <c r="N12814" s="200"/>
      <c r="P12814" s="199"/>
    </row>
    <row r="12815" spans="7:16" x14ac:dyDescent="0.2">
      <c r="G12815" s="199"/>
      <c r="I12815" s="199"/>
      <c r="K12815" s="199"/>
      <c r="M12815" s="199"/>
      <c r="N12815" s="200"/>
      <c r="P12815" s="199"/>
    </row>
    <row r="12816" spans="7:16" x14ac:dyDescent="0.2">
      <c r="G12816" s="199"/>
      <c r="I12816" s="199"/>
      <c r="K12816" s="199"/>
      <c r="M12816" s="199"/>
      <c r="N12816" s="200"/>
      <c r="P12816" s="199"/>
    </row>
    <row r="12817" spans="7:16" x14ac:dyDescent="0.2">
      <c r="G12817" s="199"/>
      <c r="I12817" s="199"/>
      <c r="K12817" s="199"/>
      <c r="M12817" s="199"/>
      <c r="N12817" s="200"/>
      <c r="P12817" s="199"/>
    </row>
    <row r="12818" spans="7:16" x14ac:dyDescent="0.2">
      <c r="G12818" s="199"/>
      <c r="I12818" s="199"/>
      <c r="K12818" s="199"/>
      <c r="M12818" s="199"/>
      <c r="N12818" s="200"/>
      <c r="P12818" s="199"/>
    </row>
    <row r="12819" spans="7:16" x14ac:dyDescent="0.2">
      <c r="G12819" s="199"/>
      <c r="I12819" s="199"/>
      <c r="K12819" s="199"/>
      <c r="M12819" s="199"/>
      <c r="N12819" s="200"/>
      <c r="P12819" s="199"/>
    </row>
    <row r="12820" spans="7:16" x14ac:dyDescent="0.2">
      <c r="G12820" s="199"/>
      <c r="I12820" s="199"/>
      <c r="K12820" s="199"/>
      <c r="M12820" s="199"/>
      <c r="N12820" s="200"/>
      <c r="P12820" s="199"/>
    </row>
    <row r="12821" spans="7:16" x14ac:dyDescent="0.2">
      <c r="G12821" s="199"/>
      <c r="I12821" s="199"/>
      <c r="K12821" s="199"/>
      <c r="M12821" s="199"/>
      <c r="N12821" s="200"/>
      <c r="P12821" s="199"/>
    </row>
    <row r="12822" spans="7:16" x14ac:dyDescent="0.2">
      <c r="G12822" s="199"/>
      <c r="I12822" s="199"/>
      <c r="K12822" s="199"/>
      <c r="M12822" s="199"/>
      <c r="N12822" s="200"/>
      <c r="P12822" s="199"/>
    </row>
    <row r="12823" spans="7:16" x14ac:dyDescent="0.2">
      <c r="G12823" s="199"/>
      <c r="I12823" s="199"/>
      <c r="K12823" s="199"/>
      <c r="M12823" s="199"/>
      <c r="N12823" s="200"/>
      <c r="P12823" s="199"/>
    </row>
    <row r="12824" spans="7:16" x14ac:dyDescent="0.2">
      <c r="G12824" s="199"/>
      <c r="I12824" s="199"/>
      <c r="K12824" s="199"/>
      <c r="M12824" s="199"/>
      <c r="N12824" s="200"/>
      <c r="P12824" s="199"/>
    </row>
    <row r="12825" spans="7:16" x14ac:dyDescent="0.2">
      <c r="G12825" s="199"/>
      <c r="I12825" s="199"/>
      <c r="K12825" s="199"/>
      <c r="M12825" s="199"/>
      <c r="N12825" s="200"/>
      <c r="P12825" s="199"/>
    </row>
    <row r="12826" spans="7:16" x14ac:dyDescent="0.2">
      <c r="G12826" s="199"/>
      <c r="I12826" s="199"/>
      <c r="K12826" s="199"/>
      <c r="M12826" s="199"/>
      <c r="N12826" s="200"/>
      <c r="P12826" s="199"/>
    </row>
    <row r="12827" spans="7:16" x14ac:dyDescent="0.2">
      <c r="G12827" s="199"/>
      <c r="I12827" s="199"/>
      <c r="K12827" s="199"/>
      <c r="M12827" s="199"/>
      <c r="N12827" s="200"/>
      <c r="P12827" s="199"/>
    </row>
    <row r="12828" spans="7:16" x14ac:dyDescent="0.2">
      <c r="G12828" s="199"/>
      <c r="I12828" s="199"/>
      <c r="K12828" s="199"/>
      <c r="M12828" s="199"/>
      <c r="N12828" s="200"/>
      <c r="P12828" s="199"/>
    </row>
    <row r="12829" spans="7:16" x14ac:dyDescent="0.2">
      <c r="G12829" s="199"/>
      <c r="I12829" s="199"/>
      <c r="K12829" s="199"/>
      <c r="M12829" s="199"/>
      <c r="N12829" s="200"/>
      <c r="P12829" s="199"/>
    </row>
    <row r="12830" spans="7:16" x14ac:dyDescent="0.2">
      <c r="G12830" s="199"/>
      <c r="I12830" s="199"/>
      <c r="K12830" s="199"/>
      <c r="M12830" s="199"/>
      <c r="N12830" s="200"/>
      <c r="P12830" s="199"/>
    </row>
    <row r="12831" spans="7:16" x14ac:dyDescent="0.2">
      <c r="G12831" s="199"/>
      <c r="I12831" s="199"/>
      <c r="K12831" s="199"/>
      <c r="M12831" s="199"/>
      <c r="N12831" s="200"/>
      <c r="P12831" s="199"/>
    </row>
    <row r="12832" spans="7:16" x14ac:dyDescent="0.2">
      <c r="G12832" s="199"/>
      <c r="I12832" s="199"/>
      <c r="K12832" s="199"/>
      <c r="M12832" s="199"/>
      <c r="N12832" s="200"/>
      <c r="P12832" s="199"/>
    </row>
    <row r="12833" spans="7:16" x14ac:dyDescent="0.2">
      <c r="G12833" s="199"/>
      <c r="I12833" s="199"/>
      <c r="K12833" s="199"/>
      <c r="M12833" s="199"/>
      <c r="N12833" s="200"/>
      <c r="P12833" s="199"/>
    </row>
    <row r="12834" spans="7:16" x14ac:dyDescent="0.2">
      <c r="G12834" s="199"/>
      <c r="I12834" s="199"/>
      <c r="K12834" s="199"/>
      <c r="M12834" s="199"/>
      <c r="N12834" s="200"/>
      <c r="P12834" s="199"/>
    </row>
    <row r="12835" spans="7:16" x14ac:dyDescent="0.2">
      <c r="G12835" s="199"/>
      <c r="I12835" s="199"/>
      <c r="K12835" s="199"/>
      <c r="M12835" s="199"/>
      <c r="N12835" s="200"/>
      <c r="P12835" s="199"/>
    </row>
    <row r="12836" spans="7:16" x14ac:dyDescent="0.2">
      <c r="G12836" s="199"/>
      <c r="I12836" s="199"/>
      <c r="K12836" s="199"/>
      <c r="M12836" s="199"/>
      <c r="N12836" s="200"/>
      <c r="P12836" s="199"/>
    </row>
    <row r="12837" spans="7:16" x14ac:dyDescent="0.2">
      <c r="G12837" s="199"/>
      <c r="I12837" s="199"/>
      <c r="K12837" s="199"/>
      <c r="M12837" s="199"/>
      <c r="N12837" s="200"/>
      <c r="P12837" s="199"/>
    </row>
    <row r="12838" spans="7:16" x14ac:dyDescent="0.2">
      <c r="G12838" s="199"/>
      <c r="I12838" s="199"/>
      <c r="K12838" s="199"/>
      <c r="M12838" s="199"/>
      <c r="N12838" s="200"/>
      <c r="P12838" s="199"/>
    </row>
    <row r="12839" spans="7:16" x14ac:dyDescent="0.2">
      <c r="G12839" s="199"/>
      <c r="I12839" s="199"/>
      <c r="K12839" s="199"/>
      <c r="M12839" s="199"/>
      <c r="N12839" s="200"/>
      <c r="P12839" s="199"/>
    </row>
    <row r="12840" spans="7:16" x14ac:dyDescent="0.2">
      <c r="G12840" s="199"/>
      <c r="I12840" s="199"/>
      <c r="K12840" s="199"/>
      <c r="M12840" s="199"/>
      <c r="N12840" s="200"/>
      <c r="P12840" s="199"/>
    </row>
    <row r="12841" spans="7:16" x14ac:dyDescent="0.2">
      <c r="G12841" s="199"/>
      <c r="I12841" s="199"/>
      <c r="K12841" s="199"/>
      <c r="M12841" s="199"/>
      <c r="N12841" s="200"/>
      <c r="P12841" s="199"/>
    </row>
    <row r="12842" spans="7:16" x14ac:dyDescent="0.2">
      <c r="G12842" s="199"/>
      <c r="I12842" s="199"/>
      <c r="K12842" s="199"/>
      <c r="M12842" s="199"/>
      <c r="N12842" s="200"/>
      <c r="P12842" s="199"/>
    </row>
    <row r="12843" spans="7:16" x14ac:dyDescent="0.2">
      <c r="G12843" s="199"/>
      <c r="I12843" s="199"/>
      <c r="K12843" s="199"/>
      <c r="M12843" s="199"/>
      <c r="N12843" s="200"/>
      <c r="P12843" s="199"/>
    </row>
    <row r="12844" spans="7:16" x14ac:dyDescent="0.2">
      <c r="G12844" s="199"/>
      <c r="I12844" s="199"/>
      <c r="K12844" s="199"/>
      <c r="M12844" s="199"/>
      <c r="N12844" s="200"/>
      <c r="P12844" s="199"/>
    </row>
    <row r="12845" spans="7:16" x14ac:dyDescent="0.2">
      <c r="G12845" s="199"/>
      <c r="I12845" s="199"/>
      <c r="K12845" s="199"/>
      <c r="M12845" s="199"/>
      <c r="N12845" s="200"/>
      <c r="P12845" s="199"/>
    </row>
    <row r="12846" spans="7:16" x14ac:dyDescent="0.2">
      <c r="G12846" s="199"/>
      <c r="I12846" s="199"/>
      <c r="K12846" s="199"/>
      <c r="M12846" s="199"/>
      <c r="N12846" s="200"/>
      <c r="P12846" s="199"/>
    </row>
    <row r="12847" spans="7:16" x14ac:dyDescent="0.2">
      <c r="G12847" s="199"/>
      <c r="I12847" s="199"/>
      <c r="K12847" s="199"/>
      <c r="M12847" s="199"/>
      <c r="N12847" s="200"/>
      <c r="P12847" s="199"/>
    </row>
    <row r="12848" spans="7:16" x14ac:dyDescent="0.2">
      <c r="G12848" s="199"/>
      <c r="I12848" s="199"/>
      <c r="K12848" s="199"/>
      <c r="M12848" s="199"/>
      <c r="N12848" s="200"/>
      <c r="P12848" s="199"/>
    </row>
    <row r="12849" spans="7:16" x14ac:dyDescent="0.2">
      <c r="G12849" s="199"/>
      <c r="I12849" s="199"/>
      <c r="K12849" s="199"/>
      <c r="M12849" s="199"/>
      <c r="N12849" s="200"/>
      <c r="P12849" s="199"/>
    </row>
    <row r="12850" spans="7:16" x14ac:dyDescent="0.2">
      <c r="G12850" s="199"/>
      <c r="I12850" s="199"/>
      <c r="K12850" s="199"/>
      <c r="M12850" s="199"/>
      <c r="N12850" s="200"/>
      <c r="P12850" s="199"/>
    </row>
    <row r="12851" spans="7:16" x14ac:dyDescent="0.2">
      <c r="G12851" s="199"/>
      <c r="I12851" s="199"/>
      <c r="K12851" s="199"/>
      <c r="M12851" s="199"/>
      <c r="N12851" s="200"/>
      <c r="P12851" s="199"/>
    </row>
    <row r="12852" spans="7:16" x14ac:dyDescent="0.2">
      <c r="G12852" s="199"/>
      <c r="I12852" s="199"/>
      <c r="K12852" s="199"/>
      <c r="M12852" s="199"/>
      <c r="N12852" s="200"/>
      <c r="P12852" s="199"/>
    </row>
    <row r="12853" spans="7:16" x14ac:dyDescent="0.2">
      <c r="G12853" s="199"/>
      <c r="I12853" s="199"/>
      <c r="K12853" s="199"/>
      <c r="M12853" s="199"/>
      <c r="N12853" s="200"/>
      <c r="P12853" s="199"/>
    </row>
    <row r="12854" spans="7:16" x14ac:dyDescent="0.2">
      <c r="G12854" s="199"/>
      <c r="I12854" s="199"/>
      <c r="K12854" s="199"/>
      <c r="M12854" s="199"/>
      <c r="N12854" s="200"/>
      <c r="P12854" s="199"/>
    </row>
    <row r="12855" spans="7:16" x14ac:dyDescent="0.2">
      <c r="G12855" s="199"/>
      <c r="I12855" s="199"/>
      <c r="K12855" s="199"/>
      <c r="M12855" s="199"/>
      <c r="N12855" s="200"/>
      <c r="P12855" s="199"/>
    </row>
    <row r="12856" spans="7:16" x14ac:dyDescent="0.2">
      <c r="G12856" s="199"/>
      <c r="I12856" s="199"/>
      <c r="K12856" s="199"/>
      <c r="M12856" s="199"/>
      <c r="N12856" s="200"/>
      <c r="P12856" s="199"/>
    </row>
    <row r="12857" spans="7:16" x14ac:dyDescent="0.2">
      <c r="G12857" s="199"/>
      <c r="I12857" s="199"/>
      <c r="K12857" s="199"/>
      <c r="M12857" s="199"/>
      <c r="N12857" s="200"/>
      <c r="P12857" s="199"/>
    </row>
    <row r="12858" spans="7:16" x14ac:dyDescent="0.2">
      <c r="G12858" s="199"/>
      <c r="I12858" s="199"/>
      <c r="K12858" s="199"/>
      <c r="M12858" s="199"/>
      <c r="N12858" s="200"/>
      <c r="P12858" s="199"/>
    </row>
    <row r="12859" spans="7:16" x14ac:dyDescent="0.2">
      <c r="G12859" s="199"/>
      <c r="I12859" s="199"/>
      <c r="K12859" s="199"/>
      <c r="M12859" s="199"/>
      <c r="N12859" s="200"/>
      <c r="P12859" s="199"/>
    </row>
    <row r="12860" spans="7:16" x14ac:dyDescent="0.2">
      <c r="G12860" s="199"/>
      <c r="I12860" s="199"/>
      <c r="K12860" s="199"/>
      <c r="M12860" s="199"/>
      <c r="N12860" s="200"/>
      <c r="P12860" s="199"/>
    </row>
    <row r="12861" spans="7:16" x14ac:dyDescent="0.2">
      <c r="G12861" s="199"/>
      <c r="I12861" s="199"/>
      <c r="K12861" s="199"/>
      <c r="M12861" s="199"/>
      <c r="N12861" s="200"/>
      <c r="P12861" s="199"/>
    </row>
    <row r="12862" spans="7:16" x14ac:dyDescent="0.2">
      <c r="G12862" s="199"/>
      <c r="I12862" s="199"/>
      <c r="K12862" s="199"/>
      <c r="M12862" s="199"/>
      <c r="N12862" s="200"/>
      <c r="P12862" s="199"/>
    </row>
    <row r="12863" spans="7:16" x14ac:dyDescent="0.2">
      <c r="G12863" s="199"/>
      <c r="I12863" s="199"/>
      <c r="K12863" s="199"/>
      <c r="M12863" s="199"/>
      <c r="N12863" s="200"/>
      <c r="P12863" s="199"/>
    </row>
    <row r="12864" spans="7:16" x14ac:dyDescent="0.2">
      <c r="G12864" s="199"/>
      <c r="I12864" s="199"/>
      <c r="K12864" s="199"/>
      <c r="M12864" s="199"/>
      <c r="N12864" s="200"/>
      <c r="P12864" s="199"/>
    </row>
    <row r="12865" spans="7:16" x14ac:dyDescent="0.2">
      <c r="G12865" s="199"/>
      <c r="I12865" s="199"/>
      <c r="K12865" s="199"/>
      <c r="M12865" s="199"/>
      <c r="N12865" s="200"/>
      <c r="P12865" s="199"/>
    </row>
    <row r="12866" spans="7:16" x14ac:dyDescent="0.2">
      <c r="G12866" s="199"/>
      <c r="I12866" s="199"/>
      <c r="K12866" s="199"/>
      <c r="M12866" s="199"/>
      <c r="N12866" s="200"/>
      <c r="P12866" s="199"/>
    </row>
    <row r="12867" spans="7:16" x14ac:dyDescent="0.2">
      <c r="G12867" s="199"/>
      <c r="I12867" s="199"/>
      <c r="K12867" s="199"/>
      <c r="M12867" s="199"/>
      <c r="N12867" s="200"/>
      <c r="P12867" s="199"/>
    </row>
    <row r="12868" spans="7:16" x14ac:dyDescent="0.2">
      <c r="G12868" s="199"/>
      <c r="I12868" s="199"/>
      <c r="K12868" s="199"/>
      <c r="M12868" s="199"/>
      <c r="N12868" s="200"/>
      <c r="P12868" s="199"/>
    </row>
    <row r="12869" spans="7:16" x14ac:dyDescent="0.2">
      <c r="G12869" s="199"/>
      <c r="I12869" s="199"/>
      <c r="K12869" s="199"/>
      <c r="M12869" s="199"/>
      <c r="N12869" s="200"/>
      <c r="P12869" s="199"/>
    </row>
    <row r="12870" spans="7:16" x14ac:dyDescent="0.2">
      <c r="G12870" s="199"/>
      <c r="I12870" s="199"/>
      <c r="K12870" s="199"/>
      <c r="M12870" s="199"/>
      <c r="N12870" s="200"/>
      <c r="P12870" s="199"/>
    </row>
    <row r="12871" spans="7:16" x14ac:dyDescent="0.2">
      <c r="G12871" s="199"/>
      <c r="I12871" s="199"/>
      <c r="K12871" s="199"/>
      <c r="M12871" s="199"/>
      <c r="N12871" s="200"/>
      <c r="P12871" s="199"/>
    </row>
    <row r="12872" spans="7:16" x14ac:dyDescent="0.2">
      <c r="G12872" s="199"/>
      <c r="I12872" s="199"/>
      <c r="K12872" s="199"/>
      <c r="M12872" s="199"/>
      <c r="N12872" s="200"/>
      <c r="P12872" s="199"/>
    </row>
    <row r="12873" spans="7:16" x14ac:dyDescent="0.2">
      <c r="G12873" s="199"/>
      <c r="I12873" s="199"/>
      <c r="K12873" s="199"/>
      <c r="M12873" s="199"/>
      <c r="N12873" s="200"/>
      <c r="P12873" s="199"/>
    </row>
    <row r="12874" spans="7:16" x14ac:dyDescent="0.2">
      <c r="G12874" s="199"/>
      <c r="I12874" s="199"/>
      <c r="K12874" s="199"/>
      <c r="M12874" s="199"/>
      <c r="N12874" s="200"/>
      <c r="P12874" s="199"/>
    </row>
    <row r="12875" spans="7:16" x14ac:dyDescent="0.2">
      <c r="G12875" s="199"/>
      <c r="I12875" s="199"/>
      <c r="K12875" s="199"/>
      <c r="M12875" s="199"/>
      <c r="N12875" s="200"/>
      <c r="P12875" s="199"/>
    </row>
    <row r="12876" spans="7:16" x14ac:dyDescent="0.2">
      <c r="G12876" s="199"/>
      <c r="I12876" s="199"/>
      <c r="K12876" s="199"/>
      <c r="M12876" s="199"/>
      <c r="N12876" s="200"/>
      <c r="P12876" s="199"/>
    </row>
    <row r="12877" spans="7:16" x14ac:dyDescent="0.2">
      <c r="G12877" s="199"/>
      <c r="I12877" s="199"/>
      <c r="K12877" s="199"/>
      <c r="M12877" s="199"/>
      <c r="N12877" s="200"/>
      <c r="P12877" s="199"/>
    </row>
    <row r="12878" spans="7:16" x14ac:dyDescent="0.2">
      <c r="G12878" s="199"/>
      <c r="I12878" s="199"/>
      <c r="K12878" s="199"/>
      <c r="M12878" s="199"/>
      <c r="N12878" s="200"/>
      <c r="P12878" s="199"/>
    </row>
    <row r="12879" spans="7:16" x14ac:dyDescent="0.2">
      <c r="G12879" s="199"/>
      <c r="I12879" s="199"/>
      <c r="K12879" s="199"/>
      <c r="M12879" s="199"/>
      <c r="N12879" s="200"/>
      <c r="P12879" s="199"/>
    </row>
    <row r="12880" spans="7:16" x14ac:dyDescent="0.2">
      <c r="G12880" s="199"/>
      <c r="I12880" s="199"/>
      <c r="K12880" s="199"/>
      <c r="M12880" s="199"/>
      <c r="N12880" s="200"/>
      <c r="P12880" s="199"/>
    </row>
    <row r="12881" spans="7:16" x14ac:dyDescent="0.2">
      <c r="G12881" s="199"/>
      <c r="I12881" s="199"/>
      <c r="K12881" s="199"/>
      <c r="M12881" s="199"/>
      <c r="N12881" s="200"/>
      <c r="P12881" s="199"/>
    </row>
    <row r="12882" spans="7:16" x14ac:dyDescent="0.2">
      <c r="G12882" s="199"/>
      <c r="I12882" s="199"/>
      <c r="K12882" s="199"/>
      <c r="M12882" s="199"/>
      <c r="N12882" s="200"/>
      <c r="P12882" s="199"/>
    </row>
    <row r="12883" spans="7:16" x14ac:dyDescent="0.2">
      <c r="G12883" s="199"/>
      <c r="I12883" s="199"/>
      <c r="K12883" s="199"/>
      <c r="M12883" s="199"/>
      <c r="N12883" s="200"/>
      <c r="P12883" s="199"/>
    </row>
    <row r="12884" spans="7:16" x14ac:dyDescent="0.2">
      <c r="G12884" s="199"/>
      <c r="I12884" s="199"/>
      <c r="K12884" s="199"/>
      <c r="M12884" s="199"/>
      <c r="N12884" s="200"/>
      <c r="P12884" s="199"/>
    </row>
    <row r="12885" spans="7:16" x14ac:dyDescent="0.2">
      <c r="G12885" s="199"/>
      <c r="I12885" s="199"/>
      <c r="K12885" s="199"/>
      <c r="M12885" s="199"/>
      <c r="N12885" s="200"/>
      <c r="P12885" s="199"/>
    </row>
    <row r="12886" spans="7:16" x14ac:dyDescent="0.2">
      <c r="G12886" s="199"/>
      <c r="I12886" s="199"/>
      <c r="K12886" s="199"/>
      <c r="M12886" s="199"/>
      <c r="N12886" s="200"/>
      <c r="P12886" s="199"/>
    </row>
    <row r="12887" spans="7:16" x14ac:dyDescent="0.2">
      <c r="G12887" s="199"/>
      <c r="I12887" s="199"/>
      <c r="K12887" s="199"/>
      <c r="M12887" s="199"/>
      <c r="N12887" s="200"/>
      <c r="P12887" s="199"/>
    </row>
    <row r="12888" spans="7:16" x14ac:dyDescent="0.2">
      <c r="G12888" s="199"/>
      <c r="I12888" s="199"/>
      <c r="K12888" s="199"/>
      <c r="M12888" s="199"/>
      <c r="N12888" s="200"/>
      <c r="P12888" s="199"/>
    </row>
    <row r="12889" spans="7:16" x14ac:dyDescent="0.2">
      <c r="G12889" s="199"/>
      <c r="I12889" s="199"/>
      <c r="K12889" s="199"/>
      <c r="M12889" s="199"/>
      <c r="N12889" s="200"/>
      <c r="P12889" s="199"/>
    </row>
    <row r="12890" spans="7:16" x14ac:dyDescent="0.2">
      <c r="G12890" s="199"/>
      <c r="I12890" s="199"/>
      <c r="K12890" s="199"/>
      <c r="M12890" s="199"/>
      <c r="N12890" s="200"/>
      <c r="P12890" s="199"/>
    </row>
    <row r="12891" spans="7:16" x14ac:dyDescent="0.2">
      <c r="G12891" s="199"/>
      <c r="I12891" s="199"/>
      <c r="K12891" s="199"/>
      <c r="M12891" s="199"/>
      <c r="N12891" s="200"/>
      <c r="P12891" s="199"/>
    </row>
    <row r="12892" spans="7:16" x14ac:dyDescent="0.2">
      <c r="G12892" s="199"/>
      <c r="I12892" s="199"/>
      <c r="K12892" s="199"/>
      <c r="M12892" s="199"/>
      <c r="N12892" s="200"/>
      <c r="P12892" s="199"/>
    </row>
    <row r="12893" spans="7:16" x14ac:dyDescent="0.2">
      <c r="G12893" s="199"/>
      <c r="I12893" s="199"/>
      <c r="K12893" s="199"/>
      <c r="M12893" s="199"/>
      <c r="N12893" s="200"/>
      <c r="P12893" s="199"/>
    </row>
    <row r="12894" spans="7:16" x14ac:dyDescent="0.2">
      <c r="G12894" s="199"/>
      <c r="I12894" s="199"/>
      <c r="K12894" s="199"/>
      <c r="M12894" s="199"/>
      <c r="N12894" s="200"/>
      <c r="P12894" s="199"/>
    </row>
    <row r="12895" spans="7:16" x14ac:dyDescent="0.2">
      <c r="G12895" s="199"/>
      <c r="I12895" s="199"/>
      <c r="K12895" s="199"/>
      <c r="M12895" s="199"/>
      <c r="N12895" s="200"/>
      <c r="P12895" s="199"/>
    </row>
    <row r="12896" spans="7:16" x14ac:dyDescent="0.2">
      <c r="G12896" s="199"/>
      <c r="I12896" s="199"/>
      <c r="K12896" s="199"/>
      <c r="M12896" s="199"/>
      <c r="N12896" s="200"/>
      <c r="P12896" s="199"/>
    </row>
    <row r="12897" spans="7:16" x14ac:dyDescent="0.2">
      <c r="G12897" s="199"/>
      <c r="I12897" s="199"/>
      <c r="K12897" s="199"/>
      <c r="M12897" s="199"/>
      <c r="N12897" s="200"/>
      <c r="P12897" s="199"/>
    </row>
    <row r="12898" spans="7:16" x14ac:dyDescent="0.2">
      <c r="G12898" s="199"/>
      <c r="I12898" s="199"/>
      <c r="K12898" s="199"/>
      <c r="M12898" s="199"/>
      <c r="N12898" s="200"/>
      <c r="P12898" s="199"/>
    </row>
    <row r="12899" spans="7:16" x14ac:dyDescent="0.2">
      <c r="G12899" s="199"/>
      <c r="I12899" s="199"/>
      <c r="K12899" s="199"/>
      <c r="M12899" s="199"/>
      <c r="N12899" s="200"/>
      <c r="P12899" s="199"/>
    </row>
    <row r="12900" spans="7:16" x14ac:dyDescent="0.2">
      <c r="G12900" s="199"/>
      <c r="I12900" s="199"/>
      <c r="K12900" s="199"/>
      <c r="M12900" s="199"/>
      <c r="N12900" s="200"/>
      <c r="P12900" s="199"/>
    </row>
    <row r="12901" spans="7:16" x14ac:dyDescent="0.2">
      <c r="G12901" s="199"/>
      <c r="I12901" s="199"/>
      <c r="K12901" s="199"/>
      <c r="M12901" s="199"/>
      <c r="N12901" s="200"/>
      <c r="P12901" s="199"/>
    </row>
    <row r="12902" spans="7:16" x14ac:dyDescent="0.2">
      <c r="G12902" s="199"/>
      <c r="I12902" s="199"/>
      <c r="K12902" s="199"/>
      <c r="M12902" s="199"/>
      <c r="N12902" s="200"/>
      <c r="P12902" s="199"/>
    </row>
    <row r="12903" spans="7:16" x14ac:dyDescent="0.2">
      <c r="G12903" s="199"/>
      <c r="I12903" s="199"/>
      <c r="K12903" s="199"/>
      <c r="M12903" s="199"/>
      <c r="N12903" s="200"/>
      <c r="P12903" s="199"/>
    </row>
    <row r="12904" spans="7:16" x14ac:dyDescent="0.2">
      <c r="G12904" s="199"/>
      <c r="I12904" s="199"/>
      <c r="K12904" s="199"/>
      <c r="M12904" s="199"/>
      <c r="N12904" s="200"/>
      <c r="P12904" s="199"/>
    </row>
    <row r="12905" spans="7:16" x14ac:dyDescent="0.2">
      <c r="G12905" s="199"/>
      <c r="I12905" s="199"/>
      <c r="K12905" s="199"/>
      <c r="M12905" s="199"/>
      <c r="N12905" s="200"/>
      <c r="P12905" s="199"/>
    </row>
    <row r="12906" spans="7:16" x14ac:dyDescent="0.2">
      <c r="G12906" s="199"/>
      <c r="I12906" s="199"/>
      <c r="K12906" s="199"/>
      <c r="M12906" s="199"/>
      <c r="N12906" s="200"/>
      <c r="P12906" s="199"/>
    </row>
    <row r="12907" spans="7:16" x14ac:dyDescent="0.2">
      <c r="G12907" s="199"/>
      <c r="I12907" s="199"/>
      <c r="K12907" s="199"/>
      <c r="M12907" s="199"/>
      <c r="N12907" s="200"/>
      <c r="P12907" s="199"/>
    </row>
    <row r="12908" spans="7:16" x14ac:dyDescent="0.2">
      <c r="G12908" s="199"/>
      <c r="I12908" s="199"/>
      <c r="K12908" s="199"/>
      <c r="M12908" s="199"/>
      <c r="N12908" s="200"/>
      <c r="P12908" s="199"/>
    </row>
    <row r="12909" spans="7:16" x14ac:dyDescent="0.2">
      <c r="G12909" s="199"/>
      <c r="I12909" s="199"/>
      <c r="K12909" s="199"/>
      <c r="M12909" s="199"/>
      <c r="N12909" s="200"/>
      <c r="P12909" s="199"/>
    </row>
    <row r="12910" spans="7:16" x14ac:dyDescent="0.2">
      <c r="G12910" s="199"/>
      <c r="I12910" s="199"/>
      <c r="K12910" s="199"/>
      <c r="M12910" s="199"/>
      <c r="N12910" s="200"/>
      <c r="P12910" s="199"/>
    </row>
    <row r="12911" spans="7:16" x14ac:dyDescent="0.2">
      <c r="G12911" s="199"/>
      <c r="I12911" s="199"/>
      <c r="K12911" s="199"/>
      <c r="M12911" s="199"/>
      <c r="N12911" s="200"/>
      <c r="P12911" s="199"/>
    </row>
    <row r="12912" spans="7:16" x14ac:dyDescent="0.2">
      <c r="G12912" s="199"/>
      <c r="I12912" s="199"/>
      <c r="K12912" s="199"/>
      <c r="M12912" s="199"/>
      <c r="N12912" s="200"/>
      <c r="P12912" s="199"/>
    </row>
    <row r="12913" spans="7:16" x14ac:dyDescent="0.2">
      <c r="G12913" s="199"/>
      <c r="I12913" s="199"/>
      <c r="K12913" s="199"/>
      <c r="M12913" s="199"/>
      <c r="N12913" s="200"/>
      <c r="P12913" s="199"/>
    </row>
    <row r="12914" spans="7:16" x14ac:dyDescent="0.2">
      <c r="G12914" s="199"/>
      <c r="I12914" s="199"/>
      <c r="K12914" s="199"/>
      <c r="M12914" s="199"/>
      <c r="N12914" s="200"/>
      <c r="P12914" s="199"/>
    </row>
    <row r="12915" spans="7:16" x14ac:dyDescent="0.2">
      <c r="G12915" s="199"/>
      <c r="I12915" s="199"/>
      <c r="K12915" s="199"/>
      <c r="M12915" s="199"/>
      <c r="N12915" s="200"/>
      <c r="P12915" s="199"/>
    </row>
    <row r="12916" spans="7:16" x14ac:dyDescent="0.2">
      <c r="G12916" s="199"/>
      <c r="I12916" s="199"/>
      <c r="K12916" s="199"/>
      <c r="M12916" s="199"/>
      <c r="N12916" s="200"/>
      <c r="P12916" s="199"/>
    </row>
    <row r="12917" spans="7:16" x14ac:dyDescent="0.2">
      <c r="G12917" s="199"/>
      <c r="I12917" s="199"/>
      <c r="K12917" s="199"/>
      <c r="M12917" s="199"/>
      <c r="N12917" s="200"/>
      <c r="P12917" s="199"/>
    </row>
    <row r="12918" spans="7:16" x14ac:dyDescent="0.2">
      <c r="G12918" s="199"/>
      <c r="I12918" s="199"/>
      <c r="K12918" s="199"/>
      <c r="M12918" s="199"/>
      <c r="N12918" s="200"/>
      <c r="P12918" s="199"/>
    </row>
    <row r="12919" spans="7:16" x14ac:dyDescent="0.2">
      <c r="G12919" s="199"/>
      <c r="I12919" s="199"/>
      <c r="K12919" s="199"/>
      <c r="M12919" s="199"/>
      <c r="N12919" s="200"/>
      <c r="P12919" s="199"/>
    </row>
    <row r="12920" spans="7:16" x14ac:dyDescent="0.2">
      <c r="G12920" s="199"/>
      <c r="I12920" s="199"/>
      <c r="K12920" s="199"/>
      <c r="M12920" s="199"/>
      <c r="N12920" s="200"/>
      <c r="P12920" s="199"/>
    </row>
    <row r="12921" spans="7:16" x14ac:dyDescent="0.2">
      <c r="G12921" s="199"/>
      <c r="I12921" s="199"/>
      <c r="K12921" s="199"/>
      <c r="M12921" s="199"/>
      <c r="N12921" s="200"/>
      <c r="P12921" s="199"/>
    </row>
    <row r="12922" spans="7:16" x14ac:dyDescent="0.2">
      <c r="G12922" s="199"/>
      <c r="I12922" s="199"/>
      <c r="K12922" s="199"/>
      <c r="M12922" s="199"/>
      <c r="N12922" s="200"/>
      <c r="P12922" s="199"/>
    </row>
    <row r="12923" spans="7:16" x14ac:dyDescent="0.2">
      <c r="G12923" s="199"/>
      <c r="I12923" s="199"/>
      <c r="K12923" s="199"/>
      <c r="M12923" s="199"/>
      <c r="N12923" s="200"/>
      <c r="P12923" s="199"/>
    </row>
    <row r="12924" spans="7:16" x14ac:dyDescent="0.2">
      <c r="G12924" s="199"/>
      <c r="I12924" s="199"/>
      <c r="K12924" s="199"/>
      <c r="M12924" s="199"/>
      <c r="N12924" s="200"/>
      <c r="P12924" s="199"/>
    </row>
    <row r="12925" spans="7:16" x14ac:dyDescent="0.2">
      <c r="G12925" s="199"/>
      <c r="I12925" s="199"/>
      <c r="K12925" s="199"/>
      <c r="M12925" s="199"/>
      <c r="N12925" s="200"/>
      <c r="P12925" s="199"/>
    </row>
    <row r="12926" spans="7:16" x14ac:dyDescent="0.2">
      <c r="G12926" s="199"/>
      <c r="I12926" s="199"/>
      <c r="K12926" s="199"/>
      <c r="M12926" s="199"/>
      <c r="N12926" s="200"/>
      <c r="P12926" s="199"/>
    </row>
    <row r="12927" spans="7:16" x14ac:dyDescent="0.2">
      <c r="G12927" s="199"/>
      <c r="I12927" s="199"/>
      <c r="K12927" s="199"/>
      <c r="M12927" s="199"/>
      <c r="N12927" s="200"/>
      <c r="P12927" s="199"/>
    </row>
    <row r="12928" spans="7:16" x14ac:dyDescent="0.2">
      <c r="G12928" s="199"/>
      <c r="I12928" s="199"/>
      <c r="K12928" s="199"/>
      <c r="M12928" s="199"/>
      <c r="N12928" s="200"/>
      <c r="P12928" s="199"/>
    </row>
    <row r="12929" spans="7:16" x14ac:dyDescent="0.2">
      <c r="G12929" s="199"/>
      <c r="I12929" s="199"/>
      <c r="K12929" s="199"/>
      <c r="M12929" s="199"/>
      <c r="N12929" s="200"/>
      <c r="P12929" s="199"/>
    </row>
    <row r="12930" spans="7:16" x14ac:dyDescent="0.2">
      <c r="G12930" s="199"/>
      <c r="I12930" s="199"/>
      <c r="K12930" s="199"/>
      <c r="M12930" s="199"/>
      <c r="N12930" s="200"/>
      <c r="P12930" s="199"/>
    </row>
    <row r="12931" spans="7:16" x14ac:dyDescent="0.2">
      <c r="G12931" s="199"/>
      <c r="I12931" s="199"/>
      <c r="K12931" s="199"/>
      <c r="M12931" s="199"/>
      <c r="N12931" s="200"/>
      <c r="P12931" s="199"/>
    </row>
    <row r="12932" spans="7:16" x14ac:dyDescent="0.2">
      <c r="G12932" s="199"/>
      <c r="I12932" s="199"/>
      <c r="K12932" s="199"/>
      <c r="M12932" s="199"/>
      <c r="N12932" s="200"/>
      <c r="P12932" s="199"/>
    </row>
    <row r="12933" spans="7:16" x14ac:dyDescent="0.2">
      <c r="G12933" s="199"/>
      <c r="I12933" s="199"/>
      <c r="K12933" s="199"/>
      <c r="M12933" s="199"/>
      <c r="N12933" s="200"/>
      <c r="P12933" s="199"/>
    </row>
    <row r="12934" spans="7:16" x14ac:dyDescent="0.2">
      <c r="G12934" s="199"/>
      <c r="I12934" s="199"/>
      <c r="K12934" s="199"/>
      <c r="M12934" s="199"/>
      <c r="N12934" s="200"/>
      <c r="P12934" s="199"/>
    </row>
    <row r="12935" spans="7:16" x14ac:dyDescent="0.2">
      <c r="G12935" s="199"/>
      <c r="I12935" s="199"/>
      <c r="K12935" s="199"/>
      <c r="M12935" s="199"/>
      <c r="N12935" s="200"/>
      <c r="P12935" s="199"/>
    </row>
    <row r="12936" spans="7:16" x14ac:dyDescent="0.2">
      <c r="G12936" s="199"/>
      <c r="I12936" s="199"/>
      <c r="K12936" s="199"/>
      <c r="M12936" s="199"/>
      <c r="N12936" s="200"/>
      <c r="P12936" s="199"/>
    </row>
    <row r="12937" spans="7:16" x14ac:dyDescent="0.2">
      <c r="G12937" s="199"/>
      <c r="I12937" s="199"/>
      <c r="K12937" s="199"/>
      <c r="M12937" s="199"/>
      <c r="N12937" s="200"/>
      <c r="P12937" s="199"/>
    </row>
    <row r="12938" spans="7:16" x14ac:dyDescent="0.2">
      <c r="G12938" s="199"/>
      <c r="I12938" s="199"/>
      <c r="K12938" s="199"/>
      <c r="M12938" s="199"/>
      <c r="N12938" s="200"/>
      <c r="P12938" s="199"/>
    </row>
    <row r="12939" spans="7:16" x14ac:dyDescent="0.2">
      <c r="G12939" s="199"/>
      <c r="I12939" s="199"/>
      <c r="K12939" s="199"/>
      <c r="M12939" s="199"/>
      <c r="N12939" s="200"/>
      <c r="P12939" s="199"/>
    </row>
    <row r="12940" spans="7:16" x14ac:dyDescent="0.2">
      <c r="G12940" s="199"/>
      <c r="I12940" s="199"/>
      <c r="K12940" s="199"/>
      <c r="M12940" s="199"/>
      <c r="N12940" s="200"/>
      <c r="P12940" s="199"/>
    </row>
    <row r="12941" spans="7:16" x14ac:dyDescent="0.2">
      <c r="G12941" s="199"/>
      <c r="I12941" s="199"/>
      <c r="K12941" s="199"/>
      <c r="M12941" s="199"/>
      <c r="N12941" s="200"/>
      <c r="P12941" s="199"/>
    </row>
    <row r="12942" spans="7:16" x14ac:dyDescent="0.2">
      <c r="G12942" s="199"/>
      <c r="I12942" s="199"/>
      <c r="K12942" s="199"/>
      <c r="M12942" s="199"/>
      <c r="N12942" s="200"/>
      <c r="P12942" s="199"/>
    </row>
    <row r="12943" spans="7:16" x14ac:dyDescent="0.2">
      <c r="G12943" s="199"/>
      <c r="I12943" s="199"/>
      <c r="K12943" s="199"/>
      <c r="M12943" s="199"/>
      <c r="N12943" s="200"/>
      <c r="P12943" s="199"/>
    </row>
    <row r="12944" spans="7:16" x14ac:dyDescent="0.2">
      <c r="G12944" s="199"/>
      <c r="I12944" s="199"/>
      <c r="K12944" s="199"/>
      <c r="M12944" s="199"/>
      <c r="N12944" s="200"/>
      <c r="P12944" s="199"/>
    </row>
    <row r="12945" spans="7:16" x14ac:dyDescent="0.2">
      <c r="G12945" s="199"/>
      <c r="I12945" s="199"/>
      <c r="K12945" s="199"/>
      <c r="M12945" s="199"/>
      <c r="N12945" s="200"/>
      <c r="P12945" s="199"/>
    </row>
    <row r="12946" spans="7:16" x14ac:dyDescent="0.2">
      <c r="G12946" s="199"/>
      <c r="I12946" s="199"/>
      <c r="K12946" s="199"/>
      <c r="M12946" s="199"/>
      <c r="N12946" s="200"/>
      <c r="P12946" s="199"/>
    </row>
    <row r="12947" spans="7:16" x14ac:dyDescent="0.2">
      <c r="G12947" s="199"/>
      <c r="I12947" s="199"/>
      <c r="K12947" s="199"/>
      <c r="M12947" s="199"/>
      <c r="N12947" s="200"/>
      <c r="P12947" s="199"/>
    </row>
    <row r="12948" spans="7:16" x14ac:dyDescent="0.2">
      <c r="G12948" s="199"/>
      <c r="I12948" s="199"/>
      <c r="K12948" s="199"/>
      <c r="M12948" s="199"/>
      <c r="N12948" s="200"/>
      <c r="P12948" s="199"/>
    </row>
    <row r="12949" spans="7:16" x14ac:dyDescent="0.2">
      <c r="G12949" s="199"/>
      <c r="I12949" s="199"/>
      <c r="K12949" s="199"/>
      <c r="M12949" s="199"/>
      <c r="N12949" s="200"/>
      <c r="P12949" s="199"/>
    </row>
    <row r="12950" spans="7:16" x14ac:dyDescent="0.2">
      <c r="G12950" s="199"/>
      <c r="I12950" s="199"/>
      <c r="K12950" s="199"/>
      <c r="M12950" s="199"/>
      <c r="N12950" s="200"/>
      <c r="P12950" s="199"/>
    </row>
    <row r="12951" spans="7:16" x14ac:dyDescent="0.2">
      <c r="G12951" s="199"/>
      <c r="I12951" s="199"/>
      <c r="K12951" s="199"/>
      <c r="M12951" s="199"/>
      <c r="N12951" s="200"/>
      <c r="P12951" s="199"/>
    </row>
    <row r="12952" spans="7:16" x14ac:dyDescent="0.2">
      <c r="G12952" s="199"/>
      <c r="I12952" s="199"/>
      <c r="K12952" s="199"/>
      <c r="M12952" s="199"/>
      <c r="N12952" s="200"/>
      <c r="P12952" s="199"/>
    </row>
    <row r="12953" spans="7:16" x14ac:dyDescent="0.2">
      <c r="G12953" s="199"/>
      <c r="I12953" s="199"/>
      <c r="K12953" s="199"/>
      <c r="M12953" s="199"/>
      <c r="N12953" s="200"/>
      <c r="P12953" s="199"/>
    </row>
    <row r="12954" spans="7:16" x14ac:dyDescent="0.2">
      <c r="G12954" s="199"/>
      <c r="I12954" s="199"/>
      <c r="K12954" s="199"/>
      <c r="M12954" s="199"/>
      <c r="N12954" s="200"/>
      <c r="P12954" s="199"/>
    </row>
    <row r="12955" spans="7:16" x14ac:dyDescent="0.2">
      <c r="G12955" s="199"/>
      <c r="I12955" s="199"/>
      <c r="K12955" s="199"/>
      <c r="M12955" s="199"/>
      <c r="N12955" s="200"/>
      <c r="P12955" s="199"/>
    </row>
    <row r="12956" spans="7:16" x14ac:dyDescent="0.2">
      <c r="G12956" s="199"/>
      <c r="I12956" s="199"/>
      <c r="K12956" s="199"/>
      <c r="M12956" s="199"/>
      <c r="N12956" s="200"/>
      <c r="P12956" s="199"/>
    </row>
    <row r="12957" spans="7:16" x14ac:dyDescent="0.2">
      <c r="G12957" s="199"/>
      <c r="I12957" s="199"/>
      <c r="K12957" s="199"/>
      <c r="M12957" s="199"/>
      <c r="N12957" s="200"/>
      <c r="P12957" s="199"/>
    </row>
    <row r="12958" spans="7:16" x14ac:dyDescent="0.2">
      <c r="G12958" s="199"/>
      <c r="I12958" s="199"/>
      <c r="K12958" s="199"/>
      <c r="M12958" s="199"/>
      <c r="N12958" s="200"/>
      <c r="P12958" s="199"/>
    </row>
    <row r="12959" spans="7:16" x14ac:dyDescent="0.2">
      <c r="G12959" s="199"/>
      <c r="I12959" s="199"/>
      <c r="K12959" s="199"/>
      <c r="M12959" s="199"/>
      <c r="N12959" s="200"/>
      <c r="P12959" s="199"/>
    </row>
    <row r="12960" spans="7:16" x14ac:dyDescent="0.2">
      <c r="G12960" s="199"/>
      <c r="I12960" s="199"/>
      <c r="K12960" s="199"/>
      <c r="M12960" s="199"/>
      <c r="N12960" s="200"/>
      <c r="P12960" s="199"/>
    </row>
    <row r="12961" spans="7:16" x14ac:dyDescent="0.2">
      <c r="G12961" s="199"/>
      <c r="I12961" s="199"/>
      <c r="K12961" s="199"/>
      <c r="M12961" s="199"/>
      <c r="N12961" s="200"/>
      <c r="P12961" s="199"/>
    </row>
    <row r="12962" spans="7:16" x14ac:dyDescent="0.2">
      <c r="G12962" s="199"/>
      <c r="I12962" s="199"/>
      <c r="K12962" s="199"/>
      <c r="M12962" s="199"/>
      <c r="N12962" s="200"/>
      <c r="P12962" s="199"/>
    </row>
    <row r="12963" spans="7:16" x14ac:dyDescent="0.2">
      <c r="G12963" s="199"/>
      <c r="I12963" s="199"/>
      <c r="K12963" s="199"/>
      <c r="M12963" s="199"/>
      <c r="N12963" s="200"/>
      <c r="P12963" s="199"/>
    </row>
    <row r="12964" spans="7:16" x14ac:dyDescent="0.2">
      <c r="G12964" s="199"/>
      <c r="I12964" s="199"/>
      <c r="K12964" s="199"/>
      <c r="M12964" s="199"/>
      <c r="N12964" s="200"/>
      <c r="P12964" s="199"/>
    </row>
    <row r="12965" spans="7:16" x14ac:dyDescent="0.2">
      <c r="G12965" s="199"/>
      <c r="I12965" s="199"/>
      <c r="K12965" s="199"/>
      <c r="M12965" s="199"/>
      <c r="N12965" s="200"/>
      <c r="P12965" s="199"/>
    </row>
    <row r="12966" spans="7:16" x14ac:dyDescent="0.2">
      <c r="G12966" s="199"/>
      <c r="I12966" s="199"/>
      <c r="K12966" s="199"/>
      <c r="M12966" s="199"/>
      <c r="N12966" s="200"/>
      <c r="P12966" s="199"/>
    </row>
    <row r="12967" spans="7:16" x14ac:dyDescent="0.2">
      <c r="G12967" s="199"/>
      <c r="I12967" s="199"/>
      <c r="K12967" s="199"/>
      <c r="M12967" s="199"/>
      <c r="N12967" s="200"/>
      <c r="P12967" s="199"/>
    </row>
    <row r="12968" spans="7:16" x14ac:dyDescent="0.2">
      <c r="G12968" s="199"/>
      <c r="I12968" s="199"/>
      <c r="K12968" s="199"/>
      <c r="M12968" s="199"/>
      <c r="N12968" s="200"/>
      <c r="P12968" s="199"/>
    </row>
    <row r="12969" spans="7:16" x14ac:dyDescent="0.2">
      <c r="G12969" s="199"/>
      <c r="I12969" s="199"/>
      <c r="K12969" s="199"/>
      <c r="M12969" s="199"/>
      <c r="N12969" s="200"/>
      <c r="P12969" s="199"/>
    </row>
    <row r="12970" spans="7:16" x14ac:dyDescent="0.2">
      <c r="G12970" s="199"/>
      <c r="I12970" s="199"/>
      <c r="K12970" s="199"/>
      <c r="M12970" s="199"/>
      <c r="N12970" s="200"/>
      <c r="P12970" s="199"/>
    </row>
    <row r="12971" spans="7:16" x14ac:dyDescent="0.2">
      <c r="G12971" s="199"/>
      <c r="I12971" s="199"/>
      <c r="K12971" s="199"/>
      <c r="M12971" s="199"/>
      <c r="N12971" s="200"/>
      <c r="P12971" s="199"/>
    </row>
    <row r="12972" spans="7:16" x14ac:dyDescent="0.2">
      <c r="G12972" s="199"/>
      <c r="I12972" s="199"/>
      <c r="K12972" s="199"/>
      <c r="M12972" s="199"/>
      <c r="N12972" s="200"/>
      <c r="P12972" s="199"/>
    </row>
    <row r="12973" spans="7:16" x14ac:dyDescent="0.2">
      <c r="G12973" s="199"/>
      <c r="I12973" s="199"/>
      <c r="K12973" s="199"/>
      <c r="M12973" s="199"/>
      <c r="N12973" s="200"/>
      <c r="P12973" s="199"/>
    </row>
    <row r="12974" spans="7:16" x14ac:dyDescent="0.2">
      <c r="G12974" s="199"/>
      <c r="I12974" s="199"/>
      <c r="K12974" s="199"/>
      <c r="M12974" s="199"/>
      <c r="N12974" s="200"/>
      <c r="P12974" s="199"/>
    </row>
    <row r="12975" spans="7:16" x14ac:dyDescent="0.2">
      <c r="G12975" s="199"/>
      <c r="I12975" s="199"/>
      <c r="K12975" s="199"/>
      <c r="M12975" s="199"/>
      <c r="N12975" s="200"/>
      <c r="P12975" s="199"/>
    </row>
    <row r="12976" spans="7:16" x14ac:dyDescent="0.2">
      <c r="G12976" s="199"/>
      <c r="I12976" s="199"/>
      <c r="K12976" s="199"/>
      <c r="M12976" s="199"/>
      <c r="N12976" s="200"/>
      <c r="P12976" s="199"/>
    </row>
    <row r="12977" spans="7:16" x14ac:dyDescent="0.2">
      <c r="G12977" s="199"/>
      <c r="I12977" s="199"/>
      <c r="K12977" s="199"/>
      <c r="M12977" s="199"/>
      <c r="N12977" s="200"/>
      <c r="P12977" s="199"/>
    </row>
    <row r="12978" spans="7:16" x14ac:dyDescent="0.2">
      <c r="G12978" s="199"/>
      <c r="I12978" s="199"/>
      <c r="K12978" s="199"/>
      <c r="M12978" s="199"/>
      <c r="N12978" s="200"/>
      <c r="P12978" s="199"/>
    </row>
    <row r="12979" spans="7:16" x14ac:dyDescent="0.2">
      <c r="G12979" s="199"/>
      <c r="I12979" s="199"/>
      <c r="K12979" s="199"/>
      <c r="M12979" s="199"/>
      <c r="N12979" s="200"/>
      <c r="P12979" s="199"/>
    </row>
    <row r="12980" spans="7:16" x14ac:dyDescent="0.2">
      <c r="G12980" s="199"/>
      <c r="I12980" s="199"/>
      <c r="K12980" s="199"/>
      <c r="M12980" s="199"/>
      <c r="N12980" s="200"/>
      <c r="P12980" s="199"/>
    </row>
    <row r="12981" spans="7:16" x14ac:dyDescent="0.2">
      <c r="G12981" s="199"/>
      <c r="I12981" s="199"/>
      <c r="K12981" s="199"/>
      <c r="M12981" s="199"/>
      <c r="N12981" s="200"/>
      <c r="P12981" s="199"/>
    </row>
    <row r="12982" spans="7:16" x14ac:dyDescent="0.2">
      <c r="G12982" s="199"/>
      <c r="I12982" s="199"/>
      <c r="K12982" s="199"/>
      <c r="M12982" s="199"/>
      <c r="N12982" s="200"/>
      <c r="P12982" s="199"/>
    </row>
    <row r="12983" spans="7:16" x14ac:dyDescent="0.2">
      <c r="G12983" s="199"/>
      <c r="I12983" s="199"/>
      <c r="K12983" s="199"/>
      <c r="M12983" s="199"/>
      <c r="N12983" s="200"/>
      <c r="P12983" s="199"/>
    </row>
    <row r="12984" spans="7:16" x14ac:dyDescent="0.2">
      <c r="G12984" s="199"/>
      <c r="I12984" s="199"/>
      <c r="K12984" s="199"/>
      <c r="M12984" s="199"/>
      <c r="N12984" s="200"/>
      <c r="P12984" s="199"/>
    </row>
    <row r="12985" spans="7:16" x14ac:dyDescent="0.2">
      <c r="G12985" s="199"/>
      <c r="I12985" s="199"/>
      <c r="K12985" s="199"/>
      <c r="M12985" s="199"/>
      <c r="N12985" s="200"/>
      <c r="P12985" s="199"/>
    </row>
    <row r="12986" spans="7:16" x14ac:dyDescent="0.2">
      <c r="G12986" s="199"/>
      <c r="I12986" s="199"/>
      <c r="K12986" s="199"/>
      <c r="M12986" s="199"/>
      <c r="N12986" s="200"/>
      <c r="P12986" s="199"/>
    </row>
    <row r="12987" spans="7:16" x14ac:dyDescent="0.2">
      <c r="G12987" s="199"/>
      <c r="I12987" s="199"/>
      <c r="K12987" s="199"/>
      <c r="M12987" s="199"/>
      <c r="N12987" s="200"/>
      <c r="P12987" s="199"/>
    </row>
    <row r="12988" spans="7:16" x14ac:dyDescent="0.2">
      <c r="G12988" s="199"/>
      <c r="I12988" s="199"/>
      <c r="K12988" s="199"/>
      <c r="M12988" s="199"/>
      <c r="N12988" s="200"/>
      <c r="P12988" s="199"/>
    </row>
    <row r="12989" spans="7:16" x14ac:dyDescent="0.2">
      <c r="G12989" s="199"/>
      <c r="I12989" s="199"/>
      <c r="K12989" s="199"/>
      <c r="M12989" s="199"/>
      <c r="N12989" s="200"/>
      <c r="P12989" s="199"/>
    </row>
    <row r="12990" spans="7:16" x14ac:dyDescent="0.2">
      <c r="G12990" s="199"/>
      <c r="I12990" s="199"/>
      <c r="K12990" s="199"/>
      <c r="M12990" s="199"/>
      <c r="N12990" s="200"/>
      <c r="P12990" s="199"/>
    </row>
    <row r="12991" spans="7:16" x14ac:dyDescent="0.2">
      <c r="G12991" s="199"/>
      <c r="I12991" s="199"/>
      <c r="K12991" s="199"/>
      <c r="M12991" s="199"/>
      <c r="N12991" s="200"/>
      <c r="P12991" s="199"/>
    </row>
    <row r="12992" spans="7:16" x14ac:dyDescent="0.2">
      <c r="G12992" s="199"/>
      <c r="I12992" s="199"/>
      <c r="K12992" s="199"/>
      <c r="M12992" s="199"/>
      <c r="N12992" s="200"/>
      <c r="P12992" s="199"/>
    </row>
    <row r="12993" spans="7:16" x14ac:dyDescent="0.2">
      <c r="G12993" s="199"/>
      <c r="I12993" s="199"/>
      <c r="K12993" s="199"/>
      <c r="M12993" s="199"/>
      <c r="N12993" s="200"/>
      <c r="P12993" s="199"/>
    </row>
    <row r="12994" spans="7:16" x14ac:dyDescent="0.2">
      <c r="G12994" s="199"/>
      <c r="I12994" s="199"/>
      <c r="K12994" s="199"/>
      <c r="M12994" s="199"/>
      <c r="N12994" s="200"/>
      <c r="P12994" s="199"/>
    </row>
    <row r="12995" spans="7:16" x14ac:dyDescent="0.2">
      <c r="G12995" s="199"/>
      <c r="I12995" s="199"/>
      <c r="K12995" s="199"/>
      <c r="M12995" s="199"/>
      <c r="N12995" s="200"/>
      <c r="P12995" s="199"/>
    </row>
    <row r="12996" spans="7:16" x14ac:dyDescent="0.2">
      <c r="G12996" s="199"/>
      <c r="I12996" s="199"/>
      <c r="K12996" s="199"/>
      <c r="M12996" s="199"/>
      <c r="N12996" s="200"/>
      <c r="P12996" s="199"/>
    </row>
    <row r="12997" spans="7:16" x14ac:dyDescent="0.2">
      <c r="G12997" s="199"/>
      <c r="I12997" s="199"/>
      <c r="K12997" s="199"/>
      <c r="M12997" s="199"/>
      <c r="N12997" s="200"/>
      <c r="P12997" s="199"/>
    </row>
    <row r="12998" spans="7:16" x14ac:dyDescent="0.2">
      <c r="G12998" s="199"/>
      <c r="I12998" s="199"/>
      <c r="K12998" s="199"/>
      <c r="M12998" s="199"/>
      <c r="N12998" s="200"/>
      <c r="P12998" s="199"/>
    </row>
    <row r="12999" spans="7:16" x14ac:dyDescent="0.2">
      <c r="G12999" s="199"/>
      <c r="I12999" s="199"/>
      <c r="K12999" s="199"/>
      <c r="M12999" s="199"/>
      <c r="N12999" s="200"/>
      <c r="P12999" s="199"/>
    </row>
    <row r="13000" spans="7:16" x14ac:dyDescent="0.2">
      <c r="G13000" s="199"/>
      <c r="I13000" s="199"/>
      <c r="K13000" s="199"/>
      <c r="M13000" s="199"/>
      <c r="N13000" s="200"/>
      <c r="P13000" s="199"/>
    </row>
    <row r="13001" spans="7:16" x14ac:dyDescent="0.2">
      <c r="G13001" s="199"/>
      <c r="I13001" s="199"/>
      <c r="K13001" s="199"/>
      <c r="M13001" s="199"/>
      <c r="N13001" s="200"/>
      <c r="P13001" s="199"/>
    </row>
    <row r="13002" spans="7:16" x14ac:dyDescent="0.2">
      <c r="G13002" s="199"/>
      <c r="I13002" s="199"/>
      <c r="K13002" s="199"/>
      <c r="M13002" s="199"/>
      <c r="N13002" s="200"/>
      <c r="P13002" s="199"/>
    </row>
    <row r="13003" spans="7:16" x14ac:dyDescent="0.2">
      <c r="G13003" s="199"/>
      <c r="I13003" s="199"/>
      <c r="K13003" s="199"/>
      <c r="M13003" s="199"/>
      <c r="N13003" s="200"/>
      <c r="P13003" s="199"/>
    </row>
    <row r="13004" spans="7:16" x14ac:dyDescent="0.2">
      <c r="G13004" s="199"/>
      <c r="I13004" s="199"/>
      <c r="K13004" s="199"/>
      <c r="M13004" s="199"/>
      <c r="N13004" s="200"/>
      <c r="P13004" s="199"/>
    </row>
    <row r="13005" spans="7:16" x14ac:dyDescent="0.2">
      <c r="G13005" s="199"/>
      <c r="I13005" s="199"/>
      <c r="K13005" s="199"/>
      <c r="M13005" s="199"/>
      <c r="N13005" s="200"/>
      <c r="P13005" s="199"/>
    </row>
    <row r="13006" spans="7:16" x14ac:dyDescent="0.2">
      <c r="G13006" s="199"/>
      <c r="I13006" s="199"/>
      <c r="K13006" s="199"/>
      <c r="M13006" s="199"/>
      <c r="N13006" s="200"/>
      <c r="P13006" s="199"/>
    </row>
    <row r="13007" spans="7:16" x14ac:dyDescent="0.2">
      <c r="G13007" s="199"/>
      <c r="I13007" s="199"/>
      <c r="K13007" s="199"/>
      <c r="M13007" s="199"/>
      <c r="N13007" s="200"/>
      <c r="P13007" s="199"/>
    </row>
    <row r="13008" spans="7:16" x14ac:dyDescent="0.2">
      <c r="G13008" s="199"/>
      <c r="I13008" s="199"/>
      <c r="K13008" s="199"/>
      <c r="M13008" s="199"/>
      <c r="N13008" s="200"/>
      <c r="P13008" s="199"/>
    </row>
    <row r="13009" spans="7:16" x14ac:dyDescent="0.2">
      <c r="G13009" s="199"/>
      <c r="I13009" s="199"/>
      <c r="K13009" s="199"/>
      <c r="M13009" s="199"/>
      <c r="N13009" s="200"/>
      <c r="P13009" s="199"/>
    </row>
    <row r="13010" spans="7:16" x14ac:dyDescent="0.2">
      <c r="G13010" s="199"/>
      <c r="I13010" s="199"/>
      <c r="K13010" s="199"/>
      <c r="M13010" s="199"/>
      <c r="N13010" s="200"/>
      <c r="P13010" s="199"/>
    </row>
    <row r="13011" spans="7:16" x14ac:dyDescent="0.2">
      <c r="G13011" s="199"/>
      <c r="I13011" s="199"/>
      <c r="K13011" s="199"/>
      <c r="M13011" s="199"/>
      <c r="N13011" s="200"/>
      <c r="P13011" s="199"/>
    </row>
    <row r="13012" spans="7:16" x14ac:dyDescent="0.2">
      <c r="G13012" s="199"/>
      <c r="I13012" s="199"/>
      <c r="K13012" s="199"/>
      <c r="M13012" s="199"/>
      <c r="N13012" s="200"/>
      <c r="P13012" s="199"/>
    </row>
    <row r="13013" spans="7:16" x14ac:dyDescent="0.2">
      <c r="G13013" s="199"/>
      <c r="I13013" s="199"/>
      <c r="K13013" s="199"/>
      <c r="M13013" s="199"/>
      <c r="N13013" s="200"/>
      <c r="P13013" s="199"/>
    </row>
    <row r="13014" spans="7:16" x14ac:dyDescent="0.2">
      <c r="G13014" s="199"/>
      <c r="I13014" s="199"/>
      <c r="K13014" s="199"/>
      <c r="M13014" s="199"/>
      <c r="N13014" s="200"/>
      <c r="P13014" s="199"/>
    </row>
    <row r="13015" spans="7:16" x14ac:dyDescent="0.2">
      <c r="G13015" s="199"/>
      <c r="I13015" s="199"/>
      <c r="K13015" s="199"/>
      <c r="M13015" s="199"/>
      <c r="N13015" s="200"/>
      <c r="P13015" s="199"/>
    </row>
    <row r="13016" spans="7:16" x14ac:dyDescent="0.2">
      <c r="G13016" s="199"/>
      <c r="I13016" s="199"/>
      <c r="K13016" s="199"/>
      <c r="M13016" s="199"/>
      <c r="N13016" s="200"/>
      <c r="P13016" s="199"/>
    </row>
    <row r="13017" spans="7:16" x14ac:dyDescent="0.2">
      <c r="G13017" s="199"/>
      <c r="I13017" s="199"/>
      <c r="K13017" s="199"/>
      <c r="M13017" s="199"/>
      <c r="N13017" s="200"/>
      <c r="P13017" s="199"/>
    </row>
    <row r="13018" spans="7:16" x14ac:dyDescent="0.2">
      <c r="G13018" s="199"/>
      <c r="I13018" s="199"/>
      <c r="K13018" s="199"/>
      <c r="M13018" s="199"/>
      <c r="N13018" s="200"/>
      <c r="P13018" s="199"/>
    </row>
    <row r="13019" spans="7:16" x14ac:dyDescent="0.2">
      <c r="G13019" s="199"/>
      <c r="I13019" s="199"/>
      <c r="K13019" s="199"/>
      <c r="M13019" s="199"/>
      <c r="N13019" s="200"/>
      <c r="P13019" s="199"/>
    </row>
    <row r="13020" spans="7:16" x14ac:dyDescent="0.2">
      <c r="G13020" s="199"/>
      <c r="I13020" s="199"/>
      <c r="K13020" s="199"/>
      <c r="M13020" s="199"/>
      <c r="N13020" s="200"/>
      <c r="P13020" s="199"/>
    </row>
    <row r="13021" spans="7:16" x14ac:dyDescent="0.2">
      <c r="G13021" s="199"/>
      <c r="I13021" s="199"/>
      <c r="K13021" s="199"/>
      <c r="M13021" s="199"/>
      <c r="N13021" s="200"/>
      <c r="P13021" s="199"/>
    </row>
    <row r="13022" spans="7:16" x14ac:dyDescent="0.2">
      <c r="G13022" s="199"/>
      <c r="I13022" s="199"/>
      <c r="K13022" s="199"/>
      <c r="M13022" s="199"/>
      <c r="N13022" s="200"/>
      <c r="P13022" s="199"/>
    </row>
    <row r="13023" spans="7:16" x14ac:dyDescent="0.2">
      <c r="G13023" s="199"/>
      <c r="I13023" s="199"/>
      <c r="K13023" s="199"/>
      <c r="M13023" s="199"/>
      <c r="N13023" s="200"/>
      <c r="P13023" s="199"/>
    </row>
    <row r="13024" spans="7:16" x14ac:dyDescent="0.2">
      <c r="G13024" s="199"/>
      <c r="I13024" s="199"/>
      <c r="K13024" s="199"/>
      <c r="M13024" s="199"/>
      <c r="N13024" s="200"/>
      <c r="P13024" s="199"/>
    </row>
    <row r="13025" spans="7:16" x14ac:dyDescent="0.2">
      <c r="G13025" s="199"/>
      <c r="I13025" s="199"/>
      <c r="K13025" s="199"/>
      <c r="M13025" s="199"/>
      <c r="N13025" s="200"/>
      <c r="P13025" s="199"/>
    </row>
    <row r="13026" spans="7:16" x14ac:dyDescent="0.2">
      <c r="G13026" s="199"/>
      <c r="I13026" s="199"/>
      <c r="K13026" s="199"/>
      <c r="M13026" s="199"/>
      <c r="N13026" s="200"/>
      <c r="P13026" s="199"/>
    </row>
    <row r="13027" spans="7:16" x14ac:dyDescent="0.2">
      <c r="G13027" s="199"/>
      <c r="I13027" s="199"/>
      <c r="K13027" s="199"/>
      <c r="M13027" s="199"/>
      <c r="N13027" s="200"/>
      <c r="P13027" s="199"/>
    </row>
    <row r="13028" spans="7:16" x14ac:dyDescent="0.2">
      <c r="G13028" s="199"/>
      <c r="I13028" s="199"/>
      <c r="K13028" s="199"/>
      <c r="M13028" s="199"/>
      <c r="N13028" s="200"/>
      <c r="P13028" s="199"/>
    </row>
    <row r="13029" spans="7:16" x14ac:dyDescent="0.2">
      <c r="G13029" s="199"/>
      <c r="I13029" s="199"/>
      <c r="K13029" s="199"/>
      <c r="M13029" s="199"/>
      <c r="N13029" s="200"/>
      <c r="P13029" s="199"/>
    </row>
    <row r="13030" spans="7:16" x14ac:dyDescent="0.2">
      <c r="G13030" s="199"/>
      <c r="I13030" s="199"/>
      <c r="K13030" s="199"/>
      <c r="M13030" s="199"/>
      <c r="N13030" s="200"/>
      <c r="P13030" s="199"/>
    </row>
    <row r="13031" spans="7:16" x14ac:dyDescent="0.2">
      <c r="G13031" s="199"/>
      <c r="I13031" s="199"/>
      <c r="K13031" s="199"/>
      <c r="M13031" s="199"/>
      <c r="N13031" s="200"/>
      <c r="P13031" s="199"/>
    </row>
    <row r="13032" spans="7:16" x14ac:dyDescent="0.2">
      <c r="G13032" s="199"/>
      <c r="I13032" s="199"/>
      <c r="K13032" s="199"/>
      <c r="M13032" s="199"/>
      <c r="N13032" s="200"/>
      <c r="P13032" s="199"/>
    </row>
    <row r="13033" spans="7:16" x14ac:dyDescent="0.2">
      <c r="G13033" s="199"/>
      <c r="I13033" s="199"/>
      <c r="K13033" s="199"/>
      <c r="M13033" s="199"/>
      <c r="N13033" s="200"/>
      <c r="P13033" s="199"/>
    </row>
    <row r="13034" spans="7:16" x14ac:dyDescent="0.2">
      <c r="G13034" s="199"/>
      <c r="I13034" s="199"/>
      <c r="K13034" s="199"/>
      <c r="M13034" s="199"/>
      <c r="N13034" s="200"/>
      <c r="P13034" s="199"/>
    </row>
    <row r="13035" spans="7:16" x14ac:dyDescent="0.2">
      <c r="G13035" s="199"/>
      <c r="I13035" s="199"/>
      <c r="K13035" s="199"/>
      <c r="M13035" s="199"/>
      <c r="N13035" s="200"/>
      <c r="P13035" s="199"/>
    </row>
    <row r="13036" spans="7:16" x14ac:dyDescent="0.2">
      <c r="G13036" s="199"/>
      <c r="I13036" s="199"/>
      <c r="K13036" s="199"/>
      <c r="M13036" s="199"/>
      <c r="N13036" s="200"/>
      <c r="P13036" s="199"/>
    </row>
    <row r="13037" spans="7:16" x14ac:dyDescent="0.2">
      <c r="G13037" s="199"/>
      <c r="I13037" s="199"/>
      <c r="K13037" s="199"/>
      <c r="M13037" s="199"/>
      <c r="N13037" s="200"/>
      <c r="P13037" s="199"/>
    </row>
    <row r="13038" spans="7:16" x14ac:dyDescent="0.2">
      <c r="G13038" s="199"/>
      <c r="I13038" s="199"/>
      <c r="K13038" s="199"/>
      <c r="M13038" s="199"/>
      <c r="N13038" s="200"/>
      <c r="P13038" s="199"/>
    </row>
    <row r="13039" spans="7:16" x14ac:dyDescent="0.2">
      <c r="G13039" s="199"/>
      <c r="I13039" s="199"/>
      <c r="K13039" s="199"/>
      <c r="M13039" s="199"/>
      <c r="N13039" s="200"/>
      <c r="P13039" s="199"/>
    </row>
    <row r="13040" spans="7:16" x14ac:dyDescent="0.2">
      <c r="G13040" s="199"/>
      <c r="I13040" s="199"/>
      <c r="K13040" s="199"/>
      <c r="M13040" s="199"/>
      <c r="N13040" s="200"/>
      <c r="P13040" s="199"/>
    </row>
    <row r="13041" spans="7:16" x14ac:dyDescent="0.2">
      <c r="G13041" s="199"/>
      <c r="I13041" s="199"/>
      <c r="K13041" s="199"/>
      <c r="M13041" s="199"/>
      <c r="N13041" s="200"/>
      <c r="P13041" s="199"/>
    </row>
    <row r="13042" spans="7:16" x14ac:dyDescent="0.2">
      <c r="G13042" s="199"/>
      <c r="I13042" s="199"/>
      <c r="K13042" s="199"/>
      <c r="M13042" s="199"/>
      <c r="N13042" s="200"/>
      <c r="P13042" s="199"/>
    </row>
    <row r="13043" spans="7:16" x14ac:dyDescent="0.2">
      <c r="G13043" s="199"/>
      <c r="I13043" s="199"/>
      <c r="K13043" s="199"/>
      <c r="M13043" s="199"/>
      <c r="N13043" s="200"/>
      <c r="P13043" s="199"/>
    </row>
    <row r="13044" spans="7:16" x14ac:dyDescent="0.2">
      <c r="G13044" s="199"/>
      <c r="I13044" s="199"/>
      <c r="K13044" s="199"/>
      <c r="M13044" s="199"/>
      <c r="N13044" s="200"/>
      <c r="P13044" s="199"/>
    </row>
    <row r="13045" spans="7:16" x14ac:dyDescent="0.2">
      <c r="G13045" s="199"/>
      <c r="I13045" s="199"/>
      <c r="K13045" s="199"/>
      <c r="M13045" s="199"/>
      <c r="N13045" s="200"/>
      <c r="P13045" s="199"/>
    </row>
    <row r="13046" spans="7:16" x14ac:dyDescent="0.2">
      <c r="G13046" s="199"/>
      <c r="I13046" s="199"/>
      <c r="K13046" s="199"/>
      <c r="M13046" s="199"/>
      <c r="N13046" s="200"/>
      <c r="P13046" s="199"/>
    </row>
    <row r="13047" spans="7:16" x14ac:dyDescent="0.2">
      <c r="G13047" s="199"/>
      <c r="I13047" s="199"/>
      <c r="K13047" s="199"/>
      <c r="M13047" s="199"/>
      <c r="N13047" s="200"/>
      <c r="P13047" s="199"/>
    </row>
    <row r="13048" spans="7:16" x14ac:dyDescent="0.2">
      <c r="G13048" s="199"/>
      <c r="I13048" s="199"/>
      <c r="K13048" s="199"/>
      <c r="M13048" s="199"/>
      <c r="N13048" s="200"/>
      <c r="P13048" s="199"/>
    </row>
    <row r="13049" spans="7:16" x14ac:dyDescent="0.2">
      <c r="G13049" s="199"/>
      <c r="I13049" s="199"/>
      <c r="K13049" s="199"/>
      <c r="M13049" s="199"/>
      <c r="N13049" s="200"/>
      <c r="P13049" s="199"/>
    </row>
    <row r="13050" spans="7:16" x14ac:dyDescent="0.2">
      <c r="G13050" s="199"/>
      <c r="I13050" s="199"/>
      <c r="K13050" s="199"/>
      <c r="M13050" s="199"/>
      <c r="N13050" s="200"/>
      <c r="P13050" s="199"/>
    </row>
    <row r="13051" spans="7:16" x14ac:dyDescent="0.2">
      <c r="G13051" s="199"/>
      <c r="I13051" s="199"/>
      <c r="K13051" s="199"/>
      <c r="M13051" s="199"/>
      <c r="N13051" s="200"/>
      <c r="P13051" s="199"/>
    </row>
    <row r="13052" spans="7:16" x14ac:dyDescent="0.2">
      <c r="G13052" s="199"/>
      <c r="I13052" s="199"/>
      <c r="K13052" s="199"/>
      <c r="M13052" s="199"/>
      <c r="N13052" s="200"/>
      <c r="P13052" s="199"/>
    </row>
    <row r="13053" spans="7:16" x14ac:dyDescent="0.2">
      <c r="G13053" s="199"/>
      <c r="I13053" s="199"/>
      <c r="K13053" s="199"/>
      <c r="M13053" s="199"/>
      <c r="N13053" s="200"/>
      <c r="P13053" s="199"/>
    </row>
    <row r="13054" spans="7:16" x14ac:dyDescent="0.2">
      <c r="G13054" s="199"/>
      <c r="I13054" s="199"/>
      <c r="K13054" s="199"/>
      <c r="M13054" s="199"/>
      <c r="N13054" s="200"/>
      <c r="P13054" s="199"/>
    </row>
    <row r="13055" spans="7:16" x14ac:dyDescent="0.2">
      <c r="G13055" s="199"/>
      <c r="I13055" s="199"/>
      <c r="K13055" s="199"/>
      <c r="M13055" s="199"/>
      <c r="N13055" s="200"/>
      <c r="P13055" s="199"/>
    </row>
    <row r="13056" spans="7:16" x14ac:dyDescent="0.2">
      <c r="G13056" s="199"/>
      <c r="I13056" s="199"/>
      <c r="K13056" s="199"/>
      <c r="M13056" s="199"/>
      <c r="N13056" s="200"/>
      <c r="P13056" s="199"/>
    </row>
    <row r="13057" spans="7:16" x14ac:dyDescent="0.2">
      <c r="G13057" s="199"/>
      <c r="I13057" s="199"/>
      <c r="K13057" s="199"/>
      <c r="M13057" s="199"/>
      <c r="N13057" s="200"/>
      <c r="P13057" s="199"/>
    </row>
    <row r="13058" spans="7:16" x14ac:dyDescent="0.2">
      <c r="G13058" s="199"/>
      <c r="I13058" s="199"/>
      <c r="K13058" s="199"/>
      <c r="M13058" s="199"/>
      <c r="N13058" s="200"/>
      <c r="P13058" s="199"/>
    </row>
    <row r="13059" spans="7:16" x14ac:dyDescent="0.2">
      <c r="G13059" s="199"/>
      <c r="I13059" s="199"/>
      <c r="K13059" s="199"/>
      <c r="M13059" s="199"/>
      <c r="N13059" s="200"/>
      <c r="P13059" s="199"/>
    </row>
    <row r="13060" spans="7:16" x14ac:dyDescent="0.2">
      <c r="G13060" s="199"/>
      <c r="I13060" s="199"/>
      <c r="K13060" s="199"/>
      <c r="M13060" s="199"/>
      <c r="N13060" s="200"/>
      <c r="P13060" s="199"/>
    </row>
    <row r="13061" spans="7:16" x14ac:dyDescent="0.2">
      <c r="G13061" s="199"/>
      <c r="I13061" s="199"/>
      <c r="K13061" s="199"/>
      <c r="M13061" s="199"/>
      <c r="N13061" s="200"/>
      <c r="P13061" s="199"/>
    </row>
    <row r="13062" spans="7:16" x14ac:dyDescent="0.2">
      <c r="G13062" s="199"/>
      <c r="I13062" s="199"/>
      <c r="K13062" s="199"/>
      <c r="M13062" s="199"/>
      <c r="N13062" s="200"/>
      <c r="P13062" s="199"/>
    </row>
    <row r="13063" spans="7:16" x14ac:dyDescent="0.2">
      <c r="G13063" s="199"/>
      <c r="I13063" s="199"/>
      <c r="K13063" s="199"/>
      <c r="M13063" s="199"/>
      <c r="N13063" s="200"/>
      <c r="P13063" s="199"/>
    </row>
    <row r="13064" spans="7:16" x14ac:dyDescent="0.2">
      <c r="G13064" s="199"/>
      <c r="I13064" s="199"/>
      <c r="K13064" s="199"/>
      <c r="M13064" s="199"/>
      <c r="N13064" s="200"/>
      <c r="P13064" s="199"/>
    </row>
    <row r="13065" spans="7:16" x14ac:dyDescent="0.2">
      <c r="G13065" s="199"/>
      <c r="I13065" s="199"/>
      <c r="K13065" s="199"/>
      <c r="M13065" s="199"/>
      <c r="N13065" s="200"/>
      <c r="P13065" s="199"/>
    </row>
    <row r="13066" spans="7:16" x14ac:dyDescent="0.2">
      <c r="G13066" s="199"/>
      <c r="I13066" s="199"/>
      <c r="K13066" s="199"/>
      <c r="M13066" s="199"/>
      <c r="N13066" s="200"/>
      <c r="P13066" s="199"/>
    </row>
    <row r="13067" spans="7:16" x14ac:dyDescent="0.2">
      <c r="G13067" s="199"/>
      <c r="I13067" s="199"/>
      <c r="K13067" s="199"/>
      <c r="M13067" s="199"/>
      <c r="N13067" s="200"/>
      <c r="P13067" s="199"/>
    </row>
    <row r="13068" spans="7:16" x14ac:dyDescent="0.2">
      <c r="G13068" s="199"/>
      <c r="I13068" s="199"/>
      <c r="K13068" s="199"/>
      <c r="M13068" s="199"/>
      <c r="N13068" s="200"/>
      <c r="P13068" s="199"/>
    </row>
    <row r="13069" spans="7:16" x14ac:dyDescent="0.2">
      <c r="G13069" s="199"/>
      <c r="I13069" s="199"/>
      <c r="K13069" s="199"/>
      <c r="M13069" s="199"/>
      <c r="N13069" s="200"/>
      <c r="P13069" s="199"/>
    </row>
    <row r="13070" spans="7:16" x14ac:dyDescent="0.2">
      <c r="G13070" s="199"/>
      <c r="I13070" s="199"/>
      <c r="K13070" s="199"/>
      <c r="M13070" s="199"/>
      <c r="N13070" s="200"/>
      <c r="P13070" s="199"/>
    </row>
    <row r="13071" spans="7:16" x14ac:dyDescent="0.2">
      <c r="G13071" s="199"/>
      <c r="I13071" s="199"/>
      <c r="K13071" s="199"/>
      <c r="M13071" s="199"/>
      <c r="N13071" s="200"/>
      <c r="P13071" s="199"/>
    </row>
    <row r="13072" spans="7:16" x14ac:dyDescent="0.2">
      <c r="G13072" s="199"/>
      <c r="I13072" s="199"/>
      <c r="K13072" s="199"/>
      <c r="M13072" s="199"/>
      <c r="N13072" s="200"/>
      <c r="P13072" s="199"/>
    </row>
    <row r="13073" spans="7:16" x14ac:dyDescent="0.2">
      <c r="G13073" s="199"/>
      <c r="I13073" s="199"/>
      <c r="K13073" s="199"/>
      <c r="M13073" s="199"/>
      <c r="N13073" s="200"/>
      <c r="P13073" s="199"/>
    </row>
    <row r="13074" spans="7:16" x14ac:dyDescent="0.2">
      <c r="G13074" s="199"/>
      <c r="I13074" s="199"/>
      <c r="K13074" s="199"/>
      <c r="M13074" s="199"/>
      <c r="N13074" s="200"/>
      <c r="P13074" s="199"/>
    </row>
    <row r="13075" spans="7:16" x14ac:dyDescent="0.2">
      <c r="G13075" s="199"/>
      <c r="I13075" s="199"/>
      <c r="K13075" s="199"/>
      <c r="M13075" s="199"/>
      <c r="N13075" s="200"/>
      <c r="P13075" s="199"/>
    </row>
    <row r="13076" spans="7:16" x14ac:dyDescent="0.2">
      <c r="G13076" s="199"/>
      <c r="I13076" s="199"/>
      <c r="K13076" s="199"/>
      <c r="M13076" s="199"/>
      <c r="N13076" s="200"/>
      <c r="P13076" s="199"/>
    </row>
    <row r="13077" spans="7:16" x14ac:dyDescent="0.2">
      <c r="G13077" s="199"/>
      <c r="I13077" s="199"/>
      <c r="K13077" s="199"/>
      <c r="M13077" s="199"/>
      <c r="N13077" s="200"/>
      <c r="P13077" s="199"/>
    </row>
    <row r="13078" spans="7:16" x14ac:dyDescent="0.2">
      <c r="G13078" s="199"/>
      <c r="I13078" s="199"/>
      <c r="K13078" s="199"/>
      <c r="M13078" s="199"/>
      <c r="N13078" s="200"/>
      <c r="P13078" s="199"/>
    </row>
    <row r="13079" spans="7:16" x14ac:dyDescent="0.2">
      <c r="G13079" s="199"/>
      <c r="I13079" s="199"/>
      <c r="K13079" s="199"/>
      <c r="M13079" s="199"/>
      <c r="N13079" s="200"/>
      <c r="P13079" s="199"/>
    </row>
    <row r="13080" spans="7:16" x14ac:dyDescent="0.2">
      <c r="G13080" s="199"/>
      <c r="I13080" s="199"/>
      <c r="K13080" s="199"/>
      <c r="M13080" s="199"/>
      <c r="N13080" s="200"/>
      <c r="P13080" s="199"/>
    </row>
    <row r="13081" spans="7:16" x14ac:dyDescent="0.2">
      <c r="G13081" s="199"/>
      <c r="I13081" s="199"/>
      <c r="K13081" s="199"/>
      <c r="M13081" s="199"/>
      <c r="N13081" s="200"/>
      <c r="P13081" s="199"/>
    </row>
    <row r="13082" spans="7:16" x14ac:dyDescent="0.2">
      <c r="G13082" s="199"/>
      <c r="I13082" s="199"/>
      <c r="K13082" s="199"/>
      <c r="M13082" s="199"/>
      <c r="N13082" s="200"/>
      <c r="P13082" s="199"/>
    </row>
    <row r="13083" spans="7:16" x14ac:dyDescent="0.2">
      <c r="G13083" s="199"/>
      <c r="I13083" s="199"/>
      <c r="K13083" s="199"/>
      <c r="M13083" s="199"/>
      <c r="N13083" s="200"/>
      <c r="P13083" s="199"/>
    </row>
    <row r="13084" spans="7:16" x14ac:dyDescent="0.2">
      <c r="G13084" s="199"/>
      <c r="I13084" s="199"/>
      <c r="K13084" s="199"/>
      <c r="M13084" s="199"/>
      <c r="N13084" s="200"/>
      <c r="P13084" s="199"/>
    </row>
    <row r="13085" spans="7:16" x14ac:dyDescent="0.2">
      <c r="G13085" s="199"/>
      <c r="I13085" s="199"/>
      <c r="K13085" s="199"/>
      <c r="M13085" s="199"/>
      <c r="N13085" s="200"/>
      <c r="P13085" s="199"/>
    </row>
    <row r="13086" spans="7:16" x14ac:dyDescent="0.2">
      <c r="G13086" s="199"/>
      <c r="I13086" s="199"/>
      <c r="K13086" s="199"/>
      <c r="M13086" s="199"/>
      <c r="N13086" s="200"/>
      <c r="P13086" s="199"/>
    </row>
    <row r="13087" spans="7:16" x14ac:dyDescent="0.2">
      <c r="G13087" s="199"/>
      <c r="I13087" s="199"/>
      <c r="K13087" s="199"/>
      <c r="M13087" s="199"/>
      <c r="N13087" s="200"/>
      <c r="P13087" s="199"/>
    </row>
    <row r="13088" spans="7:16" x14ac:dyDescent="0.2">
      <c r="G13088" s="199"/>
      <c r="I13088" s="199"/>
      <c r="K13088" s="199"/>
      <c r="M13088" s="199"/>
      <c r="N13088" s="200"/>
      <c r="P13088" s="199"/>
    </row>
    <row r="13089" spans="7:16" x14ac:dyDescent="0.2">
      <c r="G13089" s="199"/>
      <c r="I13089" s="199"/>
      <c r="K13089" s="199"/>
      <c r="M13089" s="199"/>
      <c r="N13089" s="200"/>
      <c r="P13089" s="199"/>
    </row>
    <row r="13090" spans="7:16" x14ac:dyDescent="0.2">
      <c r="G13090" s="199"/>
      <c r="I13090" s="199"/>
      <c r="K13090" s="199"/>
      <c r="M13090" s="199"/>
      <c r="N13090" s="200"/>
      <c r="P13090" s="199"/>
    </row>
    <row r="13091" spans="7:16" x14ac:dyDescent="0.2">
      <c r="G13091" s="199"/>
      <c r="I13091" s="199"/>
      <c r="K13091" s="199"/>
      <c r="M13091" s="199"/>
      <c r="N13091" s="200"/>
      <c r="P13091" s="199"/>
    </row>
    <row r="13092" spans="7:16" x14ac:dyDescent="0.2">
      <c r="G13092" s="199"/>
      <c r="I13092" s="199"/>
      <c r="K13092" s="199"/>
      <c r="M13092" s="199"/>
      <c r="N13092" s="200"/>
      <c r="P13092" s="199"/>
    </row>
    <row r="13093" spans="7:16" x14ac:dyDescent="0.2">
      <c r="G13093" s="199"/>
      <c r="I13093" s="199"/>
      <c r="K13093" s="199"/>
      <c r="M13093" s="199"/>
      <c r="N13093" s="200"/>
      <c r="P13093" s="199"/>
    </row>
    <row r="13094" spans="7:16" x14ac:dyDescent="0.2">
      <c r="G13094" s="199"/>
      <c r="I13094" s="199"/>
      <c r="K13094" s="199"/>
      <c r="M13094" s="199"/>
      <c r="N13094" s="200"/>
      <c r="P13094" s="199"/>
    </row>
    <row r="13095" spans="7:16" x14ac:dyDescent="0.2">
      <c r="G13095" s="199"/>
      <c r="I13095" s="199"/>
      <c r="K13095" s="199"/>
      <c r="M13095" s="199"/>
      <c r="N13095" s="200"/>
      <c r="P13095" s="199"/>
    </row>
    <row r="13096" spans="7:16" x14ac:dyDescent="0.2">
      <c r="G13096" s="199"/>
      <c r="I13096" s="199"/>
      <c r="K13096" s="199"/>
      <c r="M13096" s="199"/>
      <c r="N13096" s="200"/>
      <c r="P13096" s="199"/>
    </row>
    <row r="13097" spans="7:16" x14ac:dyDescent="0.2">
      <c r="G13097" s="199"/>
      <c r="I13097" s="199"/>
      <c r="K13097" s="199"/>
      <c r="M13097" s="199"/>
      <c r="N13097" s="200"/>
      <c r="P13097" s="199"/>
    </row>
    <row r="13098" spans="7:16" x14ac:dyDescent="0.2">
      <c r="G13098" s="199"/>
      <c r="I13098" s="199"/>
      <c r="K13098" s="199"/>
      <c r="M13098" s="199"/>
      <c r="N13098" s="200"/>
      <c r="P13098" s="199"/>
    </row>
    <row r="13099" spans="7:16" x14ac:dyDescent="0.2">
      <c r="G13099" s="199"/>
      <c r="I13099" s="199"/>
      <c r="K13099" s="199"/>
      <c r="M13099" s="199"/>
      <c r="N13099" s="200"/>
      <c r="P13099" s="199"/>
    </row>
    <row r="13100" spans="7:16" x14ac:dyDescent="0.2">
      <c r="G13100" s="199"/>
      <c r="I13100" s="199"/>
      <c r="K13100" s="199"/>
      <c r="M13100" s="199"/>
      <c r="N13100" s="200"/>
      <c r="P13100" s="199"/>
    </row>
    <row r="13101" spans="7:16" x14ac:dyDescent="0.2">
      <c r="G13101" s="199"/>
      <c r="I13101" s="199"/>
      <c r="K13101" s="199"/>
      <c r="M13101" s="199"/>
      <c r="N13101" s="200"/>
      <c r="P13101" s="199"/>
    </row>
    <row r="13102" spans="7:16" x14ac:dyDescent="0.2">
      <c r="G13102" s="199"/>
      <c r="I13102" s="199"/>
      <c r="K13102" s="199"/>
      <c r="M13102" s="199"/>
      <c r="N13102" s="200"/>
      <c r="P13102" s="199"/>
    </row>
    <row r="13103" spans="7:16" x14ac:dyDescent="0.2">
      <c r="G13103" s="199"/>
      <c r="I13103" s="199"/>
      <c r="K13103" s="199"/>
      <c r="M13103" s="199"/>
      <c r="N13103" s="200"/>
      <c r="P13103" s="199"/>
    </row>
    <row r="13104" spans="7:16" x14ac:dyDescent="0.2">
      <c r="G13104" s="199"/>
      <c r="I13104" s="199"/>
      <c r="K13104" s="199"/>
      <c r="M13104" s="199"/>
      <c r="N13104" s="200"/>
      <c r="P13104" s="199"/>
    </row>
    <row r="13105" spans="7:16" x14ac:dyDescent="0.2">
      <c r="G13105" s="199"/>
      <c r="I13105" s="199"/>
      <c r="K13105" s="199"/>
      <c r="M13105" s="199"/>
      <c r="N13105" s="200"/>
      <c r="P13105" s="199"/>
    </row>
    <row r="13106" spans="7:16" x14ac:dyDescent="0.2">
      <c r="G13106" s="199"/>
      <c r="I13106" s="199"/>
      <c r="K13106" s="199"/>
      <c r="M13106" s="199"/>
      <c r="N13106" s="200"/>
      <c r="P13106" s="199"/>
    </row>
    <row r="13107" spans="7:16" x14ac:dyDescent="0.2">
      <c r="G13107" s="199"/>
      <c r="I13107" s="199"/>
      <c r="K13107" s="199"/>
      <c r="M13107" s="199"/>
      <c r="N13107" s="200"/>
      <c r="P13107" s="199"/>
    </row>
    <row r="13108" spans="7:16" x14ac:dyDescent="0.2">
      <c r="G13108" s="199"/>
      <c r="I13108" s="199"/>
      <c r="K13108" s="199"/>
      <c r="M13108" s="199"/>
      <c r="N13108" s="200"/>
      <c r="P13108" s="199"/>
    </row>
    <row r="13109" spans="7:16" x14ac:dyDescent="0.2">
      <c r="G13109" s="199"/>
      <c r="I13109" s="199"/>
      <c r="K13109" s="199"/>
      <c r="M13109" s="199"/>
      <c r="N13109" s="200"/>
      <c r="P13109" s="199"/>
    </row>
    <row r="13110" spans="7:16" x14ac:dyDescent="0.2">
      <c r="G13110" s="199"/>
      <c r="I13110" s="199"/>
      <c r="K13110" s="199"/>
      <c r="M13110" s="199"/>
      <c r="N13110" s="200"/>
      <c r="P13110" s="199"/>
    </row>
    <row r="13111" spans="7:16" x14ac:dyDescent="0.2">
      <c r="G13111" s="199"/>
      <c r="I13111" s="199"/>
      <c r="K13111" s="199"/>
      <c r="M13111" s="199"/>
      <c r="N13111" s="200"/>
      <c r="P13111" s="199"/>
    </row>
    <row r="13112" spans="7:16" x14ac:dyDescent="0.2">
      <c r="G13112" s="199"/>
      <c r="I13112" s="199"/>
      <c r="K13112" s="199"/>
      <c r="M13112" s="199"/>
      <c r="N13112" s="200"/>
      <c r="P13112" s="199"/>
    </row>
    <row r="13113" spans="7:16" x14ac:dyDescent="0.2">
      <c r="G13113" s="199"/>
      <c r="I13113" s="199"/>
      <c r="K13113" s="199"/>
      <c r="M13113" s="199"/>
      <c r="N13113" s="200"/>
      <c r="P13113" s="199"/>
    </row>
    <row r="13114" spans="7:16" x14ac:dyDescent="0.2">
      <c r="G13114" s="199"/>
      <c r="I13114" s="199"/>
      <c r="K13114" s="199"/>
      <c r="M13114" s="199"/>
      <c r="N13114" s="200"/>
      <c r="P13114" s="199"/>
    </row>
    <row r="13115" spans="7:16" x14ac:dyDescent="0.2">
      <c r="G13115" s="199"/>
      <c r="I13115" s="199"/>
      <c r="K13115" s="199"/>
      <c r="M13115" s="199"/>
      <c r="N13115" s="200"/>
      <c r="P13115" s="199"/>
    </row>
    <row r="13116" spans="7:16" x14ac:dyDescent="0.2">
      <c r="G13116" s="199"/>
      <c r="I13116" s="199"/>
      <c r="K13116" s="199"/>
      <c r="M13116" s="199"/>
      <c r="N13116" s="200"/>
      <c r="P13116" s="199"/>
    </row>
    <row r="13117" spans="7:16" x14ac:dyDescent="0.2">
      <c r="G13117" s="199"/>
      <c r="I13117" s="199"/>
      <c r="K13117" s="199"/>
      <c r="M13117" s="199"/>
      <c r="N13117" s="200"/>
      <c r="P13117" s="199"/>
    </row>
    <row r="13118" spans="7:16" x14ac:dyDescent="0.2">
      <c r="G13118" s="199"/>
      <c r="I13118" s="199"/>
      <c r="K13118" s="199"/>
      <c r="M13118" s="199"/>
      <c r="N13118" s="200"/>
      <c r="P13118" s="199"/>
    </row>
    <row r="13119" spans="7:16" x14ac:dyDescent="0.2">
      <c r="G13119" s="199"/>
      <c r="I13119" s="199"/>
      <c r="K13119" s="199"/>
      <c r="M13119" s="199"/>
      <c r="N13119" s="200"/>
      <c r="P13119" s="199"/>
    </row>
    <row r="13120" spans="7:16" x14ac:dyDescent="0.2">
      <c r="G13120" s="199"/>
      <c r="I13120" s="199"/>
      <c r="K13120" s="199"/>
      <c r="M13120" s="199"/>
      <c r="N13120" s="200"/>
      <c r="P13120" s="199"/>
    </row>
    <row r="13121" spans="7:16" x14ac:dyDescent="0.2">
      <c r="G13121" s="199"/>
      <c r="I13121" s="199"/>
      <c r="K13121" s="199"/>
      <c r="M13121" s="199"/>
      <c r="N13121" s="200"/>
      <c r="P13121" s="199"/>
    </row>
    <row r="13122" spans="7:16" x14ac:dyDescent="0.2">
      <c r="G13122" s="199"/>
      <c r="I13122" s="199"/>
      <c r="K13122" s="199"/>
      <c r="M13122" s="199"/>
      <c r="N13122" s="200"/>
      <c r="P13122" s="199"/>
    </row>
    <row r="13123" spans="7:16" x14ac:dyDescent="0.2">
      <c r="G13123" s="199"/>
      <c r="I13123" s="199"/>
      <c r="K13123" s="199"/>
      <c r="M13123" s="199"/>
      <c r="N13123" s="200"/>
      <c r="P13123" s="199"/>
    </row>
    <row r="13124" spans="7:16" x14ac:dyDescent="0.2">
      <c r="G13124" s="199"/>
      <c r="I13124" s="199"/>
      <c r="K13124" s="199"/>
      <c r="M13124" s="199"/>
      <c r="N13124" s="200"/>
      <c r="P13124" s="199"/>
    </row>
    <row r="13125" spans="7:16" x14ac:dyDescent="0.2">
      <c r="G13125" s="199"/>
      <c r="I13125" s="199"/>
      <c r="K13125" s="199"/>
      <c r="M13125" s="199"/>
      <c r="N13125" s="200"/>
      <c r="P13125" s="199"/>
    </row>
    <row r="13126" spans="7:16" x14ac:dyDescent="0.2">
      <c r="G13126" s="199"/>
      <c r="I13126" s="199"/>
      <c r="K13126" s="199"/>
      <c r="M13126" s="199"/>
      <c r="N13126" s="200"/>
      <c r="P13126" s="199"/>
    </row>
    <row r="13127" spans="7:16" x14ac:dyDescent="0.2">
      <c r="G13127" s="199"/>
      <c r="I13127" s="199"/>
      <c r="K13127" s="199"/>
      <c r="M13127" s="199"/>
      <c r="N13127" s="200"/>
      <c r="P13127" s="199"/>
    </row>
    <row r="13128" spans="7:16" x14ac:dyDescent="0.2">
      <c r="G13128" s="199"/>
      <c r="I13128" s="199"/>
      <c r="K13128" s="199"/>
      <c r="M13128" s="199"/>
      <c r="N13128" s="200"/>
      <c r="P13128" s="199"/>
    </row>
    <row r="13129" spans="7:16" x14ac:dyDescent="0.2">
      <c r="G13129" s="199"/>
      <c r="I13129" s="199"/>
      <c r="K13129" s="199"/>
      <c r="M13129" s="199"/>
      <c r="N13129" s="200"/>
      <c r="P13129" s="199"/>
    </row>
    <row r="13130" spans="7:16" x14ac:dyDescent="0.2">
      <c r="G13130" s="199"/>
      <c r="I13130" s="199"/>
      <c r="K13130" s="199"/>
      <c r="M13130" s="199"/>
      <c r="N13130" s="200"/>
      <c r="P13130" s="199"/>
    </row>
    <row r="13131" spans="7:16" x14ac:dyDescent="0.2">
      <c r="G13131" s="199"/>
      <c r="I13131" s="199"/>
      <c r="K13131" s="199"/>
      <c r="M13131" s="199"/>
      <c r="N13131" s="200"/>
      <c r="P13131" s="199"/>
    </row>
    <row r="13132" spans="7:16" x14ac:dyDescent="0.2">
      <c r="G13132" s="199"/>
      <c r="I13132" s="199"/>
      <c r="K13132" s="199"/>
      <c r="M13132" s="199"/>
      <c r="N13132" s="200"/>
      <c r="P13132" s="199"/>
    </row>
    <row r="13133" spans="7:16" x14ac:dyDescent="0.2">
      <c r="G13133" s="199"/>
      <c r="I13133" s="199"/>
      <c r="K13133" s="199"/>
      <c r="M13133" s="199"/>
      <c r="N13133" s="200"/>
      <c r="P13133" s="199"/>
    </row>
    <row r="13134" spans="7:16" x14ac:dyDescent="0.2">
      <c r="G13134" s="199"/>
      <c r="I13134" s="199"/>
      <c r="K13134" s="199"/>
      <c r="M13134" s="199"/>
      <c r="N13134" s="200"/>
      <c r="P13134" s="199"/>
    </row>
    <row r="13135" spans="7:16" x14ac:dyDescent="0.2">
      <c r="G13135" s="199"/>
      <c r="I13135" s="199"/>
      <c r="K13135" s="199"/>
      <c r="M13135" s="199"/>
      <c r="N13135" s="200"/>
      <c r="P13135" s="199"/>
    </row>
    <row r="13136" spans="7:16" x14ac:dyDescent="0.2">
      <c r="G13136" s="199"/>
      <c r="I13136" s="199"/>
      <c r="K13136" s="199"/>
      <c r="M13136" s="199"/>
      <c r="N13136" s="200"/>
      <c r="P13136" s="199"/>
    </row>
    <row r="13137" spans="7:16" x14ac:dyDescent="0.2">
      <c r="G13137" s="199"/>
      <c r="I13137" s="199"/>
      <c r="K13137" s="199"/>
      <c r="M13137" s="199"/>
      <c r="N13137" s="200"/>
      <c r="P13137" s="199"/>
    </row>
    <row r="13138" spans="7:16" x14ac:dyDescent="0.2">
      <c r="G13138" s="199"/>
      <c r="I13138" s="199"/>
      <c r="K13138" s="199"/>
      <c r="M13138" s="199"/>
      <c r="N13138" s="200"/>
      <c r="P13138" s="199"/>
    </row>
    <row r="13139" spans="7:16" x14ac:dyDescent="0.2">
      <c r="G13139" s="199"/>
      <c r="I13139" s="199"/>
      <c r="K13139" s="199"/>
      <c r="M13139" s="199"/>
      <c r="N13139" s="200"/>
      <c r="P13139" s="199"/>
    </row>
    <row r="13140" spans="7:16" x14ac:dyDescent="0.2">
      <c r="G13140" s="199"/>
      <c r="I13140" s="199"/>
      <c r="K13140" s="199"/>
      <c r="M13140" s="199"/>
      <c r="N13140" s="200"/>
      <c r="P13140" s="199"/>
    </row>
    <row r="13141" spans="7:16" x14ac:dyDescent="0.2">
      <c r="G13141" s="199"/>
      <c r="I13141" s="199"/>
      <c r="K13141" s="199"/>
      <c r="M13141" s="199"/>
      <c r="N13141" s="200"/>
      <c r="P13141" s="199"/>
    </row>
    <row r="13142" spans="7:16" x14ac:dyDescent="0.2">
      <c r="G13142" s="199"/>
      <c r="I13142" s="199"/>
      <c r="K13142" s="199"/>
      <c r="M13142" s="199"/>
      <c r="N13142" s="200"/>
      <c r="P13142" s="199"/>
    </row>
    <row r="13143" spans="7:16" x14ac:dyDescent="0.2">
      <c r="G13143" s="199"/>
      <c r="I13143" s="199"/>
      <c r="K13143" s="199"/>
      <c r="M13143" s="199"/>
      <c r="N13143" s="200"/>
      <c r="P13143" s="199"/>
    </row>
    <row r="13144" spans="7:16" x14ac:dyDescent="0.2">
      <c r="G13144" s="199"/>
      <c r="I13144" s="199"/>
      <c r="K13144" s="199"/>
      <c r="M13144" s="199"/>
      <c r="N13144" s="200"/>
      <c r="P13144" s="199"/>
    </row>
    <row r="13145" spans="7:16" x14ac:dyDescent="0.2">
      <c r="G13145" s="199"/>
      <c r="I13145" s="199"/>
      <c r="K13145" s="199"/>
      <c r="M13145" s="199"/>
      <c r="N13145" s="200"/>
      <c r="P13145" s="199"/>
    </row>
    <row r="13146" spans="7:16" x14ac:dyDescent="0.2">
      <c r="G13146" s="199"/>
      <c r="I13146" s="199"/>
      <c r="K13146" s="199"/>
      <c r="M13146" s="199"/>
      <c r="N13146" s="200"/>
      <c r="P13146" s="199"/>
    </row>
    <row r="13147" spans="7:16" x14ac:dyDescent="0.2">
      <c r="G13147" s="199"/>
      <c r="I13147" s="199"/>
      <c r="K13147" s="199"/>
      <c r="M13147" s="199"/>
      <c r="N13147" s="200"/>
      <c r="P13147" s="199"/>
    </row>
    <row r="13148" spans="7:16" x14ac:dyDescent="0.2">
      <c r="G13148" s="199"/>
      <c r="I13148" s="199"/>
      <c r="K13148" s="199"/>
      <c r="M13148" s="199"/>
      <c r="N13148" s="200"/>
      <c r="P13148" s="199"/>
    </row>
    <row r="13149" spans="7:16" x14ac:dyDescent="0.2">
      <c r="G13149" s="199"/>
      <c r="I13149" s="199"/>
      <c r="K13149" s="199"/>
      <c r="M13149" s="199"/>
      <c r="N13149" s="200"/>
      <c r="P13149" s="199"/>
    </row>
    <row r="13150" spans="7:16" x14ac:dyDescent="0.2">
      <c r="G13150" s="199"/>
      <c r="I13150" s="199"/>
      <c r="K13150" s="199"/>
      <c r="M13150" s="199"/>
      <c r="N13150" s="200"/>
      <c r="P13150" s="199"/>
    </row>
    <row r="13151" spans="7:16" x14ac:dyDescent="0.2">
      <c r="G13151" s="199"/>
      <c r="I13151" s="199"/>
      <c r="K13151" s="199"/>
      <c r="M13151" s="199"/>
      <c r="N13151" s="200"/>
      <c r="P13151" s="199"/>
    </row>
    <row r="13152" spans="7:16" x14ac:dyDescent="0.2">
      <c r="G13152" s="199"/>
      <c r="I13152" s="199"/>
      <c r="K13152" s="199"/>
      <c r="M13152" s="199"/>
      <c r="N13152" s="200"/>
      <c r="P13152" s="199"/>
    </row>
    <row r="13153" spans="7:16" x14ac:dyDescent="0.2">
      <c r="G13153" s="199"/>
      <c r="I13153" s="199"/>
      <c r="K13153" s="199"/>
      <c r="M13153" s="199"/>
      <c r="N13153" s="200"/>
      <c r="P13153" s="199"/>
    </row>
    <row r="13154" spans="7:16" x14ac:dyDescent="0.2">
      <c r="G13154" s="199"/>
      <c r="I13154" s="199"/>
      <c r="K13154" s="199"/>
      <c r="M13154" s="199"/>
      <c r="N13154" s="200"/>
      <c r="P13154" s="199"/>
    </row>
    <row r="13155" spans="7:16" x14ac:dyDescent="0.2">
      <c r="G13155" s="199"/>
      <c r="I13155" s="199"/>
      <c r="K13155" s="199"/>
      <c r="M13155" s="199"/>
      <c r="N13155" s="200"/>
      <c r="P13155" s="199"/>
    </row>
    <row r="13156" spans="7:16" x14ac:dyDescent="0.2">
      <c r="G13156" s="199"/>
      <c r="I13156" s="199"/>
      <c r="K13156" s="199"/>
      <c r="M13156" s="199"/>
      <c r="N13156" s="200"/>
      <c r="P13156" s="199"/>
    </row>
    <row r="13157" spans="7:16" x14ac:dyDescent="0.2">
      <c r="G13157" s="199"/>
      <c r="I13157" s="199"/>
      <c r="K13157" s="199"/>
      <c r="M13157" s="199"/>
      <c r="N13157" s="200"/>
      <c r="P13157" s="199"/>
    </row>
    <row r="13158" spans="7:16" x14ac:dyDescent="0.2">
      <c r="G13158" s="199"/>
      <c r="I13158" s="199"/>
      <c r="K13158" s="199"/>
      <c r="M13158" s="199"/>
      <c r="N13158" s="200"/>
      <c r="P13158" s="199"/>
    </row>
    <row r="13159" spans="7:16" x14ac:dyDescent="0.2">
      <c r="G13159" s="199"/>
      <c r="I13159" s="199"/>
      <c r="K13159" s="199"/>
      <c r="M13159" s="199"/>
      <c r="N13159" s="200"/>
      <c r="P13159" s="199"/>
    </row>
    <row r="13160" spans="7:16" x14ac:dyDescent="0.2">
      <c r="G13160" s="199"/>
      <c r="I13160" s="199"/>
      <c r="K13160" s="199"/>
      <c r="M13160" s="199"/>
      <c r="N13160" s="200"/>
      <c r="P13160" s="199"/>
    </row>
    <row r="13161" spans="7:16" x14ac:dyDescent="0.2">
      <c r="G13161" s="199"/>
      <c r="I13161" s="199"/>
      <c r="K13161" s="199"/>
      <c r="M13161" s="199"/>
      <c r="N13161" s="200"/>
      <c r="P13161" s="199"/>
    </row>
    <row r="13162" spans="7:16" x14ac:dyDescent="0.2">
      <c r="G13162" s="199"/>
      <c r="I13162" s="199"/>
      <c r="K13162" s="199"/>
      <c r="M13162" s="199"/>
      <c r="N13162" s="200"/>
      <c r="P13162" s="199"/>
    </row>
    <row r="13163" spans="7:16" x14ac:dyDescent="0.2">
      <c r="G13163" s="199"/>
      <c r="I13163" s="199"/>
      <c r="K13163" s="199"/>
      <c r="M13163" s="199"/>
      <c r="N13163" s="200"/>
      <c r="P13163" s="199"/>
    </row>
    <row r="13164" spans="7:16" x14ac:dyDescent="0.2">
      <c r="G13164" s="199"/>
      <c r="I13164" s="199"/>
      <c r="K13164" s="199"/>
      <c r="M13164" s="199"/>
      <c r="N13164" s="200"/>
      <c r="P13164" s="199"/>
    </row>
    <row r="13165" spans="7:16" x14ac:dyDescent="0.2">
      <c r="G13165" s="199"/>
      <c r="I13165" s="199"/>
      <c r="K13165" s="199"/>
      <c r="M13165" s="199"/>
      <c r="N13165" s="200"/>
      <c r="P13165" s="199"/>
    </row>
    <row r="13166" spans="7:16" x14ac:dyDescent="0.2">
      <c r="G13166" s="199"/>
      <c r="I13166" s="199"/>
      <c r="K13166" s="199"/>
      <c r="M13166" s="199"/>
      <c r="N13166" s="200"/>
      <c r="P13166" s="199"/>
    </row>
    <row r="13167" spans="7:16" x14ac:dyDescent="0.2">
      <c r="G13167" s="199"/>
      <c r="I13167" s="199"/>
      <c r="K13167" s="199"/>
      <c r="M13167" s="199"/>
      <c r="N13167" s="200"/>
      <c r="P13167" s="199"/>
    </row>
    <row r="13168" spans="7:16" x14ac:dyDescent="0.2">
      <c r="G13168" s="199"/>
      <c r="I13168" s="199"/>
      <c r="K13168" s="199"/>
      <c r="M13168" s="199"/>
      <c r="N13168" s="200"/>
      <c r="P13168" s="199"/>
    </row>
    <row r="13169" spans="7:16" x14ac:dyDescent="0.2">
      <c r="G13169" s="199"/>
      <c r="I13169" s="199"/>
      <c r="K13169" s="199"/>
      <c r="M13169" s="199"/>
      <c r="N13169" s="200"/>
      <c r="P13169" s="199"/>
    </row>
    <row r="13170" spans="7:16" x14ac:dyDescent="0.2">
      <c r="G13170" s="199"/>
      <c r="I13170" s="199"/>
      <c r="K13170" s="199"/>
      <c r="M13170" s="199"/>
      <c r="N13170" s="200"/>
      <c r="P13170" s="199"/>
    </row>
    <row r="13171" spans="7:16" x14ac:dyDescent="0.2">
      <c r="G13171" s="199"/>
      <c r="I13171" s="199"/>
      <c r="K13171" s="199"/>
      <c r="M13171" s="199"/>
      <c r="N13171" s="200"/>
      <c r="P13171" s="199"/>
    </row>
    <row r="13172" spans="7:16" x14ac:dyDescent="0.2">
      <c r="G13172" s="199"/>
      <c r="I13172" s="199"/>
      <c r="K13172" s="199"/>
      <c r="M13172" s="199"/>
      <c r="N13172" s="200"/>
      <c r="P13172" s="199"/>
    </row>
    <row r="13173" spans="7:16" x14ac:dyDescent="0.2">
      <c r="G13173" s="199"/>
      <c r="I13173" s="199"/>
      <c r="K13173" s="199"/>
      <c r="M13173" s="199"/>
      <c r="N13173" s="200"/>
      <c r="P13173" s="199"/>
    </row>
    <row r="13174" spans="7:16" x14ac:dyDescent="0.2">
      <c r="G13174" s="199"/>
      <c r="I13174" s="199"/>
      <c r="K13174" s="199"/>
      <c r="M13174" s="199"/>
      <c r="N13174" s="200"/>
      <c r="P13174" s="199"/>
    </row>
    <row r="13175" spans="7:16" x14ac:dyDescent="0.2">
      <c r="G13175" s="199"/>
      <c r="I13175" s="199"/>
      <c r="K13175" s="199"/>
      <c r="M13175" s="199"/>
      <c r="N13175" s="200"/>
      <c r="P13175" s="199"/>
    </row>
    <row r="13176" spans="7:16" x14ac:dyDescent="0.2">
      <c r="G13176" s="199"/>
      <c r="I13176" s="199"/>
      <c r="K13176" s="199"/>
      <c r="M13176" s="199"/>
      <c r="N13176" s="200"/>
      <c r="P13176" s="199"/>
    </row>
    <row r="13177" spans="7:16" x14ac:dyDescent="0.2">
      <c r="G13177" s="199"/>
      <c r="I13177" s="199"/>
      <c r="K13177" s="199"/>
      <c r="M13177" s="199"/>
      <c r="N13177" s="200"/>
      <c r="P13177" s="199"/>
    </row>
    <row r="13178" spans="7:16" x14ac:dyDescent="0.2">
      <c r="G13178" s="199"/>
      <c r="I13178" s="199"/>
      <c r="K13178" s="199"/>
      <c r="M13178" s="199"/>
      <c r="N13178" s="200"/>
      <c r="P13178" s="199"/>
    </row>
    <row r="13179" spans="7:16" x14ac:dyDescent="0.2">
      <c r="G13179" s="199"/>
      <c r="I13179" s="199"/>
      <c r="K13179" s="199"/>
      <c r="M13179" s="199"/>
      <c r="N13179" s="200"/>
      <c r="P13179" s="199"/>
    </row>
    <row r="13180" spans="7:16" x14ac:dyDescent="0.2">
      <c r="G13180" s="199"/>
      <c r="I13180" s="199"/>
      <c r="K13180" s="199"/>
      <c r="M13180" s="199"/>
      <c r="N13180" s="200"/>
      <c r="P13180" s="199"/>
    </row>
    <row r="13181" spans="7:16" x14ac:dyDescent="0.2">
      <c r="G13181" s="199"/>
      <c r="I13181" s="199"/>
      <c r="K13181" s="199"/>
      <c r="M13181" s="199"/>
      <c r="N13181" s="200"/>
      <c r="P13181" s="199"/>
    </row>
    <row r="13182" spans="7:16" x14ac:dyDescent="0.2">
      <c r="G13182" s="199"/>
      <c r="I13182" s="199"/>
      <c r="K13182" s="199"/>
      <c r="M13182" s="199"/>
      <c r="N13182" s="200"/>
      <c r="P13182" s="199"/>
    </row>
    <row r="13183" spans="7:16" x14ac:dyDescent="0.2">
      <c r="G13183" s="199"/>
      <c r="I13183" s="199"/>
      <c r="K13183" s="199"/>
      <c r="M13183" s="199"/>
      <c r="N13183" s="200"/>
      <c r="P13183" s="199"/>
    </row>
    <row r="13184" spans="7:16" x14ac:dyDescent="0.2">
      <c r="G13184" s="199"/>
      <c r="I13184" s="199"/>
      <c r="K13184" s="199"/>
      <c r="M13184" s="199"/>
      <c r="N13184" s="200"/>
      <c r="P13184" s="199"/>
    </row>
    <row r="13185" spans="7:16" x14ac:dyDescent="0.2">
      <c r="G13185" s="199"/>
      <c r="I13185" s="199"/>
      <c r="K13185" s="199"/>
      <c r="M13185" s="199"/>
      <c r="N13185" s="200"/>
      <c r="P13185" s="199"/>
    </row>
    <row r="13186" spans="7:16" x14ac:dyDescent="0.2">
      <c r="G13186" s="199"/>
      <c r="I13186" s="199"/>
      <c r="K13186" s="199"/>
      <c r="M13186" s="199"/>
      <c r="N13186" s="200"/>
      <c r="P13186" s="199"/>
    </row>
    <row r="13187" spans="7:16" x14ac:dyDescent="0.2">
      <c r="G13187" s="199"/>
      <c r="I13187" s="199"/>
      <c r="K13187" s="199"/>
      <c r="M13187" s="199"/>
      <c r="N13187" s="200"/>
      <c r="P13187" s="199"/>
    </row>
    <row r="13188" spans="7:16" x14ac:dyDescent="0.2">
      <c r="G13188" s="199"/>
      <c r="I13188" s="199"/>
      <c r="K13188" s="199"/>
      <c r="M13188" s="199"/>
      <c r="N13188" s="200"/>
      <c r="P13188" s="199"/>
    </row>
    <row r="13189" spans="7:16" x14ac:dyDescent="0.2">
      <c r="G13189" s="199"/>
      <c r="I13189" s="199"/>
      <c r="K13189" s="199"/>
      <c r="M13189" s="199"/>
      <c r="N13189" s="200"/>
      <c r="P13189" s="199"/>
    </row>
    <row r="13190" spans="7:16" x14ac:dyDescent="0.2">
      <c r="G13190" s="199"/>
      <c r="I13190" s="199"/>
      <c r="K13190" s="199"/>
      <c r="M13190" s="199"/>
      <c r="N13190" s="200"/>
      <c r="P13190" s="199"/>
    </row>
    <row r="13191" spans="7:16" x14ac:dyDescent="0.2">
      <c r="G13191" s="199"/>
      <c r="I13191" s="199"/>
      <c r="K13191" s="199"/>
      <c r="M13191" s="199"/>
      <c r="N13191" s="200"/>
      <c r="P13191" s="199"/>
    </row>
    <row r="13192" spans="7:16" x14ac:dyDescent="0.2">
      <c r="G13192" s="199"/>
      <c r="I13192" s="199"/>
      <c r="K13192" s="199"/>
      <c r="M13192" s="199"/>
      <c r="N13192" s="200"/>
      <c r="P13192" s="199"/>
    </row>
    <row r="13193" spans="7:16" x14ac:dyDescent="0.2">
      <c r="G13193" s="199"/>
      <c r="I13193" s="199"/>
      <c r="K13193" s="199"/>
      <c r="M13193" s="199"/>
      <c r="N13193" s="200"/>
      <c r="P13193" s="199"/>
    </row>
    <row r="13194" spans="7:16" x14ac:dyDescent="0.2">
      <c r="G13194" s="199"/>
      <c r="I13194" s="199"/>
      <c r="K13194" s="199"/>
      <c r="M13194" s="199"/>
      <c r="N13194" s="200"/>
      <c r="P13194" s="199"/>
    </row>
    <row r="13195" spans="7:16" x14ac:dyDescent="0.2">
      <c r="G13195" s="199"/>
      <c r="I13195" s="199"/>
      <c r="K13195" s="199"/>
      <c r="M13195" s="199"/>
      <c r="N13195" s="200"/>
      <c r="P13195" s="199"/>
    </row>
    <row r="13196" spans="7:16" x14ac:dyDescent="0.2">
      <c r="G13196" s="199"/>
      <c r="I13196" s="199"/>
      <c r="K13196" s="199"/>
      <c r="M13196" s="199"/>
      <c r="N13196" s="200"/>
      <c r="P13196" s="199"/>
    </row>
    <row r="13197" spans="7:16" x14ac:dyDescent="0.2">
      <c r="G13197" s="199"/>
      <c r="I13197" s="199"/>
      <c r="K13197" s="199"/>
      <c r="M13197" s="199"/>
      <c r="N13197" s="200"/>
      <c r="P13197" s="199"/>
    </row>
    <row r="13198" spans="7:16" x14ac:dyDescent="0.2">
      <c r="G13198" s="199"/>
      <c r="I13198" s="199"/>
      <c r="K13198" s="199"/>
      <c r="M13198" s="199"/>
      <c r="N13198" s="200"/>
      <c r="P13198" s="199"/>
    </row>
    <row r="13199" spans="7:16" x14ac:dyDescent="0.2">
      <c r="G13199" s="199"/>
      <c r="I13199" s="199"/>
      <c r="K13199" s="199"/>
      <c r="M13199" s="199"/>
      <c r="N13199" s="200"/>
      <c r="P13199" s="199"/>
    </row>
    <row r="13200" spans="7:16" x14ac:dyDescent="0.2">
      <c r="G13200" s="199"/>
      <c r="I13200" s="199"/>
      <c r="K13200" s="199"/>
      <c r="M13200" s="199"/>
      <c r="N13200" s="200"/>
      <c r="P13200" s="199"/>
    </row>
    <row r="13201" spans="7:16" x14ac:dyDescent="0.2">
      <c r="G13201" s="199"/>
      <c r="I13201" s="199"/>
      <c r="K13201" s="199"/>
      <c r="M13201" s="199"/>
      <c r="N13201" s="200"/>
      <c r="P13201" s="199"/>
    </row>
    <row r="13202" spans="7:16" x14ac:dyDescent="0.2">
      <c r="G13202" s="199"/>
      <c r="I13202" s="199"/>
      <c r="K13202" s="199"/>
      <c r="M13202" s="199"/>
      <c r="N13202" s="200"/>
      <c r="P13202" s="199"/>
    </row>
    <row r="13203" spans="7:16" x14ac:dyDescent="0.2">
      <c r="G13203" s="199"/>
      <c r="I13203" s="199"/>
      <c r="K13203" s="199"/>
      <c r="M13203" s="199"/>
      <c r="N13203" s="200"/>
      <c r="P13203" s="199"/>
    </row>
    <row r="13204" spans="7:16" x14ac:dyDescent="0.2">
      <c r="G13204" s="199"/>
      <c r="I13204" s="199"/>
      <c r="K13204" s="199"/>
      <c r="M13204" s="199"/>
      <c r="N13204" s="200"/>
      <c r="P13204" s="199"/>
    </row>
    <row r="13205" spans="7:16" x14ac:dyDescent="0.2">
      <c r="G13205" s="199"/>
      <c r="I13205" s="199"/>
      <c r="K13205" s="199"/>
      <c r="M13205" s="199"/>
      <c r="N13205" s="200"/>
      <c r="P13205" s="199"/>
    </row>
    <row r="13206" spans="7:16" x14ac:dyDescent="0.2">
      <c r="G13206" s="199"/>
      <c r="I13206" s="199"/>
      <c r="K13206" s="199"/>
      <c r="M13206" s="199"/>
      <c r="N13206" s="200"/>
      <c r="P13206" s="199"/>
    </row>
    <row r="13207" spans="7:16" x14ac:dyDescent="0.2">
      <c r="G13207" s="199"/>
      <c r="I13207" s="199"/>
      <c r="K13207" s="199"/>
      <c r="M13207" s="199"/>
      <c r="N13207" s="200"/>
      <c r="P13207" s="199"/>
    </row>
    <row r="13208" spans="7:16" x14ac:dyDescent="0.2">
      <c r="G13208" s="199"/>
      <c r="I13208" s="199"/>
      <c r="K13208" s="199"/>
      <c r="M13208" s="199"/>
      <c r="N13208" s="200"/>
      <c r="P13208" s="199"/>
    </row>
    <row r="13209" spans="7:16" x14ac:dyDescent="0.2">
      <c r="G13209" s="199"/>
      <c r="I13209" s="199"/>
      <c r="K13209" s="199"/>
      <c r="M13209" s="199"/>
      <c r="N13209" s="200"/>
      <c r="P13209" s="199"/>
    </row>
    <row r="13210" spans="7:16" x14ac:dyDescent="0.2">
      <c r="G13210" s="199"/>
      <c r="I13210" s="199"/>
      <c r="K13210" s="199"/>
      <c r="M13210" s="199"/>
      <c r="N13210" s="200"/>
      <c r="P13210" s="199"/>
    </row>
    <row r="13211" spans="7:16" x14ac:dyDescent="0.2">
      <c r="G13211" s="199"/>
      <c r="I13211" s="199"/>
      <c r="K13211" s="199"/>
      <c r="M13211" s="199"/>
      <c r="N13211" s="200"/>
      <c r="P13211" s="199"/>
    </row>
    <row r="13212" spans="7:16" x14ac:dyDescent="0.2">
      <c r="G13212" s="199"/>
      <c r="I13212" s="199"/>
      <c r="K13212" s="199"/>
      <c r="M13212" s="199"/>
      <c r="N13212" s="200"/>
      <c r="P13212" s="199"/>
    </row>
    <row r="13213" spans="7:16" x14ac:dyDescent="0.2">
      <c r="G13213" s="199"/>
      <c r="I13213" s="199"/>
      <c r="K13213" s="199"/>
      <c r="M13213" s="199"/>
      <c r="N13213" s="200"/>
      <c r="P13213" s="199"/>
    </row>
    <row r="13214" spans="7:16" x14ac:dyDescent="0.2">
      <c r="G13214" s="199"/>
      <c r="I13214" s="199"/>
      <c r="K13214" s="199"/>
      <c r="M13214" s="199"/>
      <c r="N13214" s="200"/>
      <c r="P13214" s="199"/>
    </row>
    <row r="13215" spans="7:16" x14ac:dyDescent="0.2">
      <c r="G13215" s="199"/>
      <c r="I13215" s="199"/>
      <c r="K13215" s="199"/>
      <c r="M13215" s="199"/>
      <c r="N13215" s="200"/>
      <c r="P13215" s="199"/>
    </row>
    <row r="13216" spans="7:16" x14ac:dyDescent="0.2">
      <c r="G13216" s="199"/>
      <c r="I13216" s="199"/>
      <c r="K13216" s="199"/>
      <c r="M13216" s="199"/>
      <c r="N13216" s="200"/>
      <c r="P13216" s="199"/>
    </row>
    <row r="13217" spans="7:16" x14ac:dyDescent="0.2">
      <c r="G13217" s="199"/>
      <c r="I13217" s="199"/>
      <c r="K13217" s="199"/>
      <c r="M13217" s="199"/>
      <c r="N13217" s="200"/>
      <c r="P13217" s="199"/>
    </row>
    <row r="13218" spans="7:16" x14ac:dyDescent="0.2">
      <c r="G13218" s="199"/>
      <c r="I13218" s="199"/>
      <c r="K13218" s="199"/>
      <c r="M13218" s="199"/>
      <c r="N13218" s="200"/>
      <c r="P13218" s="199"/>
    </row>
    <row r="13219" spans="7:16" x14ac:dyDescent="0.2">
      <c r="G13219" s="199"/>
      <c r="I13219" s="199"/>
      <c r="K13219" s="199"/>
      <c r="M13219" s="199"/>
      <c r="N13219" s="200"/>
      <c r="P13219" s="199"/>
    </row>
    <row r="13220" spans="7:16" x14ac:dyDescent="0.2">
      <c r="G13220" s="199"/>
      <c r="I13220" s="199"/>
      <c r="K13220" s="199"/>
      <c r="M13220" s="199"/>
      <c r="N13220" s="200"/>
      <c r="P13220" s="199"/>
    </row>
    <row r="13221" spans="7:16" x14ac:dyDescent="0.2">
      <c r="G13221" s="199"/>
      <c r="I13221" s="199"/>
      <c r="K13221" s="199"/>
      <c r="M13221" s="199"/>
      <c r="N13221" s="200"/>
      <c r="P13221" s="199"/>
    </row>
    <row r="13222" spans="7:16" x14ac:dyDescent="0.2">
      <c r="G13222" s="199"/>
      <c r="I13222" s="199"/>
      <c r="K13222" s="199"/>
      <c r="M13222" s="199"/>
      <c r="N13222" s="200"/>
      <c r="P13222" s="199"/>
    </row>
    <row r="13223" spans="7:16" x14ac:dyDescent="0.2">
      <c r="G13223" s="199"/>
      <c r="I13223" s="199"/>
      <c r="K13223" s="199"/>
      <c r="M13223" s="199"/>
      <c r="N13223" s="200"/>
      <c r="P13223" s="199"/>
    </row>
    <row r="13224" spans="7:16" x14ac:dyDescent="0.2">
      <c r="G13224" s="199"/>
      <c r="I13224" s="199"/>
      <c r="K13224" s="199"/>
      <c r="M13224" s="199"/>
      <c r="N13224" s="200"/>
      <c r="P13224" s="199"/>
    </row>
    <row r="13225" spans="7:16" x14ac:dyDescent="0.2">
      <c r="G13225" s="199"/>
      <c r="I13225" s="199"/>
      <c r="K13225" s="199"/>
      <c r="M13225" s="199"/>
      <c r="N13225" s="200"/>
      <c r="P13225" s="199"/>
    </row>
    <row r="13226" spans="7:16" x14ac:dyDescent="0.2">
      <c r="G13226" s="199"/>
      <c r="I13226" s="199"/>
      <c r="K13226" s="199"/>
      <c r="M13226" s="199"/>
      <c r="N13226" s="200"/>
      <c r="P13226" s="199"/>
    </row>
    <row r="13227" spans="7:16" x14ac:dyDescent="0.2">
      <c r="G13227" s="199"/>
      <c r="I13227" s="199"/>
      <c r="K13227" s="199"/>
      <c r="M13227" s="199"/>
      <c r="N13227" s="200"/>
      <c r="P13227" s="199"/>
    </row>
    <row r="13228" spans="7:16" x14ac:dyDescent="0.2">
      <c r="G13228" s="199"/>
      <c r="I13228" s="199"/>
      <c r="K13228" s="199"/>
      <c r="M13228" s="199"/>
      <c r="N13228" s="200"/>
      <c r="P13228" s="199"/>
    </row>
    <row r="13229" spans="7:16" x14ac:dyDescent="0.2">
      <c r="G13229" s="199"/>
      <c r="I13229" s="199"/>
      <c r="K13229" s="199"/>
      <c r="M13229" s="199"/>
      <c r="N13229" s="200"/>
      <c r="P13229" s="199"/>
    </row>
    <row r="13230" spans="7:16" x14ac:dyDescent="0.2">
      <c r="G13230" s="199"/>
      <c r="I13230" s="199"/>
      <c r="K13230" s="199"/>
      <c r="M13230" s="199"/>
      <c r="N13230" s="200"/>
      <c r="P13230" s="199"/>
    </row>
    <row r="13231" spans="7:16" x14ac:dyDescent="0.2">
      <c r="G13231" s="199"/>
      <c r="I13231" s="199"/>
      <c r="K13231" s="199"/>
      <c r="M13231" s="199"/>
      <c r="N13231" s="200"/>
      <c r="P13231" s="199"/>
    </row>
    <row r="13232" spans="7:16" x14ac:dyDescent="0.2">
      <c r="G13232" s="199"/>
      <c r="I13232" s="199"/>
      <c r="K13232" s="199"/>
      <c r="M13232" s="199"/>
      <c r="N13232" s="200"/>
      <c r="P13232" s="199"/>
    </row>
    <row r="13233" spans="7:16" x14ac:dyDescent="0.2">
      <c r="G13233" s="199"/>
      <c r="I13233" s="199"/>
      <c r="K13233" s="199"/>
      <c r="M13233" s="199"/>
      <c r="N13233" s="200"/>
      <c r="P13233" s="199"/>
    </row>
    <row r="13234" spans="7:16" x14ac:dyDescent="0.2">
      <c r="G13234" s="199"/>
      <c r="I13234" s="199"/>
      <c r="K13234" s="199"/>
      <c r="M13234" s="199"/>
      <c r="N13234" s="200"/>
      <c r="P13234" s="199"/>
    </row>
    <row r="13235" spans="7:16" x14ac:dyDescent="0.2">
      <c r="G13235" s="199"/>
      <c r="I13235" s="199"/>
      <c r="K13235" s="199"/>
      <c r="M13235" s="199"/>
      <c r="N13235" s="200"/>
      <c r="P13235" s="199"/>
    </row>
    <row r="13236" spans="7:16" x14ac:dyDescent="0.2">
      <c r="G13236" s="199"/>
      <c r="I13236" s="199"/>
      <c r="K13236" s="199"/>
      <c r="M13236" s="199"/>
      <c r="N13236" s="200"/>
      <c r="P13236" s="199"/>
    </row>
    <row r="13237" spans="7:16" x14ac:dyDescent="0.2">
      <c r="G13237" s="199"/>
      <c r="I13237" s="199"/>
      <c r="K13237" s="199"/>
      <c r="M13237" s="199"/>
      <c r="N13237" s="200"/>
      <c r="P13237" s="199"/>
    </row>
    <row r="13238" spans="7:16" x14ac:dyDescent="0.2">
      <c r="G13238" s="199"/>
      <c r="I13238" s="199"/>
      <c r="K13238" s="199"/>
      <c r="M13238" s="199"/>
      <c r="N13238" s="200"/>
      <c r="P13238" s="199"/>
    </row>
    <row r="13239" spans="7:16" x14ac:dyDescent="0.2">
      <c r="G13239" s="199"/>
      <c r="I13239" s="199"/>
      <c r="K13239" s="199"/>
      <c r="M13239" s="199"/>
      <c r="N13239" s="200"/>
      <c r="P13239" s="199"/>
    </row>
    <row r="13240" spans="7:16" x14ac:dyDescent="0.2">
      <c r="G13240" s="199"/>
      <c r="I13240" s="199"/>
      <c r="K13240" s="199"/>
      <c r="M13240" s="199"/>
      <c r="N13240" s="200"/>
      <c r="P13240" s="199"/>
    </row>
    <row r="13241" spans="7:16" x14ac:dyDescent="0.2">
      <c r="G13241" s="199"/>
      <c r="I13241" s="199"/>
      <c r="K13241" s="199"/>
      <c r="M13241" s="199"/>
      <c r="N13241" s="200"/>
      <c r="P13241" s="199"/>
    </row>
    <row r="13242" spans="7:16" x14ac:dyDescent="0.2">
      <c r="G13242" s="199"/>
      <c r="I13242" s="199"/>
      <c r="K13242" s="199"/>
      <c r="M13242" s="199"/>
      <c r="N13242" s="200"/>
      <c r="P13242" s="199"/>
    </row>
    <row r="13243" spans="7:16" x14ac:dyDescent="0.2">
      <c r="G13243" s="199"/>
      <c r="I13243" s="199"/>
      <c r="K13243" s="199"/>
      <c r="M13243" s="199"/>
      <c r="N13243" s="200"/>
      <c r="P13243" s="199"/>
    </row>
    <row r="13244" spans="7:16" x14ac:dyDescent="0.2">
      <c r="G13244" s="199"/>
      <c r="I13244" s="199"/>
      <c r="K13244" s="199"/>
      <c r="M13244" s="199"/>
      <c r="N13244" s="200"/>
      <c r="P13244" s="199"/>
    </row>
    <row r="13245" spans="7:16" x14ac:dyDescent="0.2">
      <c r="G13245" s="199"/>
      <c r="I13245" s="199"/>
      <c r="K13245" s="199"/>
      <c r="M13245" s="199"/>
      <c r="N13245" s="200"/>
      <c r="P13245" s="199"/>
    </row>
    <row r="13246" spans="7:16" x14ac:dyDescent="0.2">
      <c r="G13246" s="199"/>
      <c r="I13246" s="199"/>
      <c r="K13246" s="199"/>
      <c r="M13246" s="199"/>
      <c r="N13246" s="200"/>
      <c r="P13246" s="199"/>
    </row>
    <row r="13247" spans="7:16" x14ac:dyDescent="0.2">
      <c r="G13247" s="199"/>
      <c r="I13247" s="199"/>
      <c r="K13247" s="199"/>
      <c r="M13247" s="199"/>
      <c r="N13247" s="200"/>
      <c r="P13247" s="199"/>
    </row>
    <row r="13248" spans="7:16" x14ac:dyDescent="0.2">
      <c r="G13248" s="199"/>
      <c r="I13248" s="199"/>
      <c r="K13248" s="199"/>
      <c r="M13248" s="199"/>
      <c r="N13248" s="200"/>
      <c r="P13248" s="199"/>
    </row>
    <row r="13249" spans="7:16" x14ac:dyDescent="0.2">
      <c r="G13249" s="199"/>
      <c r="I13249" s="199"/>
      <c r="K13249" s="199"/>
      <c r="M13249" s="199"/>
      <c r="N13249" s="200"/>
      <c r="P13249" s="199"/>
    </row>
    <row r="13250" spans="7:16" x14ac:dyDescent="0.2">
      <c r="G13250" s="199"/>
      <c r="I13250" s="199"/>
      <c r="K13250" s="199"/>
      <c r="M13250" s="199"/>
      <c r="N13250" s="200"/>
      <c r="P13250" s="199"/>
    </row>
    <row r="13251" spans="7:16" x14ac:dyDescent="0.2">
      <c r="G13251" s="199"/>
      <c r="I13251" s="199"/>
      <c r="K13251" s="199"/>
      <c r="M13251" s="199"/>
      <c r="N13251" s="200"/>
      <c r="P13251" s="199"/>
    </row>
    <row r="13252" spans="7:16" x14ac:dyDescent="0.2">
      <c r="G13252" s="199"/>
      <c r="I13252" s="199"/>
      <c r="K13252" s="199"/>
      <c r="M13252" s="199"/>
      <c r="N13252" s="200"/>
      <c r="P13252" s="199"/>
    </row>
    <row r="13253" spans="7:16" x14ac:dyDescent="0.2">
      <c r="G13253" s="199"/>
      <c r="I13253" s="199"/>
      <c r="K13253" s="199"/>
      <c r="M13253" s="199"/>
      <c r="N13253" s="200"/>
      <c r="P13253" s="199"/>
    </row>
    <row r="13254" spans="7:16" x14ac:dyDescent="0.2">
      <c r="G13254" s="199"/>
      <c r="I13254" s="199"/>
      <c r="K13254" s="199"/>
      <c r="M13254" s="199"/>
      <c r="N13254" s="200"/>
      <c r="P13254" s="199"/>
    </row>
    <row r="13255" spans="7:16" x14ac:dyDescent="0.2">
      <c r="G13255" s="199"/>
      <c r="I13255" s="199"/>
      <c r="K13255" s="199"/>
      <c r="M13255" s="199"/>
      <c r="N13255" s="200"/>
      <c r="P13255" s="199"/>
    </row>
    <row r="13256" spans="7:16" x14ac:dyDescent="0.2">
      <c r="G13256" s="199"/>
      <c r="I13256" s="199"/>
      <c r="K13256" s="199"/>
      <c r="M13256" s="199"/>
      <c r="N13256" s="200"/>
      <c r="P13256" s="199"/>
    </row>
    <row r="13257" spans="7:16" x14ac:dyDescent="0.2">
      <c r="G13257" s="199"/>
      <c r="I13257" s="199"/>
      <c r="K13257" s="199"/>
      <c r="M13257" s="199"/>
      <c r="N13257" s="200"/>
      <c r="P13257" s="199"/>
    </row>
    <row r="13258" spans="7:16" x14ac:dyDescent="0.2">
      <c r="G13258" s="199"/>
      <c r="I13258" s="199"/>
      <c r="K13258" s="199"/>
      <c r="M13258" s="199"/>
      <c r="N13258" s="200"/>
      <c r="P13258" s="199"/>
    </row>
    <row r="13259" spans="7:16" x14ac:dyDescent="0.2">
      <c r="G13259" s="199"/>
      <c r="I13259" s="199"/>
      <c r="K13259" s="199"/>
      <c r="M13259" s="199"/>
      <c r="N13259" s="200"/>
      <c r="P13259" s="199"/>
    </row>
    <row r="13260" spans="7:16" x14ac:dyDescent="0.2">
      <c r="G13260" s="199"/>
      <c r="I13260" s="199"/>
      <c r="K13260" s="199"/>
      <c r="M13260" s="199"/>
      <c r="N13260" s="200"/>
      <c r="P13260" s="199"/>
    </row>
    <row r="13261" spans="7:16" x14ac:dyDescent="0.2">
      <c r="G13261" s="199"/>
      <c r="I13261" s="199"/>
      <c r="K13261" s="199"/>
      <c r="M13261" s="199"/>
      <c r="N13261" s="200"/>
      <c r="P13261" s="199"/>
    </row>
    <row r="13262" spans="7:16" x14ac:dyDescent="0.2">
      <c r="G13262" s="199"/>
      <c r="I13262" s="199"/>
      <c r="K13262" s="199"/>
      <c r="M13262" s="199"/>
      <c r="N13262" s="200"/>
      <c r="P13262" s="199"/>
    </row>
    <row r="13263" spans="7:16" x14ac:dyDescent="0.2">
      <c r="G13263" s="199"/>
      <c r="I13263" s="199"/>
      <c r="K13263" s="199"/>
      <c r="M13263" s="199"/>
      <c r="N13263" s="200"/>
      <c r="P13263" s="199"/>
    </row>
    <row r="13264" spans="7:16" x14ac:dyDescent="0.2">
      <c r="G13264" s="199"/>
      <c r="I13264" s="199"/>
      <c r="K13264" s="199"/>
      <c r="M13264" s="199"/>
      <c r="N13264" s="200"/>
      <c r="P13264" s="199"/>
    </row>
    <row r="13265" spans="7:16" x14ac:dyDescent="0.2">
      <c r="G13265" s="199"/>
      <c r="I13265" s="199"/>
      <c r="K13265" s="199"/>
      <c r="M13265" s="199"/>
      <c r="N13265" s="200"/>
      <c r="P13265" s="199"/>
    </row>
    <row r="13266" spans="7:16" x14ac:dyDescent="0.2">
      <c r="G13266" s="199"/>
      <c r="I13266" s="199"/>
      <c r="K13266" s="199"/>
      <c r="M13266" s="199"/>
      <c r="N13266" s="200"/>
      <c r="P13266" s="199"/>
    </row>
    <row r="13267" spans="7:16" x14ac:dyDescent="0.2">
      <c r="G13267" s="199"/>
      <c r="I13267" s="199"/>
      <c r="K13267" s="199"/>
      <c r="M13267" s="199"/>
      <c r="N13267" s="200"/>
      <c r="P13267" s="199"/>
    </row>
    <row r="13268" spans="7:16" x14ac:dyDescent="0.2">
      <c r="G13268" s="199"/>
      <c r="I13268" s="199"/>
      <c r="K13268" s="199"/>
      <c r="M13268" s="199"/>
      <c r="N13268" s="200"/>
      <c r="P13268" s="199"/>
    </row>
    <row r="13269" spans="7:16" x14ac:dyDescent="0.2">
      <c r="G13269" s="199"/>
      <c r="I13269" s="199"/>
      <c r="K13269" s="199"/>
      <c r="M13269" s="199"/>
      <c r="N13269" s="200"/>
      <c r="P13269" s="199"/>
    </row>
    <row r="13270" spans="7:16" x14ac:dyDescent="0.2">
      <c r="G13270" s="199"/>
      <c r="I13270" s="199"/>
      <c r="K13270" s="199"/>
      <c r="M13270" s="199"/>
      <c r="N13270" s="200"/>
      <c r="P13270" s="199"/>
    </row>
    <row r="13271" spans="7:16" x14ac:dyDescent="0.2">
      <c r="G13271" s="199"/>
      <c r="I13271" s="199"/>
      <c r="K13271" s="199"/>
      <c r="M13271" s="199"/>
      <c r="N13271" s="200"/>
      <c r="P13271" s="199"/>
    </row>
    <row r="13272" spans="7:16" x14ac:dyDescent="0.2">
      <c r="G13272" s="199"/>
      <c r="I13272" s="199"/>
      <c r="K13272" s="199"/>
      <c r="M13272" s="199"/>
      <c r="N13272" s="200"/>
      <c r="P13272" s="199"/>
    </row>
    <row r="13273" spans="7:16" x14ac:dyDescent="0.2">
      <c r="G13273" s="199"/>
      <c r="I13273" s="199"/>
      <c r="K13273" s="199"/>
      <c r="M13273" s="199"/>
      <c r="N13273" s="200"/>
      <c r="P13273" s="199"/>
    </row>
    <row r="13274" spans="7:16" x14ac:dyDescent="0.2">
      <c r="G13274" s="199"/>
      <c r="I13274" s="199"/>
      <c r="K13274" s="199"/>
      <c r="M13274" s="199"/>
      <c r="N13274" s="200"/>
      <c r="P13274" s="199"/>
    </row>
    <row r="13275" spans="7:16" x14ac:dyDescent="0.2">
      <c r="G13275" s="199"/>
      <c r="I13275" s="199"/>
      <c r="K13275" s="199"/>
      <c r="M13275" s="199"/>
      <c r="N13275" s="200"/>
      <c r="P13275" s="199"/>
    </row>
    <row r="13276" spans="7:16" x14ac:dyDescent="0.2">
      <c r="G13276" s="199"/>
      <c r="I13276" s="199"/>
      <c r="K13276" s="199"/>
      <c r="M13276" s="199"/>
      <c r="N13276" s="200"/>
      <c r="P13276" s="199"/>
    </row>
    <row r="13277" spans="7:16" x14ac:dyDescent="0.2">
      <c r="G13277" s="199"/>
      <c r="I13277" s="199"/>
      <c r="K13277" s="199"/>
      <c r="M13277" s="199"/>
      <c r="N13277" s="200"/>
      <c r="P13277" s="199"/>
    </row>
    <row r="13278" spans="7:16" x14ac:dyDescent="0.2">
      <c r="G13278" s="199"/>
      <c r="I13278" s="199"/>
      <c r="K13278" s="199"/>
      <c r="M13278" s="199"/>
      <c r="N13278" s="200"/>
      <c r="P13278" s="199"/>
    </row>
    <row r="13279" spans="7:16" x14ac:dyDescent="0.2">
      <c r="G13279" s="199"/>
      <c r="I13279" s="199"/>
      <c r="K13279" s="199"/>
      <c r="M13279" s="199"/>
      <c r="N13279" s="200"/>
      <c r="P13279" s="199"/>
    </row>
    <row r="13280" spans="7:16" x14ac:dyDescent="0.2">
      <c r="G13280" s="199"/>
      <c r="I13280" s="199"/>
      <c r="K13280" s="199"/>
      <c r="M13280" s="199"/>
      <c r="N13280" s="200"/>
      <c r="P13280" s="199"/>
    </row>
    <row r="13281" spans="7:16" x14ac:dyDescent="0.2">
      <c r="G13281" s="199"/>
      <c r="I13281" s="199"/>
      <c r="K13281" s="199"/>
      <c r="M13281" s="199"/>
      <c r="N13281" s="200"/>
      <c r="P13281" s="199"/>
    </row>
    <row r="13282" spans="7:16" x14ac:dyDescent="0.2">
      <c r="G13282" s="199"/>
      <c r="I13282" s="199"/>
      <c r="K13282" s="199"/>
      <c r="M13282" s="199"/>
      <c r="N13282" s="200"/>
      <c r="P13282" s="199"/>
    </row>
    <row r="13283" spans="7:16" x14ac:dyDescent="0.2">
      <c r="G13283" s="199"/>
      <c r="I13283" s="199"/>
      <c r="K13283" s="199"/>
      <c r="M13283" s="199"/>
      <c r="N13283" s="200"/>
      <c r="P13283" s="199"/>
    </row>
    <row r="13284" spans="7:16" x14ac:dyDescent="0.2">
      <c r="G13284" s="199"/>
      <c r="I13284" s="199"/>
      <c r="K13284" s="199"/>
      <c r="M13284" s="199"/>
      <c r="N13284" s="200"/>
      <c r="P13284" s="199"/>
    </row>
    <row r="13285" spans="7:16" x14ac:dyDescent="0.2">
      <c r="G13285" s="199"/>
      <c r="I13285" s="199"/>
      <c r="K13285" s="199"/>
      <c r="M13285" s="199"/>
      <c r="N13285" s="200"/>
      <c r="P13285" s="199"/>
    </row>
    <row r="13286" spans="7:16" x14ac:dyDescent="0.2">
      <c r="G13286" s="199"/>
      <c r="I13286" s="199"/>
      <c r="K13286" s="199"/>
      <c r="M13286" s="199"/>
      <c r="N13286" s="200"/>
      <c r="P13286" s="199"/>
    </row>
    <row r="13287" spans="7:16" x14ac:dyDescent="0.2">
      <c r="G13287" s="199"/>
      <c r="I13287" s="199"/>
      <c r="K13287" s="199"/>
      <c r="M13287" s="199"/>
      <c r="N13287" s="200"/>
      <c r="P13287" s="199"/>
    </row>
    <row r="13288" spans="7:16" x14ac:dyDescent="0.2">
      <c r="G13288" s="199"/>
      <c r="I13288" s="199"/>
      <c r="K13288" s="199"/>
      <c r="M13288" s="199"/>
      <c r="N13288" s="200"/>
      <c r="P13288" s="199"/>
    </row>
    <row r="13289" spans="7:16" x14ac:dyDescent="0.2">
      <c r="G13289" s="199"/>
      <c r="I13289" s="199"/>
      <c r="K13289" s="199"/>
      <c r="M13289" s="199"/>
      <c r="N13289" s="200"/>
      <c r="P13289" s="199"/>
    </row>
    <row r="13290" spans="7:16" x14ac:dyDescent="0.2">
      <c r="G13290" s="199"/>
      <c r="I13290" s="199"/>
      <c r="K13290" s="199"/>
      <c r="M13290" s="199"/>
      <c r="N13290" s="200"/>
      <c r="P13290" s="199"/>
    </row>
    <row r="13291" spans="7:16" x14ac:dyDescent="0.2">
      <c r="G13291" s="199"/>
      <c r="I13291" s="199"/>
      <c r="K13291" s="199"/>
      <c r="M13291" s="199"/>
      <c r="N13291" s="200"/>
      <c r="P13291" s="199"/>
    </row>
    <row r="13292" spans="7:16" x14ac:dyDescent="0.2">
      <c r="G13292" s="199"/>
      <c r="I13292" s="199"/>
      <c r="K13292" s="199"/>
      <c r="M13292" s="199"/>
      <c r="N13292" s="200"/>
      <c r="P13292" s="199"/>
    </row>
    <row r="13293" spans="7:16" x14ac:dyDescent="0.2">
      <c r="G13293" s="199"/>
      <c r="I13293" s="199"/>
      <c r="K13293" s="199"/>
      <c r="M13293" s="199"/>
      <c r="N13293" s="200"/>
      <c r="P13293" s="199"/>
    </row>
    <row r="13294" spans="7:16" x14ac:dyDescent="0.2">
      <c r="G13294" s="199"/>
      <c r="I13294" s="199"/>
      <c r="K13294" s="199"/>
      <c r="M13294" s="199"/>
      <c r="N13294" s="200"/>
      <c r="P13294" s="199"/>
    </row>
    <row r="13295" spans="7:16" x14ac:dyDescent="0.2">
      <c r="G13295" s="199"/>
      <c r="I13295" s="199"/>
      <c r="K13295" s="199"/>
      <c r="M13295" s="199"/>
      <c r="N13295" s="200"/>
      <c r="P13295" s="199"/>
    </row>
    <row r="13296" spans="7:16" x14ac:dyDescent="0.2">
      <c r="G13296" s="199"/>
      <c r="I13296" s="199"/>
      <c r="K13296" s="199"/>
      <c r="M13296" s="199"/>
      <c r="N13296" s="200"/>
      <c r="P13296" s="199"/>
    </row>
    <row r="13297" spans="7:16" x14ac:dyDescent="0.2">
      <c r="G13297" s="199"/>
      <c r="I13297" s="199"/>
      <c r="K13297" s="199"/>
      <c r="M13297" s="199"/>
      <c r="N13297" s="200"/>
      <c r="P13297" s="199"/>
    </row>
    <row r="13298" spans="7:16" x14ac:dyDescent="0.2">
      <c r="G13298" s="199"/>
      <c r="I13298" s="199"/>
      <c r="K13298" s="199"/>
      <c r="M13298" s="199"/>
      <c r="N13298" s="200"/>
      <c r="P13298" s="199"/>
    </row>
    <row r="13299" spans="7:16" x14ac:dyDescent="0.2">
      <c r="G13299" s="199"/>
      <c r="I13299" s="199"/>
      <c r="K13299" s="199"/>
      <c r="M13299" s="199"/>
      <c r="N13299" s="200"/>
      <c r="P13299" s="199"/>
    </row>
    <row r="13300" spans="7:16" x14ac:dyDescent="0.2">
      <c r="G13300" s="199"/>
      <c r="I13300" s="199"/>
      <c r="K13300" s="199"/>
      <c r="M13300" s="199"/>
      <c r="N13300" s="200"/>
      <c r="P13300" s="199"/>
    </row>
    <row r="13301" spans="7:16" x14ac:dyDescent="0.2">
      <c r="G13301" s="199"/>
      <c r="I13301" s="199"/>
      <c r="K13301" s="199"/>
      <c r="M13301" s="199"/>
      <c r="N13301" s="200"/>
      <c r="P13301" s="199"/>
    </row>
    <row r="13302" spans="7:16" x14ac:dyDescent="0.2">
      <c r="G13302" s="199"/>
      <c r="I13302" s="199"/>
      <c r="K13302" s="199"/>
      <c r="M13302" s="199"/>
      <c r="N13302" s="200"/>
      <c r="P13302" s="199"/>
    </row>
    <row r="13303" spans="7:16" x14ac:dyDescent="0.2">
      <c r="G13303" s="199"/>
      <c r="I13303" s="199"/>
      <c r="K13303" s="199"/>
      <c r="M13303" s="199"/>
      <c r="N13303" s="200"/>
      <c r="P13303" s="199"/>
    </row>
    <row r="13304" spans="7:16" x14ac:dyDescent="0.2">
      <c r="G13304" s="199"/>
      <c r="I13304" s="199"/>
      <c r="K13304" s="199"/>
      <c r="M13304" s="199"/>
      <c r="N13304" s="200"/>
      <c r="P13304" s="199"/>
    </row>
    <row r="13305" spans="7:16" x14ac:dyDescent="0.2">
      <c r="G13305" s="199"/>
      <c r="I13305" s="199"/>
      <c r="K13305" s="199"/>
      <c r="M13305" s="199"/>
      <c r="N13305" s="200"/>
      <c r="P13305" s="199"/>
    </row>
    <row r="13306" spans="7:16" x14ac:dyDescent="0.2">
      <c r="G13306" s="199"/>
      <c r="I13306" s="199"/>
      <c r="K13306" s="199"/>
      <c r="M13306" s="199"/>
      <c r="N13306" s="200"/>
      <c r="P13306" s="199"/>
    </row>
    <row r="13307" spans="7:16" x14ac:dyDescent="0.2">
      <c r="G13307" s="199"/>
      <c r="I13307" s="199"/>
      <c r="K13307" s="199"/>
      <c r="M13307" s="199"/>
      <c r="N13307" s="200"/>
      <c r="P13307" s="199"/>
    </row>
    <row r="13308" spans="7:16" x14ac:dyDescent="0.2">
      <c r="G13308" s="199"/>
      <c r="I13308" s="199"/>
      <c r="K13308" s="199"/>
      <c r="M13308" s="199"/>
      <c r="N13308" s="200"/>
      <c r="P13308" s="199"/>
    </row>
    <row r="13309" spans="7:16" x14ac:dyDescent="0.2">
      <c r="G13309" s="199"/>
      <c r="I13309" s="199"/>
      <c r="K13309" s="199"/>
      <c r="M13309" s="199"/>
      <c r="N13309" s="200"/>
      <c r="P13309" s="199"/>
    </row>
    <row r="13310" spans="7:16" x14ac:dyDescent="0.2">
      <c r="G13310" s="199"/>
      <c r="I13310" s="199"/>
      <c r="K13310" s="199"/>
      <c r="M13310" s="199"/>
      <c r="N13310" s="200"/>
      <c r="P13310" s="199"/>
    </row>
    <row r="13311" spans="7:16" x14ac:dyDescent="0.2">
      <c r="G13311" s="199"/>
      <c r="I13311" s="199"/>
      <c r="K13311" s="199"/>
      <c r="M13311" s="199"/>
      <c r="N13311" s="200"/>
      <c r="P13311" s="199"/>
    </row>
    <row r="13312" spans="7:16" x14ac:dyDescent="0.2">
      <c r="G13312" s="199"/>
      <c r="I13312" s="199"/>
      <c r="K13312" s="199"/>
      <c r="M13312" s="199"/>
      <c r="N13312" s="200"/>
      <c r="P13312" s="199"/>
    </row>
    <row r="13313" spans="7:16" x14ac:dyDescent="0.2">
      <c r="G13313" s="199"/>
      <c r="I13313" s="199"/>
      <c r="K13313" s="199"/>
      <c r="M13313" s="199"/>
      <c r="N13313" s="200"/>
      <c r="P13313" s="199"/>
    </row>
    <row r="13314" spans="7:16" x14ac:dyDescent="0.2">
      <c r="G13314" s="199"/>
      <c r="I13314" s="199"/>
      <c r="K13314" s="199"/>
      <c r="M13314" s="199"/>
      <c r="N13314" s="200"/>
      <c r="P13314" s="199"/>
    </row>
    <row r="13315" spans="7:16" x14ac:dyDescent="0.2">
      <c r="G13315" s="199"/>
      <c r="I13315" s="199"/>
      <c r="K13315" s="199"/>
      <c r="M13315" s="199"/>
      <c r="N13315" s="200"/>
      <c r="P13315" s="199"/>
    </row>
    <row r="13316" spans="7:16" x14ac:dyDescent="0.2">
      <c r="G13316" s="199"/>
      <c r="I13316" s="199"/>
      <c r="K13316" s="199"/>
      <c r="M13316" s="199"/>
      <c r="N13316" s="200"/>
      <c r="P13316" s="199"/>
    </row>
    <row r="13317" spans="7:16" x14ac:dyDescent="0.2">
      <c r="G13317" s="199"/>
      <c r="I13317" s="199"/>
      <c r="K13317" s="199"/>
      <c r="M13317" s="199"/>
      <c r="N13317" s="200"/>
      <c r="P13317" s="199"/>
    </row>
    <row r="13318" spans="7:16" x14ac:dyDescent="0.2">
      <c r="G13318" s="199"/>
      <c r="I13318" s="199"/>
      <c r="K13318" s="199"/>
      <c r="M13318" s="199"/>
      <c r="N13318" s="200"/>
      <c r="P13318" s="199"/>
    </row>
    <row r="13319" spans="7:16" x14ac:dyDescent="0.2">
      <c r="G13319" s="199"/>
      <c r="I13319" s="199"/>
      <c r="K13319" s="199"/>
      <c r="M13319" s="199"/>
      <c r="N13319" s="200"/>
      <c r="P13319" s="199"/>
    </row>
    <row r="13320" spans="7:16" x14ac:dyDescent="0.2">
      <c r="G13320" s="199"/>
      <c r="I13320" s="199"/>
      <c r="K13320" s="199"/>
      <c r="M13320" s="199"/>
      <c r="N13320" s="200"/>
      <c r="P13320" s="199"/>
    </row>
    <row r="13321" spans="7:16" x14ac:dyDescent="0.2">
      <c r="G13321" s="199"/>
      <c r="I13321" s="199"/>
      <c r="K13321" s="199"/>
      <c r="M13321" s="199"/>
      <c r="N13321" s="200"/>
      <c r="P13321" s="199"/>
    </row>
    <row r="13322" spans="7:16" x14ac:dyDescent="0.2">
      <c r="G13322" s="199"/>
      <c r="I13322" s="199"/>
      <c r="K13322" s="199"/>
      <c r="M13322" s="199"/>
      <c r="N13322" s="200"/>
      <c r="P13322" s="199"/>
    </row>
    <row r="13323" spans="7:16" x14ac:dyDescent="0.2">
      <c r="G13323" s="199"/>
      <c r="I13323" s="199"/>
      <c r="K13323" s="199"/>
      <c r="M13323" s="199"/>
      <c r="N13323" s="200"/>
      <c r="P13323" s="199"/>
    </row>
    <row r="13324" spans="7:16" x14ac:dyDescent="0.2">
      <c r="G13324" s="199"/>
      <c r="I13324" s="199"/>
      <c r="K13324" s="199"/>
      <c r="M13324" s="199"/>
      <c r="N13324" s="200"/>
      <c r="P13324" s="199"/>
    </row>
    <row r="13325" spans="7:16" x14ac:dyDescent="0.2">
      <c r="G13325" s="199"/>
      <c r="I13325" s="199"/>
      <c r="K13325" s="199"/>
      <c r="M13325" s="199"/>
      <c r="N13325" s="200"/>
      <c r="P13325" s="199"/>
    </row>
    <row r="13326" spans="7:16" x14ac:dyDescent="0.2">
      <c r="G13326" s="199"/>
      <c r="I13326" s="199"/>
      <c r="K13326" s="199"/>
      <c r="M13326" s="199"/>
      <c r="N13326" s="200"/>
      <c r="P13326" s="199"/>
    </row>
    <row r="13327" spans="7:16" x14ac:dyDescent="0.2">
      <c r="G13327" s="199"/>
      <c r="I13327" s="199"/>
      <c r="K13327" s="199"/>
      <c r="M13327" s="199"/>
      <c r="N13327" s="200"/>
      <c r="P13327" s="199"/>
    </row>
    <row r="13328" spans="7:16" x14ac:dyDescent="0.2">
      <c r="G13328" s="199"/>
      <c r="I13328" s="199"/>
      <c r="K13328" s="199"/>
      <c r="M13328" s="199"/>
      <c r="N13328" s="200"/>
      <c r="P13328" s="199"/>
    </row>
    <row r="13329" spans="7:16" x14ac:dyDescent="0.2">
      <c r="G13329" s="199"/>
      <c r="I13329" s="199"/>
      <c r="K13329" s="199"/>
      <c r="M13329" s="199"/>
      <c r="N13329" s="200"/>
      <c r="P13329" s="199"/>
    </row>
    <row r="13330" spans="7:16" x14ac:dyDescent="0.2">
      <c r="G13330" s="199"/>
      <c r="I13330" s="199"/>
      <c r="K13330" s="199"/>
      <c r="M13330" s="199"/>
      <c r="N13330" s="200"/>
      <c r="P13330" s="199"/>
    </row>
    <row r="13331" spans="7:16" x14ac:dyDescent="0.2">
      <c r="G13331" s="199"/>
      <c r="I13331" s="199"/>
      <c r="K13331" s="199"/>
      <c r="M13331" s="199"/>
      <c r="N13331" s="200"/>
      <c r="P13331" s="199"/>
    </row>
    <row r="13332" spans="7:16" x14ac:dyDescent="0.2">
      <c r="G13332" s="199"/>
      <c r="I13332" s="199"/>
      <c r="K13332" s="199"/>
      <c r="M13332" s="199"/>
      <c r="N13332" s="200"/>
      <c r="P13332" s="199"/>
    </row>
    <row r="13333" spans="7:16" x14ac:dyDescent="0.2">
      <c r="G13333" s="199"/>
      <c r="I13333" s="199"/>
      <c r="K13333" s="199"/>
      <c r="M13333" s="199"/>
      <c r="N13333" s="200"/>
      <c r="P13333" s="199"/>
    </row>
    <row r="13334" spans="7:16" x14ac:dyDescent="0.2">
      <c r="G13334" s="199"/>
      <c r="I13334" s="199"/>
      <c r="K13334" s="199"/>
      <c r="M13334" s="199"/>
      <c r="N13334" s="200"/>
      <c r="P13334" s="199"/>
    </row>
    <row r="13335" spans="7:16" x14ac:dyDescent="0.2">
      <c r="G13335" s="199"/>
      <c r="I13335" s="199"/>
      <c r="K13335" s="199"/>
      <c r="M13335" s="199"/>
      <c r="N13335" s="200"/>
      <c r="P13335" s="199"/>
    </row>
    <row r="13336" spans="7:16" x14ac:dyDescent="0.2">
      <c r="G13336" s="199"/>
      <c r="I13336" s="199"/>
      <c r="K13336" s="199"/>
      <c r="M13336" s="199"/>
      <c r="N13336" s="200"/>
      <c r="P13336" s="199"/>
    </row>
    <row r="13337" spans="7:16" x14ac:dyDescent="0.2">
      <c r="G13337" s="199"/>
      <c r="I13337" s="199"/>
      <c r="K13337" s="199"/>
      <c r="M13337" s="199"/>
      <c r="N13337" s="200"/>
      <c r="P13337" s="199"/>
    </row>
    <row r="13338" spans="7:16" x14ac:dyDescent="0.2">
      <c r="G13338" s="199"/>
      <c r="I13338" s="199"/>
      <c r="K13338" s="199"/>
      <c r="M13338" s="199"/>
      <c r="N13338" s="200"/>
      <c r="P13338" s="199"/>
    </row>
    <row r="13339" spans="7:16" x14ac:dyDescent="0.2">
      <c r="G13339" s="199"/>
      <c r="I13339" s="199"/>
      <c r="K13339" s="199"/>
      <c r="M13339" s="199"/>
      <c r="N13339" s="200"/>
      <c r="P13339" s="199"/>
    </row>
    <row r="13340" spans="7:16" x14ac:dyDescent="0.2">
      <c r="G13340" s="199"/>
      <c r="I13340" s="199"/>
      <c r="K13340" s="199"/>
      <c r="M13340" s="199"/>
      <c r="N13340" s="200"/>
      <c r="P13340" s="199"/>
    </row>
    <row r="13341" spans="7:16" x14ac:dyDescent="0.2">
      <c r="G13341" s="199"/>
      <c r="I13341" s="199"/>
      <c r="K13341" s="199"/>
      <c r="M13341" s="199"/>
      <c r="N13341" s="200"/>
      <c r="P13341" s="199"/>
    </row>
    <row r="13342" spans="7:16" x14ac:dyDescent="0.2">
      <c r="G13342" s="199"/>
      <c r="I13342" s="199"/>
      <c r="K13342" s="199"/>
      <c r="M13342" s="199"/>
      <c r="N13342" s="200"/>
      <c r="P13342" s="199"/>
    </row>
    <row r="13343" spans="7:16" x14ac:dyDescent="0.2">
      <c r="G13343" s="199"/>
      <c r="I13343" s="199"/>
      <c r="K13343" s="199"/>
      <c r="M13343" s="199"/>
      <c r="N13343" s="200"/>
      <c r="P13343" s="199"/>
    </row>
    <row r="13344" spans="7:16" x14ac:dyDescent="0.2">
      <c r="G13344" s="199"/>
      <c r="I13344" s="199"/>
      <c r="K13344" s="199"/>
      <c r="M13344" s="199"/>
      <c r="N13344" s="200"/>
      <c r="P13344" s="199"/>
    </row>
    <row r="13345" spans="7:16" x14ac:dyDescent="0.2">
      <c r="G13345" s="199"/>
      <c r="I13345" s="199"/>
      <c r="K13345" s="199"/>
      <c r="M13345" s="199"/>
      <c r="N13345" s="200"/>
      <c r="P13345" s="199"/>
    </row>
    <row r="13346" spans="7:16" x14ac:dyDescent="0.2">
      <c r="G13346" s="199"/>
      <c r="I13346" s="199"/>
      <c r="K13346" s="199"/>
      <c r="M13346" s="199"/>
      <c r="N13346" s="200"/>
      <c r="P13346" s="199"/>
    </row>
    <row r="13347" spans="7:16" x14ac:dyDescent="0.2">
      <c r="G13347" s="199"/>
      <c r="I13347" s="199"/>
      <c r="K13347" s="199"/>
      <c r="M13347" s="199"/>
      <c r="N13347" s="200"/>
      <c r="P13347" s="199"/>
    </row>
    <row r="13348" spans="7:16" x14ac:dyDescent="0.2">
      <c r="G13348" s="199"/>
      <c r="I13348" s="199"/>
      <c r="K13348" s="199"/>
      <c r="M13348" s="199"/>
      <c r="N13348" s="200"/>
      <c r="P13348" s="199"/>
    </row>
    <row r="13349" spans="7:16" x14ac:dyDescent="0.2">
      <c r="G13349" s="199"/>
      <c r="I13349" s="199"/>
      <c r="K13349" s="199"/>
      <c r="M13349" s="199"/>
      <c r="N13349" s="200"/>
      <c r="P13349" s="199"/>
    </row>
    <row r="13350" spans="7:16" x14ac:dyDescent="0.2">
      <c r="G13350" s="199"/>
      <c r="I13350" s="199"/>
      <c r="K13350" s="199"/>
      <c r="M13350" s="199"/>
      <c r="N13350" s="200"/>
      <c r="P13350" s="199"/>
    </row>
    <row r="13351" spans="7:16" x14ac:dyDescent="0.2">
      <c r="G13351" s="199"/>
      <c r="I13351" s="199"/>
      <c r="K13351" s="199"/>
      <c r="M13351" s="199"/>
      <c r="N13351" s="200"/>
      <c r="P13351" s="199"/>
    </row>
    <row r="13352" spans="7:16" x14ac:dyDescent="0.2">
      <c r="G13352" s="199"/>
      <c r="I13352" s="199"/>
      <c r="K13352" s="199"/>
      <c r="M13352" s="199"/>
      <c r="N13352" s="200"/>
      <c r="P13352" s="199"/>
    </row>
    <row r="13353" spans="7:16" x14ac:dyDescent="0.2">
      <c r="G13353" s="199"/>
      <c r="I13353" s="199"/>
      <c r="K13353" s="199"/>
      <c r="M13353" s="199"/>
      <c r="N13353" s="200"/>
      <c r="P13353" s="199"/>
    </row>
    <row r="13354" spans="7:16" x14ac:dyDescent="0.2">
      <c r="G13354" s="199"/>
      <c r="I13354" s="199"/>
      <c r="K13354" s="199"/>
      <c r="M13354" s="199"/>
      <c r="N13354" s="200"/>
      <c r="P13354" s="199"/>
    </row>
    <row r="13355" spans="7:16" x14ac:dyDescent="0.2">
      <c r="G13355" s="199"/>
      <c r="I13355" s="199"/>
      <c r="K13355" s="199"/>
      <c r="M13355" s="199"/>
      <c r="N13355" s="200"/>
      <c r="P13355" s="199"/>
    </row>
    <row r="13356" spans="7:16" x14ac:dyDescent="0.2">
      <c r="G13356" s="199"/>
      <c r="I13356" s="199"/>
      <c r="K13356" s="199"/>
      <c r="M13356" s="199"/>
      <c r="N13356" s="200"/>
      <c r="P13356" s="199"/>
    </row>
    <row r="13357" spans="7:16" x14ac:dyDescent="0.2">
      <c r="G13357" s="199"/>
      <c r="I13357" s="199"/>
      <c r="K13357" s="199"/>
      <c r="M13357" s="199"/>
      <c r="N13357" s="200"/>
      <c r="P13357" s="199"/>
    </row>
    <row r="13358" spans="7:16" x14ac:dyDescent="0.2">
      <c r="G13358" s="199"/>
      <c r="I13358" s="199"/>
      <c r="K13358" s="199"/>
      <c r="M13358" s="199"/>
      <c r="N13358" s="200"/>
      <c r="P13358" s="199"/>
    </row>
    <row r="13359" spans="7:16" x14ac:dyDescent="0.2">
      <c r="G13359" s="199"/>
      <c r="I13359" s="199"/>
      <c r="K13359" s="199"/>
      <c r="M13359" s="199"/>
      <c r="N13359" s="200"/>
      <c r="P13359" s="199"/>
    </row>
    <row r="13360" spans="7:16" x14ac:dyDescent="0.2">
      <c r="G13360" s="199"/>
      <c r="I13360" s="199"/>
      <c r="K13360" s="199"/>
      <c r="M13360" s="199"/>
      <c r="N13360" s="200"/>
      <c r="P13360" s="199"/>
    </row>
    <row r="13361" spans="7:16" x14ac:dyDescent="0.2">
      <c r="G13361" s="199"/>
      <c r="I13361" s="199"/>
      <c r="K13361" s="199"/>
      <c r="M13361" s="199"/>
      <c r="N13361" s="200"/>
      <c r="P13361" s="199"/>
    </row>
    <row r="13362" spans="7:16" x14ac:dyDescent="0.2">
      <c r="G13362" s="199"/>
      <c r="I13362" s="199"/>
      <c r="K13362" s="199"/>
      <c r="M13362" s="199"/>
      <c r="N13362" s="200"/>
      <c r="P13362" s="199"/>
    </row>
    <row r="13363" spans="7:16" x14ac:dyDescent="0.2">
      <c r="G13363" s="199"/>
      <c r="I13363" s="199"/>
      <c r="K13363" s="199"/>
      <c r="M13363" s="199"/>
      <c r="N13363" s="200"/>
      <c r="P13363" s="199"/>
    </row>
    <row r="13364" spans="7:16" x14ac:dyDescent="0.2">
      <c r="G13364" s="199"/>
      <c r="I13364" s="199"/>
      <c r="K13364" s="199"/>
      <c r="M13364" s="199"/>
      <c r="N13364" s="200"/>
      <c r="P13364" s="199"/>
    </row>
    <row r="13365" spans="7:16" x14ac:dyDescent="0.2">
      <c r="G13365" s="199"/>
      <c r="I13365" s="199"/>
      <c r="K13365" s="199"/>
      <c r="M13365" s="199"/>
      <c r="N13365" s="200"/>
      <c r="P13365" s="199"/>
    </row>
    <row r="13366" spans="7:16" x14ac:dyDescent="0.2">
      <c r="G13366" s="199"/>
      <c r="I13366" s="199"/>
      <c r="K13366" s="199"/>
      <c r="M13366" s="199"/>
      <c r="N13366" s="200"/>
      <c r="P13366" s="199"/>
    </row>
    <row r="13367" spans="7:16" x14ac:dyDescent="0.2">
      <c r="G13367" s="199"/>
      <c r="I13367" s="199"/>
      <c r="K13367" s="199"/>
      <c r="M13367" s="199"/>
      <c r="N13367" s="200"/>
      <c r="P13367" s="199"/>
    </row>
    <row r="13368" spans="7:16" x14ac:dyDescent="0.2">
      <c r="G13368" s="199"/>
      <c r="I13368" s="199"/>
      <c r="K13368" s="199"/>
      <c r="M13368" s="199"/>
      <c r="N13368" s="200"/>
      <c r="P13368" s="199"/>
    </row>
    <row r="13369" spans="7:16" x14ac:dyDescent="0.2">
      <c r="G13369" s="199"/>
      <c r="I13369" s="199"/>
      <c r="K13369" s="199"/>
      <c r="M13369" s="199"/>
      <c r="N13369" s="200"/>
      <c r="P13369" s="199"/>
    </row>
    <row r="13370" spans="7:16" x14ac:dyDescent="0.2">
      <c r="G13370" s="199"/>
      <c r="I13370" s="199"/>
      <c r="K13370" s="199"/>
      <c r="M13370" s="199"/>
      <c r="N13370" s="200"/>
      <c r="P13370" s="199"/>
    </row>
    <row r="13371" spans="7:16" x14ac:dyDescent="0.2">
      <c r="G13371" s="199"/>
      <c r="I13371" s="199"/>
      <c r="K13371" s="199"/>
      <c r="M13371" s="199"/>
      <c r="N13371" s="200"/>
      <c r="P13371" s="199"/>
    </row>
    <row r="13372" spans="7:16" x14ac:dyDescent="0.2">
      <c r="G13372" s="199"/>
      <c r="I13372" s="199"/>
      <c r="K13372" s="199"/>
      <c r="M13372" s="199"/>
      <c r="N13372" s="200"/>
      <c r="P13372" s="199"/>
    </row>
    <row r="13373" spans="7:16" x14ac:dyDescent="0.2">
      <c r="G13373" s="199"/>
      <c r="I13373" s="199"/>
      <c r="K13373" s="199"/>
      <c r="M13373" s="199"/>
      <c r="N13373" s="200"/>
      <c r="P13373" s="199"/>
    </row>
    <row r="13374" spans="7:16" x14ac:dyDescent="0.2">
      <c r="G13374" s="199"/>
      <c r="I13374" s="199"/>
      <c r="K13374" s="199"/>
      <c r="M13374" s="199"/>
      <c r="N13374" s="200"/>
      <c r="P13374" s="199"/>
    </row>
    <row r="13375" spans="7:16" x14ac:dyDescent="0.2">
      <c r="G13375" s="199"/>
      <c r="I13375" s="199"/>
      <c r="K13375" s="199"/>
      <c r="M13375" s="199"/>
      <c r="N13375" s="200"/>
      <c r="P13375" s="199"/>
    </row>
    <row r="13376" spans="7:16" x14ac:dyDescent="0.2">
      <c r="G13376" s="199"/>
      <c r="I13376" s="199"/>
      <c r="K13376" s="199"/>
      <c r="M13376" s="199"/>
      <c r="N13376" s="200"/>
      <c r="P13376" s="199"/>
    </row>
    <row r="13377" spans="7:16" x14ac:dyDescent="0.2">
      <c r="G13377" s="199"/>
      <c r="I13377" s="199"/>
      <c r="K13377" s="199"/>
      <c r="M13377" s="199"/>
      <c r="N13377" s="200"/>
      <c r="P13377" s="199"/>
    </row>
    <row r="13378" spans="7:16" x14ac:dyDescent="0.2">
      <c r="G13378" s="199"/>
      <c r="I13378" s="199"/>
      <c r="K13378" s="199"/>
      <c r="M13378" s="199"/>
      <c r="N13378" s="200"/>
      <c r="P13378" s="199"/>
    </row>
    <row r="13379" spans="7:16" x14ac:dyDescent="0.2">
      <c r="G13379" s="199"/>
      <c r="I13379" s="199"/>
      <c r="K13379" s="199"/>
      <c r="M13379" s="199"/>
      <c r="N13379" s="200"/>
      <c r="P13379" s="199"/>
    </row>
    <row r="13380" spans="7:16" x14ac:dyDescent="0.2">
      <c r="G13380" s="199"/>
      <c r="I13380" s="199"/>
      <c r="K13380" s="199"/>
      <c r="M13380" s="199"/>
      <c r="N13380" s="200"/>
      <c r="P13380" s="199"/>
    </row>
    <row r="13381" spans="7:16" x14ac:dyDescent="0.2">
      <c r="G13381" s="199"/>
      <c r="I13381" s="199"/>
      <c r="K13381" s="199"/>
      <c r="M13381" s="199"/>
      <c r="N13381" s="200"/>
      <c r="P13381" s="199"/>
    </row>
    <row r="13382" spans="7:16" x14ac:dyDescent="0.2">
      <c r="G13382" s="199"/>
      <c r="I13382" s="199"/>
      <c r="K13382" s="199"/>
      <c r="M13382" s="199"/>
      <c r="N13382" s="200"/>
      <c r="P13382" s="199"/>
    </row>
    <row r="13383" spans="7:16" x14ac:dyDescent="0.2">
      <c r="G13383" s="199"/>
      <c r="I13383" s="199"/>
      <c r="K13383" s="199"/>
      <c r="M13383" s="199"/>
      <c r="N13383" s="200"/>
      <c r="P13383" s="199"/>
    </row>
    <row r="13384" spans="7:16" x14ac:dyDescent="0.2">
      <c r="G13384" s="199"/>
      <c r="I13384" s="199"/>
      <c r="K13384" s="199"/>
      <c r="M13384" s="199"/>
      <c r="N13384" s="200"/>
      <c r="P13384" s="199"/>
    </row>
    <row r="13385" spans="7:16" x14ac:dyDescent="0.2">
      <c r="G13385" s="199"/>
      <c r="I13385" s="199"/>
      <c r="K13385" s="199"/>
      <c r="M13385" s="199"/>
      <c r="N13385" s="200"/>
      <c r="P13385" s="199"/>
    </row>
    <row r="13386" spans="7:16" x14ac:dyDescent="0.2">
      <c r="G13386" s="199"/>
      <c r="I13386" s="199"/>
      <c r="K13386" s="199"/>
      <c r="M13386" s="199"/>
      <c r="N13386" s="200"/>
      <c r="P13386" s="199"/>
    </row>
    <row r="13387" spans="7:16" x14ac:dyDescent="0.2">
      <c r="G13387" s="199"/>
      <c r="I13387" s="199"/>
      <c r="K13387" s="199"/>
      <c r="M13387" s="199"/>
      <c r="N13387" s="200"/>
      <c r="P13387" s="199"/>
    </row>
    <row r="13388" spans="7:16" x14ac:dyDescent="0.2">
      <c r="G13388" s="199"/>
      <c r="I13388" s="199"/>
      <c r="K13388" s="199"/>
      <c r="M13388" s="199"/>
      <c r="N13388" s="200"/>
      <c r="P13388" s="199"/>
    </row>
    <row r="13389" spans="7:16" x14ac:dyDescent="0.2">
      <c r="G13389" s="199"/>
      <c r="I13389" s="199"/>
      <c r="K13389" s="199"/>
      <c r="M13389" s="199"/>
      <c r="N13389" s="200"/>
      <c r="P13389" s="199"/>
    </row>
    <row r="13390" spans="7:16" x14ac:dyDescent="0.2">
      <c r="G13390" s="199"/>
      <c r="I13390" s="199"/>
      <c r="K13390" s="199"/>
      <c r="M13390" s="199"/>
      <c r="N13390" s="200"/>
      <c r="P13390" s="199"/>
    </row>
    <row r="13391" spans="7:16" x14ac:dyDescent="0.2">
      <c r="G13391" s="199"/>
      <c r="I13391" s="199"/>
      <c r="K13391" s="199"/>
      <c r="M13391" s="199"/>
      <c r="N13391" s="200"/>
      <c r="P13391" s="199"/>
    </row>
    <row r="13392" spans="7:16" x14ac:dyDescent="0.2">
      <c r="G13392" s="199"/>
      <c r="I13392" s="199"/>
      <c r="K13392" s="199"/>
      <c r="M13392" s="199"/>
      <c r="N13392" s="200"/>
      <c r="P13392" s="199"/>
    </row>
    <row r="13393" spans="7:16" x14ac:dyDescent="0.2">
      <c r="G13393" s="199"/>
      <c r="I13393" s="199"/>
      <c r="K13393" s="199"/>
      <c r="M13393" s="199"/>
      <c r="N13393" s="200"/>
      <c r="P13393" s="199"/>
    </row>
    <row r="13394" spans="7:16" x14ac:dyDescent="0.2">
      <c r="G13394" s="199"/>
      <c r="I13394" s="199"/>
      <c r="K13394" s="199"/>
      <c r="M13394" s="199"/>
      <c r="N13394" s="200"/>
      <c r="P13394" s="199"/>
    </row>
    <row r="13395" spans="7:16" x14ac:dyDescent="0.2">
      <c r="G13395" s="199"/>
      <c r="I13395" s="199"/>
      <c r="K13395" s="199"/>
      <c r="M13395" s="199"/>
      <c r="N13395" s="200"/>
      <c r="P13395" s="199"/>
    </row>
    <row r="13396" spans="7:16" x14ac:dyDescent="0.2">
      <c r="G13396" s="199"/>
      <c r="I13396" s="199"/>
      <c r="K13396" s="199"/>
      <c r="M13396" s="199"/>
      <c r="N13396" s="200"/>
      <c r="P13396" s="199"/>
    </row>
    <row r="13397" spans="7:16" x14ac:dyDescent="0.2">
      <c r="G13397" s="199"/>
      <c r="I13397" s="199"/>
      <c r="K13397" s="199"/>
      <c r="M13397" s="199"/>
      <c r="N13397" s="200"/>
      <c r="P13397" s="199"/>
    </row>
    <row r="13398" spans="7:16" x14ac:dyDescent="0.2">
      <c r="G13398" s="199"/>
      <c r="I13398" s="199"/>
      <c r="K13398" s="199"/>
      <c r="M13398" s="199"/>
      <c r="N13398" s="200"/>
      <c r="P13398" s="199"/>
    </row>
    <row r="13399" spans="7:16" x14ac:dyDescent="0.2">
      <c r="G13399" s="199"/>
      <c r="I13399" s="199"/>
      <c r="K13399" s="199"/>
      <c r="M13399" s="199"/>
      <c r="N13399" s="200"/>
      <c r="P13399" s="199"/>
    </row>
    <row r="13400" spans="7:16" x14ac:dyDescent="0.2">
      <c r="G13400" s="199"/>
      <c r="I13400" s="199"/>
      <c r="K13400" s="199"/>
      <c r="M13400" s="199"/>
      <c r="N13400" s="200"/>
      <c r="P13400" s="199"/>
    </row>
    <row r="13401" spans="7:16" x14ac:dyDescent="0.2">
      <c r="G13401" s="199"/>
      <c r="I13401" s="199"/>
      <c r="K13401" s="199"/>
      <c r="M13401" s="199"/>
      <c r="N13401" s="200"/>
      <c r="P13401" s="199"/>
    </row>
    <row r="13402" spans="7:16" x14ac:dyDescent="0.2">
      <c r="G13402" s="199"/>
      <c r="I13402" s="199"/>
      <c r="K13402" s="199"/>
      <c r="M13402" s="199"/>
      <c r="N13402" s="200"/>
      <c r="P13402" s="199"/>
    </row>
    <row r="13403" spans="7:16" x14ac:dyDescent="0.2">
      <c r="G13403" s="199"/>
      <c r="I13403" s="199"/>
      <c r="K13403" s="199"/>
      <c r="M13403" s="199"/>
      <c r="N13403" s="200"/>
      <c r="P13403" s="199"/>
    </row>
    <row r="13404" spans="7:16" x14ac:dyDescent="0.2">
      <c r="G13404" s="199"/>
      <c r="I13404" s="199"/>
      <c r="K13404" s="199"/>
      <c r="M13404" s="199"/>
      <c r="N13404" s="200"/>
      <c r="P13404" s="199"/>
    </row>
    <row r="13405" spans="7:16" x14ac:dyDescent="0.2">
      <c r="G13405" s="199"/>
      <c r="I13405" s="199"/>
      <c r="K13405" s="199"/>
      <c r="M13405" s="199"/>
      <c r="N13405" s="200"/>
      <c r="P13405" s="199"/>
    </row>
    <row r="13406" spans="7:16" x14ac:dyDescent="0.2">
      <c r="G13406" s="199"/>
      <c r="I13406" s="199"/>
      <c r="K13406" s="199"/>
      <c r="M13406" s="199"/>
      <c r="N13406" s="200"/>
      <c r="P13406" s="199"/>
    </row>
    <row r="13407" spans="7:16" x14ac:dyDescent="0.2">
      <c r="G13407" s="199"/>
      <c r="I13407" s="199"/>
      <c r="K13407" s="199"/>
      <c r="M13407" s="199"/>
      <c r="N13407" s="200"/>
      <c r="P13407" s="199"/>
    </row>
    <row r="13408" spans="7:16" x14ac:dyDescent="0.2">
      <c r="G13408" s="199"/>
      <c r="I13408" s="199"/>
      <c r="K13408" s="199"/>
      <c r="M13408" s="199"/>
      <c r="N13408" s="200"/>
      <c r="P13408" s="199"/>
    </row>
    <row r="13409" spans="7:16" x14ac:dyDescent="0.2">
      <c r="G13409" s="199"/>
      <c r="I13409" s="199"/>
      <c r="K13409" s="199"/>
      <c r="M13409" s="199"/>
      <c r="N13409" s="200"/>
      <c r="P13409" s="199"/>
    </row>
    <row r="13410" spans="7:16" x14ac:dyDescent="0.2">
      <c r="G13410" s="199"/>
      <c r="I13410" s="199"/>
      <c r="K13410" s="199"/>
      <c r="M13410" s="199"/>
      <c r="N13410" s="200"/>
      <c r="P13410" s="199"/>
    </row>
    <row r="13411" spans="7:16" x14ac:dyDescent="0.2">
      <c r="G13411" s="199"/>
      <c r="I13411" s="199"/>
      <c r="K13411" s="199"/>
      <c r="M13411" s="199"/>
      <c r="N13411" s="200"/>
      <c r="P13411" s="199"/>
    </row>
    <row r="13412" spans="7:16" x14ac:dyDescent="0.2">
      <c r="G13412" s="199"/>
      <c r="I13412" s="199"/>
      <c r="K13412" s="199"/>
      <c r="M13412" s="199"/>
      <c r="N13412" s="200"/>
      <c r="P13412" s="199"/>
    </row>
    <row r="13413" spans="7:16" x14ac:dyDescent="0.2">
      <c r="G13413" s="199"/>
      <c r="I13413" s="199"/>
      <c r="K13413" s="199"/>
      <c r="M13413" s="199"/>
      <c r="N13413" s="200"/>
      <c r="P13413" s="199"/>
    </row>
    <row r="13414" spans="7:16" x14ac:dyDescent="0.2">
      <c r="G13414" s="199"/>
      <c r="I13414" s="199"/>
      <c r="K13414" s="199"/>
      <c r="M13414" s="199"/>
      <c r="N13414" s="200"/>
      <c r="P13414" s="199"/>
    </row>
    <row r="13415" spans="7:16" x14ac:dyDescent="0.2">
      <c r="G13415" s="199"/>
      <c r="I13415" s="199"/>
      <c r="K13415" s="199"/>
      <c r="M13415" s="199"/>
      <c r="N13415" s="200"/>
      <c r="P13415" s="199"/>
    </row>
    <row r="13416" spans="7:16" x14ac:dyDescent="0.2">
      <c r="G13416" s="199"/>
      <c r="I13416" s="199"/>
      <c r="K13416" s="199"/>
      <c r="M13416" s="199"/>
      <c r="N13416" s="200"/>
      <c r="P13416" s="199"/>
    </row>
    <row r="13417" spans="7:16" x14ac:dyDescent="0.2">
      <c r="G13417" s="199"/>
      <c r="I13417" s="199"/>
      <c r="K13417" s="199"/>
      <c r="M13417" s="199"/>
      <c r="N13417" s="200"/>
      <c r="P13417" s="199"/>
    </row>
    <row r="13418" spans="7:16" x14ac:dyDescent="0.2">
      <c r="G13418" s="199"/>
      <c r="I13418" s="199"/>
      <c r="K13418" s="199"/>
      <c r="M13418" s="199"/>
      <c r="N13418" s="200"/>
      <c r="P13418" s="199"/>
    </row>
    <row r="13419" spans="7:16" x14ac:dyDescent="0.2">
      <c r="G13419" s="199"/>
      <c r="I13419" s="199"/>
      <c r="K13419" s="199"/>
      <c r="M13419" s="199"/>
      <c r="N13419" s="200"/>
      <c r="P13419" s="199"/>
    </row>
    <row r="13420" spans="7:16" x14ac:dyDescent="0.2">
      <c r="G13420" s="199"/>
      <c r="I13420" s="199"/>
      <c r="K13420" s="199"/>
      <c r="M13420" s="199"/>
      <c r="N13420" s="200"/>
      <c r="P13420" s="199"/>
    </row>
    <row r="13421" spans="7:16" x14ac:dyDescent="0.2">
      <c r="G13421" s="199"/>
      <c r="I13421" s="199"/>
      <c r="K13421" s="199"/>
      <c r="M13421" s="199"/>
      <c r="N13421" s="200"/>
      <c r="P13421" s="199"/>
    </row>
    <row r="13422" spans="7:16" x14ac:dyDescent="0.2">
      <c r="G13422" s="199"/>
      <c r="I13422" s="199"/>
      <c r="K13422" s="199"/>
      <c r="M13422" s="199"/>
      <c r="N13422" s="200"/>
      <c r="P13422" s="199"/>
    </row>
    <row r="13423" spans="7:16" x14ac:dyDescent="0.2">
      <c r="G13423" s="199"/>
      <c r="I13423" s="199"/>
      <c r="K13423" s="199"/>
      <c r="M13423" s="199"/>
      <c r="N13423" s="200"/>
      <c r="P13423" s="199"/>
    </row>
    <row r="13424" spans="7:16" x14ac:dyDescent="0.2">
      <c r="G13424" s="199"/>
      <c r="I13424" s="199"/>
      <c r="K13424" s="199"/>
      <c r="M13424" s="199"/>
      <c r="N13424" s="200"/>
      <c r="P13424" s="199"/>
    </row>
    <row r="13425" spans="7:16" x14ac:dyDescent="0.2">
      <c r="G13425" s="199"/>
      <c r="I13425" s="199"/>
      <c r="K13425" s="199"/>
      <c r="M13425" s="199"/>
      <c r="N13425" s="200"/>
      <c r="P13425" s="199"/>
    </row>
    <row r="13426" spans="7:16" x14ac:dyDescent="0.2">
      <c r="G13426" s="199"/>
      <c r="I13426" s="199"/>
      <c r="K13426" s="199"/>
      <c r="M13426" s="199"/>
      <c r="N13426" s="200"/>
      <c r="P13426" s="199"/>
    </row>
    <row r="13427" spans="7:16" x14ac:dyDescent="0.2">
      <c r="G13427" s="199"/>
      <c r="I13427" s="199"/>
      <c r="K13427" s="199"/>
      <c r="M13427" s="199"/>
      <c r="N13427" s="200"/>
      <c r="P13427" s="199"/>
    </row>
    <row r="13428" spans="7:16" x14ac:dyDescent="0.2">
      <c r="G13428" s="199"/>
      <c r="I13428" s="199"/>
      <c r="K13428" s="199"/>
      <c r="M13428" s="199"/>
      <c r="N13428" s="200"/>
      <c r="P13428" s="199"/>
    </row>
    <row r="13429" spans="7:16" x14ac:dyDescent="0.2">
      <c r="G13429" s="199"/>
      <c r="I13429" s="199"/>
      <c r="K13429" s="199"/>
      <c r="M13429" s="199"/>
      <c r="N13429" s="200"/>
      <c r="P13429" s="199"/>
    </row>
    <row r="13430" spans="7:16" x14ac:dyDescent="0.2">
      <c r="G13430" s="199"/>
      <c r="I13430" s="199"/>
      <c r="K13430" s="199"/>
      <c r="M13430" s="199"/>
      <c r="N13430" s="200"/>
      <c r="P13430" s="199"/>
    </row>
    <row r="13431" spans="7:16" x14ac:dyDescent="0.2">
      <c r="G13431" s="199"/>
      <c r="I13431" s="199"/>
      <c r="K13431" s="199"/>
      <c r="M13431" s="199"/>
      <c r="N13431" s="200"/>
      <c r="P13431" s="199"/>
    </row>
    <row r="13432" spans="7:16" x14ac:dyDescent="0.2">
      <c r="G13432" s="199"/>
      <c r="I13432" s="199"/>
      <c r="K13432" s="199"/>
      <c r="M13432" s="199"/>
      <c r="N13432" s="200"/>
      <c r="P13432" s="199"/>
    </row>
    <row r="13433" spans="7:16" x14ac:dyDescent="0.2">
      <c r="G13433" s="199"/>
      <c r="I13433" s="199"/>
      <c r="K13433" s="199"/>
      <c r="M13433" s="199"/>
      <c r="N13433" s="200"/>
      <c r="P13433" s="199"/>
    </row>
    <row r="13434" spans="7:16" x14ac:dyDescent="0.2">
      <c r="G13434" s="199"/>
      <c r="I13434" s="199"/>
      <c r="K13434" s="199"/>
      <c r="M13434" s="199"/>
      <c r="N13434" s="200"/>
      <c r="P13434" s="199"/>
    </row>
    <row r="13435" spans="7:16" x14ac:dyDescent="0.2">
      <c r="G13435" s="199"/>
      <c r="I13435" s="199"/>
      <c r="K13435" s="199"/>
      <c r="M13435" s="199"/>
      <c r="N13435" s="200"/>
      <c r="P13435" s="199"/>
    </row>
    <row r="13436" spans="7:16" x14ac:dyDescent="0.2">
      <c r="G13436" s="199"/>
      <c r="I13436" s="199"/>
      <c r="K13436" s="199"/>
      <c r="M13436" s="199"/>
      <c r="N13436" s="200"/>
      <c r="P13436" s="199"/>
    </row>
    <row r="13437" spans="7:16" x14ac:dyDescent="0.2">
      <c r="G13437" s="199"/>
      <c r="I13437" s="199"/>
      <c r="K13437" s="199"/>
      <c r="M13437" s="199"/>
      <c r="N13437" s="200"/>
      <c r="P13437" s="199"/>
    </row>
    <row r="13438" spans="7:16" x14ac:dyDescent="0.2">
      <c r="G13438" s="199"/>
      <c r="I13438" s="199"/>
      <c r="K13438" s="199"/>
      <c r="M13438" s="199"/>
      <c r="N13438" s="200"/>
      <c r="P13438" s="199"/>
    </row>
    <row r="13439" spans="7:16" x14ac:dyDescent="0.2">
      <c r="G13439" s="199"/>
      <c r="I13439" s="199"/>
      <c r="K13439" s="199"/>
      <c r="M13439" s="199"/>
      <c r="N13439" s="200"/>
      <c r="P13439" s="199"/>
    </row>
    <row r="13440" spans="7:16" x14ac:dyDescent="0.2">
      <c r="G13440" s="199"/>
      <c r="I13440" s="199"/>
      <c r="K13440" s="199"/>
      <c r="M13440" s="199"/>
      <c r="N13440" s="200"/>
      <c r="P13440" s="199"/>
    </row>
    <row r="13441" spans="7:16" x14ac:dyDescent="0.2">
      <c r="G13441" s="199"/>
      <c r="I13441" s="199"/>
      <c r="K13441" s="199"/>
      <c r="M13441" s="199"/>
      <c r="N13441" s="200"/>
      <c r="P13441" s="199"/>
    </row>
    <row r="13442" spans="7:16" x14ac:dyDescent="0.2">
      <c r="G13442" s="199"/>
      <c r="I13442" s="199"/>
      <c r="K13442" s="199"/>
      <c r="M13442" s="199"/>
      <c r="N13442" s="200"/>
      <c r="P13442" s="199"/>
    </row>
    <row r="13443" spans="7:16" x14ac:dyDescent="0.2">
      <c r="G13443" s="199"/>
      <c r="I13443" s="199"/>
      <c r="K13443" s="199"/>
      <c r="M13443" s="199"/>
      <c r="N13443" s="200"/>
      <c r="P13443" s="199"/>
    </row>
    <row r="13444" spans="7:16" x14ac:dyDescent="0.2">
      <c r="G13444" s="199"/>
      <c r="I13444" s="199"/>
      <c r="K13444" s="199"/>
      <c r="M13444" s="199"/>
      <c r="N13444" s="200"/>
      <c r="P13444" s="199"/>
    </row>
    <row r="13445" spans="7:16" x14ac:dyDescent="0.2">
      <c r="G13445" s="199"/>
      <c r="I13445" s="199"/>
      <c r="K13445" s="199"/>
      <c r="M13445" s="199"/>
      <c r="N13445" s="200"/>
      <c r="P13445" s="199"/>
    </row>
    <row r="13446" spans="7:16" x14ac:dyDescent="0.2">
      <c r="G13446" s="199"/>
      <c r="I13446" s="199"/>
      <c r="K13446" s="199"/>
      <c r="M13446" s="199"/>
      <c r="N13446" s="200"/>
      <c r="P13446" s="199"/>
    </row>
    <row r="13447" spans="7:16" x14ac:dyDescent="0.2">
      <c r="G13447" s="199"/>
      <c r="I13447" s="199"/>
      <c r="K13447" s="199"/>
      <c r="M13447" s="199"/>
      <c r="N13447" s="200"/>
      <c r="P13447" s="199"/>
    </row>
    <row r="13448" spans="7:16" x14ac:dyDescent="0.2">
      <c r="G13448" s="199"/>
      <c r="I13448" s="199"/>
      <c r="K13448" s="199"/>
      <c r="M13448" s="199"/>
      <c r="N13448" s="200"/>
      <c r="P13448" s="199"/>
    </row>
    <row r="13449" spans="7:16" x14ac:dyDescent="0.2">
      <c r="G13449" s="199"/>
      <c r="I13449" s="199"/>
      <c r="K13449" s="199"/>
      <c r="M13449" s="199"/>
      <c r="N13449" s="200"/>
      <c r="P13449" s="199"/>
    </row>
    <row r="13450" spans="7:16" x14ac:dyDescent="0.2">
      <c r="G13450" s="199"/>
      <c r="I13450" s="199"/>
      <c r="K13450" s="199"/>
      <c r="M13450" s="199"/>
      <c r="N13450" s="200"/>
      <c r="P13450" s="199"/>
    </row>
    <row r="13451" spans="7:16" x14ac:dyDescent="0.2">
      <c r="G13451" s="199"/>
      <c r="I13451" s="199"/>
      <c r="K13451" s="199"/>
      <c r="M13451" s="199"/>
      <c r="N13451" s="200"/>
      <c r="P13451" s="199"/>
    </row>
    <row r="13452" spans="7:16" x14ac:dyDescent="0.2">
      <c r="G13452" s="199"/>
      <c r="I13452" s="199"/>
      <c r="K13452" s="199"/>
      <c r="M13452" s="199"/>
      <c r="N13452" s="200"/>
      <c r="P13452" s="199"/>
    </row>
    <row r="13453" spans="7:16" x14ac:dyDescent="0.2">
      <c r="G13453" s="199"/>
      <c r="I13453" s="199"/>
      <c r="K13453" s="199"/>
      <c r="M13453" s="199"/>
      <c r="N13453" s="200"/>
      <c r="P13453" s="199"/>
    </row>
    <row r="13454" spans="7:16" x14ac:dyDescent="0.2">
      <c r="G13454" s="199"/>
      <c r="I13454" s="199"/>
      <c r="K13454" s="199"/>
      <c r="M13454" s="199"/>
      <c r="N13454" s="200"/>
      <c r="P13454" s="199"/>
    </row>
    <row r="13455" spans="7:16" x14ac:dyDescent="0.2">
      <c r="G13455" s="199"/>
      <c r="I13455" s="199"/>
      <c r="K13455" s="199"/>
      <c r="M13455" s="199"/>
      <c r="N13455" s="200"/>
      <c r="P13455" s="199"/>
    </row>
    <row r="13456" spans="7:16" x14ac:dyDescent="0.2">
      <c r="G13456" s="199"/>
      <c r="I13456" s="199"/>
      <c r="K13456" s="199"/>
      <c r="M13456" s="199"/>
      <c r="N13456" s="200"/>
      <c r="P13456" s="199"/>
    </row>
    <row r="13457" spans="7:16" x14ac:dyDescent="0.2">
      <c r="G13457" s="199"/>
      <c r="I13457" s="199"/>
      <c r="K13457" s="199"/>
      <c r="M13457" s="199"/>
      <c r="N13457" s="200"/>
      <c r="P13457" s="199"/>
    </row>
    <row r="13458" spans="7:16" x14ac:dyDescent="0.2">
      <c r="G13458" s="199"/>
      <c r="I13458" s="199"/>
      <c r="K13458" s="199"/>
      <c r="M13458" s="199"/>
      <c r="N13458" s="200"/>
      <c r="P13458" s="199"/>
    </row>
    <row r="13459" spans="7:16" x14ac:dyDescent="0.2">
      <c r="G13459" s="199"/>
      <c r="I13459" s="199"/>
      <c r="K13459" s="199"/>
      <c r="M13459" s="199"/>
      <c r="N13459" s="200"/>
      <c r="P13459" s="199"/>
    </row>
    <row r="13460" spans="7:16" x14ac:dyDescent="0.2">
      <c r="G13460" s="199"/>
      <c r="I13460" s="199"/>
      <c r="K13460" s="199"/>
      <c r="M13460" s="199"/>
      <c r="N13460" s="200"/>
      <c r="P13460" s="199"/>
    </row>
    <row r="13461" spans="7:16" x14ac:dyDescent="0.2">
      <c r="G13461" s="199"/>
      <c r="I13461" s="199"/>
      <c r="K13461" s="199"/>
      <c r="M13461" s="199"/>
      <c r="N13461" s="200"/>
      <c r="P13461" s="199"/>
    </row>
    <row r="13462" spans="7:16" x14ac:dyDescent="0.2">
      <c r="G13462" s="199"/>
      <c r="I13462" s="199"/>
      <c r="K13462" s="199"/>
      <c r="M13462" s="199"/>
      <c r="N13462" s="200"/>
      <c r="P13462" s="199"/>
    </row>
    <row r="13463" spans="7:16" x14ac:dyDescent="0.2">
      <c r="G13463" s="199"/>
      <c r="I13463" s="199"/>
      <c r="K13463" s="199"/>
      <c r="M13463" s="199"/>
      <c r="N13463" s="200"/>
      <c r="P13463" s="199"/>
    </row>
    <row r="13464" spans="7:16" x14ac:dyDescent="0.2">
      <c r="G13464" s="199"/>
      <c r="I13464" s="199"/>
      <c r="K13464" s="199"/>
      <c r="M13464" s="199"/>
      <c r="N13464" s="200"/>
      <c r="P13464" s="199"/>
    </row>
    <row r="13465" spans="7:16" x14ac:dyDescent="0.2">
      <c r="G13465" s="199"/>
      <c r="I13465" s="199"/>
      <c r="K13465" s="199"/>
      <c r="M13465" s="199"/>
      <c r="N13465" s="200"/>
      <c r="P13465" s="199"/>
    </row>
    <row r="13466" spans="7:16" x14ac:dyDescent="0.2">
      <c r="G13466" s="199"/>
      <c r="I13466" s="199"/>
      <c r="K13466" s="199"/>
      <c r="M13466" s="199"/>
      <c r="N13466" s="200"/>
      <c r="P13466" s="199"/>
    </row>
    <row r="13467" spans="7:16" x14ac:dyDescent="0.2">
      <c r="G13467" s="199"/>
      <c r="I13467" s="199"/>
      <c r="K13467" s="199"/>
      <c r="M13467" s="199"/>
      <c r="N13467" s="200"/>
      <c r="P13467" s="199"/>
    </row>
    <row r="13468" spans="7:16" x14ac:dyDescent="0.2">
      <c r="G13468" s="199"/>
      <c r="I13468" s="199"/>
      <c r="K13468" s="199"/>
      <c r="M13468" s="199"/>
      <c r="N13468" s="200"/>
      <c r="P13468" s="199"/>
    </row>
    <row r="13469" spans="7:16" x14ac:dyDescent="0.2">
      <c r="G13469" s="199"/>
      <c r="I13469" s="199"/>
      <c r="K13469" s="199"/>
      <c r="M13469" s="199"/>
      <c r="N13469" s="200"/>
      <c r="P13469" s="199"/>
    </row>
    <row r="13470" spans="7:16" x14ac:dyDescent="0.2">
      <c r="G13470" s="199"/>
      <c r="I13470" s="199"/>
      <c r="K13470" s="199"/>
      <c r="M13470" s="199"/>
      <c r="N13470" s="200"/>
      <c r="P13470" s="199"/>
    </row>
    <row r="13471" spans="7:16" x14ac:dyDescent="0.2">
      <c r="G13471" s="199"/>
      <c r="I13471" s="199"/>
      <c r="K13471" s="199"/>
      <c r="M13471" s="199"/>
      <c r="N13471" s="200"/>
      <c r="P13471" s="199"/>
    </row>
    <row r="13472" spans="7:16" x14ac:dyDescent="0.2">
      <c r="G13472" s="199"/>
      <c r="I13472" s="199"/>
      <c r="K13472" s="199"/>
      <c r="M13472" s="199"/>
      <c r="N13472" s="200"/>
      <c r="P13472" s="199"/>
    </row>
    <row r="13473" spans="7:16" x14ac:dyDescent="0.2">
      <c r="G13473" s="199"/>
      <c r="I13473" s="199"/>
      <c r="K13473" s="199"/>
      <c r="M13473" s="199"/>
      <c r="N13473" s="200"/>
      <c r="P13473" s="199"/>
    </row>
    <row r="13474" spans="7:16" x14ac:dyDescent="0.2">
      <c r="G13474" s="199"/>
      <c r="I13474" s="199"/>
      <c r="K13474" s="199"/>
      <c r="M13474" s="199"/>
      <c r="N13474" s="200"/>
      <c r="P13474" s="199"/>
    </row>
    <row r="13475" spans="7:16" x14ac:dyDescent="0.2">
      <c r="G13475" s="199"/>
      <c r="I13475" s="199"/>
      <c r="K13475" s="199"/>
      <c r="M13475" s="199"/>
      <c r="N13475" s="200"/>
      <c r="P13475" s="199"/>
    </row>
    <row r="13476" spans="7:16" x14ac:dyDescent="0.2">
      <c r="G13476" s="199"/>
      <c r="I13476" s="199"/>
      <c r="K13476" s="199"/>
      <c r="M13476" s="199"/>
      <c r="N13476" s="200"/>
      <c r="P13476" s="199"/>
    </row>
    <row r="13477" spans="7:16" x14ac:dyDescent="0.2">
      <c r="G13477" s="199"/>
      <c r="I13477" s="199"/>
      <c r="K13477" s="199"/>
      <c r="M13477" s="199"/>
      <c r="N13477" s="200"/>
      <c r="P13477" s="199"/>
    </row>
    <row r="13478" spans="7:16" x14ac:dyDescent="0.2">
      <c r="G13478" s="199"/>
      <c r="I13478" s="199"/>
      <c r="K13478" s="199"/>
      <c r="M13478" s="199"/>
      <c r="N13478" s="200"/>
      <c r="P13478" s="199"/>
    </row>
    <row r="13479" spans="7:16" x14ac:dyDescent="0.2">
      <c r="G13479" s="199"/>
      <c r="I13479" s="199"/>
      <c r="K13479" s="199"/>
      <c r="M13479" s="199"/>
      <c r="N13479" s="200"/>
      <c r="P13479" s="199"/>
    </row>
    <row r="13480" spans="7:16" x14ac:dyDescent="0.2">
      <c r="G13480" s="199"/>
      <c r="I13480" s="199"/>
      <c r="K13480" s="199"/>
      <c r="M13480" s="199"/>
      <c r="N13480" s="200"/>
      <c r="P13480" s="199"/>
    </row>
    <row r="13481" spans="7:16" x14ac:dyDescent="0.2">
      <c r="G13481" s="199"/>
      <c r="I13481" s="199"/>
      <c r="K13481" s="199"/>
      <c r="M13481" s="199"/>
      <c r="N13481" s="200"/>
      <c r="P13481" s="199"/>
    </row>
    <row r="13482" spans="7:16" x14ac:dyDescent="0.2">
      <c r="G13482" s="199"/>
      <c r="I13482" s="199"/>
      <c r="K13482" s="199"/>
      <c r="M13482" s="199"/>
      <c r="N13482" s="200"/>
      <c r="P13482" s="199"/>
    </row>
    <row r="13483" spans="7:16" x14ac:dyDescent="0.2">
      <c r="G13483" s="199"/>
      <c r="I13483" s="199"/>
      <c r="K13483" s="199"/>
      <c r="M13483" s="199"/>
      <c r="N13483" s="200"/>
      <c r="P13483" s="199"/>
    </row>
    <row r="13484" spans="7:16" x14ac:dyDescent="0.2">
      <c r="G13484" s="199"/>
      <c r="I13484" s="199"/>
      <c r="K13484" s="199"/>
      <c r="M13484" s="199"/>
      <c r="N13484" s="200"/>
      <c r="P13484" s="199"/>
    </row>
    <row r="13485" spans="7:16" x14ac:dyDescent="0.2">
      <c r="G13485" s="199"/>
      <c r="I13485" s="199"/>
      <c r="K13485" s="199"/>
      <c r="M13485" s="199"/>
      <c r="N13485" s="200"/>
      <c r="P13485" s="199"/>
    </row>
    <row r="13486" spans="7:16" x14ac:dyDescent="0.2">
      <c r="G13486" s="199"/>
      <c r="I13486" s="199"/>
      <c r="K13486" s="199"/>
      <c r="M13486" s="199"/>
      <c r="N13486" s="200"/>
      <c r="P13486" s="199"/>
    </row>
    <row r="13487" spans="7:16" x14ac:dyDescent="0.2">
      <c r="G13487" s="199"/>
      <c r="I13487" s="199"/>
      <c r="K13487" s="199"/>
      <c r="M13487" s="199"/>
      <c r="N13487" s="200"/>
      <c r="P13487" s="199"/>
    </row>
    <row r="13488" spans="7:16" x14ac:dyDescent="0.2">
      <c r="G13488" s="199"/>
      <c r="I13488" s="199"/>
      <c r="K13488" s="199"/>
      <c r="M13488" s="199"/>
      <c r="N13488" s="200"/>
      <c r="P13488" s="199"/>
    </row>
    <row r="13489" spans="7:16" x14ac:dyDescent="0.2">
      <c r="G13489" s="199"/>
      <c r="I13489" s="199"/>
      <c r="K13489" s="199"/>
      <c r="M13489" s="199"/>
      <c r="N13489" s="200"/>
      <c r="P13489" s="199"/>
    </row>
    <row r="13490" spans="7:16" x14ac:dyDescent="0.2">
      <c r="G13490" s="199"/>
      <c r="I13490" s="199"/>
      <c r="K13490" s="199"/>
      <c r="M13490" s="199"/>
      <c r="N13490" s="200"/>
      <c r="P13490" s="199"/>
    </row>
    <row r="13491" spans="7:16" x14ac:dyDescent="0.2">
      <c r="G13491" s="199"/>
      <c r="I13491" s="199"/>
      <c r="K13491" s="199"/>
      <c r="M13491" s="199"/>
      <c r="N13491" s="200"/>
      <c r="P13491" s="199"/>
    </row>
    <row r="13492" spans="7:16" x14ac:dyDescent="0.2">
      <c r="G13492" s="199"/>
      <c r="I13492" s="199"/>
      <c r="K13492" s="199"/>
      <c r="M13492" s="199"/>
      <c r="N13492" s="200"/>
      <c r="P13492" s="199"/>
    </row>
    <row r="13493" spans="7:16" x14ac:dyDescent="0.2">
      <c r="G13493" s="199"/>
      <c r="I13493" s="199"/>
      <c r="K13493" s="199"/>
      <c r="M13493" s="199"/>
      <c r="N13493" s="200"/>
      <c r="P13493" s="199"/>
    </row>
    <row r="13494" spans="7:16" x14ac:dyDescent="0.2">
      <c r="G13494" s="199"/>
      <c r="I13494" s="199"/>
      <c r="K13494" s="199"/>
      <c r="M13494" s="199"/>
      <c r="N13494" s="200"/>
      <c r="P13494" s="199"/>
    </row>
    <row r="13495" spans="7:16" x14ac:dyDescent="0.2">
      <c r="G13495" s="199"/>
      <c r="I13495" s="199"/>
      <c r="K13495" s="199"/>
      <c r="M13495" s="199"/>
      <c r="N13495" s="200"/>
      <c r="P13495" s="199"/>
    </row>
    <row r="13496" spans="7:16" x14ac:dyDescent="0.2">
      <c r="G13496" s="199"/>
      <c r="I13496" s="199"/>
      <c r="K13496" s="199"/>
      <c r="M13496" s="199"/>
      <c r="N13496" s="200"/>
      <c r="P13496" s="199"/>
    </row>
    <row r="13497" spans="7:16" x14ac:dyDescent="0.2">
      <c r="G13497" s="199"/>
      <c r="I13497" s="199"/>
      <c r="K13497" s="199"/>
      <c r="M13497" s="199"/>
      <c r="N13497" s="200"/>
      <c r="P13497" s="199"/>
    </row>
    <row r="13498" spans="7:16" x14ac:dyDescent="0.2">
      <c r="G13498" s="199"/>
      <c r="I13498" s="199"/>
      <c r="K13498" s="199"/>
      <c r="M13498" s="199"/>
      <c r="N13498" s="200"/>
      <c r="P13498" s="199"/>
    </row>
    <row r="13499" spans="7:16" x14ac:dyDescent="0.2">
      <c r="G13499" s="199"/>
      <c r="I13499" s="199"/>
      <c r="K13499" s="199"/>
      <c r="M13499" s="199"/>
      <c r="N13499" s="200"/>
      <c r="P13499" s="199"/>
    </row>
    <row r="13500" spans="7:16" x14ac:dyDescent="0.2">
      <c r="G13500" s="199"/>
      <c r="I13500" s="199"/>
      <c r="K13500" s="199"/>
      <c r="M13500" s="199"/>
      <c r="N13500" s="200"/>
      <c r="P13500" s="199"/>
    </row>
    <row r="13501" spans="7:16" x14ac:dyDescent="0.2">
      <c r="G13501" s="199"/>
      <c r="I13501" s="199"/>
      <c r="K13501" s="199"/>
      <c r="M13501" s="199"/>
      <c r="N13501" s="200"/>
      <c r="P13501" s="199"/>
    </row>
    <row r="13502" spans="7:16" x14ac:dyDescent="0.2">
      <c r="G13502" s="199"/>
      <c r="I13502" s="199"/>
      <c r="K13502" s="199"/>
      <c r="M13502" s="199"/>
      <c r="N13502" s="200"/>
      <c r="P13502" s="199"/>
    </row>
    <row r="13503" spans="7:16" x14ac:dyDescent="0.2">
      <c r="G13503" s="199"/>
      <c r="I13503" s="199"/>
      <c r="K13503" s="199"/>
      <c r="M13503" s="199"/>
      <c r="N13503" s="200"/>
      <c r="P13503" s="199"/>
    </row>
    <row r="13504" spans="7:16" x14ac:dyDescent="0.2">
      <c r="G13504" s="199"/>
      <c r="I13504" s="199"/>
      <c r="K13504" s="199"/>
      <c r="M13504" s="199"/>
      <c r="N13504" s="200"/>
      <c r="P13504" s="199"/>
    </row>
    <row r="13505" spans="7:16" x14ac:dyDescent="0.2">
      <c r="G13505" s="199"/>
      <c r="I13505" s="199"/>
      <c r="K13505" s="199"/>
      <c r="M13505" s="199"/>
      <c r="N13505" s="200"/>
      <c r="P13505" s="199"/>
    </row>
    <row r="13506" spans="7:16" x14ac:dyDescent="0.2">
      <c r="G13506" s="199"/>
      <c r="I13506" s="199"/>
      <c r="K13506" s="199"/>
      <c r="M13506" s="199"/>
      <c r="N13506" s="200"/>
      <c r="P13506" s="199"/>
    </row>
    <row r="13507" spans="7:16" x14ac:dyDescent="0.2">
      <c r="G13507" s="199"/>
      <c r="I13507" s="199"/>
      <c r="K13507" s="199"/>
      <c r="M13507" s="199"/>
      <c r="N13507" s="200"/>
      <c r="P13507" s="199"/>
    </row>
    <row r="13508" spans="7:16" x14ac:dyDescent="0.2">
      <c r="G13508" s="199"/>
      <c r="I13508" s="199"/>
      <c r="K13508" s="199"/>
      <c r="M13508" s="199"/>
      <c r="N13508" s="200"/>
      <c r="P13508" s="199"/>
    </row>
    <row r="13509" spans="7:16" x14ac:dyDescent="0.2">
      <c r="G13509" s="199"/>
      <c r="I13509" s="199"/>
      <c r="K13509" s="199"/>
      <c r="M13509" s="199"/>
      <c r="N13509" s="200"/>
      <c r="P13509" s="199"/>
    </row>
    <row r="13510" spans="7:16" x14ac:dyDescent="0.2">
      <c r="G13510" s="199"/>
      <c r="I13510" s="199"/>
      <c r="K13510" s="199"/>
      <c r="M13510" s="199"/>
      <c r="N13510" s="200"/>
      <c r="P13510" s="199"/>
    </row>
    <row r="13511" spans="7:16" x14ac:dyDescent="0.2">
      <c r="G13511" s="199"/>
      <c r="I13511" s="199"/>
      <c r="K13511" s="199"/>
      <c r="M13511" s="199"/>
      <c r="N13511" s="200"/>
      <c r="P13511" s="199"/>
    </row>
    <row r="13512" spans="7:16" x14ac:dyDescent="0.2">
      <c r="G13512" s="199"/>
      <c r="I13512" s="199"/>
      <c r="K13512" s="199"/>
      <c r="M13512" s="199"/>
      <c r="N13512" s="200"/>
      <c r="P13512" s="199"/>
    </row>
    <row r="13513" spans="7:16" x14ac:dyDescent="0.2">
      <c r="G13513" s="199"/>
      <c r="I13513" s="199"/>
      <c r="K13513" s="199"/>
      <c r="M13513" s="199"/>
      <c r="N13513" s="200"/>
      <c r="P13513" s="199"/>
    </row>
    <row r="13514" spans="7:16" x14ac:dyDescent="0.2">
      <c r="G13514" s="199"/>
      <c r="I13514" s="199"/>
      <c r="K13514" s="199"/>
      <c r="M13514" s="199"/>
      <c r="N13514" s="200"/>
      <c r="P13514" s="199"/>
    </row>
    <row r="13515" spans="7:16" x14ac:dyDescent="0.2">
      <c r="G13515" s="199"/>
      <c r="I13515" s="199"/>
      <c r="K13515" s="199"/>
      <c r="M13515" s="199"/>
      <c r="N13515" s="200"/>
      <c r="P13515" s="199"/>
    </row>
    <row r="13516" spans="7:16" x14ac:dyDescent="0.2">
      <c r="G13516" s="199"/>
      <c r="I13516" s="199"/>
      <c r="K13516" s="199"/>
      <c r="M13516" s="199"/>
      <c r="N13516" s="200"/>
      <c r="P13516" s="199"/>
    </row>
    <row r="13517" spans="7:16" x14ac:dyDescent="0.2">
      <c r="G13517" s="199"/>
      <c r="I13517" s="199"/>
      <c r="K13517" s="199"/>
      <c r="M13517" s="199"/>
      <c r="N13517" s="200"/>
      <c r="P13517" s="199"/>
    </row>
    <row r="13518" spans="7:16" x14ac:dyDescent="0.2">
      <c r="G13518" s="199"/>
      <c r="I13518" s="199"/>
      <c r="K13518" s="199"/>
      <c r="M13518" s="199"/>
      <c r="N13518" s="200"/>
      <c r="P13518" s="199"/>
    </row>
    <row r="13519" spans="7:16" x14ac:dyDescent="0.2">
      <c r="G13519" s="199"/>
      <c r="I13519" s="199"/>
      <c r="K13519" s="199"/>
      <c r="M13519" s="199"/>
      <c r="N13519" s="200"/>
      <c r="P13519" s="199"/>
    </row>
    <row r="13520" spans="7:16" x14ac:dyDescent="0.2">
      <c r="G13520" s="199"/>
      <c r="I13520" s="199"/>
      <c r="K13520" s="199"/>
      <c r="M13520" s="199"/>
      <c r="N13520" s="200"/>
      <c r="P13520" s="199"/>
    </row>
    <row r="13521" spans="7:16" x14ac:dyDescent="0.2">
      <c r="G13521" s="199"/>
      <c r="I13521" s="199"/>
      <c r="K13521" s="199"/>
      <c r="M13521" s="199"/>
      <c r="N13521" s="200"/>
      <c r="P13521" s="199"/>
    </row>
    <row r="13522" spans="7:16" x14ac:dyDescent="0.2">
      <c r="G13522" s="199"/>
      <c r="I13522" s="199"/>
      <c r="K13522" s="199"/>
      <c r="M13522" s="199"/>
      <c r="N13522" s="200"/>
      <c r="P13522" s="199"/>
    </row>
    <row r="13523" spans="7:16" x14ac:dyDescent="0.2">
      <c r="G13523" s="199"/>
      <c r="I13523" s="199"/>
      <c r="K13523" s="199"/>
      <c r="M13523" s="199"/>
      <c r="N13523" s="200"/>
      <c r="P13523" s="199"/>
    </row>
    <row r="13524" spans="7:16" x14ac:dyDescent="0.2">
      <c r="G13524" s="199"/>
      <c r="I13524" s="199"/>
      <c r="K13524" s="199"/>
      <c r="M13524" s="199"/>
      <c r="N13524" s="200"/>
      <c r="P13524" s="199"/>
    </row>
    <row r="13525" spans="7:16" x14ac:dyDescent="0.2">
      <c r="G13525" s="199"/>
      <c r="I13525" s="199"/>
      <c r="K13525" s="199"/>
      <c r="M13525" s="199"/>
      <c r="N13525" s="200"/>
      <c r="P13525" s="199"/>
    </row>
    <row r="13526" spans="7:16" x14ac:dyDescent="0.2">
      <c r="G13526" s="199"/>
      <c r="I13526" s="199"/>
      <c r="K13526" s="199"/>
      <c r="M13526" s="199"/>
      <c r="N13526" s="200"/>
      <c r="P13526" s="199"/>
    </row>
    <row r="13527" spans="7:16" x14ac:dyDescent="0.2">
      <c r="G13527" s="199"/>
      <c r="I13527" s="199"/>
      <c r="K13527" s="199"/>
      <c r="M13527" s="199"/>
      <c r="N13527" s="200"/>
      <c r="P13527" s="199"/>
    </row>
    <row r="13528" spans="7:16" x14ac:dyDescent="0.2">
      <c r="G13528" s="199"/>
      <c r="I13528" s="199"/>
      <c r="K13528" s="199"/>
      <c r="M13528" s="199"/>
      <c r="N13528" s="200"/>
      <c r="P13528" s="199"/>
    </row>
    <row r="13529" spans="7:16" x14ac:dyDescent="0.2">
      <c r="G13529" s="199"/>
      <c r="I13529" s="199"/>
      <c r="K13529" s="199"/>
      <c r="M13529" s="199"/>
      <c r="N13529" s="200"/>
      <c r="P13529" s="199"/>
    </row>
    <row r="13530" spans="7:16" x14ac:dyDescent="0.2">
      <c r="G13530" s="199"/>
      <c r="I13530" s="199"/>
      <c r="K13530" s="199"/>
      <c r="M13530" s="199"/>
      <c r="N13530" s="200"/>
      <c r="P13530" s="199"/>
    </row>
    <row r="13531" spans="7:16" x14ac:dyDescent="0.2">
      <c r="G13531" s="199"/>
      <c r="I13531" s="199"/>
      <c r="K13531" s="199"/>
      <c r="M13531" s="199"/>
      <c r="N13531" s="200"/>
      <c r="P13531" s="199"/>
    </row>
    <row r="13532" spans="7:16" x14ac:dyDescent="0.2">
      <c r="G13532" s="199"/>
      <c r="I13532" s="199"/>
      <c r="K13532" s="199"/>
      <c r="M13532" s="199"/>
      <c r="N13532" s="200"/>
      <c r="P13532" s="199"/>
    </row>
    <row r="13533" spans="7:16" x14ac:dyDescent="0.2">
      <c r="G13533" s="199"/>
      <c r="I13533" s="199"/>
      <c r="K13533" s="199"/>
      <c r="M13533" s="199"/>
      <c r="N13533" s="200"/>
      <c r="P13533" s="199"/>
    </row>
    <row r="13534" spans="7:16" x14ac:dyDescent="0.2">
      <c r="G13534" s="199"/>
      <c r="I13534" s="199"/>
      <c r="K13534" s="199"/>
      <c r="M13534" s="199"/>
      <c r="N13534" s="200"/>
      <c r="P13534" s="199"/>
    </row>
    <row r="13535" spans="7:16" x14ac:dyDescent="0.2">
      <c r="G13535" s="199"/>
      <c r="I13535" s="199"/>
      <c r="K13535" s="199"/>
      <c r="M13535" s="199"/>
      <c r="N13535" s="200"/>
      <c r="P13535" s="199"/>
    </row>
    <row r="13536" spans="7:16" x14ac:dyDescent="0.2">
      <c r="G13536" s="199"/>
      <c r="I13536" s="199"/>
      <c r="K13536" s="199"/>
      <c r="M13536" s="199"/>
      <c r="N13536" s="200"/>
      <c r="P13536" s="199"/>
    </row>
    <row r="13537" spans="7:16" x14ac:dyDescent="0.2">
      <c r="G13537" s="199"/>
      <c r="I13537" s="199"/>
      <c r="K13537" s="199"/>
      <c r="M13537" s="199"/>
      <c r="N13537" s="200"/>
      <c r="P13537" s="199"/>
    </row>
    <row r="13538" spans="7:16" x14ac:dyDescent="0.2">
      <c r="G13538" s="199"/>
      <c r="I13538" s="199"/>
      <c r="K13538" s="199"/>
      <c r="M13538" s="199"/>
      <c r="N13538" s="200"/>
      <c r="P13538" s="199"/>
    </row>
    <row r="13539" spans="7:16" x14ac:dyDescent="0.2">
      <c r="G13539" s="199"/>
      <c r="I13539" s="199"/>
      <c r="K13539" s="199"/>
      <c r="M13539" s="199"/>
      <c r="N13539" s="200"/>
      <c r="P13539" s="199"/>
    </row>
    <row r="13540" spans="7:16" x14ac:dyDescent="0.2">
      <c r="G13540" s="199"/>
      <c r="I13540" s="199"/>
      <c r="K13540" s="199"/>
      <c r="M13540" s="199"/>
      <c r="N13540" s="200"/>
      <c r="P13540" s="199"/>
    </row>
    <row r="13541" spans="7:16" x14ac:dyDescent="0.2">
      <c r="G13541" s="199"/>
      <c r="I13541" s="199"/>
      <c r="K13541" s="199"/>
      <c r="M13541" s="199"/>
      <c r="N13541" s="200"/>
      <c r="P13541" s="199"/>
    </row>
    <row r="13542" spans="7:16" x14ac:dyDescent="0.2">
      <c r="G13542" s="199"/>
      <c r="I13542" s="199"/>
      <c r="K13542" s="199"/>
      <c r="M13542" s="199"/>
      <c r="N13542" s="200"/>
      <c r="P13542" s="199"/>
    </row>
    <row r="13543" spans="7:16" x14ac:dyDescent="0.2">
      <c r="G13543" s="199"/>
      <c r="I13543" s="199"/>
      <c r="K13543" s="199"/>
      <c r="M13543" s="199"/>
      <c r="N13543" s="200"/>
      <c r="P13543" s="199"/>
    </row>
    <row r="13544" spans="7:16" x14ac:dyDescent="0.2">
      <c r="G13544" s="199"/>
      <c r="I13544" s="199"/>
      <c r="K13544" s="199"/>
      <c r="M13544" s="199"/>
      <c r="N13544" s="200"/>
      <c r="P13544" s="199"/>
    </row>
    <row r="13545" spans="7:16" x14ac:dyDescent="0.2">
      <c r="G13545" s="199"/>
      <c r="I13545" s="199"/>
      <c r="K13545" s="199"/>
      <c r="M13545" s="199"/>
      <c r="N13545" s="200"/>
      <c r="P13545" s="199"/>
    </row>
    <row r="13546" spans="7:16" x14ac:dyDescent="0.2">
      <c r="G13546" s="199"/>
      <c r="I13546" s="199"/>
      <c r="K13546" s="199"/>
      <c r="M13546" s="199"/>
      <c r="N13546" s="200"/>
      <c r="P13546" s="199"/>
    </row>
    <row r="13547" spans="7:16" x14ac:dyDescent="0.2">
      <c r="G13547" s="199"/>
      <c r="I13547" s="199"/>
      <c r="K13547" s="199"/>
      <c r="M13547" s="199"/>
      <c r="N13547" s="200"/>
      <c r="P13547" s="199"/>
    </row>
    <row r="13548" spans="7:16" x14ac:dyDescent="0.2">
      <c r="G13548" s="199"/>
      <c r="I13548" s="199"/>
      <c r="K13548" s="199"/>
      <c r="M13548" s="199"/>
      <c r="N13548" s="200"/>
      <c r="P13548" s="199"/>
    </row>
    <row r="13549" spans="7:16" x14ac:dyDescent="0.2">
      <c r="G13549" s="199"/>
      <c r="I13549" s="199"/>
      <c r="K13549" s="199"/>
      <c r="M13549" s="199"/>
      <c r="N13549" s="200"/>
      <c r="P13549" s="199"/>
    </row>
    <row r="13550" spans="7:16" x14ac:dyDescent="0.2">
      <c r="G13550" s="199"/>
      <c r="I13550" s="199"/>
      <c r="K13550" s="199"/>
      <c r="M13550" s="199"/>
      <c r="N13550" s="200"/>
      <c r="P13550" s="199"/>
    </row>
    <row r="13551" spans="7:16" x14ac:dyDescent="0.2">
      <c r="G13551" s="199"/>
      <c r="I13551" s="199"/>
      <c r="K13551" s="199"/>
      <c r="M13551" s="199"/>
      <c r="N13551" s="200"/>
      <c r="P13551" s="199"/>
    </row>
    <row r="13552" spans="7:16" x14ac:dyDescent="0.2">
      <c r="G13552" s="199"/>
      <c r="I13552" s="199"/>
      <c r="K13552" s="199"/>
      <c r="M13552" s="199"/>
      <c r="N13552" s="200"/>
      <c r="P13552" s="199"/>
    </row>
    <row r="13553" spans="7:16" x14ac:dyDescent="0.2">
      <c r="G13553" s="199"/>
      <c r="I13553" s="199"/>
      <c r="K13553" s="199"/>
      <c r="M13553" s="199"/>
      <c r="N13553" s="200"/>
      <c r="P13553" s="199"/>
    </row>
    <row r="13554" spans="7:16" x14ac:dyDescent="0.2">
      <c r="G13554" s="199"/>
      <c r="I13554" s="199"/>
      <c r="K13554" s="199"/>
      <c r="M13554" s="199"/>
      <c r="N13554" s="200"/>
      <c r="P13554" s="199"/>
    </row>
    <row r="13555" spans="7:16" x14ac:dyDescent="0.2">
      <c r="G13555" s="199"/>
      <c r="I13555" s="199"/>
      <c r="K13555" s="199"/>
      <c r="M13555" s="199"/>
      <c r="N13555" s="200"/>
      <c r="P13555" s="199"/>
    </row>
    <row r="13556" spans="7:16" x14ac:dyDescent="0.2">
      <c r="G13556" s="199"/>
      <c r="I13556" s="199"/>
      <c r="K13556" s="199"/>
      <c r="M13556" s="199"/>
      <c r="N13556" s="200"/>
      <c r="P13556" s="199"/>
    </row>
    <row r="13557" spans="7:16" x14ac:dyDescent="0.2">
      <c r="G13557" s="199"/>
      <c r="I13557" s="199"/>
      <c r="K13557" s="199"/>
      <c r="M13557" s="199"/>
      <c r="N13557" s="200"/>
      <c r="P13557" s="199"/>
    </row>
    <row r="13558" spans="7:16" x14ac:dyDescent="0.2">
      <c r="G13558" s="199"/>
      <c r="I13558" s="199"/>
      <c r="K13558" s="199"/>
      <c r="M13558" s="199"/>
      <c r="N13558" s="200"/>
      <c r="P13558" s="199"/>
    </row>
    <row r="13559" spans="7:16" x14ac:dyDescent="0.2">
      <c r="G13559" s="199"/>
      <c r="I13559" s="199"/>
      <c r="K13559" s="199"/>
      <c r="M13559" s="199"/>
      <c r="N13559" s="200"/>
      <c r="P13559" s="199"/>
    </row>
    <row r="13560" spans="7:16" x14ac:dyDescent="0.2">
      <c r="G13560" s="199"/>
      <c r="I13560" s="199"/>
      <c r="K13560" s="199"/>
      <c r="M13560" s="199"/>
      <c r="N13560" s="200"/>
      <c r="P13560" s="199"/>
    </row>
    <row r="13561" spans="7:16" x14ac:dyDescent="0.2">
      <c r="G13561" s="199"/>
      <c r="I13561" s="199"/>
      <c r="K13561" s="199"/>
      <c r="M13561" s="199"/>
      <c r="N13561" s="200"/>
      <c r="P13561" s="199"/>
    </row>
    <row r="13562" spans="7:16" x14ac:dyDescent="0.2">
      <c r="G13562" s="199"/>
      <c r="I13562" s="199"/>
      <c r="K13562" s="199"/>
      <c r="M13562" s="199"/>
      <c r="N13562" s="200"/>
      <c r="P13562" s="199"/>
    </row>
    <row r="13563" spans="7:16" x14ac:dyDescent="0.2">
      <c r="G13563" s="199"/>
      <c r="I13563" s="199"/>
      <c r="K13563" s="199"/>
      <c r="M13563" s="199"/>
      <c r="N13563" s="200"/>
      <c r="P13563" s="199"/>
    </row>
    <row r="13564" spans="7:16" x14ac:dyDescent="0.2">
      <c r="G13564" s="199"/>
      <c r="I13564" s="199"/>
      <c r="K13564" s="199"/>
      <c r="M13564" s="199"/>
      <c r="N13564" s="200"/>
      <c r="P13564" s="199"/>
    </row>
    <row r="13565" spans="7:16" x14ac:dyDescent="0.2">
      <c r="G13565" s="199"/>
      <c r="I13565" s="199"/>
      <c r="K13565" s="199"/>
      <c r="M13565" s="199"/>
      <c r="N13565" s="200"/>
      <c r="P13565" s="199"/>
    </row>
    <row r="13566" spans="7:16" x14ac:dyDescent="0.2">
      <c r="G13566" s="199"/>
      <c r="I13566" s="199"/>
      <c r="K13566" s="199"/>
      <c r="M13566" s="199"/>
      <c r="N13566" s="200"/>
      <c r="P13566" s="199"/>
    </row>
    <row r="13567" spans="7:16" x14ac:dyDescent="0.2">
      <c r="G13567" s="199"/>
      <c r="I13567" s="199"/>
      <c r="K13567" s="199"/>
      <c r="M13567" s="199"/>
      <c r="N13567" s="200"/>
      <c r="P13567" s="199"/>
    </row>
    <row r="13568" spans="7:16" x14ac:dyDescent="0.2">
      <c r="G13568" s="199"/>
      <c r="I13568" s="199"/>
      <c r="K13568" s="199"/>
      <c r="M13568" s="199"/>
      <c r="N13568" s="200"/>
      <c r="P13568" s="199"/>
    </row>
    <row r="13569" spans="7:16" x14ac:dyDescent="0.2">
      <c r="G13569" s="199"/>
      <c r="I13569" s="199"/>
      <c r="K13569" s="199"/>
      <c r="M13569" s="199"/>
      <c r="N13569" s="200"/>
      <c r="P13569" s="199"/>
    </row>
    <row r="13570" spans="7:16" x14ac:dyDescent="0.2">
      <c r="G13570" s="199"/>
      <c r="I13570" s="199"/>
      <c r="K13570" s="199"/>
      <c r="M13570" s="199"/>
      <c r="N13570" s="200"/>
      <c r="P13570" s="199"/>
    </row>
    <row r="13571" spans="7:16" x14ac:dyDescent="0.2">
      <c r="G13571" s="199"/>
      <c r="I13571" s="199"/>
      <c r="K13571" s="199"/>
      <c r="M13571" s="199"/>
      <c r="N13571" s="200"/>
      <c r="P13571" s="199"/>
    </row>
    <row r="13572" spans="7:16" x14ac:dyDescent="0.2">
      <c r="G13572" s="199"/>
      <c r="I13572" s="199"/>
      <c r="K13572" s="199"/>
      <c r="M13572" s="199"/>
      <c r="N13572" s="200"/>
      <c r="P13572" s="199"/>
    </row>
    <row r="13573" spans="7:16" x14ac:dyDescent="0.2">
      <c r="G13573" s="199"/>
      <c r="I13573" s="199"/>
      <c r="K13573" s="199"/>
      <c r="M13573" s="199"/>
      <c r="N13573" s="200"/>
      <c r="P13573" s="199"/>
    </row>
    <row r="13574" spans="7:16" x14ac:dyDescent="0.2">
      <c r="G13574" s="199"/>
      <c r="I13574" s="199"/>
      <c r="K13574" s="199"/>
      <c r="M13574" s="199"/>
      <c r="N13574" s="200"/>
      <c r="P13574" s="199"/>
    </row>
    <row r="13575" spans="7:16" x14ac:dyDescent="0.2">
      <c r="G13575" s="199"/>
      <c r="I13575" s="199"/>
      <c r="K13575" s="199"/>
      <c r="M13575" s="199"/>
      <c r="N13575" s="200"/>
      <c r="P13575" s="199"/>
    </row>
    <row r="13576" spans="7:16" x14ac:dyDescent="0.2">
      <c r="G13576" s="199"/>
      <c r="I13576" s="199"/>
      <c r="K13576" s="199"/>
      <c r="M13576" s="199"/>
      <c r="N13576" s="200"/>
      <c r="P13576" s="199"/>
    </row>
    <row r="13577" spans="7:16" x14ac:dyDescent="0.2">
      <c r="G13577" s="199"/>
      <c r="I13577" s="199"/>
      <c r="K13577" s="199"/>
      <c r="M13577" s="199"/>
      <c r="N13577" s="200"/>
      <c r="P13577" s="199"/>
    </row>
    <row r="13578" spans="7:16" x14ac:dyDescent="0.2">
      <c r="G13578" s="199"/>
      <c r="I13578" s="199"/>
      <c r="K13578" s="199"/>
      <c r="M13578" s="199"/>
      <c r="N13578" s="200"/>
      <c r="P13578" s="199"/>
    </row>
    <row r="13579" spans="7:16" x14ac:dyDescent="0.2">
      <c r="G13579" s="199"/>
      <c r="I13579" s="199"/>
      <c r="K13579" s="199"/>
      <c r="M13579" s="199"/>
      <c r="N13579" s="200"/>
      <c r="P13579" s="199"/>
    </row>
    <row r="13580" spans="7:16" x14ac:dyDescent="0.2">
      <c r="G13580" s="199"/>
      <c r="I13580" s="199"/>
      <c r="K13580" s="199"/>
      <c r="M13580" s="199"/>
      <c r="N13580" s="200"/>
      <c r="P13580" s="199"/>
    </row>
    <row r="13581" spans="7:16" x14ac:dyDescent="0.2">
      <c r="G13581" s="199"/>
      <c r="I13581" s="199"/>
      <c r="K13581" s="199"/>
      <c r="M13581" s="199"/>
      <c r="N13581" s="200"/>
      <c r="P13581" s="199"/>
    </row>
    <row r="13582" spans="7:16" x14ac:dyDescent="0.2">
      <c r="G13582" s="199"/>
      <c r="I13582" s="199"/>
      <c r="K13582" s="199"/>
      <c r="M13582" s="199"/>
      <c r="N13582" s="200"/>
      <c r="P13582" s="199"/>
    </row>
    <row r="13583" spans="7:16" x14ac:dyDescent="0.2">
      <c r="G13583" s="199"/>
      <c r="I13583" s="199"/>
      <c r="K13583" s="199"/>
      <c r="M13583" s="199"/>
      <c r="N13583" s="200"/>
      <c r="P13583" s="199"/>
    </row>
    <row r="13584" spans="7:16" x14ac:dyDescent="0.2">
      <c r="G13584" s="199"/>
      <c r="I13584" s="199"/>
      <c r="K13584" s="199"/>
      <c r="M13584" s="199"/>
      <c r="N13584" s="200"/>
      <c r="P13584" s="199"/>
    </row>
    <row r="13585" spans="7:16" x14ac:dyDescent="0.2">
      <c r="G13585" s="199"/>
      <c r="I13585" s="199"/>
      <c r="K13585" s="199"/>
      <c r="M13585" s="199"/>
      <c r="N13585" s="200"/>
      <c r="P13585" s="199"/>
    </row>
    <row r="13586" spans="7:16" x14ac:dyDescent="0.2">
      <c r="G13586" s="199"/>
      <c r="I13586" s="199"/>
      <c r="K13586" s="199"/>
      <c r="M13586" s="199"/>
      <c r="N13586" s="200"/>
      <c r="P13586" s="199"/>
    </row>
    <row r="13587" spans="7:16" x14ac:dyDescent="0.2">
      <c r="G13587" s="199"/>
      <c r="I13587" s="199"/>
      <c r="K13587" s="199"/>
      <c r="M13587" s="199"/>
      <c r="N13587" s="200"/>
      <c r="P13587" s="199"/>
    </row>
    <row r="13588" spans="7:16" x14ac:dyDescent="0.2">
      <c r="G13588" s="199"/>
      <c r="I13588" s="199"/>
      <c r="K13588" s="199"/>
      <c r="M13588" s="199"/>
      <c r="N13588" s="200"/>
      <c r="P13588" s="199"/>
    </row>
    <row r="13589" spans="7:16" x14ac:dyDescent="0.2">
      <c r="G13589" s="199"/>
      <c r="I13589" s="199"/>
      <c r="K13589" s="199"/>
      <c r="M13589" s="199"/>
      <c r="N13589" s="200"/>
      <c r="P13589" s="199"/>
    </row>
    <row r="13590" spans="7:16" x14ac:dyDescent="0.2">
      <c r="G13590" s="199"/>
      <c r="I13590" s="199"/>
      <c r="K13590" s="199"/>
      <c r="M13590" s="199"/>
      <c r="N13590" s="200"/>
      <c r="P13590" s="199"/>
    </row>
    <row r="13591" spans="7:16" x14ac:dyDescent="0.2">
      <c r="G13591" s="199"/>
      <c r="I13591" s="199"/>
      <c r="K13591" s="199"/>
      <c r="M13591" s="199"/>
      <c r="N13591" s="200"/>
      <c r="P13591" s="199"/>
    </row>
    <row r="13592" spans="7:16" x14ac:dyDescent="0.2">
      <c r="G13592" s="199"/>
      <c r="I13592" s="199"/>
      <c r="K13592" s="199"/>
      <c r="M13592" s="199"/>
      <c r="N13592" s="200"/>
      <c r="P13592" s="199"/>
    </row>
    <row r="13593" spans="7:16" x14ac:dyDescent="0.2">
      <c r="G13593" s="199"/>
      <c r="I13593" s="199"/>
      <c r="K13593" s="199"/>
      <c r="M13593" s="199"/>
      <c r="N13593" s="200"/>
      <c r="P13593" s="199"/>
    </row>
    <row r="13594" spans="7:16" x14ac:dyDescent="0.2">
      <c r="G13594" s="199"/>
      <c r="I13594" s="199"/>
      <c r="K13594" s="199"/>
      <c r="M13594" s="199"/>
      <c r="N13594" s="200"/>
      <c r="P13594" s="199"/>
    </row>
    <row r="13595" spans="7:16" x14ac:dyDescent="0.2">
      <c r="G13595" s="199"/>
      <c r="I13595" s="199"/>
      <c r="K13595" s="199"/>
      <c r="M13595" s="199"/>
      <c r="N13595" s="200"/>
      <c r="P13595" s="199"/>
    </row>
    <row r="13596" spans="7:16" x14ac:dyDescent="0.2">
      <c r="G13596" s="199"/>
      <c r="I13596" s="199"/>
      <c r="K13596" s="199"/>
      <c r="M13596" s="199"/>
      <c r="N13596" s="200"/>
      <c r="P13596" s="199"/>
    </row>
    <row r="13597" spans="7:16" x14ac:dyDescent="0.2">
      <c r="G13597" s="199"/>
      <c r="I13597" s="199"/>
      <c r="K13597" s="199"/>
      <c r="M13597" s="199"/>
      <c r="N13597" s="200"/>
      <c r="P13597" s="199"/>
    </row>
    <row r="13598" spans="7:16" x14ac:dyDescent="0.2">
      <c r="G13598" s="199"/>
      <c r="I13598" s="199"/>
      <c r="K13598" s="199"/>
      <c r="M13598" s="199"/>
      <c r="N13598" s="200"/>
      <c r="P13598" s="199"/>
    </row>
    <row r="13599" spans="7:16" x14ac:dyDescent="0.2">
      <c r="G13599" s="199"/>
      <c r="I13599" s="199"/>
      <c r="K13599" s="199"/>
      <c r="M13599" s="199"/>
      <c r="N13599" s="200"/>
      <c r="P13599" s="199"/>
    </row>
    <row r="13600" spans="7:16" x14ac:dyDescent="0.2">
      <c r="G13600" s="199"/>
      <c r="I13600" s="199"/>
      <c r="K13600" s="199"/>
      <c r="M13600" s="199"/>
      <c r="N13600" s="200"/>
      <c r="P13600" s="199"/>
    </row>
    <row r="13601" spans="7:16" x14ac:dyDescent="0.2">
      <c r="G13601" s="199"/>
      <c r="I13601" s="199"/>
      <c r="K13601" s="199"/>
      <c r="M13601" s="199"/>
      <c r="N13601" s="200"/>
      <c r="P13601" s="199"/>
    </row>
    <row r="13602" spans="7:16" x14ac:dyDescent="0.2">
      <c r="G13602" s="199"/>
      <c r="I13602" s="199"/>
      <c r="K13602" s="199"/>
      <c r="M13602" s="199"/>
      <c r="N13602" s="200"/>
      <c r="P13602" s="199"/>
    </row>
    <row r="13603" spans="7:16" x14ac:dyDescent="0.2">
      <c r="G13603" s="199"/>
      <c r="I13603" s="199"/>
      <c r="K13603" s="199"/>
      <c r="M13603" s="199"/>
      <c r="N13603" s="200"/>
      <c r="P13603" s="199"/>
    </row>
    <row r="13604" spans="7:16" x14ac:dyDescent="0.2">
      <c r="G13604" s="199"/>
      <c r="I13604" s="199"/>
      <c r="K13604" s="199"/>
      <c r="M13604" s="199"/>
      <c r="N13604" s="200"/>
      <c r="P13604" s="199"/>
    </row>
    <row r="13605" spans="7:16" x14ac:dyDescent="0.2">
      <c r="G13605" s="199"/>
      <c r="I13605" s="199"/>
      <c r="K13605" s="199"/>
      <c r="M13605" s="199"/>
      <c r="N13605" s="200"/>
      <c r="P13605" s="199"/>
    </row>
    <row r="13606" spans="7:16" x14ac:dyDescent="0.2">
      <c r="G13606" s="199"/>
      <c r="I13606" s="199"/>
      <c r="K13606" s="199"/>
      <c r="M13606" s="199"/>
      <c r="N13606" s="200"/>
      <c r="P13606" s="199"/>
    </row>
    <row r="13607" spans="7:16" x14ac:dyDescent="0.2">
      <c r="G13607" s="199"/>
      <c r="I13607" s="199"/>
      <c r="K13607" s="199"/>
      <c r="M13607" s="199"/>
      <c r="N13607" s="200"/>
      <c r="P13607" s="199"/>
    </row>
    <row r="13608" spans="7:16" x14ac:dyDescent="0.2">
      <c r="G13608" s="199"/>
      <c r="I13608" s="199"/>
      <c r="K13608" s="199"/>
      <c r="M13608" s="199"/>
      <c r="N13608" s="200"/>
      <c r="P13608" s="199"/>
    </row>
    <row r="13609" spans="7:16" x14ac:dyDescent="0.2">
      <c r="G13609" s="199"/>
      <c r="I13609" s="199"/>
      <c r="K13609" s="199"/>
      <c r="M13609" s="199"/>
      <c r="N13609" s="200"/>
      <c r="P13609" s="199"/>
    </row>
    <row r="13610" spans="7:16" x14ac:dyDescent="0.2">
      <c r="G13610" s="199"/>
      <c r="I13610" s="199"/>
      <c r="K13610" s="199"/>
      <c r="M13610" s="199"/>
      <c r="N13610" s="200"/>
      <c r="P13610" s="199"/>
    </row>
    <row r="13611" spans="7:16" x14ac:dyDescent="0.2">
      <c r="G13611" s="199"/>
      <c r="I13611" s="199"/>
      <c r="K13611" s="199"/>
      <c r="M13611" s="199"/>
      <c r="N13611" s="200"/>
      <c r="P13611" s="199"/>
    </row>
    <row r="13612" spans="7:16" x14ac:dyDescent="0.2">
      <c r="G13612" s="199"/>
      <c r="I13612" s="199"/>
      <c r="K13612" s="199"/>
      <c r="M13612" s="199"/>
      <c r="N13612" s="200"/>
      <c r="P13612" s="199"/>
    </row>
    <row r="13613" spans="7:16" x14ac:dyDescent="0.2">
      <c r="G13613" s="199"/>
      <c r="I13613" s="199"/>
      <c r="K13613" s="199"/>
      <c r="M13613" s="199"/>
      <c r="N13613" s="200"/>
      <c r="P13613" s="199"/>
    </row>
    <row r="13614" spans="7:16" x14ac:dyDescent="0.2">
      <c r="G13614" s="199"/>
      <c r="I13614" s="199"/>
      <c r="K13614" s="199"/>
      <c r="M13614" s="199"/>
      <c r="N13614" s="200"/>
      <c r="P13614" s="199"/>
    </row>
    <row r="13615" spans="7:16" x14ac:dyDescent="0.2">
      <c r="G13615" s="199"/>
      <c r="I13615" s="199"/>
      <c r="K13615" s="199"/>
      <c r="M13615" s="199"/>
      <c r="N13615" s="200"/>
      <c r="P13615" s="199"/>
    </row>
    <row r="13616" spans="7:16" x14ac:dyDescent="0.2">
      <c r="G13616" s="199"/>
      <c r="I13616" s="199"/>
      <c r="K13616" s="199"/>
      <c r="M13616" s="199"/>
      <c r="N13616" s="200"/>
      <c r="P13616" s="199"/>
    </row>
    <row r="13617" spans="7:16" x14ac:dyDescent="0.2">
      <c r="G13617" s="199"/>
      <c r="I13617" s="199"/>
      <c r="K13617" s="199"/>
      <c r="M13617" s="199"/>
      <c r="N13617" s="200"/>
      <c r="P13617" s="199"/>
    </row>
    <row r="13618" spans="7:16" x14ac:dyDescent="0.2">
      <c r="G13618" s="199"/>
      <c r="I13618" s="199"/>
      <c r="K13618" s="199"/>
      <c r="M13618" s="199"/>
      <c r="N13618" s="200"/>
      <c r="P13618" s="199"/>
    </row>
    <row r="13619" spans="7:16" x14ac:dyDescent="0.2">
      <c r="G13619" s="199"/>
      <c r="I13619" s="199"/>
      <c r="K13619" s="199"/>
      <c r="M13619" s="199"/>
      <c r="N13619" s="200"/>
      <c r="P13619" s="199"/>
    </row>
    <row r="13620" spans="7:16" x14ac:dyDescent="0.2">
      <c r="G13620" s="199"/>
      <c r="I13620" s="199"/>
      <c r="K13620" s="199"/>
      <c r="M13620" s="199"/>
      <c r="N13620" s="200"/>
      <c r="P13620" s="199"/>
    </row>
    <row r="13621" spans="7:16" x14ac:dyDescent="0.2">
      <c r="G13621" s="199"/>
      <c r="I13621" s="199"/>
      <c r="K13621" s="199"/>
      <c r="M13621" s="199"/>
      <c r="N13621" s="200"/>
      <c r="P13621" s="199"/>
    </row>
    <row r="13622" spans="7:16" x14ac:dyDescent="0.2">
      <c r="G13622" s="199"/>
      <c r="I13622" s="199"/>
      <c r="K13622" s="199"/>
      <c r="M13622" s="199"/>
      <c r="N13622" s="200"/>
      <c r="P13622" s="199"/>
    </row>
    <row r="13623" spans="7:16" x14ac:dyDescent="0.2">
      <c r="G13623" s="199"/>
      <c r="I13623" s="199"/>
      <c r="K13623" s="199"/>
      <c r="M13623" s="199"/>
      <c r="N13623" s="200"/>
      <c r="P13623" s="199"/>
    </row>
    <row r="13624" spans="7:16" x14ac:dyDescent="0.2">
      <c r="G13624" s="199"/>
      <c r="I13624" s="199"/>
      <c r="K13624" s="199"/>
      <c r="M13624" s="199"/>
      <c r="N13624" s="200"/>
      <c r="P13624" s="199"/>
    </row>
    <row r="13625" spans="7:16" x14ac:dyDescent="0.2">
      <c r="G13625" s="199"/>
      <c r="I13625" s="199"/>
      <c r="K13625" s="199"/>
      <c r="M13625" s="199"/>
      <c r="N13625" s="200"/>
      <c r="P13625" s="199"/>
    </row>
    <row r="13626" spans="7:16" x14ac:dyDescent="0.2">
      <c r="G13626" s="199"/>
      <c r="I13626" s="199"/>
      <c r="K13626" s="199"/>
      <c r="M13626" s="199"/>
      <c r="N13626" s="200"/>
      <c r="P13626" s="199"/>
    </row>
    <row r="13627" spans="7:16" x14ac:dyDescent="0.2">
      <c r="G13627" s="199"/>
      <c r="I13627" s="199"/>
      <c r="K13627" s="199"/>
      <c r="M13627" s="199"/>
      <c r="N13627" s="200"/>
      <c r="P13627" s="199"/>
    </row>
    <row r="13628" spans="7:16" x14ac:dyDescent="0.2">
      <c r="G13628" s="199"/>
      <c r="I13628" s="199"/>
      <c r="K13628" s="199"/>
      <c r="M13628" s="199"/>
      <c r="N13628" s="200"/>
      <c r="P13628" s="199"/>
    </row>
    <row r="13629" spans="7:16" x14ac:dyDescent="0.2">
      <c r="G13629" s="199"/>
      <c r="I13629" s="199"/>
      <c r="K13629" s="199"/>
      <c r="M13629" s="199"/>
      <c r="N13629" s="200"/>
      <c r="P13629" s="199"/>
    </row>
    <row r="13630" spans="7:16" x14ac:dyDescent="0.2">
      <c r="G13630" s="199"/>
      <c r="I13630" s="199"/>
      <c r="K13630" s="199"/>
      <c r="M13630" s="199"/>
      <c r="N13630" s="200"/>
      <c r="P13630" s="199"/>
    </row>
    <row r="13631" spans="7:16" x14ac:dyDescent="0.2">
      <c r="G13631" s="199"/>
      <c r="I13631" s="199"/>
      <c r="K13631" s="199"/>
      <c r="M13631" s="199"/>
      <c r="N13631" s="200"/>
      <c r="P13631" s="199"/>
    </row>
    <row r="13632" spans="7:16" x14ac:dyDescent="0.2">
      <c r="G13632" s="199"/>
      <c r="I13632" s="199"/>
      <c r="K13632" s="199"/>
      <c r="M13632" s="199"/>
      <c r="N13632" s="200"/>
      <c r="P13632" s="199"/>
    </row>
    <row r="13633" spans="7:16" x14ac:dyDescent="0.2">
      <c r="G13633" s="199"/>
      <c r="I13633" s="199"/>
      <c r="K13633" s="199"/>
      <c r="M13633" s="199"/>
      <c r="N13633" s="200"/>
      <c r="P13633" s="199"/>
    </row>
    <row r="13634" spans="7:16" x14ac:dyDescent="0.2">
      <c r="G13634" s="199"/>
      <c r="I13634" s="199"/>
      <c r="K13634" s="199"/>
      <c r="M13634" s="199"/>
      <c r="N13634" s="200"/>
      <c r="P13634" s="199"/>
    </row>
    <row r="13635" spans="7:16" x14ac:dyDescent="0.2">
      <c r="G13635" s="199"/>
      <c r="I13635" s="199"/>
      <c r="K13635" s="199"/>
      <c r="M13635" s="199"/>
      <c r="N13635" s="200"/>
      <c r="P13635" s="199"/>
    </row>
    <row r="13636" spans="7:16" x14ac:dyDescent="0.2">
      <c r="G13636" s="199"/>
      <c r="I13636" s="199"/>
      <c r="K13636" s="199"/>
      <c r="M13636" s="199"/>
      <c r="N13636" s="200"/>
      <c r="P13636" s="199"/>
    </row>
    <row r="13637" spans="7:16" x14ac:dyDescent="0.2">
      <c r="G13637" s="199"/>
      <c r="I13637" s="199"/>
      <c r="K13637" s="199"/>
      <c r="M13637" s="199"/>
      <c r="N13637" s="200"/>
      <c r="P13637" s="199"/>
    </row>
    <row r="13638" spans="7:16" x14ac:dyDescent="0.2">
      <c r="G13638" s="199"/>
      <c r="I13638" s="199"/>
      <c r="K13638" s="199"/>
      <c r="M13638" s="199"/>
      <c r="N13638" s="200"/>
      <c r="P13638" s="199"/>
    </row>
    <row r="13639" spans="7:16" x14ac:dyDescent="0.2">
      <c r="G13639" s="199"/>
      <c r="I13639" s="199"/>
      <c r="K13639" s="199"/>
      <c r="M13639" s="199"/>
      <c r="N13639" s="200"/>
      <c r="P13639" s="199"/>
    </row>
    <row r="13640" spans="7:16" x14ac:dyDescent="0.2">
      <c r="G13640" s="199"/>
      <c r="I13640" s="199"/>
      <c r="K13640" s="199"/>
      <c r="M13640" s="199"/>
      <c r="N13640" s="200"/>
      <c r="P13640" s="199"/>
    </row>
    <row r="13641" spans="7:16" x14ac:dyDescent="0.2">
      <c r="G13641" s="199"/>
      <c r="I13641" s="199"/>
      <c r="K13641" s="199"/>
      <c r="M13641" s="199"/>
      <c r="N13641" s="200"/>
      <c r="P13641" s="199"/>
    </row>
    <row r="13642" spans="7:16" x14ac:dyDescent="0.2">
      <c r="G13642" s="199"/>
      <c r="I13642" s="199"/>
      <c r="K13642" s="199"/>
      <c r="M13642" s="199"/>
      <c r="N13642" s="200"/>
      <c r="P13642" s="199"/>
    </row>
    <row r="13643" spans="7:16" x14ac:dyDescent="0.2">
      <c r="G13643" s="199"/>
      <c r="I13643" s="199"/>
      <c r="K13643" s="199"/>
      <c r="M13643" s="199"/>
      <c r="N13643" s="200"/>
      <c r="P13643" s="199"/>
    </row>
    <row r="13644" spans="7:16" x14ac:dyDescent="0.2">
      <c r="G13644" s="199"/>
      <c r="I13644" s="199"/>
      <c r="K13644" s="199"/>
      <c r="M13644" s="199"/>
      <c r="N13644" s="200"/>
      <c r="P13644" s="199"/>
    </row>
    <row r="13645" spans="7:16" x14ac:dyDescent="0.2">
      <c r="G13645" s="199"/>
      <c r="I13645" s="199"/>
      <c r="K13645" s="199"/>
      <c r="M13645" s="199"/>
      <c r="N13645" s="200"/>
      <c r="P13645" s="199"/>
    </row>
    <row r="13646" spans="7:16" x14ac:dyDescent="0.2">
      <c r="G13646" s="199"/>
      <c r="I13646" s="199"/>
      <c r="K13646" s="199"/>
      <c r="M13646" s="199"/>
      <c r="N13646" s="200"/>
      <c r="P13646" s="199"/>
    </row>
    <row r="13647" spans="7:16" x14ac:dyDescent="0.2">
      <c r="G13647" s="199"/>
      <c r="I13647" s="199"/>
      <c r="K13647" s="199"/>
      <c r="M13647" s="199"/>
      <c r="N13647" s="200"/>
      <c r="P13647" s="199"/>
    </row>
    <row r="13648" spans="7:16" x14ac:dyDescent="0.2">
      <c r="G13648" s="199"/>
      <c r="I13648" s="199"/>
      <c r="K13648" s="199"/>
      <c r="M13648" s="199"/>
      <c r="N13648" s="200"/>
      <c r="P13648" s="199"/>
    </row>
    <row r="13649" spans="7:16" x14ac:dyDescent="0.2">
      <c r="G13649" s="199"/>
      <c r="I13649" s="199"/>
      <c r="K13649" s="199"/>
      <c r="M13649" s="199"/>
      <c r="N13649" s="200"/>
      <c r="P13649" s="199"/>
    </row>
    <row r="13650" spans="7:16" x14ac:dyDescent="0.2">
      <c r="G13650" s="199"/>
      <c r="I13650" s="199"/>
      <c r="K13650" s="199"/>
      <c r="M13650" s="199"/>
      <c r="N13650" s="200"/>
      <c r="P13650" s="199"/>
    </row>
    <row r="13651" spans="7:16" x14ac:dyDescent="0.2">
      <c r="G13651" s="199"/>
      <c r="I13651" s="199"/>
      <c r="K13651" s="199"/>
      <c r="M13651" s="199"/>
      <c r="N13651" s="200"/>
      <c r="P13651" s="199"/>
    </row>
    <row r="13652" spans="7:16" x14ac:dyDescent="0.2">
      <c r="G13652" s="199"/>
      <c r="I13652" s="199"/>
      <c r="K13652" s="199"/>
      <c r="M13652" s="199"/>
      <c r="N13652" s="200"/>
      <c r="P13652" s="199"/>
    </row>
    <row r="13653" spans="7:16" x14ac:dyDescent="0.2">
      <c r="G13653" s="199"/>
      <c r="I13653" s="199"/>
      <c r="K13653" s="199"/>
      <c r="M13653" s="199"/>
      <c r="N13653" s="200"/>
      <c r="P13653" s="199"/>
    </row>
    <row r="13654" spans="7:16" x14ac:dyDescent="0.2">
      <c r="G13654" s="199"/>
      <c r="I13654" s="199"/>
      <c r="K13654" s="199"/>
      <c r="M13654" s="199"/>
      <c r="N13654" s="200"/>
      <c r="P13654" s="199"/>
    </row>
    <row r="13655" spans="7:16" x14ac:dyDescent="0.2">
      <c r="G13655" s="199"/>
      <c r="I13655" s="199"/>
      <c r="K13655" s="199"/>
      <c r="M13655" s="199"/>
      <c r="N13655" s="200"/>
      <c r="P13655" s="199"/>
    </row>
    <row r="13656" spans="7:16" x14ac:dyDescent="0.2">
      <c r="G13656" s="199"/>
      <c r="I13656" s="199"/>
      <c r="K13656" s="199"/>
      <c r="M13656" s="199"/>
      <c r="N13656" s="200"/>
      <c r="P13656" s="199"/>
    </row>
    <row r="13657" spans="7:16" x14ac:dyDescent="0.2">
      <c r="G13657" s="199"/>
      <c r="I13657" s="199"/>
      <c r="K13657" s="199"/>
      <c r="M13657" s="199"/>
      <c r="N13657" s="200"/>
      <c r="P13657" s="199"/>
    </row>
    <row r="13658" spans="7:16" x14ac:dyDescent="0.2">
      <c r="G13658" s="199"/>
      <c r="I13658" s="199"/>
      <c r="K13658" s="199"/>
      <c r="M13658" s="199"/>
      <c r="N13658" s="200"/>
      <c r="P13658" s="199"/>
    </row>
    <row r="13659" spans="7:16" x14ac:dyDescent="0.2">
      <c r="G13659" s="199"/>
      <c r="I13659" s="199"/>
      <c r="K13659" s="199"/>
      <c r="M13659" s="199"/>
      <c r="N13659" s="200"/>
      <c r="P13659" s="199"/>
    </row>
    <row r="13660" spans="7:16" x14ac:dyDescent="0.2">
      <c r="G13660" s="199"/>
      <c r="I13660" s="199"/>
      <c r="K13660" s="199"/>
      <c r="M13660" s="199"/>
      <c r="N13660" s="200"/>
      <c r="P13660" s="199"/>
    </row>
    <row r="13661" spans="7:16" x14ac:dyDescent="0.2">
      <c r="G13661" s="199"/>
      <c r="I13661" s="199"/>
      <c r="K13661" s="199"/>
      <c r="M13661" s="199"/>
      <c r="N13661" s="200"/>
      <c r="P13661" s="199"/>
    </row>
    <row r="13662" spans="7:16" x14ac:dyDescent="0.2">
      <c r="G13662" s="199"/>
      <c r="I13662" s="199"/>
      <c r="K13662" s="199"/>
      <c r="M13662" s="199"/>
      <c r="N13662" s="200"/>
      <c r="P13662" s="199"/>
    </row>
    <row r="13663" spans="7:16" x14ac:dyDescent="0.2">
      <c r="G13663" s="199"/>
      <c r="I13663" s="199"/>
      <c r="K13663" s="199"/>
      <c r="M13663" s="199"/>
      <c r="N13663" s="200"/>
      <c r="P13663" s="199"/>
    </row>
    <row r="13664" spans="7:16" x14ac:dyDescent="0.2">
      <c r="G13664" s="199"/>
      <c r="I13664" s="199"/>
      <c r="K13664" s="199"/>
      <c r="M13664" s="199"/>
      <c r="N13664" s="200"/>
      <c r="P13664" s="199"/>
    </row>
    <row r="13665" spans="7:16" x14ac:dyDescent="0.2">
      <c r="G13665" s="199"/>
      <c r="I13665" s="199"/>
      <c r="K13665" s="199"/>
      <c r="M13665" s="199"/>
      <c r="N13665" s="200"/>
      <c r="P13665" s="199"/>
    </row>
    <row r="13666" spans="7:16" x14ac:dyDescent="0.2">
      <c r="G13666" s="199"/>
      <c r="I13666" s="199"/>
      <c r="K13666" s="199"/>
      <c r="M13666" s="199"/>
      <c r="N13666" s="200"/>
      <c r="P13666" s="199"/>
    </row>
    <row r="13667" spans="7:16" x14ac:dyDescent="0.2">
      <c r="G13667" s="199"/>
      <c r="I13667" s="199"/>
      <c r="K13667" s="199"/>
      <c r="M13667" s="199"/>
      <c r="N13667" s="200"/>
      <c r="P13667" s="199"/>
    </row>
    <row r="13668" spans="7:16" x14ac:dyDescent="0.2">
      <c r="G13668" s="199"/>
      <c r="I13668" s="199"/>
      <c r="K13668" s="199"/>
      <c r="M13668" s="199"/>
      <c r="N13668" s="200"/>
      <c r="P13668" s="199"/>
    </row>
    <row r="13669" spans="7:16" x14ac:dyDescent="0.2">
      <c r="G13669" s="199"/>
      <c r="I13669" s="199"/>
      <c r="K13669" s="199"/>
      <c r="M13669" s="199"/>
      <c r="N13669" s="200"/>
      <c r="P13669" s="199"/>
    </row>
    <row r="13670" spans="7:16" x14ac:dyDescent="0.2">
      <c r="G13670" s="199"/>
      <c r="I13670" s="199"/>
      <c r="K13670" s="199"/>
      <c r="M13670" s="199"/>
      <c r="N13670" s="200"/>
      <c r="P13670" s="199"/>
    </row>
    <row r="13671" spans="7:16" x14ac:dyDescent="0.2">
      <c r="G13671" s="199"/>
      <c r="I13671" s="199"/>
      <c r="K13671" s="199"/>
      <c r="M13671" s="199"/>
      <c r="N13671" s="200"/>
      <c r="P13671" s="199"/>
    </row>
    <row r="13672" spans="7:16" x14ac:dyDescent="0.2">
      <c r="G13672" s="199"/>
      <c r="I13672" s="199"/>
      <c r="K13672" s="199"/>
      <c r="M13672" s="199"/>
      <c r="N13672" s="200"/>
      <c r="P13672" s="199"/>
    </row>
    <row r="13673" spans="7:16" x14ac:dyDescent="0.2">
      <c r="G13673" s="199"/>
      <c r="I13673" s="199"/>
      <c r="K13673" s="199"/>
      <c r="M13673" s="199"/>
      <c r="N13673" s="200"/>
      <c r="P13673" s="199"/>
    </row>
    <row r="13674" spans="7:16" x14ac:dyDescent="0.2">
      <c r="G13674" s="199"/>
      <c r="I13674" s="199"/>
      <c r="K13674" s="199"/>
      <c r="M13674" s="199"/>
      <c r="N13674" s="200"/>
      <c r="P13674" s="199"/>
    </row>
    <row r="13675" spans="7:16" x14ac:dyDescent="0.2">
      <c r="G13675" s="199"/>
      <c r="I13675" s="199"/>
      <c r="K13675" s="199"/>
      <c r="M13675" s="199"/>
      <c r="N13675" s="200"/>
      <c r="P13675" s="199"/>
    </row>
    <row r="13676" spans="7:16" x14ac:dyDescent="0.2">
      <c r="G13676" s="199"/>
      <c r="I13676" s="199"/>
      <c r="K13676" s="199"/>
      <c r="M13676" s="199"/>
      <c r="N13676" s="200"/>
      <c r="P13676" s="199"/>
    </row>
    <row r="13677" spans="7:16" x14ac:dyDescent="0.2">
      <c r="G13677" s="199"/>
      <c r="I13677" s="199"/>
      <c r="K13677" s="199"/>
      <c r="M13677" s="199"/>
      <c r="N13677" s="200"/>
      <c r="P13677" s="199"/>
    </row>
    <row r="13678" spans="7:16" x14ac:dyDescent="0.2">
      <c r="G13678" s="199"/>
      <c r="I13678" s="199"/>
      <c r="K13678" s="199"/>
      <c r="M13678" s="199"/>
      <c r="N13678" s="200"/>
      <c r="P13678" s="199"/>
    </row>
    <row r="13679" spans="7:16" x14ac:dyDescent="0.2">
      <c r="G13679" s="199"/>
      <c r="I13679" s="199"/>
      <c r="K13679" s="199"/>
      <c r="M13679" s="199"/>
      <c r="N13679" s="200"/>
      <c r="P13679" s="199"/>
    </row>
    <row r="13680" spans="7:16" x14ac:dyDescent="0.2">
      <c r="G13680" s="199"/>
      <c r="I13680" s="199"/>
      <c r="K13680" s="199"/>
      <c r="M13680" s="199"/>
      <c r="N13680" s="200"/>
      <c r="P13680" s="199"/>
    </row>
    <row r="13681" spans="7:16" x14ac:dyDescent="0.2">
      <c r="G13681" s="199"/>
      <c r="I13681" s="199"/>
      <c r="K13681" s="199"/>
      <c r="M13681" s="199"/>
      <c r="N13681" s="200"/>
      <c r="P13681" s="199"/>
    </row>
    <row r="13682" spans="7:16" x14ac:dyDescent="0.2">
      <c r="G13682" s="199"/>
      <c r="I13682" s="199"/>
      <c r="K13682" s="199"/>
      <c r="M13682" s="199"/>
      <c r="N13682" s="200"/>
      <c r="P13682" s="199"/>
    </row>
    <row r="13683" spans="7:16" x14ac:dyDescent="0.2">
      <c r="G13683" s="199"/>
      <c r="I13683" s="199"/>
      <c r="K13683" s="199"/>
      <c r="M13683" s="199"/>
      <c r="N13683" s="200"/>
      <c r="P13683" s="199"/>
    </row>
    <row r="13684" spans="7:16" x14ac:dyDescent="0.2">
      <c r="G13684" s="199"/>
      <c r="I13684" s="199"/>
      <c r="K13684" s="199"/>
      <c r="M13684" s="199"/>
      <c r="N13684" s="200"/>
      <c r="P13684" s="199"/>
    </row>
    <row r="13685" spans="7:16" x14ac:dyDescent="0.2">
      <c r="G13685" s="199"/>
      <c r="I13685" s="199"/>
      <c r="K13685" s="199"/>
      <c r="M13685" s="199"/>
      <c r="N13685" s="200"/>
      <c r="P13685" s="199"/>
    </row>
    <row r="13686" spans="7:16" x14ac:dyDescent="0.2">
      <c r="G13686" s="199"/>
      <c r="I13686" s="199"/>
      <c r="K13686" s="199"/>
      <c r="M13686" s="199"/>
      <c r="N13686" s="200"/>
      <c r="P13686" s="199"/>
    </row>
    <row r="13687" spans="7:16" x14ac:dyDescent="0.2">
      <c r="G13687" s="199"/>
      <c r="I13687" s="199"/>
      <c r="K13687" s="199"/>
      <c r="M13687" s="199"/>
      <c r="N13687" s="200"/>
      <c r="P13687" s="199"/>
    </row>
    <row r="13688" spans="7:16" x14ac:dyDescent="0.2">
      <c r="G13688" s="199"/>
      <c r="I13688" s="199"/>
      <c r="K13688" s="199"/>
      <c r="M13688" s="199"/>
      <c r="N13688" s="200"/>
      <c r="P13688" s="199"/>
    </row>
    <row r="13689" spans="7:16" x14ac:dyDescent="0.2">
      <c r="G13689" s="199"/>
      <c r="I13689" s="199"/>
      <c r="K13689" s="199"/>
      <c r="M13689" s="199"/>
      <c r="N13689" s="200"/>
      <c r="P13689" s="199"/>
    </row>
    <row r="13690" spans="7:16" x14ac:dyDescent="0.2">
      <c r="G13690" s="199"/>
      <c r="I13690" s="199"/>
      <c r="K13690" s="199"/>
      <c r="M13690" s="199"/>
      <c r="N13690" s="200"/>
      <c r="P13690" s="199"/>
    </row>
    <row r="13691" spans="7:16" x14ac:dyDescent="0.2">
      <c r="G13691" s="199"/>
      <c r="I13691" s="199"/>
      <c r="K13691" s="199"/>
      <c r="M13691" s="199"/>
      <c r="N13691" s="200"/>
      <c r="P13691" s="199"/>
    </row>
    <row r="13692" spans="7:16" x14ac:dyDescent="0.2">
      <c r="G13692" s="199"/>
      <c r="I13692" s="199"/>
      <c r="K13692" s="199"/>
      <c r="M13692" s="199"/>
      <c r="N13692" s="200"/>
      <c r="P13692" s="199"/>
    </row>
    <row r="13693" spans="7:16" x14ac:dyDescent="0.2">
      <c r="G13693" s="199"/>
      <c r="I13693" s="199"/>
      <c r="K13693" s="199"/>
      <c r="M13693" s="199"/>
      <c r="N13693" s="200"/>
      <c r="P13693" s="199"/>
    </row>
    <row r="13694" spans="7:16" x14ac:dyDescent="0.2">
      <c r="G13694" s="199"/>
      <c r="I13694" s="199"/>
      <c r="K13694" s="199"/>
      <c r="M13694" s="199"/>
      <c r="N13694" s="200"/>
      <c r="P13694" s="199"/>
    </row>
    <row r="13695" spans="7:16" x14ac:dyDescent="0.2">
      <c r="G13695" s="199"/>
      <c r="I13695" s="199"/>
      <c r="K13695" s="199"/>
      <c r="M13695" s="199"/>
      <c r="N13695" s="200"/>
      <c r="P13695" s="199"/>
    </row>
    <row r="13696" spans="7:16" x14ac:dyDescent="0.2">
      <c r="G13696" s="199"/>
      <c r="I13696" s="199"/>
      <c r="K13696" s="199"/>
      <c r="M13696" s="199"/>
      <c r="N13696" s="200"/>
      <c r="P13696" s="199"/>
    </row>
    <row r="13697" spans="7:16" x14ac:dyDescent="0.2">
      <c r="G13697" s="199"/>
      <c r="I13697" s="199"/>
      <c r="K13697" s="199"/>
      <c r="M13697" s="199"/>
      <c r="N13697" s="200"/>
      <c r="P13697" s="199"/>
    </row>
    <row r="13698" spans="7:16" x14ac:dyDescent="0.2">
      <c r="G13698" s="199"/>
      <c r="I13698" s="199"/>
      <c r="K13698" s="199"/>
      <c r="M13698" s="199"/>
      <c r="N13698" s="200"/>
      <c r="P13698" s="199"/>
    </row>
    <row r="13699" spans="7:16" x14ac:dyDescent="0.2">
      <c r="G13699" s="199"/>
      <c r="I13699" s="199"/>
      <c r="K13699" s="199"/>
      <c r="M13699" s="199"/>
      <c r="N13699" s="200"/>
      <c r="P13699" s="199"/>
    </row>
    <row r="13700" spans="7:16" x14ac:dyDescent="0.2">
      <c r="G13700" s="199"/>
      <c r="I13700" s="199"/>
      <c r="K13700" s="199"/>
      <c r="M13700" s="199"/>
      <c r="N13700" s="200"/>
      <c r="P13700" s="199"/>
    </row>
    <row r="13701" spans="7:16" x14ac:dyDescent="0.2">
      <c r="G13701" s="199"/>
      <c r="I13701" s="199"/>
      <c r="K13701" s="199"/>
      <c r="M13701" s="199"/>
      <c r="N13701" s="200"/>
      <c r="P13701" s="199"/>
    </row>
    <row r="13702" spans="7:16" x14ac:dyDescent="0.2">
      <c r="G13702" s="199"/>
      <c r="I13702" s="199"/>
      <c r="K13702" s="199"/>
      <c r="M13702" s="199"/>
      <c r="N13702" s="200"/>
      <c r="P13702" s="199"/>
    </row>
    <row r="13703" spans="7:16" x14ac:dyDescent="0.2">
      <c r="G13703" s="199"/>
      <c r="I13703" s="199"/>
      <c r="K13703" s="199"/>
      <c r="M13703" s="199"/>
      <c r="N13703" s="200"/>
      <c r="P13703" s="199"/>
    </row>
    <row r="13704" spans="7:16" x14ac:dyDescent="0.2">
      <c r="G13704" s="199"/>
      <c r="I13704" s="199"/>
      <c r="K13704" s="199"/>
      <c r="M13704" s="199"/>
      <c r="N13704" s="200"/>
      <c r="P13704" s="199"/>
    </row>
    <row r="13705" spans="7:16" x14ac:dyDescent="0.2">
      <c r="G13705" s="199"/>
      <c r="I13705" s="199"/>
      <c r="K13705" s="199"/>
      <c r="M13705" s="199"/>
      <c r="N13705" s="200"/>
      <c r="P13705" s="199"/>
    </row>
    <row r="13706" spans="7:16" x14ac:dyDescent="0.2">
      <c r="G13706" s="199"/>
      <c r="I13706" s="199"/>
      <c r="K13706" s="199"/>
      <c r="M13706" s="199"/>
      <c r="N13706" s="200"/>
      <c r="P13706" s="199"/>
    </row>
    <row r="13707" spans="7:16" x14ac:dyDescent="0.2">
      <c r="G13707" s="199"/>
      <c r="I13707" s="199"/>
      <c r="K13707" s="199"/>
      <c r="M13707" s="199"/>
      <c r="N13707" s="200"/>
      <c r="P13707" s="199"/>
    </row>
    <row r="13708" spans="7:16" x14ac:dyDescent="0.2">
      <c r="G13708" s="199"/>
      <c r="I13708" s="199"/>
      <c r="K13708" s="199"/>
      <c r="M13708" s="199"/>
      <c r="N13708" s="200"/>
      <c r="P13708" s="199"/>
    </row>
    <row r="13709" spans="7:16" x14ac:dyDescent="0.2">
      <c r="G13709" s="199"/>
      <c r="I13709" s="199"/>
      <c r="K13709" s="199"/>
      <c r="M13709" s="199"/>
      <c r="N13709" s="200"/>
      <c r="P13709" s="199"/>
    </row>
    <row r="13710" spans="7:16" x14ac:dyDescent="0.2">
      <c r="G13710" s="199"/>
      <c r="I13710" s="199"/>
      <c r="K13710" s="199"/>
      <c r="M13710" s="199"/>
      <c r="N13710" s="200"/>
      <c r="P13710" s="199"/>
    </row>
    <row r="13711" spans="7:16" x14ac:dyDescent="0.2">
      <c r="G13711" s="199"/>
      <c r="I13711" s="199"/>
      <c r="K13711" s="199"/>
      <c r="M13711" s="199"/>
      <c r="N13711" s="200"/>
      <c r="P13711" s="199"/>
    </row>
    <row r="13712" spans="7:16" x14ac:dyDescent="0.2">
      <c r="G13712" s="199"/>
      <c r="I13712" s="199"/>
      <c r="K13712" s="199"/>
      <c r="M13712" s="199"/>
      <c r="N13712" s="200"/>
      <c r="P13712" s="199"/>
    </row>
    <row r="13713" spans="7:16" x14ac:dyDescent="0.2">
      <c r="G13713" s="199"/>
      <c r="I13713" s="199"/>
      <c r="K13713" s="199"/>
      <c r="M13713" s="199"/>
      <c r="N13713" s="200"/>
      <c r="P13713" s="199"/>
    </row>
    <row r="13714" spans="7:16" x14ac:dyDescent="0.2">
      <c r="G13714" s="199"/>
      <c r="I13714" s="199"/>
      <c r="K13714" s="199"/>
      <c r="M13714" s="199"/>
      <c r="N13714" s="200"/>
      <c r="P13714" s="199"/>
    </row>
    <row r="13715" spans="7:16" x14ac:dyDescent="0.2">
      <c r="G13715" s="199"/>
      <c r="I13715" s="199"/>
      <c r="K13715" s="199"/>
      <c r="M13715" s="199"/>
      <c r="N13715" s="200"/>
      <c r="P13715" s="199"/>
    </row>
    <row r="13716" spans="7:16" x14ac:dyDescent="0.2">
      <c r="G13716" s="199"/>
      <c r="I13716" s="199"/>
      <c r="K13716" s="199"/>
      <c r="M13716" s="199"/>
      <c r="N13716" s="200"/>
      <c r="P13716" s="199"/>
    </row>
    <row r="13717" spans="7:16" x14ac:dyDescent="0.2">
      <c r="G13717" s="199"/>
      <c r="I13717" s="199"/>
      <c r="K13717" s="199"/>
      <c r="M13717" s="199"/>
      <c r="N13717" s="200"/>
      <c r="P13717" s="199"/>
    </row>
    <row r="13718" spans="7:16" x14ac:dyDescent="0.2">
      <c r="G13718" s="199"/>
      <c r="I13718" s="199"/>
      <c r="K13718" s="199"/>
      <c r="M13718" s="199"/>
      <c r="N13718" s="200"/>
      <c r="P13718" s="199"/>
    </row>
    <row r="13719" spans="7:16" x14ac:dyDescent="0.2">
      <c r="G13719" s="199"/>
      <c r="I13719" s="199"/>
      <c r="K13719" s="199"/>
      <c r="M13719" s="199"/>
      <c r="N13719" s="200"/>
      <c r="P13719" s="199"/>
    </row>
    <row r="13720" spans="7:16" x14ac:dyDescent="0.2">
      <c r="G13720" s="199"/>
      <c r="I13720" s="199"/>
      <c r="K13720" s="199"/>
      <c r="M13720" s="199"/>
      <c r="N13720" s="200"/>
      <c r="P13720" s="199"/>
    </row>
    <row r="13721" spans="7:16" x14ac:dyDescent="0.2">
      <c r="G13721" s="199"/>
      <c r="I13721" s="199"/>
      <c r="K13721" s="199"/>
      <c r="M13721" s="199"/>
      <c r="N13721" s="200"/>
      <c r="P13721" s="199"/>
    </row>
    <row r="13722" spans="7:16" x14ac:dyDescent="0.2">
      <c r="G13722" s="199"/>
      <c r="I13722" s="199"/>
      <c r="K13722" s="199"/>
      <c r="M13722" s="199"/>
      <c r="N13722" s="200"/>
      <c r="P13722" s="199"/>
    </row>
    <row r="13723" spans="7:16" x14ac:dyDescent="0.2">
      <c r="G13723" s="199"/>
      <c r="I13723" s="199"/>
      <c r="K13723" s="199"/>
      <c r="M13723" s="199"/>
      <c r="N13723" s="200"/>
      <c r="P13723" s="199"/>
    </row>
    <row r="13724" spans="7:16" x14ac:dyDescent="0.2">
      <c r="G13724" s="199"/>
      <c r="I13724" s="199"/>
      <c r="K13724" s="199"/>
      <c r="M13724" s="199"/>
      <c r="N13724" s="200"/>
      <c r="P13724" s="199"/>
    </row>
    <row r="13725" spans="7:16" x14ac:dyDescent="0.2">
      <c r="G13725" s="199"/>
      <c r="I13725" s="199"/>
      <c r="K13725" s="199"/>
      <c r="M13725" s="199"/>
      <c r="N13725" s="200"/>
      <c r="P13725" s="199"/>
    </row>
    <row r="13726" spans="7:16" x14ac:dyDescent="0.2">
      <c r="G13726" s="199"/>
      <c r="I13726" s="199"/>
      <c r="K13726" s="199"/>
      <c r="M13726" s="199"/>
      <c r="N13726" s="200"/>
      <c r="P13726" s="199"/>
    </row>
    <row r="13727" spans="7:16" x14ac:dyDescent="0.2">
      <c r="G13727" s="199"/>
      <c r="I13727" s="199"/>
      <c r="K13727" s="199"/>
      <c r="M13727" s="199"/>
      <c r="N13727" s="200"/>
      <c r="P13727" s="199"/>
    </row>
    <row r="13728" spans="7:16" x14ac:dyDescent="0.2">
      <c r="G13728" s="199"/>
      <c r="I13728" s="199"/>
      <c r="K13728" s="199"/>
      <c r="M13728" s="199"/>
      <c r="N13728" s="200"/>
      <c r="P13728" s="199"/>
    </row>
    <row r="13729" spans="7:16" x14ac:dyDescent="0.2">
      <c r="G13729" s="199"/>
      <c r="I13729" s="199"/>
      <c r="K13729" s="199"/>
      <c r="M13729" s="199"/>
      <c r="N13729" s="200"/>
      <c r="P13729" s="199"/>
    </row>
    <row r="13730" spans="7:16" x14ac:dyDescent="0.2">
      <c r="G13730" s="199"/>
      <c r="I13730" s="199"/>
      <c r="K13730" s="199"/>
      <c r="M13730" s="199"/>
      <c r="N13730" s="200"/>
      <c r="P13730" s="199"/>
    </row>
    <row r="13731" spans="7:16" x14ac:dyDescent="0.2">
      <c r="G13731" s="199"/>
      <c r="I13731" s="199"/>
      <c r="K13731" s="199"/>
      <c r="M13731" s="199"/>
      <c r="N13731" s="200"/>
      <c r="P13731" s="199"/>
    </row>
    <row r="13732" spans="7:16" x14ac:dyDescent="0.2">
      <c r="G13732" s="199"/>
      <c r="I13732" s="199"/>
      <c r="K13732" s="199"/>
      <c r="M13732" s="199"/>
      <c r="N13732" s="200"/>
      <c r="P13732" s="199"/>
    </row>
    <row r="13733" spans="7:16" x14ac:dyDescent="0.2">
      <c r="G13733" s="199"/>
      <c r="I13733" s="199"/>
      <c r="K13733" s="199"/>
      <c r="M13733" s="199"/>
      <c r="N13733" s="200"/>
      <c r="P13733" s="199"/>
    </row>
    <row r="13734" spans="7:16" x14ac:dyDescent="0.2">
      <c r="G13734" s="199"/>
      <c r="I13734" s="199"/>
      <c r="K13734" s="199"/>
      <c r="M13734" s="199"/>
      <c r="N13734" s="200"/>
      <c r="P13734" s="199"/>
    </row>
    <row r="13735" spans="7:16" x14ac:dyDescent="0.2">
      <c r="G13735" s="199"/>
      <c r="I13735" s="199"/>
      <c r="K13735" s="199"/>
      <c r="M13735" s="199"/>
      <c r="N13735" s="200"/>
      <c r="P13735" s="199"/>
    </row>
    <row r="13736" spans="7:16" x14ac:dyDescent="0.2">
      <c r="G13736" s="199"/>
      <c r="I13736" s="199"/>
      <c r="K13736" s="199"/>
      <c r="M13736" s="199"/>
      <c r="N13736" s="200"/>
      <c r="P13736" s="199"/>
    </row>
    <row r="13737" spans="7:16" x14ac:dyDescent="0.2">
      <c r="G13737" s="199"/>
      <c r="I13737" s="199"/>
      <c r="K13737" s="199"/>
      <c r="M13737" s="199"/>
      <c r="N13737" s="200"/>
      <c r="P13737" s="199"/>
    </row>
    <row r="13738" spans="7:16" x14ac:dyDescent="0.2">
      <c r="G13738" s="199"/>
      <c r="I13738" s="199"/>
      <c r="K13738" s="199"/>
      <c r="M13738" s="199"/>
      <c r="N13738" s="200"/>
      <c r="P13738" s="199"/>
    </row>
    <row r="13739" spans="7:16" x14ac:dyDescent="0.2">
      <c r="G13739" s="199"/>
      <c r="I13739" s="199"/>
      <c r="K13739" s="199"/>
      <c r="M13739" s="199"/>
      <c r="N13739" s="200"/>
      <c r="P13739" s="199"/>
    </row>
    <row r="13740" spans="7:16" x14ac:dyDescent="0.2">
      <c r="G13740" s="199"/>
      <c r="I13740" s="199"/>
      <c r="K13740" s="199"/>
      <c r="M13740" s="199"/>
      <c r="N13740" s="200"/>
      <c r="P13740" s="199"/>
    </row>
    <row r="13741" spans="7:16" x14ac:dyDescent="0.2">
      <c r="G13741" s="199"/>
      <c r="I13741" s="199"/>
      <c r="K13741" s="199"/>
      <c r="M13741" s="199"/>
      <c r="N13741" s="200"/>
      <c r="P13741" s="199"/>
    </row>
    <row r="13742" spans="7:16" x14ac:dyDescent="0.2">
      <c r="G13742" s="199"/>
      <c r="I13742" s="199"/>
      <c r="K13742" s="199"/>
      <c r="M13742" s="199"/>
      <c r="N13742" s="200"/>
      <c r="P13742" s="199"/>
    </row>
    <row r="13743" spans="7:16" x14ac:dyDescent="0.2">
      <c r="G13743" s="199"/>
      <c r="I13743" s="199"/>
      <c r="K13743" s="199"/>
      <c r="M13743" s="199"/>
      <c r="N13743" s="200"/>
      <c r="P13743" s="199"/>
    </row>
    <row r="13744" spans="7:16" x14ac:dyDescent="0.2">
      <c r="G13744" s="199"/>
      <c r="I13744" s="199"/>
      <c r="K13744" s="199"/>
      <c r="M13744" s="199"/>
      <c r="N13744" s="200"/>
      <c r="P13744" s="199"/>
    </row>
    <row r="13745" spans="7:16" x14ac:dyDescent="0.2">
      <c r="G13745" s="199"/>
      <c r="I13745" s="199"/>
      <c r="K13745" s="199"/>
      <c r="M13745" s="199"/>
      <c r="N13745" s="200"/>
      <c r="P13745" s="199"/>
    </row>
    <row r="13746" spans="7:16" x14ac:dyDescent="0.2">
      <c r="G13746" s="199"/>
      <c r="I13746" s="199"/>
      <c r="K13746" s="199"/>
      <c r="M13746" s="199"/>
      <c r="N13746" s="200"/>
      <c r="P13746" s="199"/>
    </row>
    <row r="13747" spans="7:16" x14ac:dyDescent="0.2">
      <c r="G13747" s="199"/>
      <c r="I13747" s="199"/>
      <c r="K13747" s="199"/>
      <c r="M13747" s="199"/>
      <c r="N13747" s="200"/>
      <c r="P13747" s="199"/>
    </row>
    <row r="13748" spans="7:16" x14ac:dyDescent="0.2">
      <c r="G13748" s="199"/>
      <c r="I13748" s="199"/>
      <c r="K13748" s="199"/>
      <c r="M13748" s="199"/>
      <c r="N13748" s="200"/>
      <c r="P13748" s="199"/>
    </row>
    <row r="13749" spans="7:16" x14ac:dyDescent="0.2">
      <c r="G13749" s="199"/>
      <c r="I13749" s="199"/>
      <c r="K13749" s="199"/>
      <c r="M13749" s="199"/>
      <c r="N13749" s="200"/>
      <c r="P13749" s="199"/>
    </row>
    <row r="13750" spans="7:16" x14ac:dyDescent="0.2">
      <c r="G13750" s="199"/>
      <c r="I13750" s="199"/>
      <c r="K13750" s="199"/>
      <c r="M13750" s="199"/>
      <c r="N13750" s="200"/>
      <c r="P13750" s="199"/>
    </row>
    <row r="13751" spans="7:16" x14ac:dyDescent="0.2">
      <c r="G13751" s="199"/>
      <c r="I13751" s="199"/>
      <c r="K13751" s="199"/>
      <c r="M13751" s="199"/>
      <c r="N13751" s="200"/>
      <c r="P13751" s="199"/>
    </row>
    <row r="13752" spans="7:16" x14ac:dyDescent="0.2">
      <c r="G13752" s="199"/>
      <c r="I13752" s="199"/>
      <c r="K13752" s="199"/>
      <c r="M13752" s="199"/>
      <c r="N13752" s="200"/>
      <c r="P13752" s="199"/>
    </row>
    <row r="13753" spans="7:16" x14ac:dyDescent="0.2">
      <c r="G13753" s="199"/>
      <c r="I13753" s="199"/>
      <c r="K13753" s="199"/>
      <c r="M13753" s="199"/>
      <c r="N13753" s="200"/>
      <c r="P13753" s="199"/>
    </row>
    <row r="13754" spans="7:16" x14ac:dyDescent="0.2">
      <c r="G13754" s="199"/>
      <c r="I13754" s="199"/>
      <c r="K13754" s="199"/>
      <c r="M13754" s="199"/>
      <c r="N13754" s="200"/>
      <c r="P13754" s="199"/>
    </row>
    <row r="13755" spans="7:16" x14ac:dyDescent="0.2">
      <c r="G13755" s="199"/>
      <c r="I13755" s="199"/>
      <c r="K13755" s="199"/>
      <c r="M13755" s="199"/>
      <c r="N13755" s="200"/>
      <c r="P13755" s="199"/>
    </row>
    <row r="13756" spans="7:16" x14ac:dyDescent="0.2">
      <c r="G13756" s="199"/>
      <c r="I13756" s="199"/>
      <c r="K13756" s="199"/>
      <c r="M13756" s="199"/>
      <c r="N13756" s="200"/>
      <c r="P13756" s="199"/>
    </row>
    <row r="13757" spans="7:16" x14ac:dyDescent="0.2">
      <c r="G13757" s="199"/>
      <c r="I13757" s="199"/>
      <c r="K13757" s="199"/>
      <c r="M13757" s="199"/>
      <c r="N13757" s="200"/>
      <c r="P13757" s="199"/>
    </row>
    <row r="13758" spans="7:16" x14ac:dyDescent="0.2">
      <c r="G13758" s="199"/>
      <c r="I13758" s="199"/>
      <c r="K13758" s="199"/>
      <c r="M13758" s="199"/>
      <c r="N13758" s="200"/>
      <c r="P13758" s="199"/>
    </row>
    <row r="13759" spans="7:16" x14ac:dyDescent="0.2">
      <c r="G13759" s="199"/>
      <c r="I13759" s="199"/>
      <c r="K13759" s="199"/>
      <c r="M13759" s="199"/>
      <c r="N13759" s="200"/>
      <c r="P13759" s="199"/>
    </row>
    <row r="13760" spans="7:16" x14ac:dyDescent="0.2">
      <c r="G13760" s="199"/>
      <c r="I13760" s="199"/>
      <c r="K13760" s="199"/>
      <c r="M13760" s="199"/>
      <c r="N13760" s="200"/>
      <c r="P13760" s="199"/>
    </row>
    <row r="13761" spans="7:16" x14ac:dyDescent="0.2">
      <c r="G13761" s="199"/>
      <c r="I13761" s="199"/>
      <c r="K13761" s="199"/>
      <c r="M13761" s="199"/>
      <c r="N13761" s="200"/>
      <c r="P13761" s="199"/>
    </row>
    <row r="13762" spans="7:16" x14ac:dyDescent="0.2">
      <c r="G13762" s="199"/>
      <c r="I13762" s="199"/>
      <c r="K13762" s="199"/>
      <c r="M13762" s="199"/>
      <c r="N13762" s="200"/>
      <c r="P13762" s="199"/>
    </row>
    <row r="13763" spans="7:16" x14ac:dyDescent="0.2">
      <c r="G13763" s="199"/>
      <c r="I13763" s="199"/>
      <c r="K13763" s="199"/>
      <c r="M13763" s="199"/>
      <c r="N13763" s="200"/>
      <c r="P13763" s="199"/>
    </row>
    <row r="13764" spans="7:16" x14ac:dyDescent="0.2">
      <c r="G13764" s="199"/>
      <c r="I13764" s="199"/>
      <c r="K13764" s="199"/>
      <c r="M13764" s="199"/>
      <c r="N13764" s="200"/>
      <c r="P13764" s="199"/>
    </row>
    <row r="13765" spans="7:16" x14ac:dyDescent="0.2">
      <c r="G13765" s="199"/>
      <c r="I13765" s="199"/>
      <c r="K13765" s="199"/>
      <c r="M13765" s="199"/>
      <c r="N13765" s="200"/>
      <c r="P13765" s="199"/>
    </row>
    <row r="13766" spans="7:16" x14ac:dyDescent="0.2">
      <c r="G13766" s="199"/>
      <c r="I13766" s="199"/>
      <c r="K13766" s="199"/>
      <c r="M13766" s="199"/>
      <c r="N13766" s="200"/>
      <c r="P13766" s="199"/>
    </row>
    <row r="13767" spans="7:16" x14ac:dyDescent="0.2">
      <c r="G13767" s="199"/>
      <c r="I13767" s="199"/>
      <c r="K13767" s="199"/>
      <c r="M13767" s="199"/>
      <c r="N13767" s="200"/>
      <c r="P13767" s="199"/>
    </row>
    <row r="13768" spans="7:16" x14ac:dyDescent="0.2">
      <c r="G13768" s="199"/>
      <c r="I13768" s="199"/>
      <c r="K13768" s="199"/>
      <c r="M13768" s="199"/>
      <c r="N13768" s="200"/>
      <c r="P13768" s="199"/>
    </row>
    <row r="13769" spans="7:16" x14ac:dyDescent="0.2">
      <c r="G13769" s="199"/>
      <c r="I13769" s="199"/>
      <c r="K13769" s="199"/>
      <c r="M13769" s="199"/>
      <c r="N13769" s="200"/>
      <c r="P13769" s="199"/>
    </row>
    <row r="13770" spans="7:16" x14ac:dyDescent="0.2">
      <c r="G13770" s="199"/>
      <c r="I13770" s="199"/>
      <c r="K13770" s="199"/>
      <c r="M13770" s="199"/>
      <c r="N13770" s="200"/>
      <c r="P13770" s="199"/>
    </row>
    <row r="13771" spans="7:16" x14ac:dyDescent="0.2">
      <c r="G13771" s="199"/>
      <c r="I13771" s="199"/>
      <c r="K13771" s="199"/>
      <c r="M13771" s="199"/>
      <c r="N13771" s="200"/>
      <c r="P13771" s="199"/>
    </row>
    <row r="13772" spans="7:16" x14ac:dyDescent="0.2">
      <c r="G13772" s="199"/>
      <c r="I13772" s="199"/>
      <c r="K13772" s="199"/>
      <c r="M13772" s="199"/>
      <c r="N13772" s="200"/>
      <c r="P13772" s="199"/>
    </row>
    <row r="13773" spans="7:16" x14ac:dyDescent="0.2">
      <c r="G13773" s="199"/>
      <c r="I13773" s="199"/>
      <c r="K13773" s="199"/>
      <c r="M13773" s="199"/>
      <c r="N13773" s="200"/>
      <c r="P13773" s="199"/>
    </row>
    <row r="13774" spans="7:16" x14ac:dyDescent="0.2">
      <c r="G13774" s="199"/>
      <c r="I13774" s="199"/>
      <c r="K13774" s="199"/>
      <c r="M13774" s="199"/>
      <c r="N13774" s="200"/>
      <c r="P13774" s="199"/>
    </row>
    <row r="13775" spans="7:16" x14ac:dyDescent="0.2">
      <c r="G13775" s="199"/>
      <c r="I13775" s="199"/>
      <c r="K13775" s="199"/>
      <c r="M13775" s="199"/>
      <c r="N13775" s="200"/>
      <c r="P13775" s="199"/>
    </row>
    <row r="13776" spans="7:16" x14ac:dyDescent="0.2">
      <c r="G13776" s="199"/>
      <c r="I13776" s="199"/>
      <c r="K13776" s="199"/>
      <c r="M13776" s="199"/>
      <c r="N13776" s="200"/>
      <c r="P13776" s="199"/>
    </row>
    <row r="13777" spans="7:16" x14ac:dyDescent="0.2">
      <c r="G13777" s="199"/>
      <c r="I13777" s="199"/>
      <c r="K13777" s="199"/>
      <c r="M13777" s="199"/>
      <c r="N13777" s="200"/>
      <c r="P13777" s="199"/>
    </row>
    <row r="13778" spans="7:16" x14ac:dyDescent="0.2">
      <c r="G13778" s="199"/>
      <c r="I13778" s="199"/>
      <c r="K13778" s="199"/>
      <c r="M13778" s="199"/>
      <c r="N13778" s="200"/>
      <c r="P13778" s="199"/>
    </row>
    <row r="13779" spans="7:16" x14ac:dyDescent="0.2">
      <c r="G13779" s="199"/>
      <c r="I13779" s="199"/>
      <c r="K13779" s="199"/>
      <c r="M13779" s="199"/>
      <c r="N13779" s="200"/>
      <c r="P13779" s="199"/>
    </row>
    <row r="13780" spans="7:16" x14ac:dyDescent="0.2">
      <c r="G13780" s="199"/>
      <c r="I13780" s="199"/>
      <c r="K13780" s="199"/>
      <c r="M13780" s="199"/>
      <c r="N13780" s="200"/>
      <c r="P13780" s="199"/>
    </row>
    <row r="13781" spans="7:16" x14ac:dyDescent="0.2">
      <c r="G13781" s="199"/>
      <c r="I13781" s="199"/>
      <c r="K13781" s="199"/>
      <c r="M13781" s="199"/>
      <c r="N13781" s="200"/>
      <c r="P13781" s="199"/>
    </row>
    <row r="13782" spans="7:16" x14ac:dyDescent="0.2">
      <c r="G13782" s="199"/>
      <c r="I13782" s="199"/>
      <c r="K13782" s="199"/>
      <c r="M13782" s="199"/>
      <c r="N13782" s="200"/>
      <c r="P13782" s="199"/>
    </row>
    <row r="13783" spans="7:16" x14ac:dyDescent="0.2">
      <c r="G13783" s="199"/>
      <c r="I13783" s="199"/>
      <c r="K13783" s="199"/>
      <c r="M13783" s="199"/>
      <c r="N13783" s="200"/>
      <c r="P13783" s="199"/>
    </row>
    <row r="13784" spans="7:16" x14ac:dyDescent="0.2">
      <c r="G13784" s="199"/>
      <c r="I13784" s="199"/>
      <c r="K13784" s="199"/>
      <c r="M13784" s="199"/>
      <c r="N13784" s="200"/>
      <c r="P13784" s="199"/>
    </row>
    <row r="13785" spans="7:16" x14ac:dyDescent="0.2">
      <c r="G13785" s="199"/>
      <c r="I13785" s="199"/>
      <c r="K13785" s="199"/>
      <c r="M13785" s="199"/>
      <c r="N13785" s="200"/>
      <c r="P13785" s="199"/>
    </row>
    <row r="13786" spans="7:16" x14ac:dyDescent="0.2">
      <c r="G13786" s="199"/>
      <c r="I13786" s="199"/>
      <c r="K13786" s="199"/>
      <c r="M13786" s="199"/>
      <c r="N13786" s="200"/>
      <c r="P13786" s="199"/>
    </row>
    <row r="13787" spans="7:16" x14ac:dyDescent="0.2">
      <c r="G13787" s="199"/>
      <c r="I13787" s="199"/>
      <c r="K13787" s="199"/>
      <c r="M13787" s="199"/>
      <c r="N13787" s="200"/>
      <c r="P13787" s="199"/>
    </row>
    <row r="13788" spans="7:16" x14ac:dyDescent="0.2">
      <c r="G13788" s="199"/>
      <c r="I13788" s="199"/>
      <c r="K13788" s="199"/>
      <c r="M13788" s="199"/>
      <c r="N13788" s="200"/>
      <c r="P13788" s="199"/>
    </row>
    <row r="13789" spans="7:16" x14ac:dyDescent="0.2">
      <c r="G13789" s="199"/>
      <c r="I13789" s="199"/>
      <c r="K13789" s="199"/>
      <c r="M13789" s="199"/>
      <c r="N13789" s="200"/>
      <c r="P13789" s="199"/>
    </row>
    <row r="13790" spans="7:16" x14ac:dyDescent="0.2">
      <c r="G13790" s="199"/>
      <c r="I13790" s="199"/>
      <c r="K13790" s="199"/>
      <c r="M13790" s="199"/>
      <c r="N13790" s="200"/>
      <c r="P13790" s="199"/>
    </row>
    <row r="13791" spans="7:16" x14ac:dyDescent="0.2">
      <c r="G13791" s="199"/>
      <c r="I13791" s="199"/>
      <c r="K13791" s="199"/>
      <c r="M13791" s="199"/>
      <c r="N13791" s="200"/>
      <c r="P13791" s="199"/>
    </row>
    <row r="13792" spans="7:16" x14ac:dyDescent="0.2">
      <c r="G13792" s="199"/>
      <c r="I13792" s="199"/>
      <c r="K13792" s="199"/>
      <c r="M13792" s="199"/>
      <c r="N13792" s="200"/>
      <c r="P13792" s="199"/>
    </row>
    <row r="13793" spans="7:16" x14ac:dyDescent="0.2">
      <c r="G13793" s="199"/>
      <c r="I13793" s="199"/>
      <c r="K13793" s="199"/>
      <c r="M13793" s="199"/>
      <c r="N13793" s="200"/>
      <c r="P13793" s="199"/>
    </row>
    <row r="13794" spans="7:16" x14ac:dyDescent="0.2">
      <c r="G13794" s="199"/>
      <c r="I13794" s="199"/>
      <c r="K13794" s="199"/>
      <c r="M13794" s="199"/>
      <c r="N13794" s="200"/>
      <c r="P13794" s="199"/>
    </row>
    <row r="13795" spans="7:16" x14ac:dyDescent="0.2">
      <c r="G13795" s="199"/>
      <c r="I13795" s="199"/>
      <c r="K13795" s="199"/>
      <c r="M13795" s="199"/>
      <c r="N13795" s="200"/>
      <c r="P13795" s="199"/>
    </row>
    <row r="13796" spans="7:16" x14ac:dyDescent="0.2">
      <c r="G13796" s="199"/>
      <c r="I13796" s="199"/>
      <c r="K13796" s="199"/>
      <c r="M13796" s="199"/>
      <c r="N13796" s="200"/>
      <c r="P13796" s="199"/>
    </row>
    <row r="13797" spans="7:16" x14ac:dyDescent="0.2">
      <c r="G13797" s="199"/>
      <c r="I13797" s="199"/>
      <c r="K13797" s="199"/>
      <c r="M13797" s="199"/>
      <c r="N13797" s="200"/>
      <c r="P13797" s="199"/>
    </row>
    <row r="13798" spans="7:16" x14ac:dyDescent="0.2">
      <c r="G13798" s="199"/>
      <c r="I13798" s="199"/>
      <c r="K13798" s="199"/>
      <c r="M13798" s="199"/>
      <c r="N13798" s="200"/>
      <c r="P13798" s="199"/>
    </row>
    <row r="13799" spans="7:16" x14ac:dyDescent="0.2">
      <c r="G13799" s="199"/>
      <c r="I13799" s="199"/>
      <c r="K13799" s="199"/>
      <c r="M13799" s="199"/>
      <c r="N13799" s="200"/>
      <c r="P13799" s="199"/>
    </row>
    <row r="13800" spans="7:16" x14ac:dyDescent="0.2">
      <c r="G13800" s="199"/>
      <c r="I13800" s="199"/>
      <c r="K13800" s="199"/>
      <c r="M13800" s="199"/>
      <c r="N13800" s="200"/>
      <c r="P13800" s="199"/>
    </row>
    <row r="13801" spans="7:16" x14ac:dyDescent="0.2">
      <c r="G13801" s="199"/>
      <c r="I13801" s="199"/>
      <c r="K13801" s="199"/>
      <c r="M13801" s="199"/>
      <c r="N13801" s="200"/>
      <c r="P13801" s="199"/>
    </row>
    <row r="13802" spans="7:16" x14ac:dyDescent="0.2">
      <c r="G13802" s="199"/>
      <c r="I13802" s="199"/>
      <c r="K13802" s="199"/>
      <c r="M13802" s="199"/>
      <c r="N13802" s="200"/>
      <c r="P13802" s="199"/>
    </row>
    <row r="13803" spans="7:16" x14ac:dyDescent="0.2">
      <c r="G13803" s="199"/>
      <c r="I13803" s="199"/>
      <c r="K13803" s="199"/>
      <c r="M13803" s="199"/>
      <c r="N13803" s="200"/>
      <c r="P13803" s="199"/>
    </row>
    <row r="13804" spans="7:16" x14ac:dyDescent="0.2">
      <c r="G13804" s="199"/>
      <c r="I13804" s="199"/>
      <c r="K13804" s="199"/>
      <c r="M13804" s="199"/>
      <c r="N13804" s="200"/>
      <c r="P13804" s="199"/>
    </row>
    <row r="13805" spans="7:16" x14ac:dyDescent="0.2">
      <c r="G13805" s="199"/>
      <c r="I13805" s="199"/>
      <c r="K13805" s="199"/>
      <c r="M13805" s="199"/>
      <c r="N13805" s="200"/>
      <c r="P13805" s="199"/>
    </row>
    <row r="13806" spans="7:16" x14ac:dyDescent="0.2">
      <c r="G13806" s="199"/>
      <c r="I13806" s="199"/>
      <c r="K13806" s="199"/>
      <c r="M13806" s="199"/>
      <c r="N13806" s="200"/>
      <c r="P13806" s="199"/>
    </row>
    <row r="13807" spans="7:16" x14ac:dyDescent="0.2">
      <c r="G13807" s="199"/>
      <c r="I13807" s="199"/>
      <c r="K13807" s="199"/>
      <c r="M13807" s="199"/>
      <c r="N13807" s="200"/>
      <c r="P13807" s="199"/>
    </row>
    <row r="13808" spans="7:16" x14ac:dyDescent="0.2">
      <c r="G13808" s="199"/>
      <c r="I13808" s="199"/>
      <c r="K13808" s="199"/>
      <c r="M13808" s="199"/>
      <c r="N13808" s="200"/>
      <c r="P13808" s="199"/>
    </row>
    <row r="13809" spans="7:16" x14ac:dyDescent="0.2">
      <c r="G13809" s="199"/>
      <c r="I13809" s="199"/>
      <c r="K13809" s="199"/>
      <c r="M13809" s="199"/>
      <c r="N13809" s="200"/>
      <c r="P13809" s="199"/>
    </row>
    <row r="13810" spans="7:16" x14ac:dyDescent="0.2">
      <c r="G13810" s="199"/>
      <c r="I13810" s="199"/>
      <c r="K13810" s="199"/>
      <c r="M13810" s="199"/>
      <c r="N13810" s="200"/>
      <c r="P13810" s="199"/>
    </row>
    <row r="13811" spans="7:16" x14ac:dyDescent="0.2">
      <c r="G13811" s="199"/>
      <c r="I13811" s="199"/>
      <c r="K13811" s="199"/>
      <c r="M13811" s="199"/>
      <c r="N13811" s="200"/>
      <c r="P13811" s="199"/>
    </row>
    <row r="13812" spans="7:16" x14ac:dyDescent="0.2">
      <c r="G13812" s="199"/>
      <c r="I13812" s="199"/>
      <c r="K13812" s="199"/>
      <c r="M13812" s="199"/>
      <c r="N13812" s="200"/>
      <c r="P13812" s="199"/>
    </row>
    <row r="13813" spans="7:16" x14ac:dyDescent="0.2">
      <c r="G13813" s="199"/>
      <c r="I13813" s="199"/>
      <c r="K13813" s="199"/>
      <c r="M13813" s="199"/>
      <c r="N13813" s="200"/>
      <c r="P13813" s="199"/>
    </row>
    <row r="13814" spans="7:16" x14ac:dyDescent="0.2">
      <c r="G13814" s="199"/>
      <c r="I13814" s="199"/>
      <c r="K13814" s="199"/>
      <c r="M13814" s="199"/>
      <c r="N13814" s="200"/>
      <c r="P13814" s="199"/>
    </row>
    <row r="13815" spans="7:16" x14ac:dyDescent="0.2">
      <c r="G13815" s="199"/>
      <c r="I13815" s="199"/>
      <c r="K13815" s="199"/>
      <c r="M13815" s="199"/>
      <c r="N13815" s="200"/>
      <c r="P13815" s="199"/>
    </row>
    <row r="13816" spans="7:16" x14ac:dyDescent="0.2">
      <c r="G13816" s="199"/>
      <c r="I13816" s="199"/>
      <c r="K13816" s="199"/>
      <c r="M13816" s="199"/>
      <c r="N13816" s="200"/>
      <c r="P13816" s="199"/>
    </row>
    <row r="13817" spans="7:16" x14ac:dyDescent="0.2">
      <c r="G13817" s="199"/>
      <c r="I13817" s="199"/>
      <c r="K13817" s="199"/>
      <c r="M13817" s="199"/>
      <c r="N13817" s="200"/>
      <c r="P13817" s="199"/>
    </row>
    <row r="13818" spans="7:16" x14ac:dyDescent="0.2">
      <c r="G13818" s="199"/>
      <c r="I13818" s="199"/>
      <c r="K13818" s="199"/>
      <c r="M13818" s="199"/>
      <c r="N13818" s="200"/>
      <c r="P13818" s="199"/>
    </row>
    <row r="13819" spans="7:16" x14ac:dyDescent="0.2">
      <c r="G13819" s="199"/>
      <c r="I13819" s="199"/>
      <c r="K13819" s="199"/>
      <c r="M13819" s="199"/>
      <c r="N13819" s="200"/>
      <c r="P13819" s="199"/>
    </row>
    <row r="13820" spans="7:16" x14ac:dyDescent="0.2">
      <c r="G13820" s="199"/>
      <c r="I13820" s="199"/>
      <c r="K13820" s="199"/>
      <c r="M13820" s="199"/>
      <c r="N13820" s="200"/>
      <c r="P13820" s="199"/>
    </row>
    <row r="13821" spans="7:16" x14ac:dyDescent="0.2">
      <c r="G13821" s="199"/>
      <c r="I13821" s="199"/>
      <c r="K13821" s="199"/>
      <c r="M13821" s="199"/>
      <c r="N13821" s="200"/>
      <c r="P13821" s="199"/>
    </row>
    <row r="13822" spans="7:16" x14ac:dyDescent="0.2">
      <c r="G13822" s="199"/>
      <c r="I13822" s="199"/>
      <c r="K13822" s="199"/>
      <c r="M13822" s="199"/>
      <c r="N13822" s="200"/>
      <c r="P13822" s="199"/>
    </row>
    <row r="13823" spans="7:16" x14ac:dyDescent="0.2">
      <c r="G13823" s="199"/>
      <c r="I13823" s="199"/>
      <c r="K13823" s="199"/>
      <c r="M13823" s="199"/>
      <c r="N13823" s="200"/>
      <c r="P13823" s="199"/>
    </row>
    <row r="13824" spans="7:16" x14ac:dyDescent="0.2">
      <c r="G13824" s="199"/>
      <c r="I13824" s="199"/>
      <c r="K13824" s="199"/>
      <c r="M13824" s="199"/>
      <c r="N13824" s="200"/>
      <c r="P13824" s="199"/>
    </row>
    <row r="13825" spans="7:16" x14ac:dyDescent="0.2">
      <c r="G13825" s="199"/>
      <c r="I13825" s="199"/>
      <c r="K13825" s="199"/>
      <c r="M13825" s="199"/>
      <c r="N13825" s="200"/>
      <c r="P13825" s="199"/>
    </row>
    <row r="13826" spans="7:16" x14ac:dyDescent="0.2">
      <c r="G13826" s="199"/>
      <c r="I13826" s="199"/>
      <c r="K13826" s="199"/>
      <c r="M13826" s="199"/>
      <c r="N13826" s="200"/>
      <c r="P13826" s="199"/>
    </row>
    <row r="13827" spans="7:16" x14ac:dyDescent="0.2">
      <c r="G13827" s="199"/>
      <c r="I13827" s="199"/>
      <c r="K13827" s="199"/>
      <c r="M13827" s="199"/>
      <c r="N13827" s="200"/>
      <c r="P13827" s="199"/>
    </row>
    <row r="13828" spans="7:16" x14ac:dyDescent="0.2">
      <c r="G13828" s="199"/>
      <c r="I13828" s="199"/>
      <c r="K13828" s="199"/>
      <c r="M13828" s="199"/>
      <c r="N13828" s="200"/>
      <c r="P13828" s="199"/>
    </row>
    <row r="13829" spans="7:16" x14ac:dyDescent="0.2">
      <c r="G13829" s="199"/>
      <c r="I13829" s="199"/>
      <c r="K13829" s="199"/>
      <c r="M13829" s="199"/>
      <c r="N13829" s="200"/>
      <c r="P13829" s="199"/>
    </row>
    <row r="13830" spans="7:16" x14ac:dyDescent="0.2">
      <c r="G13830" s="199"/>
      <c r="I13830" s="199"/>
      <c r="K13830" s="199"/>
      <c r="M13830" s="199"/>
      <c r="N13830" s="200"/>
      <c r="P13830" s="199"/>
    </row>
    <row r="13831" spans="7:16" x14ac:dyDescent="0.2">
      <c r="G13831" s="199"/>
      <c r="I13831" s="199"/>
      <c r="K13831" s="199"/>
      <c r="M13831" s="199"/>
      <c r="N13831" s="200"/>
      <c r="P13831" s="199"/>
    </row>
    <row r="13832" spans="7:16" x14ac:dyDescent="0.2">
      <c r="G13832" s="199"/>
      <c r="I13832" s="199"/>
      <c r="K13832" s="199"/>
      <c r="M13832" s="199"/>
      <c r="N13832" s="200"/>
      <c r="P13832" s="199"/>
    </row>
    <row r="13833" spans="7:16" x14ac:dyDescent="0.2">
      <c r="G13833" s="199"/>
      <c r="I13833" s="199"/>
      <c r="K13833" s="199"/>
      <c r="M13833" s="199"/>
      <c r="N13833" s="200"/>
      <c r="P13833" s="199"/>
    </row>
    <row r="13834" spans="7:16" x14ac:dyDescent="0.2">
      <c r="G13834" s="199"/>
      <c r="I13834" s="199"/>
      <c r="K13834" s="199"/>
      <c r="M13834" s="199"/>
      <c r="N13834" s="200"/>
      <c r="P13834" s="199"/>
    </row>
    <row r="13835" spans="7:16" x14ac:dyDescent="0.2">
      <c r="G13835" s="199"/>
      <c r="I13835" s="199"/>
      <c r="K13835" s="199"/>
      <c r="M13835" s="199"/>
      <c r="N13835" s="200"/>
      <c r="P13835" s="199"/>
    </row>
    <row r="13836" spans="7:16" x14ac:dyDescent="0.2">
      <c r="G13836" s="199"/>
      <c r="I13836" s="199"/>
      <c r="K13836" s="199"/>
      <c r="M13836" s="199"/>
      <c r="N13836" s="200"/>
      <c r="P13836" s="199"/>
    </row>
    <row r="13837" spans="7:16" x14ac:dyDescent="0.2">
      <c r="G13837" s="199"/>
      <c r="I13837" s="199"/>
      <c r="K13837" s="199"/>
      <c r="M13837" s="199"/>
      <c r="N13837" s="200"/>
      <c r="P13837" s="199"/>
    </row>
    <row r="13838" spans="7:16" x14ac:dyDescent="0.2">
      <c r="G13838" s="199"/>
      <c r="I13838" s="199"/>
      <c r="K13838" s="199"/>
      <c r="M13838" s="199"/>
      <c r="N13838" s="200"/>
      <c r="P13838" s="199"/>
    </row>
    <row r="13839" spans="7:16" x14ac:dyDescent="0.2">
      <c r="G13839" s="199"/>
      <c r="I13839" s="199"/>
      <c r="K13839" s="199"/>
      <c r="M13839" s="199"/>
      <c r="N13839" s="200"/>
      <c r="P13839" s="199"/>
    </row>
    <row r="13840" spans="7:16" x14ac:dyDescent="0.2">
      <c r="G13840" s="199"/>
      <c r="I13840" s="199"/>
      <c r="K13840" s="199"/>
      <c r="M13840" s="199"/>
      <c r="N13840" s="200"/>
      <c r="P13840" s="199"/>
    </row>
    <row r="13841" spans="7:16" x14ac:dyDescent="0.2">
      <c r="G13841" s="199"/>
      <c r="I13841" s="199"/>
      <c r="K13841" s="199"/>
      <c r="M13841" s="199"/>
      <c r="N13841" s="200"/>
      <c r="P13841" s="199"/>
    </row>
    <row r="13842" spans="7:16" x14ac:dyDescent="0.2">
      <c r="G13842" s="199"/>
      <c r="I13842" s="199"/>
      <c r="K13842" s="199"/>
      <c r="M13842" s="199"/>
      <c r="N13842" s="200"/>
      <c r="P13842" s="199"/>
    </row>
    <row r="13843" spans="7:16" x14ac:dyDescent="0.2">
      <c r="G13843" s="199"/>
      <c r="I13843" s="199"/>
      <c r="K13843" s="199"/>
      <c r="M13843" s="199"/>
      <c r="N13843" s="200"/>
      <c r="P13843" s="199"/>
    </row>
    <row r="13844" spans="7:16" x14ac:dyDescent="0.2">
      <c r="G13844" s="199"/>
      <c r="I13844" s="199"/>
      <c r="K13844" s="199"/>
      <c r="M13844" s="199"/>
      <c r="N13844" s="200"/>
      <c r="P13844" s="199"/>
    </row>
    <row r="13845" spans="7:16" x14ac:dyDescent="0.2">
      <c r="G13845" s="199"/>
      <c r="I13845" s="199"/>
      <c r="K13845" s="199"/>
      <c r="M13845" s="199"/>
      <c r="N13845" s="200"/>
      <c r="P13845" s="199"/>
    </row>
    <row r="13846" spans="7:16" x14ac:dyDescent="0.2">
      <c r="G13846" s="199"/>
      <c r="I13846" s="199"/>
      <c r="K13846" s="199"/>
      <c r="M13846" s="199"/>
      <c r="N13846" s="200"/>
      <c r="P13846" s="199"/>
    </row>
    <row r="13847" spans="7:16" x14ac:dyDescent="0.2">
      <c r="G13847" s="199"/>
      <c r="I13847" s="199"/>
      <c r="K13847" s="199"/>
      <c r="M13847" s="199"/>
      <c r="N13847" s="200"/>
      <c r="P13847" s="199"/>
    </row>
    <row r="13848" spans="7:16" x14ac:dyDescent="0.2">
      <c r="G13848" s="199"/>
      <c r="I13848" s="199"/>
      <c r="K13848" s="199"/>
      <c r="M13848" s="199"/>
      <c r="N13848" s="200"/>
      <c r="P13848" s="199"/>
    </row>
    <row r="13849" spans="7:16" x14ac:dyDescent="0.2">
      <c r="G13849" s="199"/>
      <c r="I13849" s="199"/>
      <c r="K13849" s="199"/>
      <c r="M13849" s="199"/>
      <c r="N13849" s="200"/>
      <c r="P13849" s="199"/>
    </row>
    <row r="13850" spans="7:16" x14ac:dyDescent="0.2">
      <c r="G13850" s="199"/>
      <c r="I13850" s="199"/>
      <c r="K13850" s="199"/>
      <c r="M13850" s="199"/>
      <c r="N13850" s="200"/>
      <c r="P13850" s="199"/>
    </row>
    <row r="13851" spans="7:16" x14ac:dyDescent="0.2">
      <c r="G13851" s="199"/>
      <c r="I13851" s="199"/>
      <c r="K13851" s="199"/>
      <c r="M13851" s="199"/>
      <c r="N13851" s="200"/>
      <c r="P13851" s="199"/>
    </row>
    <row r="13852" spans="7:16" x14ac:dyDescent="0.2">
      <c r="G13852" s="199"/>
      <c r="I13852" s="199"/>
      <c r="K13852" s="199"/>
      <c r="M13852" s="199"/>
      <c r="N13852" s="200"/>
      <c r="P13852" s="199"/>
    </row>
    <row r="13853" spans="7:16" x14ac:dyDescent="0.2">
      <c r="G13853" s="199"/>
      <c r="I13853" s="199"/>
      <c r="K13853" s="199"/>
      <c r="M13853" s="199"/>
      <c r="N13853" s="200"/>
      <c r="P13853" s="199"/>
    </row>
    <row r="13854" spans="7:16" x14ac:dyDescent="0.2">
      <c r="G13854" s="199"/>
      <c r="I13854" s="199"/>
      <c r="K13854" s="199"/>
      <c r="M13854" s="199"/>
      <c r="N13854" s="200"/>
      <c r="P13854" s="199"/>
    </row>
    <row r="13855" spans="7:16" x14ac:dyDescent="0.2">
      <c r="G13855" s="199"/>
      <c r="I13855" s="199"/>
      <c r="K13855" s="199"/>
      <c r="M13855" s="199"/>
      <c r="N13855" s="200"/>
      <c r="P13855" s="199"/>
    </row>
    <row r="13856" spans="7:16" x14ac:dyDescent="0.2">
      <c r="G13856" s="199"/>
      <c r="I13856" s="199"/>
      <c r="K13856" s="199"/>
      <c r="M13856" s="199"/>
      <c r="N13856" s="200"/>
      <c r="P13856" s="199"/>
    </row>
    <row r="13857" spans="7:16" x14ac:dyDescent="0.2">
      <c r="G13857" s="199"/>
      <c r="I13857" s="199"/>
      <c r="K13857" s="199"/>
      <c r="M13857" s="199"/>
      <c r="N13857" s="200"/>
      <c r="P13857" s="199"/>
    </row>
    <row r="13858" spans="7:16" x14ac:dyDescent="0.2">
      <c r="G13858" s="199"/>
      <c r="I13858" s="199"/>
      <c r="K13858" s="199"/>
      <c r="M13858" s="199"/>
      <c r="N13858" s="200"/>
      <c r="P13858" s="199"/>
    </row>
    <row r="13859" spans="7:16" x14ac:dyDescent="0.2">
      <c r="G13859" s="199"/>
      <c r="I13859" s="199"/>
      <c r="K13859" s="199"/>
      <c r="M13859" s="199"/>
      <c r="N13859" s="200"/>
      <c r="P13859" s="199"/>
    </row>
    <row r="13860" spans="7:16" x14ac:dyDescent="0.2">
      <c r="G13860" s="199"/>
      <c r="I13860" s="199"/>
      <c r="K13860" s="199"/>
      <c r="M13860" s="199"/>
      <c r="N13860" s="200"/>
      <c r="P13860" s="199"/>
    </row>
    <row r="13861" spans="7:16" x14ac:dyDescent="0.2">
      <c r="G13861" s="199"/>
      <c r="I13861" s="199"/>
      <c r="K13861" s="199"/>
      <c r="M13861" s="199"/>
      <c r="N13861" s="200"/>
      <c r="P13861" s="199"/>
    </row>
    <row r="13862" spans="7:16" x14ac:dyDescent="0.2">
      <c r="G13862" s="199"/>
      <c r="I13862" s="199"/>
      <c r="K13862" s="199"/>
      <c r="M13862" s="199"/>
      <c r="N13862" s="200"/>
      <c r="P13862" s="199"/>
    </row>
    <row r="13863" spans="7:16" x14ac:dyDescent="0.2">
      <c r="G13863" s="199"/>
      <c r="I13863" s="199"/>
      <c r="K13863" s="199"/>
      <c r="M13863" s="199"/>
      <c r="N13863" s="200"/>
      <c r="P13863" s="199"/>
    </row>
    <row r="13864" spans="7:16" x14ac:dyDescent="0.2">
      <c r="G13864" s="199"/>
      <c r="I13864" s="199"/>
      <c r="K13864" s="199"/>
      <c r="M13864" s="199"/>
      <c r="N13864" s="200"/>
      <c r="P13864" s="199"/>
    </row>
    <row r="13865" spans="7:16" x14ac:dyDescent="0.2">
      <c r="G13865" s="199"/>
      <c r="I13865" s="199"/>
      <c r="K13865" s="199"/>
      <c r="M13865" s="199"/>
      <c r="N13865" s="200"/>
      <c r="P13865" s="199"/>
    </row>
    <row r="13866" spans="7:16" x14ac:dyDescent="0.2">
      <c r="G13866" s="199"/>
      <c r="I13866" s="199"/>
      <c r="K13866" s="199"/>
      <c r="M13866" s="199"/>
      <c r="N13866" s="200"/>
      <c r="P13866" s="199"/>
    </row>
    <row r="13867" spans="7:16" x14ac:dyDescent="0.2">
      <c r="G13867" s="199"/>
      <c r="I13867" s="199"/>
      <c r="K13867" s="199"/>
      <c r="M13867" s="199"/>
      <c r="N13867" s="200"/>
      <c r="P13867" s="199"/>
    </row>
    <row r="13868" spans="7:16" x14ac:dyDescent="0.2">
      <c r="G13868" s="199"/>
      <c r="I13868" s="199"/>
      <c r="K13868" s="199"/>
      <c r="M13868" s="199"/>
      <c r="N13868" s="200"/>
      <c r="P13868" s="199"/>
    </row>
    <row r="13869" spans="7:16" x14ac:dyDescent="0.2">
      <c r="G13869" s="199"/>
      <c r="I13869" s="199"/>
      <c r="K13869" s="199"/>
      <c r="M13869" s="199"/>
      <c r="N13869" s="200"/>
      <c r="P13869" s="199"/>
    </row>
    <row r="13870" spans="7:16" x14ac:dyDescent="0.2">
      <c r="G13870" s="199"/>
      <c r="I13870" s="199"/>
      <c r="K13870" s="199"/>
      <c r="M13870" s="199"/>
      <c r="N13870" s="200"/>
      <c r="P13870" s="199"/>
    </row>
    <row r="13871" spans="7:16" x14ac:dyDescent="0.2">
      <c r="G13871" s="199"/>
      <c r="I13871" s="199"/>
      <c r="K13871" s="199"/>
      <c r="M13871" s="199"/>
      <c r="N13871" s="200"/>
      <c r="P13871" s="199"/>
    </row>
    <row r="13872" spans="7:16" x14ac:dyDescent="0.2">
      <c r="G13872" s="199"/>
      <c r="I13872" s="199"/>
      <c r="K13872" s="199"/>
      <c r="M13872" s="199"/>
      <c r="N13872" s="200"/>
      <c r="P13872" s="199"/>
    </row>
    <row r="13873" spans="7:16" x14ac:dyDescent="0.2">
      <c r="G13873" s="199"/>
      <c r="I13873" s="199"/>
      <c r="K13873" s="199"/>
      <c r="M13873" s="199"/>
      <c r="N13873" s="200"/>
      <c r="P13873" s="199"/>
    </row>
    <row r="13874" spans="7:16" x14ac:dyDescent="0.2">
      <c r="G13874" s="199"/>
      <c r="I13874" s="199"/>
      <c r="K13874" s="199"/>
      <c r="M13874" s="199"/>
      <c r="N13874" s="200"/>
      <c r="P13874" s="199"/>
    </row>
    <row r="13875" spans="7:16" x14ac:dyDescent="0.2">
      <c r="G13875" s="199"/>
      <c r="I13875" s="199"/>
      <c r="K13875" s="199"/>
      <c r="M13875" s="199"/>
      <c r="N13875" s="200"/>
      <c r="P13875" s="199"/>
    </row>
    <row r="13876" spans="7:16" x14ac:dyDescent="0.2">
      <c r="G13876" s="199"/>
      <c r="I13876" s="199"/>
      <c r="K13876" s="199"/>
      <c r="M13876" s="199"/>
      <c r="N13876" s="200"/>
      <c r="P13876" s="199"/>
    </row>
    <row r="13877" spans="7:16" x14ac:dyDescent="0.2">
      <c r="G13877" s="199"/>
      <c r="I13877" s="199"/>
      <c r="K13877" s="199"/>
      <c r="M13877" s="199"/>
      <c r="N13877" s="200"/>
      <c r="P13877" s="199"/>
    </row>
    <row r="13878" spans="7:16" x14ac:dyDescent="0.2">
      <c r="G13878" s="199"/>
      <c r="I13878" s="199"/>
      <c r="K13878" s="199"/>
      <c r="M13878" s="199"/>
      <c r="N13878" s="200"/>
      <c r="P13878" s="199"/>
    </row>
    <row r="13879" spans="7:16" x14ac:dyDescent="0.2">
      <c r="G13879" s="199"/>
      <c r="I13879" s="199"/>
      <c r="K13879" s="199"/>
      <c r="M13879" s="199"/>
      <c r="N13879" s="200"/>
      <c r="P13879" s="199"/>
    </row>
    <row r="13880" spans="7:16" x14ac:dyDescent="0.2">
      <c r="G13880" s="199"/>
      <c r="I13880" s="199"/>
      <c r="K13880" s="199"/>
      <c r="M13880" s="199"/>
      <c r="N13880" s="200"/>
      <c r="P13880" s="199"/>
    </row>
    <row r="13881" spans="7:16" x14ac:dyDescent="0.2">
      <c r="G13881" s="199"/>
      <c r="I13881" s="199"/>
      <c r="K13881" s="199"/>
      <c r="M13881" s="199"/>
      <c r="N13881" s="200"/>
      <c r="P13881" s="199"/>
    </row>
    <row r="13882" spans="7:16" x14ac:dyDescent="0.2">
      <c r="G13882" s="199"/>
      <c r="I13882" s="199"/>
      <c r="K13882" s="199"/>
      <c r="M13882" s="199"/>
      <c r="N13882" s="200"/>
      <c r="P13882" s="199"/>
    </row>
    <row r="13883" spans="7:16" x14ac:dyDescent="0.2">
      <c r="G13883" s="199"/>
      <c r="I13883" s="199"/>
      <c r="K13883" s="199"/>
      <c r="M13883" s="199"/>
      <c r="N13883" s="200"/>
      <c r="P13883" s="199"/>
    </row>
    <row r="13884" spans="7:16" x14ac:dyDescent="0.2">
      <c r="G13884" s="199"/>
      <c r="I13884" s="199"/>
      <c r="K13884" s="199"/>
      <c r="M13884" s="199"/>
      <c r="N13884" s="200"/>
      <c r="P13884" s="199"/>
    </row>
    <row r="13885" spans="7:16" x14ac:dyDescent="0.2">
      <c r="G13885" s="199"/>
      <c r="I13885" s="199"/>
      <c r="K13885" s="199"/>
      <c r="M13885" s="199"/>
      <c r="N13885" s="200"/>
      <c r="P13885" s="199"/>
    </row>
    <row r="13886" spans="7:16" x14ac:dyDescent="0.2">
      <c r="G13886" s="199"/>
      <c r="I13886" s="199"/>
      <c r="K13886" s="199"/>
      <c r="M13886" s="199"/>
      <c r="N13886" s="200"/>
      <c r="P13886" s="199"/>
    </row>
    <row r="13887" spans="7:16" x14ac:dyDescent="0.2">
      <c r="G13887" s="199"/>
      <c r="I13887" s="199"/>
      <c r="K13887" s="199"/>
      <c r="M13887" s="199"/>
      <c r="N13887" s="200"/>
      <c r="P13887" s="199"/>
    </row>
    <row r="13888" spans="7:16" x14ac:dyDescent="0.2">
      <c r="G13888" s="199"/>
      <c r="I13888" s="199"/>
      <c r="K13888" s="199"/>
      <c r="M13888" s="199"/>
      <c r="N13888" s="200"/>
      <c r="P13888" s="199"/>
    </row>
    <row r="13889" spans="7:16" x14ac:dyDescent="0.2">
      <c r="G13889" s="199"/>
      <c r="I13889" s="199"/>
      <c r="K13889" s="199"/>
      <c r="M13889" s="199"/>
      <c r="N13889" s="200"/>
      <c r="P13889" s="199"/>
    </row>
    <row r="13890" spans="7:16" x14ac:dyDescent="0.2">
      <c r="G13890" s="199"/>
      <c r="I13890" s="199"/>
      <c r="K13890" s="199"/>
      <c r="M13890" s="199"/>
      <c r="N13890" s="200"/>
      <c r="P13890" s="199"/>
    </row>
    <row r="13891" spans="7:16" x14ac:dyDescent="0.2">
      <c r="G13891" s="199"/>
      <c r="I13891" s="199"/>
      <c r="K13891" s="199"/>
      <c r="M13891" s="199"/>
      <c r="N13891" s="200"/>
      <c r="P13891" s="199"/>
    </row>
    <row r="13892" spans="7:16" x14ac:dyDescent="0.2">
      <c r="G13892" s="199"/>
      <c r="I13892" s="199"/>
      <c r="K13892" s="199"/>
      <c r="M13892" s="199"/>
      <c r="N13892" s="200"/>
      <c r="P13892" s="199"/>
    </row>
    <row r="13893" spans="7:16" x14ac:dyDescent="0.2">
      <c r="G13893" s="199"/>
      <c r="I13893" s="199"/>
      <c r="K13893" s="199"/>
      <c r="M13893" s="199"/>
      <c r="N13893" s="200"/>
      <c r="P13893" s="199"/>
    </row>
    <row r="13894" spans="7:16" x14ac:dyDescent="0.2">
      <c r="G13894" s="199"/>
      <c r="I13894" s="199"/>
      <c r="K13894" s="199"/>
      <c r="M13894" s="199"/>
      <c r="N13894" s="200"/>
      <c r="P13894" s="199"/>
    </row>
    <row r="13895" spans="7:16" x14ac:dyDescent="0.2">
      <c r="G13895" s="199"/>
      <c r="I13895" s="199"/>
      <c r="K13895" s="199"/>
      <c r="M13895" s="199"/>
      <c r="N13895" s="200"/>
      <c r="P13895" s="199"/>
    </row>
    <row r="13896" spans="7:16" x14ac:dyDescent="0.2">
      <c r="G13896" s="199"/>
      <c r="I13896" s="199"/>
      <c r="K13896" s="199"/>
      <c r="M13896" s="199"/>
      <c r="N13896" s="200"/>
      <c r="P13896" s="199"/>
    </row>
    <row r="13897" spans="7:16" x14ac:dyDescent="0.2">
      <c r="G13897" s="199"/>
      <c r="I13897" s="199"/>
      <c r="K13897" s="199"/>
      <c r="M13897" s="199"/>
      <c r="N13897" s="200"/>
      <c r="P13897" s="199"/>
    </row>
    <row r="13898" spans="7:16" x14ac:dyDescent="0.2">
      <c r="G13898" s="199"/>
      <c r="I13898" s="199"/>
      <c r="K13898" s="199"/>
      <c r="M13898" s="199"/>
      <c r="N13898" s="200"/>
      <c r="P13898" s="199"/>
    </row>
    <row r="13899" spans="7:16" x14ac:dyDescent="0.2">
      <c r="G13899" s="199"/>
      <c r="I13899" s="199"/>
      <c r="K13899" s="199"/>
      <c r="M13899" s="199"/>
      <c r="N13899" s="200"/>
      <c r="P13899" s="199"/>
    </row>
    <row r="13900" spans="7:16" x14ac:dyDescent="0.2">
      <c r="G13900" s="199"/>
      <c r="I13900" s="199"/>
      <c r="K13900" s="199"/>
      <c r="M13900" s="199"/>
      <c r="N13900" s="200"/>
      <c r="P13900" s="199"/>
    </row>
    <row r="13901" spans="7:16" x14ac:dyDescent="0.2">
      <c r="G13901" s="199"/>
      <c r="I13901" s="199"/>
      <c r="K13901" s="199"/>
      <c r="M13901" s="199"/>
      <c r="N13901" s="200"/>
      <c r="P13901" s="199"/>
    </row>
    <row r="13902" spans="7:16" x14ac:dyDescent="0.2">
      <c r="G13902" s="199"/>
      <c r="I13902" s="199"/>
      <c r="K13902" s="199"/>
      <c r="M13902" s="199"/>
      <c r="N13902" s="200"/>
      <c r="P13902" s="199"/>
    </row>
    <row r="13903" spans="7:16" x14ac:dyDescent="0.2">
      <c r="G13903" s="199"/>
      <c r="I13903" s="199"/>
      <c r="K13903" s="199"/>
      <c r="M13903" s="199"/>
      <c r="N13903" s="200"/>
      <c r="P13903" s="199"/>
    </row>
    <row r="13904" spans="7:16" x14ac:dyDescent="0.2">
      <c r="G13904" s="199"/>
      <c r="I13904" s="199"/>
      <c r="K13904" s="199"/>
      <c r="M13904" s="199"/>
      <c r="N13904" s="200"/>
      <c r="P13904" s="199"/>
    </row>
    <row r="13905" spans="7:16" x14ac:dyDescent="0.2">
      <c r="G13905" s="199"/>
      <c r="I13905" s="199"/>
      <c r="K13905" s="199"/>
      <c r="M13905" s="199"/>
      <c r="N13905" s="200"/>
      <c r="P13905" s="199"/>
    </row>
    <row r="13906" spans="7:16" x14ac:dyDescent="0.2">
      <c r="G13906" s="199"/>
      <c r="I13906" s="199"/>
      <c r="K13906" s="199"/>
      <c r="M13906" s="199"/>
      <c r="N13906" s="200"/>
      <c r="P13906" s="199"/>
    </row>
    <row r="13907" spans="7:16" x14ac:dyDescent="0.2">
      <c r="G13907" s="199"/>
      <c r="I13907" s="199"/>
      <c r="K13907" s="199"/>
      <c r="M13907" s="199"/>
      <c r="N13907" s="200"/>
      <c r="P13907" s="199"/>
    </row>
    <row r="13908" spans="7:16" x14ac:dyDescent="0.2">
      <c r="G13908" s="199"/>
      <c r="I13908" s="199"/>
      <c r="K13908" s="199"/>
      <c r="M13908" s="199"/>
      <c r="N13908" s="200"/>
      <c r="P13908" s="199"/>
    </row>
    <row r="13909" spans="7:16" x14ac:dyDescent="0.2">
      <c r="G13909" s="199"/>
      <c r="I13909" s="199"/>
      <c r="K13909" s="199"/>
      <c r="M13909" s="199"/>
      <c r="N13909" s="200"/>
      <c r="P13909" s="199"/>
    </row>
    <row r="13910" spans="7:16" x14ac:dyDescent="0.2">
      <c r="G13910" s="199"/>
      <c r="I13910" s="199"/>
      <c r="K13910" s="199"/>
      <c r="M13910" s="199"/>
      <c r="N13910" s="200"/>
      <c r="P13910" s="199"/>
    </row>
    <row r="13911" spans="7:16" x14ac:dyDescent="0.2">
      <c r="G13911" s="199"/>
      <c r="I13911" s="199"/>
      <c r="K13911" s="199"/>
      <c r="M13911" s="199"/>
      <c r="N13911" s="200"/>
      <c r="P13911" s="199"/>
    </row>
    <row r="13912" spans="7:16" x14ac:dyDescent="0.2">
      <c r="G13912" s="199"/>
      <c r="I13912" s="199"/>
      <c r="K13912" s="199"/>
      <c r="M13912" s="199"/>
      <c r="N13912" s="200"/>
      <c r="P13912" s="199"/>
    </row>
    <row r="13913" spans="7:16" x14ac:dyDescent="0.2">
      <c r="G13913" s="199"/>
      <c r="I13913" s="199"/>
      <c r="K13913" s="199"/>
      <c r="M13913" s="199"/>
      <c r="N13913" s="200"/>
      <c r="P13913" s="199"/>
    </row>
    <row r="13914" spans="7:16" x14ac:dyDescent="0.2">
      <c r="G13914" s="199"/>
      <c r="I13914" s="199"/>
      <c r="K13914" s="199"/>
      <c r="M13914" s="199"/>
      <c r="N13914" s="200"/>
      <c r="P13914" s="199"/>
    </row>
    <row r="13915" spans="7:16" x14ac:dyDescent="0.2">
      <c r="G13915" s="199"/>
      <c r="I13915" s="199"/>
      <c r="K13915" s="199"/>
      <c r="M13915" s="199"/>
      <c r="N13915" s="200"/>
      <c r="P13915" s="199"/>
    </row>
    <row r="13916" spans="7:16" x14ac:dyDescent="0.2">
      <c r="G13916" s="199"/>
      <c r="I13916" s="199"/>
      <c r="K13916" s="199"/>
      <c r="M13916" s="199"/>
      <c r="N13916" s="200"/>
      <c r="P13916" s="199"/>
    </row>
    <row r="13917" spans="7:16" x14ac:dyDescent="0.2">
      <c r="G13917" s="199"/>
      <c r="I13917" s="199"/>
      <c r="K13917" s="199"/>
      <c r="M13917" s="199"/>
      <c r="N13917" s="200"/>
      <c r="P13917" s="199"/>
    </row>
    <row r="13918" spans="7:16" x14ac:dyDescent="0.2">
      <c r="G13918" s="199"/>
      <c r="I13918" s="199"/>
      <c r="K13918" s="199"/>
      <c r="M13918" s="199"/>
      <c r="N13918" s="200"/>
      <c r="P13918" s="199"/>
    </row>
    <row r="13919" spans="7:16" x14ac:dyDescent="0.2">
      <c r="G13919" s="199"/>
      <c r="I13919" s="199"/>
      <c r="K13919" s="199"/>
      <c r="M13919" s="199"/>
      <c r="N13919" s="200"/>
      <c r="P13919" s="199"/>
    </row>
    <row r="13920" spans="7:16" x14ac:dyDescent="0.2">
      <c r="G13920" s="199"/>
      <c r="I13920" s="199"/>
      <c r="K13920" s="199"/>
      <c r="M13920" s="199"/>
      <c r="N13920" s="200"/>
      <c r="P13920" s="199"/>
    </row>
    <row r="13921" spans="7:16" x14ac:dyDescent="0.2">
      <c r="G13921" s="199"/>
      <c r="I13921" s="199"/>
      <c r="K13921" s="199"/>
      <c r="M13921" s="199"/>
      <c r="N13921" s="200"/>
      <c r="P13921" s="199"/>
    </row>
    <row r="13922" spans="7:16" x14ac:dyDescent="0.2">
      <c r="G13922" s="199"/>
      <c r="I13922" s="199"/>
      <c r="K13922" s="199"/>
      <c r="M13922" s="199"/>
      <c r="N13922" s="200"/>
      <c r="P13922" s="199"/>
    </row>
    <row r="13923" spans="7:16" x14ac:dyDescent="0.2">
      <c r="G13923" s="199"/>
      <c r="I13923" s="199"/>
      <c r="K13923" s="199"/>
      <c r="M13923" s="199"/>
      <c r="N13923" s="200"/>
      <c r="P13923" s="199"/>
    </row>
    <row r="13924" spans="7:16" x14ac:dyDescent="0.2">
      <c r="G13924" s="199"/>
      <c r="I13924" s="199"/>
      <c r="K13924" s="199"/>
      <c r="M13924" s="199"/>
      <c r="N13924" s="200"/>
      <c r="P13924" s="199"/>
    </row>
    <row r="13925" spans="7:16" x14ac:dyDescent="0.2">
      <c r="G13925" s="199"/>
      <c r="I13925" s="199"/>
      <c r="K13925" s="199"/>
      <c r="M13925" s="199"/>
      <c r="N13925" s="200"/>
      <c r="P13925" s="199"/>
    </row>
    <row r="13926" spans="7:16" x14ac:dyDescent="0.2">
      <c r="G13926" s="199"/>
      <c r="I13926" s="199"/>
      <c r="K13926" s="199"/>
      <c r="M13926" s="199"/>
      <c r="N13926" s="200"/>
      <c r="P13926" s="199"/>
    </row>
    <row r="13927" spans="7:16" x14ac:dyDescent="0.2">
      <c r="G13927" s="199"/>
      <c r="I13927" s="199"/>
      <c r="K13927" s="199"/>
      <c r="M13927" s="199"/>
      <c r="N13927" s="200"/>
      <c r="P13927" s="199"/>
    </row>
    <row r="13928" spans="7:16" x14ac:dyDescent="0.2">
      <c r="G13928" s="199"/>
      <c r="I13928" s="199"/>
      <c r="K13928" s="199"/>
      <c r="M13928" s="199"/>
      <c r="N13928" s="200"/>
      <c r="P13928" s="199"/>
    </row>
    <row r="13929" spans="7:16" x14ac:dyDescent="0.2">
      <c r="G13929" s="199"/>
      <c r="I13929" s="199"/>
      <c r="K13929" s="199"/>
      <c r="M13929" s="199"/>
      <c r="N13929" s="200"/>
      <c r="P13929" s="199"/>
    </row>
    <row r="13930" spans="7:16" x14ac:dyDescent="0.2">
      <c r="G13930" s="199"/>
      <c r="I13930" s="199"/>
      <c r="K13930" s="199"/>
      <c r="M13930" s="199"/>
      <c r="N13930" s="200"/>
      <c r="P13930" s="199"/>
    </row>
    <row r="13931" spans="7:16" x14ac:dyDescent="0.2">
      <c r="G13931" s="199"/>
      <c r="I13931" s="199"/>
      <c r="K13931" s="199"/>
      <c r="M13931" s="199"/>
      <c r="N13931" s="200"/>
      <c r="P13931" s="199"/>
    </row>
    <row r="13932" spans="7:16" x14ac:dyDescent="0.2">
      <c r="G13932" s="199"/>
      <c r="I13932" s="199"/>
      <c r="K13932" s="199"/>
      <c r="M13932" s="199"/>
      <c r="N13932" s="200"/>
      <c r="P13932" s="199"/>
    </row>
    <row r="13933" spans="7:16" x14ac:dyDescent="0.2">
      <c r="G13933" s="199"/>
      <c r="I13933" s="199"/>
      <c r="K13933" s="199"/>
      <c r="M13933" s="199"/>
      <c r="N13933" s="200"/>
      <c r="P13933" s="199"/>
    </row>
    <row r="13934" spans="7:16" x14ac:dyDescent="0.2">
      <c r="G13934" s="199"/>
      <c r="I13934" s="199"/>
      <c r="K13934" s="199"/>
      <c r="M13934" s="199"/>
      <c r="N13934" s="200"/>
      <c r="P13934" s="199"/>
    </row>
    <row r="13935" spans="7:16" x14ac:dyDescent="0.2">
      <c r="G13935" s="199"/>
      <c r="I13935" s="199"/>
      <c r="K13935" s="199"/>
      <c r="M13935" s="199"/>
      <c r="N13935" s="200"/>
      <c r="P13935" s="199"/>
    </row>
    <row r="13936" spans="7:16" x14ac:dyDescent="0.2">
      <c r="G13936" s="199"/>
      <c r="I13936" s="199"/>
      <c r="K13936" s="199"/>
      <c r="M13936" s="199"/>
      <c r="N13936" s="200"/>
      <c r="P13936" s="199"/>
    </row>
    <row r="13937" spans="7:16" x14ac:dyDescent="0.2">
      <c r="G13937" s="199"/>
      <c r="I13937" s="199"/>
      <c r="K13937" s="199"/>
      <c r="M13937" s="199"/>
      <c r="N13937" s="200"/>
      <c r="P13937" s="199"/>
    </row>
    <row r="13938" spans="7:16" x14ac:dyDescent="0.2">
      <c r="G13938" s="199"/>
      <c r="I13938" s="199"/>
      <c r="K13938" s="199"/>
      <c r="M13938" s="199"/>
      <c r="N13938" s="200"/>
      <c r="P13938" s="199"/>
    </row>
    <row r="13939" spans="7:16" x14ac:dyDescent="0.2">
      <c r="G13939" s="199"/>
      <c r="I13939" s="199"/>
      <c r="K13939" s="199"/>
      <c r="M13939" s="199"/>
      <c r="N13939" s="200"/>
      <c r="P13939" s="199"/>
    </row>
    <row r="13940" spans="7:16" x14ac:dyDescent="0.2">
      <c r="G13940" s="199"/>
      <c r="I13940" s="199"/>
      <c r="K13940" s="199"/>
      <c r="M13940" s="199"/>
      <c r="N13940" s="200"/>
      <c r="P13940" s="199"/>
    </row>
    <row r="13941" spans="7:16" x14ac:dyDescent="0.2">
      <c r="G13941" s="199"/>
      <c r="I13941" s="199"/>
      <c r="K13941" s="199"/>
      <c r="M13941" s="199"/>
      <c r="N13941" s="200"/>
      <c r="P13941" s="199"/>
    </row>
    <row r="13942" spans="7:16" x14ac:dyDescent="0.2">
      <c r="G13942" s="199"/>
      <c r="I13942" s="199"/>
      <c r="K13942" s="199"/>
      <c r="M13942" s="199"/>
      <c r="N13942" s="200"/>
      <c r="P13942" s="199"/>
    </row>
    <row r="13943" spans="7:16" x14ac:dyDescent="0.2">
      <c r="G13943" s="199"/>
      <c r="I13943" s="199"/>
      <c r="K13943" s="199"/>
      <c r="M13943" s="199"/>
      <c r="N13943" s="200"/>
      <c r="P13943" s="199"/>
    </row>
    <row r="13944" spans="7:16" x14ac:dyDescent="0.2">
      <c r="G13944" s="199"/>
      <c r="I13944" s="199"/>
      <c r="K13944" s="199"/>
      <c r="M13944" s="199"/>
      <c r="N13944" s="200"/>
      <c r="P13944" s="199"/>
    </row>
    <row r="13945" spans="7:16" x14ac:dyDescent="0.2">
      <c r="G13945" s="199"/>
      <c r="I13945" s="199"/>
      <c r="K13945" s="199"/>
      <c r="M13945" s="199"/>
      <c r="N13945" s="200"/>
      <c r="P13945" s="199"/>
    </row>
    <row r="13946" spans="7:16" x14ac:dyDescent="0.2">
      <c r="G13946" s="199"/>
      <c r="I13946" s="199"/>
      <c r="K13946" s="199"/>
      <c r="M13946" s="199"/>
      <c r="N13946" s="200"/>
      <c r="P13946" s="199"/>
    </row>
    <row r="13947" spans="7:16" x14ac:dyDescent="0.2">
      <c r="G13947" s="199"/>
      <c r="I13947" s="199"/>
      <c r="K13947" s="199"/>
      <c r="M13947" s="199"/>
      <c r="N13947" s="200"/>
      <c r="P13947" s="199"/>
    </row>
    <row r="13948" spans="7:16" x14ac:dyDescent="0.2">
      <c r="G13948" s="199"/>
      <c r="I13948" s="199"/>
      <c r="K13948" s="199"/>
      <c r="M13948" s="199"/>
      <c r="N13948" s="200"/>
      <c r="P13948" s="199"/>
    </row>
    <row r="13949" spans="7:16" x14ac:dyDescent="0.2">
      <c r="G13949" s="199"/>
      <c r="I13949" s="199"/>
      <c r="K13949" s="199"/>
      <c r="M13949" s="199"/>
      <c r="N13949" s="200"/>
      <c r="P13949" s="199"/>
    </row>
    <row r="13950" spans="7:16" x14ac:dyDescent="0.2">
      <c r="G13950" s="199"/>
      <c r="I13950" s="199"/>
      <c r="K13950" s="199"/>
      <c r="M13950" s="199"/>
      <c r="N13950" s="200"/>
      <c r="P13950" s="199"/>
    </row>
    <row r="13951" spans="7:16" x14ac:dyDescent="0.2">
      <c r="G13951" s="199"/>
      <c r="I13951" s="199"/>
      <c r="K13951" s="199"/>
      <c r="M13951" s="199"/>
      <c r="N13951" s="200"/>
      <c r="P13951" s="199"/>
    </row>
    <row r="13952" spans="7:16" x14ac:dyDescent="0.2">
      <c r="G13952" s="199"/>
      <c r="I13952" s="199"/>
      <c r="K13952" s="199"/>
      <c r="M13952" s="199"/>
      <c r="N13952" s="200"/>
      <c r="P13952" s="199"/>
    </row>
    <row r="13953" spans="7:16" x14ac:dyDescent="0.2">
      <c r="G13953" s="199"/>
      <c r="I13953" s="199"/>
      <c r="K13953" s="199"/>
      <c r="M13953" s="199"/>
      <c r="N13953" s="200"/>
      <c r="P13953" s="199"/>
    </row>
    <row r="13954" spans="7:16" x14ac:dyDescent="0.2">
      <c r="G13954" s="199"/>
      <c r="I13954" s="199"/>
      <c r="K13954" s="199"/>
      <c r="M13954" s="199"/>
      <c r="N13954" s="200"/>
      <c r="P13954" s="199"/>
    </row>
    <row r="13955" spans="7:16" x14ac:dyDescent="0.2">
      <c r="G13955" s="199"/>
      <c r="I13955" s="199"/>
      <c r="K13955" s="199"/>
      <c r="M13955" s="199"/>
      <c r="N13955" s="200"/>
      <c r="P13955" s="199"/>
    </row>
    <row r="13956" spans="7:16" x14ac:dyDescent="0.2">
      <c r="G13956" s="199"/>
      <c r="I13956" s="199"/>
      <c r="K13956" s="199"/>
      <c r="M13956" s="199"/>
      <c r="N13956" s="200"/>
      <c r="P13956" s="199"/>
    </row>
    <row r="13957" spans="7:16" x14ac:dyDescent="0.2">
      <c r="G13957" s="199"/>
      <c r="I13957" s="199"/>
      <c r="K13957" s="199"/>
      <c r="M13957" s="199"/>
      <c r="N13957" s="200"/>
      <c r="P13957" s="199"/>
    </row>
    <row r="13958" spans="7:16" x14ac:dyDescent="0.2">
      <c r="G13958" s="199"/>
      <c r="I13958" s="199"/>
      <c r="K13958" s="199"/>
      <c r="M13958" s="199"/>
      <c r="N13958" s="200"/>
      <c r="P13958" s="199"/>
    </row>
    <row r="13959" spans="7:16" x14ac:dyDescent="0.2">
      <c r="G13959" s="199"/>
      <c r="I13959" s="199"/>
      <c r="K13959" s="199"/>
      <c r="M13959" s="199"/>
      <c r="N13959" s="200"/>
      <c r="P13959" s="199"/>
    </row>
    <row r="13960" spans="7:16" x14ac:dyDescent="0.2">
      <c r="G13960" s="199"/>
      <c r="I13960" s="199"/>
      <c r="K13960" s="199"/>
      <c r="M13960" s="199"/>
      <c r="N13960" s="200"/>
      <c r="P13960" s="199"/>
    </row>
    <row r="13961" spans="7:16" x14ac:dyDescent="0.2">
      <c r="G13961" s="199"/>
      <c r="I13961" s="199"/>
      <c r="K13961" s="199"/>
      <c r="M13961" s="199"/>
      <c r="N13961" s="200"/>
      <c r="P13961" s="199"/>
    </row>
    <row r="13962" spans="7:16" x14ac:dyDescent="0.2">
      <c r="G13962" s="199"/>
      <c r="I13962" s="199"/>
      <c r="K13962" s="199"/>
      <c r="M13962" s="199"/>
      <c r="N13962" s="200"/>
      <c r="P13962" s="199"/>
    </row>
    <row r="13963" spans="7:16" x14ac:dyDescent="0.2">
      <c r="G13963" s="199"/>
      <c r="I13963" s="199"/>
      <c r="K13963" s="199"/>
      <c r="M13963" s="199"/>
      <c r="N13963" s="200"/>
      <c r="P13963" s="199"/>
    </row>
    <row r="13964" spans="7:16" x14ac:dyDescent="0.2">
      <c r="G13964" s="199"/>
      <c r="I13964" s="199"/>
      <c r="K13964" s="199"/>
      <c r="M13964" s="199"/>
      <c r="N13964" s="200"/>
      <c r="P13964" s="199"/>
    </row>
    <row r="13965" spans="7:16" x14ac:dyDescent="0.2">
      <c r="G13965" s="199"/>
      <c r="I13965" s="199"/>
      <c r="K13965" s="199"/>
      <c r="M13965" s="199"/>
      <c r="N13965" s="200"/>
      <c r="P13965" s="199"/>
    </row>
    <row r="13966" spans="7:16" x14ac:dyDescent="0.2">
      <c r="G13966" s="199"/>
      <c r="I13966" s="199"/>
      <c r="K13966" s="199"/>
      <c r="M13966" s="199"/>
      <c r="N13966" s="200"/>
      <c r="P13966" s="199"/>
    </row>
    <row r="13967" spans="7:16" x14ac:dyDescent="0.2">
      <c r="G13967" s="199"/>
      <c r="I13967" s="199"/>
      <c r="K13967" s="199"/>
      <c r="M13967" s="199"/>
      <c r="N13967" s="200"/>
      <c r="P13967" s="199"/>
    </row>
    <row r="13968" spans="7:16" x14ac:dyDescent="0.2">
      <c r="G13968" s="199"/>
      <c r="I13968" s="199"/>
      <c r="K13968" s="199"/>
      <c r="M13968" s="199"/>
      <c r="N13968" s="200"/>
      <c r="P13968" s="199"/>
    </row>
    <row r="13969" spans="7:16" x14ac:dyDescent="0.2">
      <c r="G13969" s="199"/>
      <c r="I13969" s="199"/>
      <c r="K13969" s="199"/>
      <c r="M13969" s="199"/>
      <c r="N13969" s="200"/>
      <c r="P13969" s="199"/>
    </row>
    <row r="13970" spans="7:16" x14ac:dyDescent="0.2">
      <c r="G13970" s="199"/>
      <c r="I13970" s="199"/>
      <c r="K13970" s="199"/>
      <c r="M13970" s="199"/>
      <c r="N13970" s="200"/>
      <c r="P13970" s="199"/>
    </row>
    <row r="13971" spans="7:16" x14ac:dyDescent="0.2">
      <c r="G13971" s="199"/>
      <c r="I13971" s="199"/>
      <c r="K13971" s="199"/>
      <c r="M13971" s="199"/>
      <c r="N13971" s="200"/>
      <c r="P13971" s="199"/>
    </row>
    <row r="13972" spans="7:16" x14ac:dyDescent="0.2">
      <c r="G13972" s="199"/>
      <c r="I13972" s="199"/>
      <c r="K13972" s="199"/>
      <c r="M13972" s="199"/>
      <c r="N13972" s="200"/>
      <c r="P13972" s="199"/>
    </row>
    <row r="13973" spans="7:16" x14ac:dyDescent="0.2">
      <c r="G13973" s="199"/>
      <c r="I13973" s="199"/>
      <c r="K13973" s="199"/>
      <c r="M13973" s="199"/>
      <c r="N13973" s="200"/>
      <c r="P13973" s="199"/>
    </row>
    <row r="13974" spans="7:16" x14ac:dyDescent="0.2">
      <c r="G13974" s="199"/>
      <c r="I13974" s="199"/>
      <c r="K13974" s="199"/>
      <c r="M13974" s="199"/>
      <c r="N13974" s="200"/>
      <c r="P13974" s="199"/>
    </row>
    <row r="13975" spans="7:16" x14ac:dyDescent="0.2">
      <c r="G13975" s="199"/>
      <c r="I13975" s="199"/>
      <c r="K13975" s="199"/>
      <c r="M13975" s="199"/>
      <c r="N13975" s="200"/>
      <c r="P13975" s="199"/>
    </row>
    <row r="13976" spans="7:16" x14ac:dyDescent="0.2">
      <c r="G13976" s="199"/>
      <c r="I13976" s="199"/>
      <c r="K13976" s="199"/>
      <c r="M13976" s="199"/>
      <c r="N13976" s="200"/>
      <c r="P13976" s="199"/>
    </row>
    <row r="13977" spans="7:16" x14ac:dyDescent="0.2">
      <c r="G13977" s="199"/>
      <c r="I13977" s="199"/>
      <c r="K13977" s="199"/>
      <c r="M13977" s="199"/>
      <c r="N13977" s="200"/>
      <c r="P13977" s="199"/>
    </row>
    <row r="13978" spans="7:16" x14ac:dyDescent="0.2">
      <c r="G13978" s="199"/>
      <c r="I13978" s="199"/>
      <c r="K13978" s="199"/>
      <c r="M13978" s="199"/>
      <c r="N13978" s="200"/>
      <c r="P13978" s="199"/>
    </row>
    <row r="13979" spans="7:16" x14ac:dyDescent="0.2">
      <c r="G13979" s="199"/>
      <c r="I13979" s="199"/>
      <c r="K13979" s="199"/>
      <c r="M13979" s="199"/>
      <c r="N13979" s="200"/>
      <c r="P13979" s="199"/>
    </row>
    <row r="13980" spans="7:16" x14ac:dyDescent="0.2">
      <c r="G13980" s="199"/>
      <c r="I13980" s="199"/>
      <c r="K13980" s="199"/>
      <c r="M13980" s="199"/>
      <c r="N13980" s="200"/>
      <c r="P13980" s="199"/>
    </row>
    <row r="13981" spans="7:16" x14ac:dyDescent="0.2">
      <c r="G13981" s="199"/>
      <c r="I13981" s="199"/>
      <c r="K13981" s="199"/>
      <c r="M13981" s="199"/>
      <c r="N13981" s="200"/>
      <c r="P13981" s="199"/>
    </row>
    <row r="13982" spans="7:16" x14ac:dyDescent="0.2">
      <c r="G13982" s="199"/>
      <c r="I13982" s="199"/>
      <c r="K13982" s="199"/>
      <c r="M13982" s="199"/>
      <c r="N13982" s="200"/>
      <c r="P13982" s="199"/>
    </row>
    <row r="13983" spans="7:16" x14ac:dyDescent="0.2">
      <c r="G13983" s="199"/>
      <c r="I13983" s="199"/>
      <c r="K13983" s="199"/>
      <c r="M13983" s="199"/>
      <c r="N13983" s="200"/>
      <c r="P13983" s="199"/>
    </row>
    <row r="13984" spans="7:16" x14ac:dyDescent="0.2">
      <c r="G13984" s="199"/>
      <c r="I13984" s="199"/>
      <c r="K13984" s="199"/>
      <c r="M13984" s="199"/>
      <c r="N13984" s="200"/>
      <c r="P13984" s="199"/>
    </row>
    <row r="13985" spans="7:16" x14ac:dyDescent="0.2">
      <c r="G13985" s="199"/>
      <c r="I13985" s="199"/>
      <c r="K13985" s="199"/>
      <c r="M13985" s="199"/>
      <c r="N13985" s="200"/>
      <c r="P13985" s="199"/>
    </row>
    <row r="13986" spans="7:16" x14ac:dyDescent="0.2">
      <c r="G13986" s="199"/>
      <c r="I13986" s="199"/>
      <c r="K13986" s="199"/>
      <c r="M13986" s="199"/>
      <c r="N13986" s="200"/>
      <c r="P13986" s="199"/>
    </row>
    <row r="13987" spans="7:16" x14ac:dyDescent="0.2">
      <c r="G13987" s="199"/>
      <c r="I13987" s="199"/>
      <c r="K13987" s="199"/>
      <c r="M13987" s="199"/>
      <c r="N13987" s="200"/>
      <c r="P13987" s="199"/>
    </row>
    <row r="13988" spans="7:16" x14ac:dyDescent="0.2">
      <c r="G13988" s="199"/>
      <c r="I13988" s="199"/>
      <c r="K13988" s="199"/>
      <c r="M13988" s="199"/>
      <c r="N13988" s="200"/>
      <c r="P13988" s="199"/>
    </row>
    <row r="13989" spans="7:16" x14ac:dyDescent="0.2">
      <c r="G13989" s="199"/>
      <c r="I13989" s="199"/>
      <c r="K13989" s="199"/>
      <c r="M13989" s="199"/>
      <c r="N13989" s="200"/>
      <c r="P13989" s="199"/>
    </row>
    <row r="13990" spans="7:16" x14ac:dyDescent="0.2">
      <c r="G13990" s="199"/>
      <c r="I13990" s="199"/>
      <c r="K13990" s="199"/>
      <c r="M13990" s="199"/>
      <c r="N13990" s="200"/>
      <c r="P13990" s="199"/>
    </row>
    <row r="13991" spans="7:16" x14ac:dyDescent="0.2">
      <c r="G13991" s="199"/>
      <c r="I13991" s="199"/>
      <c r="K13991" s="199"/>
      <c r="M13991" s="199"/>
      <c r="N13991" s="200"/>
      <c r="P13991" s="199"/>
    </row>
    <row r="13992" spans="7:16" x14ac:dyDescent="0.2">
      <c r="G13992" s="199"/>
      <c r="I13992" s="199"/>
      <c r="K13992" s="199"/>
      <c r="M13992" s="199"/>
      <c r="N13992" s="200"/>
      <c r="P13992" s="199"/>
    </row>
    <row r="13993" spans="7:16" x14ac:dyDescent="0.2">
      <c r="G13993" s="199"/>
      <c r="I13993" s="199"/>
      <c r="K13993" s="199"/>
      <c r="M13993" s="199"/>
      <c r="N13993" s="200"/>
      <c r="P13993" s="199"/>
    </row>
    <row r="13994" spans="7:16" x14ac:dyDescent="0.2">
      <c r="G13994" s="199"/>
      <c r="I13994" s="199"/>
      <c r="K13994" s="199"/>
      <c r="M13994" s="199"/>
      <c r="N13994" s="200"/>
      <c r="P13994" s="199"/>
    </row>
    <row r="13995" spans="7:16" x14ac:dyDescent="0.2">
      <c r="G13995" s="199"/>
      <c r="I13995" s="199"/>
      <c r="K13995" s="199"/>
      <c r="M13995" s="199"/>
      <c r="N13995" s="200"/>
      <c r="P13995" s="199"/>
    </row>
    <row r="13996" spans="7:16" x14ac:dyDescent="0.2">
      <c r="G13996" s="199"/>
      <c r="I13996" s="199"/>
      <c r="K13996" s="199"/>
      <c r="M13996" s="199"/>
      <c r="N13996" s="200"/>
      <c r="P13996" s="199"/>
    </row>
    <row r="13997" spans="7:16" x14ac:dyDescent="0.2">
      <c r="G13997" s="199"/>
      <c r="I13997" s="199"/>
      <c r="K13997" s="199"/>
      <c r="M13997" s="199"/>
      <c r="N13997" s="200"/>
      <c r="P13997" s="199"/>
    </row>
    <row r="13998" spans="7:16" x14ac:dyDescent="0.2">
      <c r="G13998" s="199"/>
      <c r="I13998" s="199"/>
      <c r="K13998" s="199"/>
      <c r="M13998" s="199"/>
      <c r="N13998" s="200"/>
      <c r="P13998" s="199"/>
    </row>
    <row r="13999" spans="7:16" x14ac:dyDescent="0.2">
      <c r="G13999" s="199"/>
      <c r="I13999" s="199"/>
      <c r="K13999" s="199"/>
      <c r="M13999" s="199"/>
      <c r="N13999" s="200"/>
      <c r="P13999" s="199"/>
    </row>
    <row r="14000" spans="7:16" x14ac:dyDescent="0.2">
      <c r="G14000" s="199"/>
      <c r="I14000" s="199"/>
      <c r="K14000" s="199"/>
      <c r="M14000" s="199"/>
      <c r="N14000" s="200"/>
      <c r="P14000" s="199"/>
    </row>
    <row r="14001" spans="7:16" x14ac:dyDescent="0.2">
      <c r="G14001" s="199"/>
      <c r="I14001" s="199"/>
      <c r="K14001" s="199"/>
      <c r="M14001" s="199"/>
      <c r="N14001" s="200"/>
      <c r="P14001" s="199"/>
    </row>
    <row r="14002" spans="7:16" x14ac:dyDescent="0.2">
      <c r="G14002" s="199"/>
      <c r="I14002" s="199"/>
      <c r="K14002" s="199"/>
      <c r="M14002" s="199"/>
      <c r="N14002" s="200"/>
      <c r="P14002" s="199"/>
    </row>
    <row r="14003" spans="7:16" x14ac:dyDescent="0.2">
      <c r="G14003" s="199"/>
      <c r="I14003" s="199"/>
      <c r="K14003" s="199"/>
      <c r="M14003" s="199"/>
      <c r="N14003" s="200"/>
      <c r="P14003" s="199"/>
    </row>
    <row r="14004" spans="7:16" x14ac:dyDescent="0.2">
      <c r="G14004" s="199"/>
      <c r="I14004" s="199"/>
      <c r="K14004" s="199"/>
      <c r="M14004" s="199"/>
      <c r="N14004" s="200"/>
      <c r="P14004" s="199"/>
    </row>
    <row r="14005" spans="7:16" x14ac:dyDescent="0.2">
      <c r="G14005" s="199"/>
      <c r="I14005" s="199"/>
      <c r="K14005" s="199"/>
      <c r="M14005" s="199"/>
      <c r="N14005" s="200"/>
      <c r="P14005" s="199"/>
    </row>
    <row r="14006" spans="7:16" x14ac:dyDescent="0.2">
      <c r="G14006" s="199"/>
      <c r="I14006" s="199"/>
      <c r="K14006" s="199"/>
      <c r="M14006" s="199"/>
      <c r="N14006" s="200"/>
      <c r="P14006" s="199"/>
    </row>
    <row r="14007" spans="7:16" x14ac:dyDescent="0.2">
      <c r="G14007" s="199"/>
      <c r="I14007" s="199"/>
      <c r="K14007" s="199"/>
      <c r="M14007" s="199"/>
      <c r="N14007" s="200"/>
      <c r="P14007" s="199"/>
    </row>
    <row r="14008" spans="7:16" x14ac:dyDescent="0.2">
      <c r="G14008" s="199"/>
      <c r="I14008" s="199"/>
      <c r="K14008" s="199"/>
      <c r="M14008" s="199"/>
      <c r="N14008" s="200"/>
      <c r="P14008" s="199"/>
    </row>
    <row r="14009" spans="7:16" x14ac:dyDescent="0.2">
      <c r="G14009" s="199"/>
      <c r="I14009" s="199"/>
      <c r="K14009" s="199"/>
      <c r="M14009" s="199"/>
      <c r="N14009" s="200"/>
      <c r="P14009" s="199"/>
    </row>
    <row r="14010" spans="7:16" x14ac:dyDescent="0.2">
      <c r="G14010" s="199"/>
      <c r="I14010" s="199"/>
      <c r="K14010" s="199"/>
      <c r="M14010" s="199"/>
      <c r="N14010" s="200"/>
      <c r="P14010" s="199"/>
    </row>
    <row r="14011" spans="7:16" x14ac:dyDescent="0.2">
      <c r="G14011" s="199"/>
      <c r="I14011" s="199"/>
      <c r="K14011" s="199"/>
      <c r="M14011" s="199"/>
      <c r="N14011" s="200"/>
      <c r="P14011" s="199"/>
    </row>
    <row r="14012" spans="7:16" x14ac:dyDescent="0.2">
      <c r="G14012" s="199"/>
      <c r="I14012" s="199"/>
      <c r="K14012" s="199"/>
      <c r="M14012" s="199"/>
      <c r="N14012" s="200"/>
      <c r="P14012" s="199"/>
    </row>
    <row r="14013" spans="7:16" x14ac:dyDescent="0.2">
      <c r="G14013" s="199"/>
      <c r="I14013" s="199"/>
      <c r="K14013" s="199"/>
      <c r="M14013" s="199"/>
      <c r="N14013" s="200"/>
      <c r="P14013" s="199"/>
    </row>
    <row r="14014" spans="7:16" x14ac:dyDescent="0.2">
      <c r="G14014" s="199"/>
      <c r="I14014" s="199"/>
      <c r="K14014" s="199"/>
      <c r="M14014" s="199"/>
      <c r="N14014" s="200"/>
      <c r="P14014" s="199"/>
    </row>
    <row r="14015" spans="7:16" x14ac:dyDescent="0.2">
      <c r="G14015" s="199"/>
      <c r="I14015" s="199"/>
      <c r="K14015" s="199"/>
      <c r="M14015" s="199"/>
      <c r="N14015" s="200"/>
      <c r="P14015" s="199"/>
    </row>
    <row r="14016" spans="7:16" x14ac:dyDescent="0.2">
      <c r="G14016" s="199"/>
      <c r="I14016" s="199"/>
      <c r="K14016" s="199"/>
      <c r="M14016" s="199"/>
      <c r="N14016" s="200"/>
      <c r="P14016" s="199"/>
    </row>
    <row r="14017" spans="7:16" x14ac:dyDescent="0.2">
      <c r="G14017" s="199"/>
      <c r="I14017" s="199"/>
      <c r="K14017" s="199"/>
      <c r="M14017" s="199"/>
      <c r="N14017" s="200"/>
      <c r="P14017" s="199"/>
    </row>
    <row r="14018" spans="7:16" x14ac:dyDescent="0.2">
      <c r="G14018" s="199"/>
      <c r="I14018" s="199"/>
      <c r="K14018" s="199"/>
      <c r="M14018" s="199"/>
      <c r="N14018" s="200"/>
      <c r="P14018" s="199"/>
    </row>
    <row r="14019" spans="7:16" x14ac:dyDescent="0.2">
      <c r="G14019" s="199"/>
      <c r="I14019" s="199"/>
      <c r="K14019" s="199"/>
      <c r="M14019" s="199"/>
      <c r="N14019" s="200"/>
      <c r="P14019" s="199"/>
    </row>
    <row r="14020" spans="7:16" x14ac:dyDescent="0.2">
      <c r="G14020" s="199"/>
      <c r="I14020" s="199"/>
      <c r="K14020" s="199"/>
      <c r="M14020" s="199"/>
      <c r="N14020" s="200"/>
      <c r="P14020" s="199"/>
    </row>
    <row r="14021" spans="7:16" x14ac:dyDescent="0.2">
      <c r="G14021" s="199"/>
      <c r="I14021" s="199"/>
      <c r="K14021" s="199"/>
      <c r="M14021" s="199"/>
      <c r="N14021" s="200"/>
      <c r="P14021" s="199"/>
    </row>
    <row r="14022" spans="7:16" x14ac:dyDescent="0.2">
      <c r="G14022" s="199"/>
      <c r="I14022" s="199"/>
      <c r="K14022" s="199"/>
      <c r="M14022" s="199"/>
      <c r="N14022" s="200"/>
      <c r="P14022" s="199"/>
    </row>
    <row r="14023" spans="7:16" x14ac:dyDescent="0.2">
      <c r="G14023" s="199"/>
      <c r="I14023" s="199"/>
      <c r="K14023" s="199"/>
      <c r="M14023" s="199"/>
      <c r="N14023" s="200"/>
      <c r="P14023" s="199"/>
    </row>
    <row r="14024" spans="7:16" x14ac:dyDescent="0.2">
      <c r="G14024" s="199"/>
      <c r="I14024" s="199"/>
      <c r="K14024" s="199"/>
      <c r="M14024" s="199"/>
      <c r="N14024" s="200"/>
      <c r="P14024" s="199"/>
    </row>
    <row r="14025" spans="7:16" x14ac:dyDescent="0.2">
      <c r="G14025" s="199"/>
      <c r="I14025" s="199"/>
      <c r="K14025" s="199"/>
      <c r="M14025" s="199"/>
      <c r="N14025" s="200"/>
      <c r="P14025" s="199"/>
    </row>
    <row r="14026" spans="7:16" x14ac:dyDescent="0.2">
      <c r="G14026" s="199"/>
      <c r="I14026" s="199"/>
      <c r="K14026" s="199"/>
      <c r="M14026" s="199"/>
      <c r="N14026" s="200"/>
      <c r="P14026" s="199"/>
    </row>
    <row r="14027" spans="7:16" x14ac:dyDescent="0.2">
      <c r="G14027" s="199"/>
      <c r="I14027" s="199"/>
      <c r="K14027" s="199"/>
      <c r="M14027" s="199"/>
      <c r="N14027" s="200"/>
      <c r="P14027" s="199"/>
    </row>
    <row r="14028" spans="7:16" x14ac:dyDescent="0.2">
      <c r="G14028" s="199"/>
      <c r="I14028" s="199"/>
      <c r="K14028" s="199"/>
      <c r="M14028" s="199"/>
      <c r="N14028" s="200"/>
      <c r="P14028" s="199"/>
    </row>
    <row r="14029" spans="7:16" x14ac:dyDescent="0.2">
      <c r="G14029" s="199"/>
      <c r="I14029" s="199"/>
      <c r="K14029" s="199"/>
      <c r="M14029" s="199"/>
      <c r="N14029" s="200"/>
      <c r="P14029" s="199"/>
    </row>
    <row r="14030" spans="7:16" x14ac:dyDescent="0.2">
      <c r="G14030" s="199"/>
      <c r="I14030" s="199"/>
      <c r="K14030" s="199"/>
      <c r="M14030" s="199"/>
      <c r="N14030" s="200"/>
      <c r="P14030" s="199"/>
    </row>
    <row r="14031" spans="7:16" x14ac:dyDescent="0.2">
      <c r="G14031" s="199"/>
      <c r="I14031" s="199"/>
      <c r="K14031" s="199"/>
      <c r="M14031" s="199"/>
      <c r="N14031" s="200"/>
      <c r="P14031" s="199"/>
    </row>
    <row r="14032" spans="7:16" x14ac:dyDescent="0.2">
      <c r="G14032" s="199"/>
      <c r="I14032" s="199"/>
      <c r="K14032" s="199"/>
      <c r="M14032" s="199"/>
      <c r="N14032" s="200"/>
      <c r="P14032" s="199"/>
    </row>
    <row r="14033" spans="7:16" x14ac:dyDescent="0.2">
      <c r="G14033" s="199"/>
      <c r="I14033" s="199"/>
      <c r="K14033" s="199"/>
      <c r="M14033" s="199"/>
      <c r="N14033" s="200"/>
      <c r="P14033" s="199"/>
    </row>
    <row r="14034" spans="7:16" x14ac:dyDescent="0.2">
      <c r="G14034" s="199"/>
      <c r="I14034" s="199"/>
      <c r="K14034" s="199"/>
      <c r="M14034" s="199"/>
      <c r="N14034" s="200"/>
      <c r="P14034" s="199"/>
    </row>
    <row r="14035" spans="7:16" x14ac:dyDescent="0.2">
      <c r="G14035" s="199"/>
      <c r="I14035" s="199"/>
      <c r="K14035" s="199"/>
      <c r="M14035" s="199"/>
      <c r="N14035" s="200"/>
      <c r="P14035" s="199"/>
    </row>
    <row r="14036" spans="7:16" x14ac:dyDescent="0.2">
      <c r="G14036" s="199"/>
      <c r="I14036" s="199"/>
      <c r="K14036" s="199"/>
      <c r="M14036" s="199"/>
      <c r="N14036" s="200"/>
      <c r="P14036" s="199"/>
    </row>
    <row r="14037" spans="7:16" x14ac:dyDescent="0.2">
      <c r="G14037" s="199"/>
      <c r="I14037" s="199"/>
      <c r="K14037" s="199"/>
      <c r="M14037" s="199"/>
      <c r="N14037" s="200"/>
      <c r="P14037" s="199"/>
    </row>
    <row r="14038" spans="7:16" x14ac:dyDescent="0.2">
      <c r="G14038" s="199"/>
      <c r="I14038" s="199"/>
      <c r="K14038" s="199"/>
      <c r="M14038" s="199"/>
      <c r="N14038" s="200"/>
      <c r="P14038" s="199"/>
    </row>
    <row r="14039" spans="7:16" x14ac:dyDescent="0.2">
      <c r="G14039" s="199"/>
      <c r="I14039" s="199"/>
      <c r="K14039" s="199"/>
      <c r="M14039" s="199"/>
      <c r="N14039" s="200"/>
      <c r="P14039" s="199"/>
    </row>
    <row r="14040" spans="7:16" x14ac:dyDescent="0.2">
      <c r="G14040" s="199"/>
      <c r="I14040" s="199"/>
      <c r="K14040" s="199"/>
      <c r="M14040" s="199"/>
      <c r="N14040" s="200"/>
      <c r="P14040" s="199"/>
    </row>
    <row r="14041" spans="7:16" x14ac:dyDescent="0.2">
      <c r="G14041" s="199"/>
      <c r="I14041" s="199"/>
      <c r="K14041" s="199"/>
      <c r="M14041" s="199"/>
      <c r="N14041" s="200"/>
      <c r="P14041" s="199"/>
    </row>
    <row r="14042" spans="7:16" x14ac:dyDescent="0.2">
      <c r="G14042" s="199"/>
      <c r="I14042" s="199"/>
      <c r="K14042" s="199"/>
      <c r="M14042" s="199"/>
      <c r="N14042" s="200"/>
      <c r="P14042" s="199"/>
    </row>
    <row r="14043" spans="7:16" x14ac:dyDescent="0.2">
      <c r="G14043" s="199"/>
      <c r="I14043" s="199"/>
      <c r="K14043" s="199"/>
      <c r="M14043" s="199"/>
      <c r="N14043" s="200"/>
      <c r="P14043" s="199"/>
    </row>
    <row r="14044" spans="7:16" x14ac:dyDescent="0.2">
      <c r="G14044" s="199"/>
      <c r="I14044" s="199"/>
      <c r="K14044" s="199"/>
      <c r="M14044" s="199"/>
      <c r="N14044" s="200"/>
      <c r="P14044" s="199"/>
    </row>
    <row r="14045" spans="7:16" x14ac:dyDescent="0.2">
      <c r="G14045" s="199"/>
      <c r="I14045" s="199"/>
      <c r="K14045" s="199"/>
      <c r="M14045" s="199"/>
      <c r="N14045" s="200"/>
      <c r="P14045" s="199"/>
    </row>
    <row r="14046" spans="7:16" x14ac:dyDescent="0.2">
      <c r="G14046" s="199"/>
      <c r="I14046" s="199"/>
      <c r="K14046" s="199"/>
      <c r="M14046" s="199"/>
      <c r="N14046" s="200"/>
      <c r="P14046" s="199"/>
    </row>
    <row r="14047" spans="7:16" x14ac:dyDescent="0.2">
      <c r="G14047" s="199"/>
      <c r="I14047" s="199"/>
      <c r="K14047" s="199"/>
      <c r="M14047" s="199"/>
      <c r="N14047" s="200"/>
      <c r="P14047" s="199"/>
    </row>
    <row r="14048" spans="7:16" x14ac:dyDescent="0.2">
      <c r="G14048" s="199"/>
      <c r="I14048" s="199"/>
      <c r="K14048" s="199"/>
      <c r="M14048" s="199"/>
      <c r="N14048" s="200"/>
      <c r="P14048" s="199"/>
    </row>
    <row r="14049" spans="7:16" x14ac:dyDescent="0.2">
      <c r="G14049" s="199"/>
      <c r="I14049" s="199"/>
      <c r="K14049" s="199"/>
      <c r="M14049" s="199"/>
      <c r="N14049" s="200"/>
      <c r="P14049" s="199"/>
    </row>
    <row r="14050" spans="7:16" x14ac:dyDescent="0.2">
      <c r="G14050" s="199"/>
      <c r="I14050" s="199"/>
      <c r="K14050" s="199"/>
      <c r="M14050" s="199"/>
      <c r="N14050" s="200"/>
      <c r="P14050" s="199"/>
    </row>
    <row r="14051" spans="7:16" x14ac:dyDescent="0.2">
      <c r="G14051" s="199"/>
      <c r="I14051" s="199"/>
      <c r="K14051" s="199"/>
      <c r="M14051" s="199"/>
      <c r="N14051" s="200"/>
      <c r="P14051" s="199"/>
    </row>
    <row r="14052" spans="7:16" x14ac:dyDescent="0.2">
      <c r="G14052" s="199"/>
      <c r="I14052" s="199"/>
      <c r="K14052" s="199"/>
      <c r="M14052" s="199"/>
      <c r="N14052" s="200"/>
      <c r="P14052" s="199"/>
    </row>
    <row r="14053" spans="7:16" x14ac:dyDescent="0.2">
      <c r="G14053" s="199"/>
      <c r="I14053" s="199"/>
      <c r="K14053" s="199"/>
      <c r="M14053" s="199"/>
      <c r="N14053" s="200"/>
      <c r="P14053" s="199"/>
    </row>
    <row r="14054" spans="7:16" x14ac:dyDescent="0.2">
      <c r="G14054" s="199"/>
      <c r="I14054" s="199"/>
      <c r="K14054" s="199"/>
      <c r="M14054" s="199"/>
      <c r="N14054" s="200"/>
      <c r="P14054" s="199"/>
    </row>
    <row r="14055" spans="7:16" x14ac:dyDescent="0.2">
      <c r="G14055" s="199"/>
      <c r="I14055" s="199"/>
      <c r="K14055" s="199"/>
      <c r="M14055" s="199"/>
      <c r="N14055" s="200"/>
      <c r="P14055" s="199"/>
    </row>
    <row r="14056" spans="7:16" x14ac:dyDescent="0.2">
      <c r="G14056" s="199"/>
      <c r="I14056" s="199"/>
      <c r="K14056" s="199"/>
      <c r="M14056" s="199"/>
      <c r="N14056" s="200"/>
      <c r="P14056" s="199"/>
    </row>
    <row r="14057" spans="7:16" x14ac:dyDescent="0.2">
      <c r="G14057" s="199"/>
      <c r="I14057" s="199"/>
      <c r="K14057" s="199"/>
      <c r="M14057" s="199"/>
      <c r="N14057" s="200"/>
      <c r="P14057" s="199"/>
    </row>
    <row r="14058" spans="7:16" x14ac:dyDescent="0.2">
      <c r="G14058" s="199"/>
      <c r="I14058" s="199"/>
      <c r="K14058" s="199"/>
      <c r="M14058" s="199"/>
      <c r="N14058" s="200"/>
      <c r="P14058" s="199"/>
    </row>
    <row r="14059" spans="7:16" x14ac:dyDescent="0.2">
      <c r="G14059" s="199"/>
      <c r="I14059" s="199"/>
      <c r="K14059" s="199"/>
      <c r="M14059" s="199"/>
      <c r="N14059" s="200"/>
      <c r="P14059" s="199"/>
    </row>
    <row r="14060" spans="7:16" x14ac:dyDescent="0.2">
      <c r="G14060" s="199"/>
      <c r="I14060" s="199"/>
      <c r="K14060" s="199"/>
      <c r="M14060" s="199"/>
      <c r="N14060" s="200"/>
      <c r="P14060" s="199"/>
    </row>
    <row r="14061" spans="7:16" x14ac:dyDescent="0.2">
      <c r="G14061" s="199"/>
      <c r="I14061" s="199"/>
      <c r="K14061" s="199"/>
      <c r="M14061" s="199"/>
      <c r="N14061" s="200"/>
      <c r="P14061" s="199"/>
    </row>
    <row r="14062" spans="7:16" x14ac:dyDescent="0.2">
      <c r="G14062" s="199"/>
      <c r="I14062" s="199"/>
      <c r="K14062" s="199"/>
      <c r="M14062" s="199"/>
      <c r="N14062" s="200"/>
      <c r="P14062" s="199"/>
    </row>
    <row r="14063" spans="7:16" x14ac:dyDescent="0.2">
      <c r="G14063" s="199"/>
      <c r="I14063" s="199"/>
      <c r="K14063" s="199"/>
      <c r="M14063" s="199"/>
      <c r="N14063" s="200"/>
      <c r="P14063" s="199"/>
    </row>
    <row r="14064" spans="7:16" x14ac:dyDescent="0.2">
      <c r="G14064" s="199"/>
      <c r="I14064" s="199"/>
      <c r="K14064" s="199"/>
      <c r="M14064" s="199"/>
      <c r="N14064" s="200"/>
      <c r="P14064" s="199"/>
    </row>
    <row r="14065" spans="7:16" x14ac:dyDescent="0.2">
      <c r="G14065" s="199"/>
      <c r="I14065" s="199"/>
      <c r="K14065" s="199"/>
      <c r="M14065" s="199"/>
      <c r="N14065" s="200"/>
      <c r="P14065" s="199"/>
    </row>
    <row r="14066" spans="7:16" x14ac:dyDescent="0.2">
      <c r="G14066" s="199"/>
      <c r="I14066" s="199"/>
      <c r="K14066" s="199"/>
      <c r="M14066" s="199"/>
      <c r="N14066" s="200"/>
      <c r="P14066" s="199"/>
    </row>
    <row r="14067" spans="7:16" x14ac:dyDescent="0.2">
      <c r="G14067" s="199"/>
      <c r="I14067" s="199"/>
      <c r="K14067" s="199"/>
      <c r="M14067" s="199"/>
      <c r="N14067" s="200"/>
      <c r="P14067" s="199"/>
    </row>
    <row r="14068" spans="7:16" x14ac:dyDescent="0.2">
      <c r="G14068" s="199"/>
      <c r="I14068" s="199"/>
      <c r="K14068" s="199"/>
      <c r="M14068" s="199"/>
      <c r="N14068" s="200"/>
      <c r="P14068" s="199"/>
    </row>
    <row r="14069" spans="7:16" x14ac:dyDescent="0.2">
      <c r="G14069" s="199"/>
      <c r="I14069" s="199"/>
      <c r="K14069" s="199"/>
      <c r="M14069" s="199"/>
      <c r="N14069" s="200"/>
      <c r="P14069" s="199"/>
    </row>
    <row r="14070" spans="7:16" x14ac:dyDescent="0.2">
      <c r="G14070" s="199"/>
      <c r="I14070" s="199"/>
      <c r="K14070" s="199"/>
      <c r="M14070" s="199"/>
      <c r="N14070" s="200"/>
      <c r="P14070" s="199"/>
    </row>
    <row r="14071" spans="7:16" x14ac:dyDescent="0.2">
      <c r="G14071" s="199"/>
      <c r="I14071" s="199"/>
      <c r="K14071" s="199"/>
      <c r="M14071" s="199"/>
      <c r="N14071" s="200"/>
      <c r="P14071" s="199"/>
    </row>
    <row r="14072" spans="7:16" x14ac:dyDescent="0.2">
      <c r="G14072" s="199"/>
      <c r="I14072" s="199"/>
      <c r="K14072" s="199"/>
      <c r="M14072" s="199"/>
      <c r="N14072" s="200"/>
      <c r="P14072" s="199"/>
    </row>
    <row r="14073" spans="7:16" x14ac:dyDescent="0.2">
      <c r="G14073" s="199"/>
      <c r="I14073" s="199"/>
      <c r="K14073" s="199"/>
      <c r="M14073" s="199"/>
      <c r="N14073" s="200"/>
      <c r="P14073" s="199"/>
    </row>
    <row r="14074" spans="7:16" x14ac:dyDescent="0.2">
      <c r="G14074" s="199"/>
      <c r="I14074" s="199"/>
      <c r="K14074" s="199"/>
      <c r="M14074" s="199"/>
      <c r="N14074" s="200"/>
      <c r="P14074" s="199"/>
    </row>
    <row r="14075" spans="7:16" x14ac:dyDescent="0.2">
      <c r="G14075" s="199"/>
      <c r="I14075" s="199"/>
      <c r="K14075" s="199"/>
      <c r="M14075" s="199"/>
      <c r="N14075" s="200"/>
      <c r="P14075" s="199"/>
    </row>
    <row r="14076" spans="7:16" x14ac:dyDescent="0.2">
      <c r="G14076" s="199"/>
      <c r="I14076" s="199"/>
      <c r="K14076" s="199"/>
      <c r="M14076" s="199"/>
      <c r="N14076" s="200"/>
      <c r="P14076" s="199"/>
    </row>
    <row r="14077" spans="7:16" x14ac:dyDescent="0.2">
      <c r="G14077" s="199"/>
      <c r="I14077" s="199"/>
      <c r="K14077" s="199"/>
      <c r="M14077" s="199"/>
      <c r="N14077" s="200"/>
      <c r="P14077" s="199"/>
    </row>
    <row r="14078" spans="7:16" x14ac:dyDescent="0.2">
      <c r="G14078" s="199"/>
      <c r="I14078" s="199"/>
      <c r="K14078" s="199"/>
      <c r="M14078" s="199"/>
      <c r="N14078" s="200"/>
      <c r="P14078" s="199"/>
    </row>
    <row r="14079" spans="7:16" x14ac:dyDescent="0.2">
      <c r="G14079" s="199"/>
      <c r="I14079" s="199"/>
      <c r="K14079" s="199"/>
      <c r="M14079" s="199"/>
      <c r="N14079" s="200"/>
      <c r="P14079" s="199"/>
    </row>
    <row r="14080" spans="7:16" x14ac:dyDescent="0.2">
      <c r="G14080" s="199"/>
      <c r="I14080" s="199"/>
      <c r="K14080" s="199"/>
      <c r="M14080" s="199"/>
      <c r="N14080" s="200"/>
      <c r="P14080" s="199"/>
    </row>
    <row r="14081" spans="7:16" x14ac:dyDescent="0.2">
      <c r="G14081" s="199"/>
      <c r="I14081" s="199"/>
      <c r="K14081" s="199"/>
      <c r="M14081" s="199"/>
      <c r="N14081" s="200"/>
      <c r="P14081" s="199"/>
    </row>
    <row r="14082" spans="7:16" x14ac:dyDescent="0.2">
      <c r="G14082" s="199"/>
      <c r="I14082" s="199"/>
      <c r="K14082" s="199"/>
      <c r="M14082" s="199"/>
      <c r="N14082" s="200"/>
      <c r="P14082" s="199"/>
    </row>
    <row r="14083" spans="7:16" x14ac:dyDescent="0.2">
      <c r="G14083" s="199"/>
      <c r="I14083" s="199"/>
      <c r="K14083" s="199"/>
      <c r="M14083" s="199"/>
      <c r="N14083" s="200"/>
      <c r="P14083" s="199"/>
    </row>
    <row r="14084" spans="7:16" x14ac:dyDescent="0.2">
      <c r="G14084" s="199"/>
      <c r="I14084" s="199"/>
      <c r="K14084" s="199"/>
      <c r="M14084" s="199"/>
      <c r="N14084" s="200"/>
      <c r="P14084" s="199"/>
    </row>
    <row r="14085" spans="7:16" x14ac:dyDescent="0.2">
      <c r="G14085" s="199"/>
      <c r="I14085" s="199"/>
      <c r="K14085" s="199"/>
      <c r="M14085" s="199"/>
      <c r="N14085" s="200"/>
      <c r="P14085" s="199"/>
    </row>
    <row r="14086" spans="7:16" x14ac:dyDescent="0.2">
      <c r="G14086" s="199"/>
      <c r="I14086" s="199"/>
      <c r="K14086" s="199"/>
      <c r="M14086" s="199"/>
      <c r="N14086" s="200"/>
      <c r="P14086" s="199"/>
    </row>
    <row r="14087" spans="7:16" x14ac:dyDescent="0.2">
      <c r="G14087" s="199"/>
      <c r="I14087" s="199"/>
      <c r="K14087" s="199"/>
      <c r="M14087" s="199"/>
      <c r="N14087" s="200"/>
      <c r="P14087" s="199"/>
    </row>
    <row r="14088" spans="7:16" x14ac:dyDescent="0.2">
      <c r="G14088" s="199"/>
      <c r="I14088" s="199"/>
      <c r="K14088" s="199"/>
      <c r="M14088" s="199"/>
      <c r="N14088" s="200"/>
      <c r="P14088" s="199"/>
    </row>
    <row r="14089" spans="7:16" x14ac:dyDescent="0.2">
      <c r="G14089" s="199"/>
      <c r="I14089" s="199"/>
      <c r="K14089" s="199"/>
      <c r="M14089" s="199"/>
      <c r="N14089" s="200"/>
      <c r="P14089" s="199"/>
    </row>
    <row r="14090" spans="7:16" x14ac:dyDescent="0.2">
      <c r="G14090" s="199"/>
      <c r="I14090" s="199"/>
      <c r="K14090" s="199"/>
      <c r="M14090" s="199"/>
      <c r="N14090" s="200"/>
      <c r="P14090" s="199"/>
    </row>
    <row r="14091" spans="7:16" x14ac:dyDescent="0.2">
      <c r="G14091" s="199"/>
      <c r="I14091" s="199"/>
      <c r="K14091" s="199"/>
      <c r="M14091" s="199"/>
      <c r="N14091" s="200"/>
      <c r="P14091" s="199"/>
    </row>
    <row r="14092" spans="7:16" x14ac:dyDescent="0.2">
      <c r="G14092" s="199"/>
      <c r="I14092" s="199"/>
      <c r="K14092" s="199"/>
      <c r="M14092" s="199"/>
      <c r="N14092" s="200"/>
      <c r="P14092" s="199"/>
    </row>
    <row r="14093" spans="7:16" x14ac:dyDescent="0.2">
      <c r="G14093" s="199"/>
      <c r="I14093" s="199"/>
      <c r="K14093" s="199"/>
      <c r="M14093" s="199"/>
      <c r="N14093" s="200"/>
      <c r="P14093" s="199"/>
    </row>
    <row r="14094" spans="7:16" x14ac:dyDescent="0.2">
      <c r="G14094" s="199"/>
      <c r="I14094" s="199"/>
      <c r="K14094" s="199"/>
      <c r="M14094" s="199"/>
      <c r="N14094" s="200"/>
      <c r="P14094" s="199"/>
    </row>
    <row r="14095" spans="7:16" x14ac:dyDescent="0.2">
      <c r="G14095" s="199"/>
      <c r="I14095" s="199"/>
      <c r="K14095" s="199"/>
      <c r="M14095" s="199"/>
      <c r="N14095" s="200"/>
      <c r="P14095" s="199"/>
    </row>
    <row r="14096" spans="7:16" x14ac:dyDescent="0.2">
      <c r="G14096" s="199"/>
      <c r="I14096" s="199"/>
      <c r="K14096" s="199"/>
      <c r="M14096" s="199"/>
      <c r="N14096" s="200"/>
      <c r="P14096" s="199"/>
    </row>
    <row r="14097" spans="7:16" x14ac:dyDescent="0.2">
      <c r="G14097" s="199"/>
      <c r="I14097" s="199"/>
      <c r="K14097" s="199"/>
      <c r="M14097" s="199"/>
      <c r="N14097" s="200"/>
      <c r="P14097" s="199"/>
    </row>
    <row r="14098" spans="7:16" x14ac:dyDescent="0.2">
      <c r="G14098" s="199"/>
      <c r="I14098" s="199"/>
      <c r="K14098" s="199"/>
      <c r="M14098" s="199"/>
      <c r="N14098" s="200"/>
      <c r="P14098" s="199"/>
    </row>
    <row r="14099" spans="7:16" x14ac:dyDescent="0.2">
      <c r="G14099" s="199"/>
      <c r="I14099" s="199"/>
      <c r="K14099" s="199"/>
      <c r="M14099" s="199"/>
      <c r="N14099" s="200"/>
      <c r="P14099" s="199"/>
    </row>
    <row r="14100" spans="7:16" x14ac:dyDescent="0.2">
      <c r="G14100" s="199"/>
      <c r="I14100" s="199"/>
      <c r="K14100" s="199"/>
      <c r="M14100" s="199"/>
      <c r="N14100" s="200"/>
      <c r="P14100" s="199"/>
    </row>
    <row r="14101" spans="7:16" x14ac:dyDescent="0.2">
      <c r="G14101" s="199"/>
      <c r="I14101" s="199"/>
      <c r="K14101" s="199"/>
      <c r="M14101" s="199"/>
      <c r="N14101" s="200"/>
      <c r="P14101" s="199"/>
    </row>
    <row r="14102" spans="7:16" x14ac:dyDescent="0.2">
      <c r="G14102" s="199"/>
      <c r="I14102" s="199"/>
      <c r="K14102" s="199"/>
      <c r="M14102" s="199"/>
      <c r="N14102" s="200"/>
      <c r="P14102" s="199"/>
    </row>
    <row r="14103" spans="7:16" x14ac:dyDescent="0.2">
      <c r="G14103" s="199"/>
      <c r="I14103" s="199"/>
      <c r="K14103" s="199"/>
      <c r="M14103" s="199"/>
      <c r="N14103" s="200"/>
      <c r="P14103" s="199"/>
    </row>
    <row r="14104" spans="7:16" x14ac:dyDescent="0.2">
      <c r="G14104" s="199"/>
      <c r="I14104" s="199"/>
      <c r="K14104" s="199"/>
      <c r="M14104" s="199"/>
      <c r="N14104" s="200"/>
      <c r="P14104" s="199"/>
    </row>
    <row r="14105" spans="7:16" x14ac:dyDescent="0.2">
      <c r="G14105" s="199"/>
      <c r="I14105" s="199"/>
      <c r="K14105" s="199"/>
      <c r="M14105" s="199"/>
      <c r="N14105" s="200"/>
      <c r="P14105" s="199"/>
    </row>
    <row r="14106" spans="7:16" x14ac:dyDescent="0.2">
      <c r="G14106" s="199"/>
      <c r="I14106" s="199"/>
      <c r="K14106" s="199"/>
      <c r="M14106" s="199"/>
      <c r="N14106" s="200"/>
      <c r="P14106" s="199"/>
    </row>
    <row r="14107" spans="7:16" x14ac:dyDescent="0.2">
      <c r="G14107" s="199"/>
      <c r="I14107" s="199"/>
      <c r="K14107" s="199"/>
      <c r="M14107" s="199"/>
      <c r="N14107" s="200"/>
      <c r="P14107" s="199"/>
    </row>
    <row r="14108" spans="7:16" x14ac:dyDescent="0.2">
      <c r="G14108" s="199"/>
      <c r="I14108" s="199"/>
      <c r="K14108" s="199"/>
      <c r="M14108" s="199"/>
      <c r="N14108" s="200"/>
      <c r="P14108" s="199"/>
    </row>
    <row r="14109" spans="7:16" x14ac:dyDescent="0.2">
      <c r="G14109" s="199"/>
      <c r="I14109" s="199"/>
      <c r="K14109" s="199"/>
      <c r="M14109" s="199"/>
      <c r="N14109" s="200"/>
      <c r="P14109" s="199"/>
    </row>
    <row r="14110" spans="7:16" x14ac:dyDescent="0.2">
      <c r="G14110" s="199"/>
      <c r="I14110" s="199"/>
      <c r="K14110" s="199"/>
      <c r="M14110" s="199"/>
      <c r="N14110" s="200"/>
      <c r="P14110" s="199"/>
    </row>
    <row r="14111" spans="7:16" x14ac:dyDescent="0.2">
      <c r="G14111" s="199"/>
      <c r="I14111" s="199"/>
      <c r="K14111" s="199"/>
      <c r="M14111" s="199"/>
      <c r="N14111" s="200"/>
      <c r="P14111" s="199"/>
    </row>
    <row r="14112" spans="7:16" x14ac:dyDescent="0.2">
      <c r="G14112" s="199"/>
      <c r="I14112" s="199"/>
      <c r="K14112" s="199"/>
      <c r="M14112" s="199"/>
      <c r="N14112" s="200"/>
      <c r="P14112" s="199"/>
    </row>
    <row r="14113" spans="7:16" x14ac:dyDescent="0.2">
      <c r="G14113" s="199"/>
      <c r="I14113" s="199"/>
      <c r="K14113" s="199"/>
      <c r="M14113" s="199"/>
      <c r="N14113" s="200"/>
      <c r="P14113" s="199"/>
    </row>
    <row r="14114" spans="7:16" x14ac:dyDescent="0.2">
      <c r="G14114" s="199"/>
      <c r="I14114" s="199"/>
      <c r="K14114" s="199"/>
      <c r="M14114" s="199"/>
      <c r="N14114" s="200"/>
      <c r="P14114" s="199"/>
    </row>
    <row r="14115" spans="7:16" x14ac:dyDescent="0.2">
      <c r="G14115" s="199"/>
      <c r="I14115" s="199"/>
      <c r="K14115" s="199"/>
      <c r="M14115" s="199"/>
      <c r="N14115" s="200"/>
      <c r="P14115" s="199"/>
    </row>
    <row r="14116" spans="7:16" x14ac:dyDescent="0.2">
      <c r="G14116" s="199"/>
      <c r="I14116" s="199"/>
      <c r="K14116" s="199"/>
      <c r="M14116" s="199"/>
      <c r="N14116" s="200"/>
      <c r="P14116" s="199"/>
    </row>
    <row r="14117" spans="7:16" x14ac:dyDescent="0.2">
      <c r="G14117" s="199"/>
      <c r="I14117" s="199"/>
      <c r="K14117" s="199"/>
      <c r="M14117" s="199"/>
      <c r="N14117" s="200"/>
      <c r="P14117" s="199"/>
    </row>
    <row r="14118" spans="7:16" x14ac:dyDescent="0.2">
      <c r="G14118" s="199"/>
      <c r="I14118" s="199"/>
      <c r="K14118" s="199"/>
      <c r="M14118" s="199"/>
      <c r="N14118" s="200"/>
      <c r="P14118" s="199"/>
    </row>
    <row r="14119" spans="7:16" x14ac:dyDescent="0.2">
      <c r="G14119" s="199"/>
      <c r="I14119" s="199"/>
      <c r="K14119" s="199"/>
      <c r="M14119" s="199"/>
      <c r="N14119" s="200"/>
      <c r="P14119" s="199"/>
    </row>
    <row r="14120" spans="7:16" x14ac:dyDescent="0.2">
      <c r="G14120" s="199"/>
      <c r="I14120" s="199"/>
      <c r="K14120" s="199"/>
      <c r="M14120" s="199"/>
      <c r="N14120" s="200"/>
      <c r="P14120" s="199"/>
    </row>
    <row r="14121" spans="7:16" x14ac:dyDescent="0.2">
      <c r="G14121" s="199"/>
      <c r="I14121" s="199"/>
      <c r="K14121" s="199"/>
      <c r="M14121" s="199"/>
      <c r="N14121" s="200"/>
      <c r="P14121" s="199"/>
    </row>
    <row r="14122" spans="7:16" x14ac:dyDescent="0.2">
      <c r="G14122" s="199"/>
      <c r="I14122" s="199"/>
      <c r="K14122" s="199"/>
      <c r="M14122" s="199"/>
      <c r="N14122" s="200"/>
      <c r="P14122" s="199"/>
    </row>
    <row r="14123" spans="7:16" x14ac:dyDescent="0.2">
      <c r="G14123" s="199"/>
      <c r="I14123" s="199"/>
      <c r="K14123" s="199"/>
      <c r="M14123" s="199"/>
      <c r="N14123" s="200"/>
      <c r="P14123" s="199"/>
    </row>
    <row r="14124" spans="7:16" x14ac:dyDescent="0.2">
      <c r="G14124" s="199"/>
      <c r="I14124" s="199"/>
      <c r="K14124" s="199"/>
      <c r="M14124" s="199"/>
      <c r="N14124" s="200"/>
      <c r="P14124" s="199"/>
    </row>
    <row r="14125" spans="7:16" x14ac:dyDescent="0.2">
      <c r="G14125" s="199"/>
      <c r="I14125" s="199"/>
      <c r="K14125" s="199"/>
      <c r="M14125" s="199"/>
      <c r="N14125" s="200"/>
      <c r="P14125" s="199"/>
    </row>
    <row r="14126" spans="7:16" x14ac:dyDescent="0.2">
      <c r="G14126" s="199"/>
      <c r="I14126" s="199"/>
      <c r="K14126" s="199"/>
      <c r="M14126" s="199"/>
      <c r="N14126" s="200"/>
      <c r="P14126" s="199"/>
    </row>
    <row r="14127" spans="7:16" x14ac:dyDescent="0.2">
      <c r="G14127" s="199"/>
      <c r="I14127" s="199"/>
      <c r="K14127" s="199"/>
      <c r="M14127" s="199"/>
      <c r="N14127" s="200"/>
      <c r="P14127" s="199"/>
    </row>
    <row r="14128" spans="7:16" x14ac:dyDescent="0.2">
      <c r="G14128" s="199"/>
      <c r="I14128" s="199"/>
      <c r="K14128" s="199"/>
      <c r="M14128" s="199"/>
      <c r="N14128" s="200"/>
      <c r="P14128" s="199"/>
    </row>
    <row r="14129" spans="7:16" x14ac:dyDescent="0.2">
      <c r="G14129" s="199"/>
      <c r="I14129" s="199"/>
      <c r="K14129" s="199"/>
      <c r="M14129" s="199"/>
      <c r="N14129" s="200"/>
      <c r="P14129" s="199"/>
    </row>
    <row r="14130" spans="7:16" x14ac:dyDescent="0.2">
      <c r="G14130" s="199"/>
      <c r="I14130" s="199"/>
      <c r="K14130" s="199"/>
      <c r="M14130" s="199"/>
      <c r="N14130" s="200"/>
      <c r="P14130" s="199"/>
    </row>
    <row r="14131" spans="7:16" x14ac:dyDescent="0.2">
      <c r="G14131" s="199"/>
      <c r="I14131" s="199"/>
      <c r="K14131" s="199"/>
      <c r="M14131" s="199"/>
      <c r="N14131" s="200"/>
      <c r="P14131" s="199"/>
    </row>
    <row r="14132" spans="7:16" x14ac:dyDescent="0.2">
      <c r="G14132" s="199"/>
      <c r="I14132" s="199"/>
      <c r="K14132" s="199"/>
      <c r="M14132" s="199"/>
      <c r="N14132" s="200"/>
      <c r="P14132" s="199"/>
    </row>
    <row r="14133" spans="7:16" x14ac:dyDescent="0.2">
      <c r="G14133" s="199"/>
      <c r="I14133" s="199"/>
      <c r="K14133" s="199"/>
      <c r="M14133" s="199"/>
      <c r="N14133" s="200"/>
      <c r="P14133" s="199"/>
    </row>
    <row r="14134" spans="7:16" x14ac:dyDescent="0.2">
      <c r="G14134" s="199"/>
      <c r="I14134" s="199"/>
      <c r="K14134" s="199"/>
      <c r="M14134" s="199"/>
      <c r="N14134" s="200"/>
      <c r="P14134" s="199"/>
    </row>
    <row r="14135" spans="7:16" x14ac:dyDescent="0.2">
      <c r="G14135" s="199"/>
      <c r="I14135" s="199"/>
      <c r="K14135" s="199"/>
      <c r="M14135" s="199"/>
      <c r="N14135" s="200"/>
      <c r="P14135" s="199"/>
    </row>
    <row r="14136" spans="7:16" x14ac:dyDescent="0.2">
      <c r="G14136" s="199"/>
      <c r="I14136" s="199"/>
      <c r="K14136" s="199"/>
      <c r="M14136" s="199"/>
      <c r="N14136" s="200"/>
      <c r="P14136" s="199"/>
    </row>
    <row r="14137" spans="7:16" x14ac:dyDescent="0.2">
      <c r="G14137" s="199"/>
      <c r="I14137" s="199"/>
      <c r="K14137" s="199"/>
      <c r="M14137" s="199"/>
      <c r="N14137" s="200"/>
      <c r="P14137" s="199"/>
    </row>
    <row r="14138" spans="7:16" x14ac:dyDescent="0.2">
      <c r="G14138" s="199"/>
      <c r="I14138" s="199"/>
      <c r="K14138" s="199"/>
      <c r="M14138" s="199"/>
      <c r="N14138" s="200"/>
      <c r="P14138" s="199"/>
    </row>
    <row r="14139" spans="7:16" x14ac:dyDescent="0.2">
      <c r="G14139" s="199"/>
      <c r="I14139" s="199"/>
      <c r="K14139" s="199"/>
      <c r="M14139" s="199"/>
      <c r="N14139" s="200"/>
      <c r="P14139" s="199"/>
    </row>
    <row r="14140" spans="7:16" x14ac:dyDescent="0.2">
      <c r="G14140" s="199"/>
      <c r="I14140" s="199"/>
      <c r="K14140" s="199"/>
      <c r="M14140" s="199"/>
      <c r="N14140" s="200"/>
      <c r="P14140" s="199"/>
    </row>
    <row r="14141" spans="7:16" x14ac:dyDescent="0.2">
      <c r="G14141" s="199"/>
      <c r="I14141" s="199"/>
      <c r="K14141" s="199"/>
      <c r="M14141" s="199"/>
      <c r="N14141" s="200"/>
      <c r="P14141" s="199"/>
    </row>
    <row r="14142" spans="7:16" x14ac:dyDescent="0.2">
      <c r="G14142" s="199"/>
      <c r="I14142" s="199"/>
      <c r="K14142" s="199"/>
      <c r="M14142" s="199"/>
      <c r="N14142" s="200"/>
      <c r="P14142" s="199"/>
    </row>
    <row r="14143" spans="7:16" x14ac:dyDescent="0.2">
      <c r="G14143" s="199"/>
      <c r="I14143" s="199"/>
      <c r="K14143" s="199"/>
      <c r="M14143" s="199"/>
      <c r="N14143" s="200"/>
      <c r="P14143" s="199"/>
    </row>
    <row r="14144" spans="7:16" x14ac:dyDescent="0.2">
      <c r="G14144" s="199"/>
      <c r="I14144" s="199"/>
      <c r="K14144" s="199"/>
      <c r="M14144" s="199"/>
      <c r="N14144" s="200"/>
      <c r="P14144" s="199"/>
    </row>
    <row r="14145" spans="7:16" x14ac:dyDescent="0.2">
      <c r="G14145" s="199"/>
      <c r="I14145" s="199"/>
      <c r="K14145" s="199"/>
      <c r="M14145" s="199"/>
      <c r="N14145" s="200"/>
      <c r="P14145" s="199"/>
    </row>
    <row r="14146" spans="7:16" x14ac:dyDescent="0.2">
      <c r="G14146" s="199"/>
      <c r="I14146" s="199"/>
      <c r="K14146" s="199"/>
      <c r="M14146" s="199"/>
      <c r="N14146" s="200"/>
      <c r="P14146" s="199"/>
    </row>
    <row r="14147" spans="7:16" x14ac:dyDescent="0.2">
      <c r="G14147" s="199"/>
      <c r="I14147" s="199"/>
      <c r="K14147" s="199"/>
      <c r="M14147" s="199"/>
      <c r="N14147" s="200"/>
      <c r="P14147" s="199"/>
    </row>
    <row r="14148" spans="7:16" x14ac:dyDescent="0.2">
      <c r="G14148" s="199"/>
      <c r="I14148" s="199"/>
      <c r="K14148" s="199"/>
      <c r="M14148" s="199"/>
      <c r="N14148" s="200"/>
      <c r="P14148" s="199"/>
    </row>
    <row r="14149" spans="7:16" x14ac:dyDescent="0.2">
      <c r="G14149" s="199"/>
      <c r="I14149" s="199"/>
      <c r="K14149" s="199"/>
      <c r="M14149" s="199"/>
      <c r="N14149" s="200"/>
      <c r="P14149" s="199"/>
    </row>
    <row r="14150" spans="7:16" x14ac:dyDescent="0.2">
      <c r="G14150" s="199"/>
      <c r="I14150" s="199"/>
      <c r="K14150" s="199"/>
      <c r="M14150" s="199"/>
      <c r="N14150" s="200"/>
      <c r="P14150" s="199"/>
    </row>
    <row r="14151" spans="7:16" x14ac:dyDescent="0.2">
      <c r="G14151" s="199"/>
      <c r="I14151" s="199"/>
      <c r="K14151" s="199"/>
      <c r="M14151" s="199"/>
      <c r="N14151" s="200"/>
      <c r="P14151" s="199"/>
    </row>
    <row r="14152" spans="7:16" x14ac:dyDescent="0.2">
      <c r="G14152" s="199"/>
      <c r="I14152" s="199"/>
      <c r="K14152" s="199"/>
      <c r="M14152" s="199"/>
      <c r="N14152" s="200"/>
      <c r="P14152" s="199"/>
    </row>
    <row r="14153" spans="7:16" x14ac:dyDescent="0.2">
      <c r="G14153" s="199"/>
      <c r="I14153" s="199"/>
      <c r="K14153" s="199"/>
      <c r="M14153" s="199"/>
      <c r="N14153" s="200"/>
      <c r="P14153" s="199"/>
    </row>
    <row r="14154" spans="7:16" x14ac:dyDescent="0.2">
      <c r="G14154" s="199"/>
      <c r="I14154" s="199"/>
      <c r="K14154" s="199"/>
      <c r="M14154" s="199"/>
      <c r="N14154" s="200"/>
      <c r="P14154" s="199"/>
    </row>
    <row r="14155" spans="7:16" x14ac:dyDescent="0.2">
      <c r="G14155" s="199"/>
      <c r="I14155" s="199"/>
      <c r="K14155" s="199"/>
      <c r="M14155" s="199"/>
      <c r="N14155" s="200"/>
      <c r="P14155" s="199"/>
    </row>
    <row r="14156" spans="7:16" x14ac:dyDescent="0.2">
      <c r="G14156" s="199"/>
      <c r="I14156" s="199"/>
      <c r="K14156" s="199"/>
      <c r="M14156" s="199"/>
      <c r="N14156" s="200"/>
      <c r="P14156" s="199"/>
    </row>
    <row r="14157" spans="7:16" x14ac:dyDescent="0.2">
      <c r="G14157" s="199"/>
      <c r="I14157" s="199"/>
      <c r="K14157" s="199"/>
      <c r="M14157" s="199"/>
      <c r="N14157" s="200"/>
      <c r="P14157" s="199"/>
    </row>
    <row r="14158" spans="7:16" x14ac:dyDescent="0.2">
      <c r="G14158" s="199"/>
      <c r="I14158" s="199"/>
      <c r="K14158" s="199"/>
      <c r="M14158" s="199"/>
      <c r="N14158" s="200"/>
      <c r="P14158" s="199"/>
    </row>
    <row r="14159" spans="7:16" x14ac:dyDescent="0.2">
      <c r="G14159" s="199"/>
      <c r="I14159" s="199"/>
      <c r="K14159" s="199"/>
      <c r="M14159" s="199"/>
      <c r="N14159" s="200"/>
      <c r="P14159" s="199"/>
    </row>
    <row r="14160" spans="7:16" x14ac:dyDescent="0.2">
      <c r="G14160" s="199"/>
      <c r="I14160" s="199"/>
      <c r="K14160" s="199"/>
      <c r="M14160" s="199"/>
      <c r="N14160" s="200"/>
      <c r="P14160" s="199"/>
    </row>
    <row r="14161" spans="7:16" x14ac:dyDescent="0.2">
      <c r="G14161" s="199"/>
      <c r="I14161" s="199"/>
      <c r="K14161" s="199"/>
      <c r="M14161" s="199"/>
      <c r="N14161" s="200"/>
      <c r="P14161" s="199"/>
    </row>
    <row r="14162" spans="7:16" x14ac:dyDescent="0.2">
      <c r="G14162" s="199"/>
      <c r="I14162" s="199"/>
      <c r="K14162" s="199"/>
      <c r="M14162" s="199"/>
      <c r="N14162" s="200"/>
      <c r="P14162" s="199"/>
    </row>
    <row r="14163" spans="7:16" x14ac:dyDescent="0.2">
      <c r="G14163" s="199"/>
      <c r="I14163" s="199"/>
      <c r="K14163" s="199"/>
      <c r="M14163" s="199"/>
      <c r="N14163" s="200"/>
      <c r="P14163" s="199"/>
    </row>
    <row r="14164" spans="7:16" x14ac:dyDescent="0.2">
      <c r="G14164" s="199"/>
      <c r="I14164" s="199"/>
      <c r="K14164" s="199"/>
      <c r="M14164" s="199"/>
      <c r="N14164" s="200"/>
      <c r="P14164" s="199"/>
    </row>
    <row r="14165" spans="7:16" x14ac:dyDescent="0.2">
      <c r="G14165" s="199"/>
      <c r="I14165" s="199"/>
      <c r="K14165" s="199"/>
      <c r="M14165" s="199"/>
      <c r="N14165" s="200"/>
      <c r="P14165" s="199"/>
    </row>
    <row r="14166" spans="7:16" x14ac:dyDescent="0.2">
      <c r="G14166" s="199"/>
      <c r="I14166" s="199"/>
      <c r="K14166" s="199"/>
      <c r="M14166" s="199"/>
      <c r="N14166" s="200"/>
      <c r="P14166" s="199"/>
    </row>
    <row r="14167" spans="7:16" x14ac:dyDescent="0.2">
      <c r="G14167" s="199"/>
      <c r="I14167" s="199"/>
      <c r="K14167" s="199"/>
      <c r="M14167" s="199"/>
      <c r="N14167" s="200"/>
      <c r="P14167" s="199"/>
    </row>
    <row r="14168" spans="7:16" x14ac:dyDescent="0.2">
      <c r="G14168" s="199"/>
      <c r="I14168" s="199"/>
      <c r="K14168" s="199"/>
      <c r="M14168" s="199"/>
      <c r="N14168" s="200"/>
      <c r="P14168" s="199"/>
    </row>
    <row r="14169" spans="7:16" x14ac:dyDescent="0.2">
      <c r="G14169" s="199"/>
      <c r="I14169" s="199"/>
      <c r="K14169" s="199"/>
      <c r="M14169" s="199"/>
      <c r="N14169" s="200"/>
      <c r="P14169" s="199"/>
    </row>
    <row r="14170" spans="7:16" x14ac:dyDescent="0.2">
      <c r="G14170" s="199"/>
      <c r="I14170" s="199"/>
      <c r="K14170" s="199"/>
      <c r="M14170" s="199"/>
      <c r="N14170" s="200"/>
      <c r="P14170" s="199"/>
    </row>
    <row r="14171" spans="7:16" x14ac:dyDescent="0.2">
      <c r="G14171" s="199"/>
      <c r="I14171" s="199"/>
      <c r="K14171" s="199"/>
      <c r="M14171" s="199"/>
      <c r="N14171" s="200"/>
      <c r="P14171" s="199"/>
    </row>
    <row r="14172" spans="7:16" x14ac:dyDescent="0.2">
      <c r="G14172" s="199"/>
      <c r="I14172" s="199"/>
      <c r="K14172" s="199"/>
      <c r="M14172" s="199"/>
      <c r="N14172" s="200"/>
      <c r="P14172" s="199"/>
    </row>
    <row r="14173" spans="7:16" x14ac:dyDescent="0.2">
      <c r="G14173" s="199"/>
      <c r="I14173" s="199"/>
      <c r="K14173" s="199"/>
      <c r="M14173" s="199"/>
      <c r="N14173" s="200"/>
      <c r="P14173" s="199"/>
    </row>
    <row r="14174" spans="7:16" x14ac:dyDescent="0.2">
      <c r="G14174" s="199"/>
      <c r="I14174" s="199"/>
      <c r="K14174" s="199"/>
      <c r="M14174" s="199"/>
      <c r="N14174" s="200"/>
      <c r="P14174" s="199"/>
    </row>
    <row r="14175" spans="7:16" x14ac:dyDescent="0.2">
      <c r="G14175" s="199"/>
      <c r="I14175" s="199"/>
      <c r="K14175" s="199"/>
      <c r="M14175" s="199"/>
      <c r="N14175" s="200"/>
      <c r="P14175" s="199"/>
    </row>
    <row r="14176" spans="7:16" x14ac:dyDescent="0.2">
      <c r="G14176" s="199"/>
      <c r="I14176" s="199"/>
      <c r="K14176" s="199"/>
      <c r="M14176" s="199"/>
      <c r="N14176" s="200"/>
      <c r="P14176" s="199"/>
    </row>
    <row r="14177" spans="7:16" x14ac:dyDescent="0.2">
      <c r="G14177" s="199"/>
      <c r="I14177" s="199"/>
      <c r="K14177" s="199"/>
      <c r="M14177" s="199"/>
      <c r="N14177" s="200"/>
      <c r="P14177" s="199"/>
    </row>
    <row r="14178" spans="7:16" x14ac:dyDescent="0.2">
      <c r="G14178" s="199"/>
      <c r="I14178" s="199"/>
      <c r="K14178" s="199"/>
      <c r="M14178" s="199"/>
      <c r="N14178" s="200"/>
      <c r="P14178" s="199"/>
    </row>
    <row r="14179" spans="7:16" x14ac:dyDescent="0.2">
      <c r="G14179" s="199"/>
      <c r="I14179" s="199"/>
      <c r="K14179" s="199"/>
      <c r="M14179" s="199"/>
      <c r="N14179" s="200"/>
      <c r="P14179" s="199"/>
    </row>
    <row r="14180" spans="7:16" x14ac:dyDescent="0.2">
      <c r="G14180" s="199"/>
      <c r="I14180" s="199"/>
      <c r="K14180" s="199"/>
      <c r="M14180" s="199"/>
      <c r="N14180" s="200"/>
      <c r="P14180" s="199"/>
    </row>
    <row r="14181" spans="7:16" x14ac:dyDescent="0.2">
      <c r="G14181" s="199"/>
      <c r="I14181" s="199"/>
      <c r="K14181" s="199"/>
      <c r="M14181" s="199"/>
      <c r="N14181" s="200"/>
      <c r="P14181" s="199"/>
    </row>
    <row r="14182" spans="7:16" x14ac:dyDescent="0.2">
      <c r="G14182" s="199"/>
      <c r="I14182" s="199"/>
      <c r="K14182" s="199"/>
      <c r="M14182" s="199"/>
      <c r="N14182" s="200"/>
      <c r="P14182" s="199"/>
    </row>
    <row r="14183" spans="7:16" x14ac:dyDescent="0.2">
      <c r="G14183" s="199"/>
      <c r="I14183" s="199"/>
      <c r="K14183" s="199"/>
      <c r="M14183" s="199"/>
      <c r="N14183" s="200"/>
      <c r="P14183" s="199"/>
    </row>
    <row r="14184" spans="7:16" x14ac:dyDescent="0.2">
      <c r="G14184" s="199"/>
      <c r="I14184" s="199"/>
      <c r="K14184" s="199"/>
      <c r="M14184" s="199"/>
      <c r="N14184" s="200"/>
      <c r="P14184" s="199"/>
    </row>
    <row r="14185" spans="7:16" x14ac:dyDescent="0.2">
      <c r="G14185" s="199"/>
      <c r="I14185" s="199"/>
      <c r="K14185" s="199"/>
      <c r="M14185" s="199"/>
      <c r="N14185" s="200"/>
      <c r="P14185" s="199"/>
    </row>
    <row r="14186" spans="7:16" x14ac:dyDescent="0.2">
      <c r="G14186" s="199"/>
      <c r="I14186" s="199"/>
      <c r="K14186" s="199"/>
      <c r="M14186" s="199"/>
      <c r="N14186" s="200"/>
      <c r="P14186" s="199"/>
    </row>
    <row r="14187" spans="7:16" x14ac:dyDescent="0.2">
      <c r="G14187" s="199"/>
      <c r="I14187" s="199"/>
      <c r="K14187" s="199"/>
      <c r="M14187" s="199"/>
      <c r="N14187" s="200"/>
      <c r="P14187" s="199"/>
    </row>
    <row r="14188" spans="7:16" x14ac:dyDescent="0.2">
      <c r="G14188" s="199"/>
      <c r="I14188" s="199"/>
      <c r="K14188" s="199"/>
      <c r="M14188" s="199"/>
      <c r="N14188" s="200"/>
      <c r="P14188" s="199"/>
    </row>
    <row r="14189" spans="7:16" x14ac:dyDescent="0.2">
      <c r="G14189" s="199"/>
      <c r="I14189" s="199"/>
      <c r="K14189" s="199"/>
      <c r="M14189" s="199"/>
      <c r="N14189" s="200"/>
      <c r="P14189" s="199"/>
    </row>
    <row r="14190" spans="7:16" x14ac:dyDescent="0.2">
      <c r="G14190" s="199"/>
      <c r="I14190" s="199"/>
      <c r="K14190" s="199"/>
      <c r="M14190" s="199"/>
      <c r="N14190" s="200"/>
      <c r="P14190" s="199"/>
    </row>
    <row r="14191" spans="7:16" x14ac:dyDescent="0.2">
      <c r="G14191" s="199"/>
      <c r="I14191" s="199"/>
      <c r="K14191" s="199"/>
      <c r="M14191" s="199"/>
      <c r="N14191" s="200"/>
      <c r="P14191" s="199"/>
    </row>
    <row r="14192" spans="7:16" x14ac:dyDescent="0.2">
      <c r="G14192" s="199"/>
      <c r="I14192" s="199"/>
      <c r="K14192" s="199"/>
      <c r="M14192" s="199"/>
      <c r="N14192" s="200"/>
      <c r="P14192" s="199"/>
    </row>
    <row r="14193" spans="7:16" x14ac:dyDescent="0.2">
      <c r="G14193" s="199"/>
      <c r="I14193" s="199"/>
      <c r="K14193" s="199"/>
      <c r="M14193" s="199"/>
      <c r="N14193" s="200"/>
      <c r="P14193" s="199"/>
    </row>
    <row r="14194" spans="7:16" x14ac:dyDescent="0.2">
      <c r="G14194" s="199"/>
      <c r="I14194" s="199"/>
      <c r="K14194" s="199"/>
      <c r="M14194" s="199"/>
      <c r="N14194" s="200"/>
      <c r="P14194" s="199"/>
    </row>
    <row r="14195" spans="7:16" x14ac:dyDescent="0.2">
      <c r="G14195" s="199"/>
      <c r="I14195" s="199"/>
      <c r="K14195" s="199"/>
      <c r="M14195" s="199"/>
      <c r="N14195" s="200"/>
      <c r="P14195" s="199"/>
    </row>
    <row r="14196" spans="7:16" x14ac:dyDescent="0.2">
      <c r="G14196" s="199"/>
      <c r="I14196" s="199"/>
      <c r="K14196" s="199"/>
      <c r="M14196" s="199"/>
      <c r="N14196" s="200"/>
      <c r="P14196" s="199"/>
    </row>
    <row r="14197" spans="7:16" x14ac:dyDescent="0.2">
      <c r="G14197" s="199"/>
      <c r="I14197" s="199"/>
      <c r="K14197" s="199"/>
      <c r="M14197" s="199"/>
      <c r="N14197" s="200"/>
      <c r="P14197" s="199"/>
    </row>
    <row r="14198" spans="7:16" x14ac:dyDescent="0.2">
      <c r="G14198" s="199"/>
      <c r="I14198" s="199"/>
      <c r="K14198" s="199"/>
      <c r="M14198" s="199"/>
      <c r="N14198" s="200"/>
      <c r="P14198" s="199"/>
    </row>
    <row r="14199" spans="7:16" x14ac:dyDescent="0.2">
      <c r="G14199" s="199"/>
      <c r="I14199" s="199"/>
      <c r="K14199" s="199"/>
      <c r="M14199" s="199"/>
      <c r="N14199" s="200"/>
      <c r="P14199" s="199"/>
    </row>
    <row r="14200" spans="7:16" x14ac:dyDescent="0.2">
      <c r="G14200" s="199"/>
      <c r="I14200" s="199"/>
      <c r="K14200" s="199"/>
      <c r="M14200" s="199"/>
      <c r="N14200" s="200"/>
      <c r="P14200" s="199"/>
    </row>
    <row r="14201" spans="7:16" x14ac:dyDescent="0.2">
      <c r="G14201" s="199"/>
      <c r="I14201" s="199"/>
      <c r="K14201" s="199"/>
      <c r="M14201" s="199"/>
      <c r="N14201" s="200"/>
      <c r="P14201" s="199"/>
    </row>
    <row r="14202" spans="7:16" x14ac:dyDescent="0.2">
      <c r="G14202" s="199"/>
      <c r="I14202" s="199"/>
      <c r="K14202" s="199"/>
      <c r="M14202" s="199"/>
      <c r="N14202" s="200"/>
      <c r="P14202" s="199"/>
    </row>
    <row r="14203" spans="7:16" x14ac:dyDescent="0.2">
      <c r="G14203" s="199"/>
      <c r="I14203" s="199"/>
      <c r="K14203" s="199"/>
      <c r="M14203" s="199"/>
      <c r="N14203" s="200"/>
      <c r="P14203" s="199"/>
    </row>
    <row r="14204" spans="7:16" x14ac:dyDescent="0.2">
      <c r="G14204" s="199"/>
      <c r="I14204" s="199"/>
      <c r="K14204" s="199"/>
      <c r="M14204" s="199"/>
      <c r="N14204" s="200"/>
      <c r="P14204" s="199"/>
    </row>
    <row r="14205" spans="7:16" x14ac:dyDescent="0.2">
      <c r="G14205" s="199"/>
      <c r="I14205" s="199"/>
      <c r="K14205" s="199"/>
      <c r="M14205" s="199"/>
      <c r="N14205" s="200"/>
      <c r="P14205" s="199"/>
    </row>
    <row r="14206" spans="7:16" x14ac:dyDescent="0.2">
      <c r="G14206" s="199"/>
      <c r="I14206" s="199"/>
      <c r="K14206" s="199"/>
      <c r="M14206" s="199"/>
      <c r="N14206" s="200"/>
      <c r="P14206" s="199"/>
    </row>
    <row r="14207" spans="7:16" x14ac:dyDescent="0.2">
      <c r="G14207" s="199"/>
      <c r="I14207" s="199"/>
      <c r="K14207" s="199"/>
      <c r="M14207" s="199"/>
      <c r="N14207" s="200"/>
      <c r="P14207" s="199"/>
    </row>
    <row r="14208" spans="7:16" x14ac:dyDescent="0.2">
      <c r="G14208" s="199"/>
      <c r="I14208" s="199"/>
      <c r="K14208" s="199"/>
      <c r="M14208" s="199"/>
      <c r="N14208" s="200"/>
      <c r="P14208" s="199"/>
    </row>
    <row r="14209" spans="7:16" x14ac:dyDescent="0.2">
      <c r="G14209" s="199"/>
      <c r="I14209" s="199"/>
      <c r="K14209" s="199"/>
      <c r="M14209" s="199"/>
      <c r="N14209" s="200"/>
      <c r="P14209" s="199"/>
    </row>
    <row r="14210" spans="7:16" x14ac:dyDescent="0.2">
      <c r="G14210" s="199"/>
      <c r="I14210" s="199"/>
      <c r="K14210" s="199"/>
      <c r="M14210" s="199"/>
      <c r="N14210" s="200"/>
      <c r="P14210" s="199"/>
    </row>
    <row r="14211" spans="7:16" x14ac:dyDescent="0.2">
      <c r="G14211" s="199"/>
      <c r="I14211" s="199"/>
      <c r="K14211" s="199"/>
      <c r="M14211" s="199"/>
      <c r="N14211" s="200"/>
      <c r="P14211" s="199"/>
    </row>
    <row r="14212" spans="7:16" x14ac:dyDescent="0.2">
      <c r="G14212" s="199"/>
      <c r="I14212" s="199"/>
      <c r="K14212" s="199"/>
      <c r="M14212" s="199"/>
      <c r="N14212" s="200"/>
      <c r="P14212" s="199"/>
    </row>
    <row r="14213" spans="7:16" x14ac:dyDescent="0.2">
      <c r="G14213" s="199"/>
      <c r="I14213" s="199"/>
      <c r="K14213" s="199"/>
      <c r="M14213" s="199"/>
      <c r="N14213" s="200"/>
      <c r="P14213" s="199"/>
    </row>
    <row r="14214" spans="7:16" x14ac:dyDescent="0.2">
      <c r="G14214" s="199"/>
      <c r="I14214" s="199"/>
      <c r="K14214" s="199"/>
      <c r="M14214" s="199"/>
      <c r="N14214" s="200"/>
      <c r="P14214" s="199"/>
    </row>
    <row r="14215" spans="7:16" x14ac:dyDescent="0.2">
      <c r="G14215" s="199"/>
      <c r="I14215" s="199"/>
      <c r="K14215" s="199"/>
      <c r="M14215" s="199"/>
      <c r="N14215" s="200"/>
      <c r="P14215" s="199"/>
    </row>
    <row r="14216" spans="7:16" x14ac:dyDescent="0.2">
      <c r="G14216" s="199"/>
      <c r="I14216" s="199"/>
      <c r="K14216" s="199"/>
      <c r="M14216" s="199"/>
      <c r="N14216" s="200"/>
      <c r="P14216" s="199"/>
    </row>
    <row r="14217" spans="7:16" x14ac:dyDescent="0.2">
      <c r="G14217" s="199"/>
      <c r="I14217" s="199"/>
      <c r="K14217" s="199"/>
      <c r="M14217" s="199"/>
      <c r="N14217" s="200"/>
      <c r="P14217" s="199"/>
    </row>
    <row r="14218" spans="7:16" x14ac:dyDescent="0.2">
      <c r="G14218" s="199"/>
      <c r="I14218" s="199"/>
      <c r="K14218" s="199"/>
      <c r="M14218" s="199"/>
      <c r="N14218" s="200"/>
      <c r="P14218" s="199"/>
    </row>
    <row r="14219" spans="7:16" x14ac:dyDescent="0.2">
      <c r="G14219" s="199"/>
      <c r="I14219" s="199"/>
      <c r="K14219" s="199"/>
      <c r="M14219" s="199"/>
      <c r="N14219" s="200"/>
      <c r="P14219" s="199"/>
    </row>
    <row r="14220" spans="7:16" x14ac:dyDescent="0.2">
      <c r="G14220" s="199"/>
      <c r="I14220" s="199"/>
      <c r="K14220" s="199"/>
      <c r="M14220" s="199"/>
      <c r="N14220" s="200"/>
      <c r="P14220" s="199"/>
    </row>
    <row r="14221" spans="7:16" x14ac:dyDescent="0.2">
      <c r="G14221" s="199"/>
      <c r="I14221" s="199"/>
      <c r="K14221" s="199"/>
      <c r="M14221" s="199"/>
      <c r="N14221" s="200"/>
      <c r="P14221" s="199"/>
    </row>
    <row r="14222" spans="7:16" x14ac:dyDescent="0.2">
      <c r="G14222" s="199"/>
      <c r="I14222" s="199"/>
      <c r="K14222" s="199"/>
      <c r="M14222" s="199"/>
      <c r="N14222" s="200"/>
      <c r="P14222" s="199"/>
    </row>
    <row r="14223" spans="7:16" x14ac:dyDescent="0.2">
      <c r="G14223" s="199"/>
      <c r="I14223" s="199"/>
      <c r="K14223" s="199"/>
      <c r="M14223" s="199"/>
      <c r="N14223" s="200"/>
      <c r="P14223" s="199"/>
    </row>
    <row r="14224" spans="7:16" x14ac:dyDescent="0.2">
      <c r="G14224" s="199"/>
      <c r="I14224" s="199"/>
      <c r="K14224" s="199"/>
      <c r="M14224" s="199"/>
      <c r="N14224" s="200"/>
      <c r="P14224" s="199"/>
    </row>
    <row r="14225" spans="7:16" x14ac:dyDescent="0.2">
      <c r="G14225" s="199"/>
      <c r="I14225" s="199"/>
      <c r="K14225" s="199"/>
      <c r="M14225" s="199"/>
      <c r="N14225" s="200"/>
      <c r="P14225" s="199"/>
    </row>
    <row r="14226" spans="7:16" x14ac:dyDescent="0.2">
      <c r="G14226" s="199"/>
      <c r="I14226" s="199"/>
      <c r="K14226" s="199"/>
      <c r="M14226" s="199"/>
      <c r="N14226" s="200"/>
      <c r="P14226" s="199"/>
    </row>
    <row r="14227" spans="7:16" x14ac:dyDescent="0.2">
      <c r="G14227" s="199"/>
      <c r="I14227" s="199"/>
      <c r="K14227" s="199"/>
      <c r="M14227" s="199"/>
      <c r="N14227" s="200"/>
      <c r="P14227" s="199"/>
    </row>
    <row r="14228" spans="7:16" x14ac:dyDescent="0.2">
      <c r="G14228" s="199"/>
      <c r="I14228" s="199"/>
      <c r="K14228" s="199"/>
      <c r="M14228" s="199"/>
      <c r="N14228" s="200"/>
      <c r="P14228" s="199"/>
    </row>
    <row r="14229" spans="7:16" x14ac:dyDescent="0.2">
      <c r="G14229" s="199"/>
      <c r="I14229" s="199"/>
      <c r="K14229" s="199"/>
      <c r="M14229" s="199"/>
      <c r="N14229" s="200"/>
      <c r="P14229" s="199"/>
    </row>
    <row r="14230" spans="7:16" x14ac:dyDescent="0.2">
      <c r="G14230" s="199"/>
      <c r="I14230" s="199"/>
      <c r="K14230" s="199"/>
      <c r="M14230" s="199"/>
      <c r="N14230" s="200"/>
      <c r="P14230" s="199"/>
    </row>
    <row r="14231" spans="7:16" x14ac:dyDescent="0.2">
      <c r="G14231" s="199"/>
      <c r="I14231" s="199"/>
      <c r="K14231" s="199"/>
      <c r="M14231" s="199"/>
      <c r="N14231" s="200"/>
      <c r="P14231" s="199"/>
    </row>
    <row r="14232" spans="7:16" x14ac:dyDescent="0.2">
      <c r="G14232" s="199"/>
      <c r="I14232" s="199"/>
      <c r="K14232" s="199"/>
      <c r="M14232" s="199"/>
      <c r="N14232" s="200"/>
      <c r="P14232" s="199"/>
    </row>
    <row r="14233" spans="7:16" x14ac:dyDescent="0.2">
      <c r="G14233" s="199"/>
      <c r="I14233" s="199"/>
      <c r="K14233" s="199"/>
      <c r="M14233" s="199"/>
      <c r="N14233" s="200"/>
      <c r="P14233" s="199"/>
    </row>
    <row r="14234" spans="7:16" x14ac:dyDescent="0.2">
      <c r="G14234" s="199"/>
      <c r="I14234" s="199"/>
      <c r="K14234" s="199"/>
      <c r="M14234" s="199"/>
      <c r="N14234" s="200"/>
      <c r="P14234" s="199"/>
    </row>
    <row r="14235" spans="7:16" x14ac:dyDescent="0.2">
      <c r="G14235" s="199"/>
      <c r="I14235" s="199"/>
      <c r="K14235" s="199"/>
      <c r="M14235" s="199"/>
      <c r="N14235" s="200"/>
      <c r="P14235" s="199"/>
    </row>
    <row r="14236" spans="7:16" x14ac:dyDescent="0.2">
      <c r="G14236" s="199"/>
      <c r="I14236" s="199"/>
      <c r="K14236" s="199"/>
      <c r="M14236" s="199"/>
      <c r="N14236" s="200"/>
      <c r="P14236" s="199"/>
    </row>
    <row r="14237" spans="7:16" x14ac:dyDescent="0.2">
      <c r="G14237" s="199"/>
      <c r="I14237" s="199"/>
      <c r="K14237" s="199"/>
      <c r="M14237" s="199"/>
      <c r="N14237" s="200"/>
      <c r="P14237" s="199"/>
    </row>
    <row r="14238" spans="7:16" x14ac:dyDescent="0.2">
      <c r="G14238" s="199"/>
      <c r="I14238" s="199"/>
      <c r="K14238" s="199"/>
      <c r="M14238" s="199"/>
      <c r="N14238" s="200"/>
      <c r="P14238" s="199"/>
    </row>
    <row r="14239" spans="7:16" x14ac:dyDescent="0.2">
      <c r="G14239" s="199"/>
      <c r="I14239" s="199"/>
      <c r="K14239" s="199"/>
      <c r="M14239" s="199"/>
      <c r="N14239" s="200"/>
      <c r="P14239" s="199"/>
    </row>
    <row r="14240" spans="7:16" x14ac:dyDescent="0.2">
      <c r="G14240" s="199"/>
      <c r="I14240" s="199"/>
      <c r="K14240" s="199"/>
      <c r="M14240" s="199"/>
      <c r="N14240" s="200"/>
      <c r="P14240" s="199"/>
    </row>
    <row r="14241" spans="7:16" x14ac:dyDescent="0.2">
      <c r="G14241" s="199"/>
      <c r="I14241" s="199"/>
      <c r="K14241" s="199"/>
      <c r="M14241" s="199"/>
      <c r="N14241" s="200"/>
      <c r="P14241" s="199"/>
    </row>
    <row r="14242" spans="7:16" x14ac:dyDescent="0.2">
      <c r="G14242" s="199"/>
      <c r="I14242" s="199"/>
      <c r="K14242" s="199"/>
      <c r="M14242" s="199"/>
      <c r="N14242" s="200"/>
      <c r="P14242" s="199"/>
    </row>
    <row r="14243" spans="7:16" x14ac:dyDescent="0.2">
      <c r="G14243" s="199"/>
      <c r="I14243" s="199"/>
      <c r="K14243" s="199"/>
      <c r="M14243" s="199"/>
      <c r="N14243" s="200"/>
      <c r="P14243" s="199"/>
    </row>
    <row r="14244" spans="7:16" x14ac:dyDescent="0.2">
      <c r="G14244" s="199"/>
      <c r="I14244" s="199"/>
      <c r="K14244" s="199"/>
      <c r="M14244" s="199"/>
      <c r="N14244" s="200"/>
      <c r="P14244" s="199"/>
    </row>
    <row r="14245" spans="7:16" x14ac:dyDescent="0.2">
      <c r="G14245" s="199"/>
      <c r="I14245" s="199"/>
      <c r="K14245" s="199"/>
      <c r="M14245" s="199"/>
      <c r="N14245" s="200"/>
      <c r="P14245" s="199"/>
    </row>
    <row r="14246" spans="7:16" x14ac:dyDescent="0.2">
      <c r="G14246" s="199"/>
      <c r="I14246" s="199"/>
      <c r="K14246" s="199"/>
      <c r="M14246" s="199"/>
      <c r="N14246" s="200"/>
      <c r="P14246" s="199"/>
    </row>
    <row r="14247" spans="7:16" x14ac:dyDescent="0.2">
      <c r="G14247" s="199"/>
      <c r="I14247" s="199"/>
      <c r="K14247" s="199"/>
      <c r="M14247" s="199"/>
      <c r="N14247" s="200"/>
      <c r="P14247" s="199"/>
    </row>
    <row r="14248" spans="7:16" x14ac:dyDescent="0.2">
      <c r="G14248" s="199"/>
      <c r="I14248" s="199"/>
      <c r="K14248" s="199"/>
      <c r="M14248" s="199"/>
      <c r="N14248" s="200"/>
      <c r="P14248" s="199"/>
    </row>
    <row r="14249" spans="7:16" x14ac:dyDescent="0.2">
      <c r="G14249" s="199"/>
      <c r="I14249" s="199"/>
      <c r="K14249" s="199"/>
      <c r="M14249" s="199"/>
      <c r="N14249" s="200"/>
      <c r="P14249" s="199"/>
    </row>
    <row r="14250" spans="7:16" x14ac:dyDescent="0.2">
      <c r="G14250" s="199"/>
      <c r="I14250" s="199"/>
      <c r="K14250" s="199"/>
      <c r="M14250" s="199"/>
      <c r="N14250" s="200"/>
      <c r="P14250" s="199"/>
    </row>
    <row r="14251" spans="7:16" x14ac:dyDescent="0.2">
      <c r="G14251" s="199"/>
      <c r="I14251" s="199"/>
      <c r="K14251" s="199"/>
      <c r="M14251" s="199"/>
      <c r="N14251" s="200"/>
      <c r="P14251" s="199"/>
    </row>
    <row r="14252" spans="7:16" x14ac:dyDescent="0.2">
      <c r="G14252" s="199"/>
      <c r="I14252" s="199"/>
      <c r="K14252" s="199"/>
      <c r="M14252" s="199"/>
      <c r="N14252" s="200"/>
      <c r="P14252" s="199"/>
    </row>
    <row r="14253" spans="7:16" x14ac:dyDescent="0.2">
      <c r="G14253" s="199"/>
      <c r="I14253" s="199"/>
      <c r="K14253" s="199"/>
      <c r="M14253" s="199"/>
      <c r="N14253" s="200"/>
      <c r="P14253" s="199"/>
    </row>
    <row r="14254" spans="7:16" x14ac:dyDescent="0.2">
      <c r="G14254" s="199"/>
      <c r="I14254" s="199"/>
      <c r="K14254" s="199"/>
      <c r="M14254" s="199"/>
      <c r="N14254" s="200"/>
      <c r="P14254" s="199"/>
    </row>
    <row r="14255" spans="7:16" x14ac:dyDescent="0.2">
      <c r="G14255" s="199"/>
      <c r="I14255" s="199"/>
      <c r="K14255" s="199"/>
      <c r="M14255" s="199"/>
      <c r="N14255" s="200"/>
      <c r="P14255" s="199"/>
    </row>
    <row r="14256" spans="7:16" x14ac:dyDescent="0.2">
      <c r="G14256" s="199"/>
      <c r="I14256" s="199"/>
      <c r="K14256" s="199"/>
      <c r="M14256" s="199"/>
      <c r="N14256" s="200"/>
      <c r="P14256" s="199"/>
    </row>
    <row r="14257" spans="7:16" x14ac:dyDescent="0.2">
      <c r="G14257" s="199"/>
      <c r="I14257" s="199"/>
      <c r="K14257" s="199"/>
      <c r="M14257" s="199"/>
      <c r="N14257" s="200"/>
      <c r="P14257" s="199"/>
    </row>
    <row r="14258" spans="7:16" x14ac:dyDescent="0.2">
      <c r="G14258" s="199"/>
      <c r="I14258" s="199"/>
      <c r="K14258" s="199"/>
      <c r="M14258" s="199"/>
      <c r="N14258" s="200"/>
      <c r="P14258" s="199"/>
    </row>
    <row r="14259" spans="7:16" x14ac:dyDescent="0.2">
      <c r="G14259" s="199"/>
      <c r="I14259" s="199"/>
      <c r="K14259" s="199"/>
      <c r="M14259" s="199"/>
      <c r="N14259" s="200"/>
      <c r="P14259" s="199"/>
    </row>
    <row r="14260" spans="7:16" x14ac:dyDescent="0.2">
      <c r="G14260" s="199"/>
      <c r="I14260" s="199"/>
      <c r="K14260" s="199"/>
      <c r="M14260" s="199"/>
      <c r="N14260" s="200"/>
      <c r="P14260" s="199"/>
    </row>
    <row r="14261" spans="7:16" x14ac:dyDescent="0.2">
      <c r="G14261" s="199"/>
      <c r="I14261" s="199"/>
      <c r="K14261" s="199"/>
      <c r="M14261" s="199"/>
      <c r="N14261" s="200"/>
      <c r="P14261" s="199"/>
    </row>
    <row r="14262" spans="7:16" x14ac:dyDescent="0.2">
      <c r="G14262" s="199"/>
      <c r="I14262" s="199"/>
      <c r="K14262" s="199"/>
      <c r="M14262" s="199"/>
      <c r="N14262" s="200"/>
      <c r="P14262" s="199"/>
    </row>
    <row r="14263" spans="7:16" x14ac:dyDescent="0.2">
      <c r="G14263" s="199"/>
      <c r="I14263" s="199"/>
      <c r="K14263" s="199"/>
      <c r="M14263" s="199"/>
      <c r="N14263" s="200"/>
      <c r="P14263" s="199"/>
    </row>
    <row r="14264" spans="7:16" x14ac:dyDescent="0.2">
      <c r="G14264" s="199"/>
      <c r="I14264" s="199"/>
      <c r="K14264" s="199"/>
      <c r="M14264" s="199"/>
      <c r="N14264" s="200"/>
      <c r="P14264" s="199"/>
    </row>
    <row r="14265" spans="7:16" x14ac:dyDescent="0.2">
      <c r="G14265" s="199"/>
      <c r="I14265" s="199"/>
      <c r="K14265" s="199"/>
      <c r="M14265" s="199"/>
      <c r="N14265" s="200"/>
      <c r="P14265" s="199"/>
    </row>
    <row r="14266" spans="7:16" x14ac:dyDescent="0.2">
      <c r="G14266" s="199"/>
      <c r="I14266" s="199"/>
      <c r="K14266" s="199"/>
      <c r="M14266" s="199"/>
      <c r="N14266" s="200"/>
      <c r="P14266" s="199"/>
    </row>
    <row r="14267" spans="7:16" x14ac:dyDescent="0.2">
      <c r="G14267" s="199"/>
      <c r="I14267" s="199"/>
      <c r="K14267" s="199"/>
      <c r="M14267" s="199"/>
      <c r="N14267" s="200"/>
      <c r="P14267" s="199"/>
    </row>
    <row r="14268" spans="7:16" x14ac:dyDescent="0.2">
      <c r="G14268" s="199"/>
      <c r="I14268" s="199"/>
      <c r="K14268" s="199"/>
      <c r="M14268" s="199"/>
      <c r="N14268" s="200"/>
      <c r="P14268" s="199"/>
    </row>
    <row r="14269" spans="7:16" x14ac:dyDescent="0.2">
      <c r="G14269" s="199"/>
      <c r="I14269" s="199"/>
      <c r="K14269" s="199"/>
      <c r="M14269" s="199"/>
      <c r="N14269" s="200"/>
      <c r="P14269" s="199"/>
    </row>
    <row r="14270" spans="7:16" x14ac:dyDescent="0.2">
      <c r="G14270" s="199"/>
      <c r="I14270" s="199"/>
      <c r="K14270" s="199"/>
      <c r="M14270" s="199"/>
      <c r="N14270" s="200"/>
      <c r="P14270" s="199"/>
    </row>
    <row r="14271" spans="7:16" x14ac:dyDescent="0.2">
      <c r="G14271" s="199"/>
      <c r="I14271" s="199"/>
      <c r="K14271" s="199"/>
      <c r="M14271" s="199"/>
      <c r="N14271" s="200"/>
      <c r="P14271" s="199"/>
    </row>
    <row r="14272" spans="7:16" x14ac:dyDescent="0.2">
      <c r="G14272" s="199"/>
      <c r="I14272" s="199"/>
      <c r="K14272" s="199"/>
      <c r="M14272" s="199"/>
      <c r="N14272" s="200"/>
      <c r="P14272" s="199"/>
    </row>
    <row r="14273" spans="7:16" x14ac:dyDescent="0.2">
      <c r="G14273" s="199"/>
      <c r="I14273" s="199"/>
      <c r="K14273" s="199"/>
      <c r="M14273" s="199"/>
      <c r="N14273" s="200"/>
      <c r="P14273" s="199"/>
    </row>
    <row r="14274" spans="7:16" x14ac:dyDescent="0.2">
      <c r="G14274" s="199"/>
      <c r="I14274" s="199"/>
      <c r="K14274" s="199"/>
      <c r="M14274" s="199"/>
      <c r="N14274" s="200"/>
      <c r="P14274" s="199"/>
    </row>
    <row r="14275" spans="7:16" x14ac:dyDescent="0.2">
      <c r="G14275" s="199"/>
      <c r="I14275" s="199"/>
      <c r="K14275" s="199"/>
      <c r="M14275" s="199"/>
      <c r="N14275" s="200"/>
      <c r="P14275" s="199"/>
    </row>
    <row r="14276" spans="7:16" x14ac:dyDescent="0.2">
      <c r="G14276" s="199"/>
      <c r="I14276" s="199"/>
      <c r="K14276" s="199"/>
      <c r="M14276" s="199"/>
      <c r="N14276" s="200"/>
      <c r="P14276" s="199"/>
    </row>
    <row r="14277" spans="7:16" x14ac:dyDescent="0.2">
      <c r="G14277" s="199"/>
      <c r="I14277" s="199"/>
      <c r="K14277" s="199"/>
      <c r="M14277" s="199"/>
      <c r="N14277" s="200"/>
      <c r="P14277" s="199"/>
    </row>
    <row r="14278" spans="7:16" x14ac:dyDescent="0.2">
      <c r="G14278" s="199"/>
      <c r="I14278" s="199"/>
      <c r="K14278" s="199"/>
      <c r="M14278" s="199"/>
      <c r="N14278" s="200"/>
      <c r="P14278" s="199"/>
    </row>
    <row r="14279" spans="7:16" x14ac:dyDescent="0.2">
      <c r="G14279" s="199"/>
      <c r="I14279" s="199"/>
      <c r="K14279" s="199"/>
      <c r="M14279" s="199"/>
      <c r="N14279" s="200"/>
      <c r="P14279" s="199"/>
    </row>
    <row r="14280" spans="7:16" x14ac:dyDescent="0.2">
      <c r="G14280" s="199"/>
      <c r="I14280" s="199"/>
      <c r="K14280" s="199"/>
      <c r="M14280" s="199"/>
      <c r="N14280" s="200"/>
      <c r="P14280" s="199"/>
    </row>
    <row r="14281" spans="7:16" x14ac:dyDescent="0.2">
      <c r="G14281" s="199"/>
      <c r="I14281" s="199"/>
      <c r="K14281" s="199"/>
      <c r="M14281" s="199"/>
      <c r="N14281" s="200"/>
      <c r="P14281" s="199"/>
    </row>
    <row r="14282" spans="7:16" x14ac:dyDescent="0.2">
      <c r="G14282" s="199"/>
      <c r="I14282" s="199"/>
      <c r="K14282" s="199"/>
      <c r="M14282" s="199"/>
      <c r="N14282" s="200"/>
      <c r="P14282" s="199"/>
    </row>
    <row r="14283" spans="7:16" x14ac:dyDescent="0.2">
      <c r="G14283" s="199"/>
      <c r="I14283" s="199"/>
      <c r="K14283" s="199"/>
      <c r="M14283" s="199"/>
      <c r="N14283" s="200"/>
      <c r="P14283" s="199"/>
    </row>
    <row r="14284" spans="7:16" x14ac:dyDescent="0.2">
      <c r="G14284" s="199"/>
      <c r="I14284" s="199"/>
      <c r="K14284" s="199"/>
      <c r="M14284" s="199"/>
      <c r="N14284" s="200"/>
      <c r="P14284" s="199"/>
    </row>
    <row r="14285" spans="7:16" x14ac:dyDescent="0.2">
      <c r="G14285" s="199"/>
      <c r="I14285" s="199"/>
      <c r="K14285" s="199"/>
      <c r="M14285" s="199"/>
      <c r="N14285" s="200"/>
      <c r="P14285" s="199"/>
    </row>
    <row r="14286" spans="7:16" x14ac:dyDescent="0.2">
      <c r="G14286" s="199"/>
      <c r="I14286" s="199"/>
      <c r="K14286" s="199"/>
      <c r="M14286" s="199"/>
      <c r="N14286" s="200"/>
      <c r="P14286" s="199"/>
    </row>
    <row r="14287" spans="7:16" x14ac:dyDescent="0.2">
      <c r="G14287" s="199"/>
      <c r="I14287" s="199"/>
      <c r="K14287" s="199"/>
      <c r="M14287" s="199"/>
      <c r="N14287" s="200"/>
      <c r="P14287" s="199"/>
    </row>
    <row r="14288" spans="7:16" x14ac:dyDescent="0.2">
      <c r="G14288" s="199"/>
      <c r="I14288" s="199"/>
      <c r="K14288" s="199"/>
      <c r="M14288" s="199"/>
      <c r="N14288" s="200"/>
      <c r="P14288" s="199"/>
    </row>
    <row r="14289" spans="7:16" x14ac:dyDescent="0.2">
      <c r="G14289" s="199"/>
      <c r="I14289" s="199"/>
      <c r="K14289" s="199"/>
      <c r="M14289" s="199"/>
      <c r="N14289" s="200"/>
      <c r="P14289" s="199"/>
    </row>
    <row r="14290" spans="7:16" x14ac:dyDescent="0.2">
      <c r="G14290" s="199"/>
      <c r="I14290" s="199"/>
      <c r="K14290" s="199"/>
      <c r="M14290" s="199"/>
      <c r="N14290" s="200"/>
      <c r="P14290" s="199"/>
    </row>
    <row r="14291" spans="7:16" x14ac:dyDescent="0.2">
      <c r="G14291" s="199"/>
      <c r="I14291" s="199"/>
      <c r="K14291" s="199"/>
      <c r="M14291" s="199"/>
      <c r="N14291" s="200"/>
      <c r="P14291" s="199"/>
    </row>
    <row r="14292" spans="7:16" x14ac:dyDescent="0.2">
      <c r="G14292" s="199"/>
      <c r="I14292" s="199"/>
      <c r="K14292" s="199"/>
      <c r="M14292" s="199"/>
      <c r="N14292" s="200"/>
      <c r="P14292" s="199"/>
    </row>
    <row r="14293" spans="7:16" x14ac:dyDescent="0.2">
      <c r="G14293" s="199"/>
      <c r="I14293" s="199"/>
      <c r="K14293" s="199"/>
      <c r="M14293" s="199"/>
      <c r="N14293" s="200"/>
      <c r="P14293" s="199"/>
    </row>
    <row r="14294" spans="7:16" x14ac:dyDescent="0.2">
      <c r="G14294" s="199"/>
      <c r="I14294" s="199"/>
      <c r="K14294" s="199"/>
      <c r="M14294" s="199"/>
      <c r="N14294" s="200"/>
      <c r="P14294" s="199"/>
    </row>
    <row r="14295" spans="7:16" x14ac:dyDescent="0.2">
      <c r="G14295" s="199"/>
      <c r="I14295" s="199"/>
      <c r="K14295" s="199"/>
      <c r="M14295" s="199"/>
      <c r="N14295" s="200"/>
      <c r="P14295" s="199"/>
    </row>
    <row r="14296" spans="7:16" x14ac:dyDescent="0.2">
      <c r="G14296" s="199"/>
      <c r="I14296" s="199"/>
      <c r="K14296" s="199"/>
      <c r="M14296" s="199"/>
      <c r="N14296" s="200"/>
      <c r="P14296" s="199"/>
    </row>
    <row r="14297" spans="7:16" x14ac:dyDescent="0.2">
      <c r="G14297" s="199"/>
      <c r="I14297" s="199"/>
      <c r="K14297" s="199"/>
      <c r="M14297" s="199"/>
      <c r="N14297" s="200"/>
      <c r="P14297" s="199"/>
    </row>
    <row r="14298" spans="7:16" x14ac:dyDescent="0.2">
      <c r="G14298" s="199"/>
      <c r="I14298" s="199"/>
      <c r="K14298" s="199"/>
      <c r="M14298" s="199"/>
      <c r="N14298" s="200"/>
      <c r="P14298" s="199"/>
    </row>
    <row r="14299" spans="7:16" x14ac:dyDescent="0.2">
      <c r="G14299" s="199"/>
      <c r="I14299" s="199"/>
      <c r="K14299" s="199"/>
      <c r="M14299" s="199"/>
      <c r="N14299" s="200"/>
      <c r="P14299" s="199"/>
    </row>
    <row r="14300" spans="7:16" x14ac:dyDescent="0.2">
      <c r="G14300" s="199"/>
      <c r="I14300" s="199"/>
      <c r="K14300" s="199"/>
      <c r="M14300" s="199"/>
      <c r="N14300" s="200"/>
      <c r="P14300" s="199"/>
    </row>
    <row r="14301" spans="7:16" x14ac:dyDescent="0.2">
      <c r="G14301" s="199"/>
      <c r="I14301" s="199"/>
      <c r="K14301" s="199"/>
      <c r="M14301" s="199"/>
      <c r="N14301" s="200"/>
      <c r="P14301" s="199"/>
    </row>
    <row r="14302" spans="7:16" x14ac:dyDescent="0.2">
      <c r="G14302" s="199"/>
      <c r="I14302" s="199"/>
      <c r="K14302" s="199"/>
      <c r="M14302" s="199"/>
      <c r="N14302" s="200"/>
      <c r="P14302" s="199"/>
    </row>
    <row r="14303" spans="7:16" x14ac:dyDescent="0.2">
      <c r="G14303" s="199"/>
      <c r="I14303" s="199"/>
      <c r="K14303" s="199"/>
      <c r="M14303" s="199"/>
      <c r="N14303" s="200"/>
      <c r="P14303" s="199"/>
    </row>
    <row r="14304" spans="7:16" x14ac:dyDescent="0.2">
      <c r="G14304" s="199"/>
      <c r="I14304" s="199"/>
      <c r="K14304" s="199"/>
      <c r="M14304" s="199"/>
      <c r="N14304" s="200"/>
      <c r="P14304" s="199"/>
    </row>
    <row r="14305" spans="7:16" x14ac:dyDescent="0.2">
      <c r="G14305" s="199"/>
      <c r="I14305" s="199"/>
      <c r="K14305" s="199"/>
      <c r="M14305" s="199"/>
      <c r="N14305" s="200"/>
      <c r="P14305" s="199"/>
    </row>
    <row r="14306" spans="7:16" x14ac:dyDescent="0.2">
      <c r="G14306" s="199"/>
      <c r="I14306" s="199"/>
      <c r="K14306" s="199"/>
      <c r="M14306" s="199"/>
      <c r="N14306" s="200"/>
      <c r="P14306" s="199"/>
    </row>
    <row r="14307" spans="7:16" x14ac:dyDescent="0.2">
      <c r="G14307" s="199"/>
      <c r="I14307" s="199"/>
      <c r="K14307" s="199"/>
      <c r="M14307" s="199"/>
      <c r="N14307" s="200"/>
      <c r="P14307" s="199"/>
    </row>
    <row r="14308" spans="7:16" x14ac:dyDescent="0.2">
      <c r="G14308" s="199"/>
      <c r="I14308" s="199"/>
      <c r="K14308" s="199"/>
      <c r="M14308" s="199"/>
      <c r="N14308" s="200"/>
      <c r="P14308" s="199"/>
    </row>
    <row r="14309" spans="7:16" x14ac:dyDescent="0.2">
      <c r="G14309" s="199"/>
      <c r="I14309" s="199"/>
      <c r="K14309" s="199"/>
      <c r="M14309" s="199"/>
      <c r="N14309" s="200"/>
      <c r="P14309" s="199"/>
    </row>
    <row r="14310" spans="7:16" x14ac:dyDescent="0.2">
      <c r="G14310" s="199"/>
      <c r="I14310" s="199"/>
      <c r="K14310" s="199"/>
      <c r="M14310" s="199"/>
      <c r="N14310" s="200"/>
      <c r="P14310" s="199"/>
    </row>
    <row r="14311" spans="7:16" x14ac:dyDescent="0.2">
      <c r="G14311" s="199"/>
      <c r="I14311" s="199"/>
      <c r="K14311" s="199"/>
      <c r="M14311" s="199"/>
      <c r="N14311" s="200"/>
      <c r="P14311" s="199"/>
    </row>
    <row r="14312" spans="7:16" x14ac:dyDescent="0.2">
      <c r="G14312" s="199"/>
      <c r="I14312" s="199"/>
      <c r="K14312" s="199"/>
      <c r="M14312" s="199"/>
      <c r="N14312" s="200"/>
      <c r="P14312" s="199"/>
    </row>
    <row r="14313" spans="7:16" x14ac:dyDescent="0.2">
      <c r="G14313" s="199"/>
      <c r="I14313" s="199"/>
      <c r="K14313" s="199"/>
      <c r="M14313" s="199"/>
      <c r="N14313" s="200"/>
      <c r="P14313" s="199"/>
    </row>
    <row r="14314" spans="7:16" x14ac:dyDescent="0.2">
      <c r="G14314" s="199"/>
      <c r="I14314" s="199"/>
      <c r="K14314" s="199"/>
      <c r="M14314" s="199"/>
      <c r="N14314" s="200"/>
      <c r="P14314" s="199"/>
    </row>
    <row r="14315" spans="7:16" x14ac:dyDescent="0.2">
      <c r="G14315" s="199"/>
      <c r="I14315" s="199"/>
      <c r="K14315" s="199"/>
      <c r="M14315" s="199"/>
      <c r="N14315" s="200"/>
      <c r="P14315" s="199"/>
    </row>
    <row r="14316" spans="7:16" x14ac:dyDescent="0.2">
      <c r="G14316" s="199"/>
      <c r="I14316" s="199"/>
      <c r="K14316" s="199"/>
      <c r="M14316" s="199"/>
      <c r="N14316" s="200"/>
      <c r="P14316" s="199"/>
    </row>
    <row r="14317" spans="7:16" x14ac:dyDescent="0.2">
      <c r="G14317" s="199"/>
      <c r="I14317" s="199"/>
      <c r="K14317" s="199"/>
      <c r="M14317" s="199"/>
      <c r="N14317" s="200"/>
      <c r="P14317" s="199"/>
    </row>
    <row r="14318" spans="7:16" x14ac:dyDescent="0.2">
      <c r="G14318" s="199"/>
      <c r="I14318" s="199"/>
      <c r="K14318" s="199"/>
      <c r="M14318" s="199"/>
      <c r="N14318" s="200"/>
      <c r="P14318" s="199"/>
    </row>
    <row r="14319" spans="7:16" x14ac:dyDescent="0.2">
      <c r="G14319" s="199"/>
      <c r="I14319" s="199"/>
      <c r="K14319" s="199"/>
      <c r="M14319" s="199"/>
      <c r="N14319" s="200"/>
      <c r="P14319" s="199"/>
    </row>
    <row r="14320" spans="7:16" x14ac:dyDescent="0.2">
      <c r="G14320" s="199"/>
      <c r="I14320" s="199"/>
      <c r="K14320" s="199"/>
      <c r="M14320" s="199"/>
      <c r="N14320" s="200"/>
      <c r="P14320" s="199"/>
    </row>
    <row r="14321" spans="7:16" x14ac:dyDescent="0.2">
      <c r="G14321" s="199"/>
      <c r="I14321" s="199"/>
      <c r="K14321" s="199"/>
      <c r="M14321" s="199"/>
      <c r="N14321" s="200"/>
      <c r="P14321" s="199"/>
    </row>
    <row r="14322" spans="7:16" x14ac:dyDescent="0.2">
      <c r="G14322" s="199"/>
      <c r="I14322" s="199"/>
      <c r="K14322" s="199"/>
      <c r="M14322" s="199"/>
      <c r="N14322" s="200"/>
      <c r="P14322" s="199"/>
    </row>
    <row r="14323" spans="7:16" x14ac:dyDescent="0.2">
      <c r="G14323" s="199"/>
      <c r="I14323" s="199"/>
      <c r="K14323" s="199"/>
      <c r="M14323" s="199"/>
      <c r="N14323" s="200"/>
      <c r="P14323" s="199"/>
    </row>
    <row r="14324" spans="7:16" x14ac:dyDescent="0.2">
      <c r="G14324" s="199"/>
      <c r="I14324" s="199"/>
      <c r="K14324" s="199"/>
      <c r="M14324" s="199"/>
      <c r="N14324" s="200"/>
      <c r="P14324" s="199"/>
    </row>
    <row r="14325" spans="7:16" x14ac:dyDescent="0.2">
      <c r="G14325" s="199"/>
      <c r="I14325" s="199"/>
      <c r="K14325" s="199"/>
      <c r="M14325" s="199"/>
      <c r="N14325" s="200"/>
      <c r="P14325" s="199"/>
    </row>
    <row r="14326" spans="7:16" x14ac:dyDescent="0.2">
      <c r="G14326" s="199"/>
      <c r="I14326" s="199"/>
      <c r="K14326" s="199"/>
      <c r="M14326" s="199"/>
      <c r="N14326" s="200"/>
      <c r="P14326" s="199"/>
    </row>
    <row r="14327" spans="7:16" x14ac:dyDescent="0.2">
      <c r="G14327" s="199"/>
      <c r="I14327" s="199"/>
      <c r="K14327" s="199"/>
      <c r="M14327" s="199"/>
      <c r="N14327" s="200"/>
      <c r="P14327" s="199"/>
    </row>
    <row r="14328" spans="7:16" x14ac:dyDescent="0.2">
      <c r="G14328" s="199"/>
      <c r="I14328" s="199"/>
      <c r="K14328" s="199"/>
      <c r="M14328" s="199"/>
      <c r="N14328" s="200"/>
      <c r="P14328" s="199"/>
    </row>
    <row r="14329" spans="7:16" x14ac:dyDescent="0.2">
      <c r="G14329" s="199"/>
      <c r="I14329" s="199"/>
      <c r="K14329" s="199"/>
      <c r="M14329" s="199"/>
      <c r="N14329" s="200"/>
      <c r="P14329" s="199"/>
    </row>
    <row r="14330" spans="7:16" x14ac:dyDescent="0.2">
      <c r="G14330" s="199"/>
      <c r="I14330" s="199"/>
      <c r="K14330" s="199"/>
      <c r="M14330" s="199"/>
      <c r="N14330" s="200"/>
      <c r="P14330" s="199"/>
    </row>
    <row r="14331" spans="7:16" x14ac:dyDescent="0.2">
      <c r="G14331" s="199"/>
      <c r="I14331" s="199"/>
      <c r="K14331" s="199"/>
      <c r="M14331" s="199"/>
      <c r="N14331" s="200"/>
      <c r="P14331" s="199"/>
    </row>
    <row r="14332" spans="7:16" x14ac:dyDescent="0.2">
      <c r="G14332" s="199"/>
      <c r="I14332" s="199"/>
      <c r="K14332" s="199"/>
      <c r="M14332" s="199"/>
      <c r="N14332" s="200"/>
      <c r="P14332" s="199"/>
    </row>
    <row r="14333" spans="7:16" x14ac:dyDescent="0.2">
      <c r="G14333" s="199"/>
      <c r="I14333" s="199"/>
      <c r="K14333" s="199"/>
      <c r="M14333" s="199"/>
      <c r="N14333" s="200"/>
      <c r="P14333" s="199"/>
    </row>
    <row r="14334" spans="7:16" x14ac:dyDescent="0.2">
      <c r="G14334" s="199"/>
      <c r="I14334" s="199"/>
      <c r="K14334" s="199"/>
      <c r="M14334" s="199"/>
      <c r="N14334" s="200"/>
      <c r="P14334" s="199"/>
    </row>
    <row r="14335" spans="7:16" x14ac:dyDescent="0.2">
      <c r="G14335" s="199"/>
      <c r="I14335" s="199"/>
      <c r="K14335" s="199"/>
      <c r="M14335" s="199"/>
      <c r="N14335" s="200"/>
      <c r="P14335" s="199"/>
    </row>
    <row r="14336" spans="7:16" x14ac:dyDescent="0.2">
      <c r="G14336" s="199"/>
      <c r="I14336" s="199"/>
      <c r="K14336" s="199"/>
      <c r="M14336" s="199"/>
      <c r="N14336" s="200"/>
      <c r="P14336" s="199"/>
    </row>
    <row r="14337" spans="7:16" x14ac:dyDescent="0.2">
      <c r="G14337" s="199"/>
      <c r="I14337" s="199"/>
      <c r="K14337" s="199"/>
      <c r="M14337" s="199"/>
      <c r="N14337" s="200"/>
      <c r="P14337" s="199"/>
    </row>
    <row r="14338" spans="7:16" x14ac:dyDescent="0.2">
      <c r="G14338" s="199"/>
      <c r="I14338" s="199"/>
      <c r="K14338" s="199"/>
      <c r="M14338" s="199"/>
      <c r="N14338" s="200"/>
      <c r="P14338" s="199"/>
    </row>
    <row r="14339" spans="7:16" x14ac:dyDescent="0.2">
      <c r="G14339" s="199"/>
      <c r="I14339" s="199"/>
      <c r="K14339" s="199"/>
      <c r="M14339" s="199"/>
      <c r="N14339" s="200"/>
      <c r="P14339" s="199"/>
    </row>
    <row r="14340" spans="7:16" x14ac:dyDescent="0.2">
      <c r="G14340" s="199"/>
      <c r="I14340" s="199"/>
      <c r="K14340" s="199"/>
      <c r="M14340" s="199"/>
      <c r="N14340" s="200"/>
      <c r="P14340" s="199"/>
    </row>
    <row r="14341" spans="7:16" x14ac:dyDescent="0.2">
      <c r="G14341" s="199"/>
      <c r="I14341" s="199"/>
      <c r="K14341" s="199"/>
      <c r="M14341" s="199"/>
      <c r="N14341" s="200"/>
      <c r="P14341" s="199"/>
    </row>
    <row r="14342" spans="7:16" x14ac:dyDescent="0.2">
      <c r="G14342" s="199"/>
      <c r="I14342" s="199"/>
      <c r="K14342" s="199"/>
      <c r="M14342" s="199"/>
      <c r="N14342" s="200"/>
      <c r="P14342" s="199"/>
    </row>
    <row r="14343" spans="7:16" x14ac:dyDescent="0.2">
      <c r="G14343" s="199"/>
      <c r="I14343" s="199"/>
      <c r="K14343" s="199"/>
      <c r="M14343" s="199"/>
      <c r="N14343" s="200"/>
      <c r="P14343" s="199"/>
    </row>
    <row r="14344" spans="7:16" x14ac:dyDescent="0.2">
      <c r="G14344" s="199"/>
      <c r="I14344" s="199"/>
      <c r="K14344" s="199"/>
      <c r="M14344" s="199"/>
      <c r="N14344" s="200"/>
      <c r="P14344" s="199"/>
    </row>
    <row r="14345" spans="7:16" x14ac:dyDescent="0.2">
      <c r="G14345" s="199"/>
      <c r="I14345" s="199"/>
      <c r="K14345" s="199"/>
      <c r="M14345" s="199"/>
      <c r="N14345" s="200"/>
      <c r="P14345" s="199"/>
    </row>
    <row r="14346" spans="7:16" x14ac:dyDescent="0.2">
      <c r="G14346" s="199"/>
      <c r="I14346" s="199"/>
      <c r="K14346" s="199"/>
      <c r="M14346" s="199"/>
      <c r="N14346" s="200"/>
      <c r="P14346" s="199"/>
    </row>
    <row r="14347" spans="7:16" x14ac:dyDescent="0.2">
      <c r="G14347" s="199"/>
      <c r="I14347" s="199"/>
      <c r="K14347" s="199"/>
      <c r="M14347" s="199"/>
      <c r="N14347" s="200"/>
      <c r="P14347" s="199"/>
    </row>
    <row r="14348" spans="7:16" x14ac:dyDescent="0.2">
      <c r="G14348" s="199"/>
      <c r="I14348" s="199"/>
      <c r="K14348" s="199"/>
      <c r="M14348" s="199"/>
      <c r="N14348" s="200"/>
      <c r="P14348" s="199"/>
    </row>
    <row r="14349" spans="7:16" x14ac:dyDescent="0.2">
      <c r="G14349" s="199"/>
      <c r="I14349" s="199"/>
      <c r="K14349" s="199"/>
      <c r="M14349" s="199"/>
      <c r="N14349" s="200"/>
      <c r="P14349" s="199"/>
    </row>
    <row r="14350" spans="7:16" x14ac:dyDescent="0.2">
      <c r="G14350" s="199"/>
      <c r="I14350" s="199"/>
      <c r="K14350" s="199"/>
      <c r="M14350" s="199"/>
      <c r="N14350" s="200"/>
      <c r="P14350" s="199"/>
    </row>
    <row r="14351" spans="7:16" x14ac:dyDescent="0.2">
      <c r="G14351" s="199"/>
      <c r="I14351" s="199"/>
      <c r="K14351" s="199"/>
      <c r="M14351" s="199"/>
      <c r="N14351" s="200"/>
      <c r="P14351" s="199"/>
    </row>
    <row r="14352" spans="7:16" x14ac:dyDescent="0.2">
      <c r="G14352" s="199"/>
      <c r="I14352" s="199"/>
      <c r="K14352" s="199"/>
      <c r="M14352" s="199"/>
      <c r="N14352" s="200"/>
      <c r="P14352" s="199"/>
    </row>
    <row r="14353" spans="7:16" x14ac:dyDescent="0.2">
      <c r="G14353" s="199"/>
      <c r="I14353" s="199"/>
      <c r="K14353" s="199"/>
      <c r="M14353" s="199"/>
      <c r="N14353" s="200"/>
      <c r="P14353" s="199"/>
    </row>
    <row r="14354" spans="7:16" x14ac:dyDescent="0.2">
      <c r="G14354" s="199"/>
      <c r="I14354" s="199"/>
      <c r="K14354" s="199"/>
      <c r="M14354" s="199"/>
      <c r="N14354" s="200"/>
      <c r="P14354" s="199"/>
    </row>
    <row r="14355" spans="7:16" x14ac:dyDescent="0.2">
      <c r="G14355" s="199"/>
      <c r="I14355" s="199"/>
      <c r="K14355" s="199"/>
      <c r="M14355" s="199"/>
      <c r="N14355" s="200"/>
      <c r="P14355" s="199"/>
    </row>
    <row r="14356" spans="7:16" x14ac:dyDescent="0.2">
      <c r="G14356" s="199"/>
      <c r="I14356" s="199"/>
      <c r="K14356" s="199"/>
      <c r="M14356" s="199"/>
      <c r="N14356" s="200"/>
      <c r="P14356" s="199"/>
    </row>
    <row r="14357" spans="7:16" x14ac:dyDescent="0.2">
      <c r="G14357" s="199"/>
      <c r="I14357" s="199"/>
      <c r="K14357" s="199"/>
      <c r="M14357" s="199"/>
      <c r="N14357" s="200"/>
      <c r="P14357" s="199"/>
    </row>
    <row r="14358" spans="7:16" x14ac:dyDescent="0.2">
      <c r="G14358" s="199"/>
      <c r="I14358" s="199"/>
      <c r="K14358" s="199"/>
      <c r="M14358" s="199"/>
      <c r="N14358" s="200"/>
      <c r="P14358" s="199"/>
    </row>
    <row r="14359" spans="7:16" x14ac:dyDescent="0.2">
      <c r="G14359" s="199"/>
      <c r="I14359" s="199"/>
      <c r="K14359" s="199"/>
      <c r="M14359" s="199"/>
      <c r="N14359" s="200"/>
      <c r="P14359" s="199"/>
    </row>
    <row r="14360" spans="7:16" x14ac:dyDescent="0.2">
      <c r="G14360" s="199"/>
      <c r="I14360" s="199"/>
      <c r="K14360" s="199"/>
      <c r="M14360" s="199"/>
      <c r="N14360" s="200"/>
      <c r="P14360" s="199"/>
    </row>
    <row r="14361" spans="7:16" x14ac:dyDescent="0.2">
      <c r="G14361" s="199"/>
      <c r="I14361" s="199"/>
      <c r="K14361" s="199"/>
      <c r="M14361" s="199"/>
      <c r="N14361" s="200"/>
      <c r="P14361" s="199"/>
    </row>
    <row r="14362" spans="7:16" x14ac:dyDescent="0.2">
      <c r="G14362" s="199"/>
      <c r="I14362" s="199"/>
      <c r="K14362" s="199"/>
      <c r="M14362" s="199"/>
      <c r="N14362" s="200"/>
      <c r="P14362" s="199"/>
    </row>
    <row r="14363" spans="7:16" x14ac:dyDescent="0.2">
      <c r="G14363" s="199"/>
      <c r="I14363" s="199"/>
      <c r="K14363" s="199"/>
      <c r="M14363" s="199"/>
      <c r="N14363" s="200"/>
      <c r="P14363" s="199"/>
    </row>
    <row r="14364" spans="7:16" x14ac:dyDescent="0.2">
      <c r="G14364" s="199"/>
      <c r="I14364" s="199"/>
      <c r="K14364" s="199"/>
      <c r="M14364" s="199"/>
      <c r="N14364" s="200"/>
      <c r="P14364" s="199"/>
    </row>
    <row r="14365" spans="7:16" x14ac:dyDescent="0.2">
      <c r="G14365" s="199"/>
      <c r="I14365" s="199"/>
      <c r="K14365" s="199"/>
      <c r="M14365" s="199"/>
      <c r="N14365" s="200"/>
      <c r="P14365" s="199"/>
    </row>
    <row r="14366" spans="7:16" x14ac:dyDescent="0.2">
      <c r="G14366" s="199"/>
      <c r="I14366" s="199"/>
      <c r="K14366" s="199"/>
      <c r="M14366" s="199"/>
      <c r="N14366" s="200"/>
      <c r="P14366" s="199"/>
    </row>
    <row r="14367" spans="7:16" x14ac:dyDescent="0.2">
      <c r="G14367" s="199"/>
      <c r="I14367" s="199"/>
      <c r="K14367" s="199"/>
      <c r="M14367" s="199"/>
      <c r="N14367" s="200"/>
      <c r="P14367" s="199"/>
    </row>
    <row r="14368" spans="7:16" x14ac:dyDescent="0.2">
      <c r="G14368" s="199"/>
      <c r="I14368" s="199"/>
      <c r="K14368" s="199"/>
      <c r="M14368" s="199"/>
      <c r="N14368" s="200"/>
      <c r="P14368" s="199"/>
    </row>
    <row r="14369" spans="7:16" x14ac:dyDescent="0.2">
      <c r="G14369" s="199"/>
      <c r="I14369" s="199"/>
      <c r="K14369" s="199"/>
      <c r="M14369" s="199"/>
      <c r="N14369" s="200"/>
      <c r="P14369" s="199"/>
    </row>
    <row r="14370" spans="7:16" x14ac:dyDescent="0.2">
      <c r="G14370" s="199"/>
      <c r="I14370" s="199"/>
      <c r="K14370" s="199"/>
      <c r="M14370" s="199"/>
      <c r="N14370" s="200"/>
      <c r="P14370" s="199"/>
    </row>
    <row r="14371" spans="7:16" x14ac:dyDescent="0.2">
      <c r="G14371" s="199"/>
      <c r="I14371" s="199"/>
      <c r="K14371" s="199"/>
      <c r="M14371" s="199"/>
      <c r="N14371" s="200"/>
      <c r="P14371" s="199"/>
    </row>
    <row r="14372" spans="7:16" x14ac:dyDescent="0.2">
      <c r="G14372" s="199"/>
      <c r="I14372" s="199"/>
      <c r="K14372" s="199"/>
      <c r="M14372" s="199"/>
      <c r="N14372" s="200"/>
      <c r="P14372" s="199"/>
    </row>
    <row r="14373" spans="7:16" x14ac:dyDescent="0.2">
      <c r="G14373" s="199"/>
      <c r="I14373" s="199"/>
      <c r="K14373" s="199"/>
      <c r="M14373" s="199"/>
      <c r="N14373" s="200"/>
      <c r="P14373" s="199"/>
    </row>
    <row r="14374" spans="7:16" x14ac:dyDescent="0.2">
      <c r="G14374" s="199"/>
      <c r="I14374" s="199"/>
      <c r="K14374" s="199"/>
      <c r="M14374" s="199"/>
      <c r="N14374" s="200"/>
      <c r="P14374" s="199"/>
    </row>
    <row r="14375" spans="7:16" x14ac:dyDescent="0.2">
      <c r="G14375" s="199"/>
      <c r="I14375" s="199"/>
      <c r="K14375" s="199"/>
      <c r="M14375" s="199"/>
      <c r="N14375" s="200"/>
      <c r="P14375" s="199"/>
    </row>
    <row r="14376" spans="7:16" x14ac:dyDescent="0.2">
      <c r="G14376" s="199"/>
      <c r="I14376" s="199"/>
      <c r="K14376" s="199"/>
      <c r="M14376" s="199"/>
      <c r="N14376" s="200"/>
      <c r="P14376" s="199"/>
    </row>
    <row r="14377" spans="7:16" x14ac:dyDescent="0.2">
      <c r="G14377" s="199"/>
      <c r="I14377" s="199"/>
      <c r="K14377" s="199"/>
      <c r="M14377" s="199"/>
      <c r="N14377" s="200"/>
      <c r="P14377" s="199"/>
    </row>
    <row r="14378" spans="7:16" x14ac:dyDescent="0.2">
      <c r="G14378" s="199"/>
      <c r="I14378" s="199"/>
      <c r="K14378" s="199"/>
      <c r="M14378" s="199"/>
      <c r="N14378" s="200"/>
      <c r="P14378" s="199"/>
    </row>
    <row r="14379" spans="7:16" x14ac:dyDescent="0.2">
      <c r="G14379" s="199"/>
      <c r="I14379" s="199"/>
      <c r="K14379" s="199"/>
      <c r="M14379" s="199"/>
      <c r="N14379" s="200"/>
      <c r="P14379" s="199"/>
    </row>
    <row r="14380" spans="7:16" x14ac:dyDescent="0.2">
      <c r="G14380" s="199"/>
      <c r="I14380" s="199"/>
      <c r="K14380" s="199"/>
      <c r="M14380" s="199"/>
      <c r="N14380" s="200"/>
      <c r="P14380" s="199"/>
    </row>
    <row r="14381" spans="7:16" x14ac:dyDescent="0.2">
      <c r="G14381" s="199"/>
      <c r="I14381" s="199"/>
      <c r="K14381" s="199"/>
      <c r="M14381" s="199"/>
      <c r="N14381" s="200"/>
      <c r="P14381" s="199"/>
    </row>
    <row r="14382" spans="7:16" x14ac:dyDescent="0.2">
      <c r="G14382" s="199"/>
      <c r="I14382" s="199"/>
      <c r="K14382" s="199"/>
      <c r="M14382" s="199"/>
      <c r="N14382" s="200"/>
      <c r="P14382" s="199"/>
    </row>
    <row r="14383" spans="7:16" x14ac:dyDescent="0.2">
      <c r="G14383" s="199"/>
      <c r="I14383" s="199"/>
      <c r="K14383" s="199"/>
      <c r="M14383" s="199"/>
      <c r="N14383" s="200"/>
      <c r="P14383" s="199"/>
    </row>
    <row r="14384" spans="7:16" x14ac:dyDescent="0.2">
      <c r="G14384" s="199"/>
      <c r="I14384" s="199"/>
      <c r="K14384" s="199"/>
      <c r="M14384" s="199"/>
      <c r="N14384" s="200"/>
      <c r="P14384" s="199"/>
    </row>
    <row r="14385" spans="7:16" x14ac:dyDescent="0.2">
      <c r="G14385" s="199"/>
      <c r="I14385" s="199"/>
      <c r="K14385" s="199"/>
      <c r="M14385" s="199"/>
      <c r="N14385" s="200"/>
      <c r="P14385" s="199"/>
    </row>
    <row r="14386" spans="7:16" x14ac:dyDescent="0.2">
      <c r="G14386" s="199"/>
      <c r="I14386" s="199"/>
      <c r="K14386" s="199"/>
      <c r="M14386" s="199"/>
      <c r="N14386" s="200"/>
      <c r="P14386" s="199"/>
    </row>
    <row r="14387" spans="7:16" x14ac:dyDescent="0.2">
      <c r="G14387" s="199"/>
      <c r="I14387" s="199"/>
      <c r="K14387" s="199"/>
      <c r="M14387" s="199"/>
      <c r="N14387" s="200"/>
      <c r="P14387" s="199"/>
    </row>
    <row r="14388" spans="7:16" x14ac:dyDescent="0.2">
      <c r="G14388" s="199"/>
      <c r="I14388" s="199"/>
      <c r="K14388" s="199"/>
      <c r="M14388" s="199"/>
      <c r="N14388" s="200"/>
      <c r="P14388" s="199"/>
    </row>
    <row r="14389" spans="7:16" x14ac:dyDescent="0.2">
      <c r="G14389" s="199"/>
      <c r="I14389" s="199"/>
      <c r="K14389" s="199"/>
      <c r="M14389" s="199"/>
      <c r="N14389" s="200"/>
      <c r="P14389" s="199"/>
    </row>
    <row r="14390" spans="7:16" x14ac:dyDescent="0.2">
      <c r="G14390" s="199"/>
      <c r="I14390" s="199"/>
      <c r="K14390" s="199"/>
      <c r="M14390" s="199"/>
      <c r="N14390" s="200"/>
      <c r="P14390" s="199"/>
    </row>
    <row r="14391" spans="7:16" x14ac:dyDescent="0.2">
      <c r="G14391" s="199"/>
      <c r="I14391" s="199"/>
      <c r="K14391" s="199"/>
      <c r="M14391" s="199"/>
      <c r="N14391" s="200"/>
      <c r="P14391" s="199"/>
    </row>
    <row r="14392" spans="7:16" x14ac:dyDescent="0.2">
      <c r="G14392" s="199"/>
      <c r="I14392" s="199"/>
      <c r="K14392" s="199"/>
      <c r="M14392" s="199"/>
      <c r="N14392" s="200"/>
      <c r="P14392" s="199"/>
    </row>
    <row r="14393" spans="7:16" x14ac:dyDescent="0.2">
      <c r="G14393" s="199"/>
      <c r="I14393" s="199"/>
      <c r="K14393" s="199"/>
      <c r="M14393" s="199"/>
      <c r="N14393" s="200"/>
      <c r="P14393" s="199"/>
    </row>
    <row r="14394" spans="7:16" x14ac:dyDescent="0.2">
      <c r="G14394" s="199"/>
      <c r="I14394" s="199"/>
      <c r="K14394" s="199"/>
      <c r="M14394" s="199"/>
      <c r="N14394" s="200"/>
      <c r="P14394" s="199"/>
    </row>
    <row r="14395" spans="7:16" x14ac:dyDescent="0.2">
      <c r="G14395" s="199"/>
      <c r="I14395" s="199"/>
      <c r="K14395" s="199"/>
      <c r="M14395" s="199"/>
      <c r="N14395" s="200"/>
      <c r="P14395" s="199"/>
    </row>
    <row r="14396" spans="7:16" x14ac:dyDescent="0.2">
      <c r="G14396" s="199"/>
      <c r="I14396" s="199"/>
      <c r="K14396" s="199"/>
      <c r="M14396" s="199"/>
      <c r="N14396" s="200"/>
      <c r="P14396" s="199"/>
    </row>
    <row r="14397" spans="7:16" x14ac:dyDescent="0.2">
      <c r="G14397" s="199"/>
      <c r="I14397" s="199"/>
      <c r="K14397" s="199"/>
      <c r="M14397" s="199"/>
      <c r="N14397" s="200"/>
      <c r="P14397" s="199"/>
    </row>
    <row r="14398" spans="7:16" x14ac:dyDescent="0.2">
      <c r="G14398" s="199"/>
      <c r="I14398" s="199"/>
      <c r="K14398" s="199"/>
      <c r="M14398" s="199"/>
      <c r="N14398" s="200"/>
      <c r="P14398" s="199"/>
    </row>
    <row r="14399" spans="7:16" x14ac:dyDescent="0.2">
      <c r="G14399" s="199"/>
      <c r="I14399" s="199"/>
      <c r="K14399" s="199"/>
      <c r="M14399" s="199"/>
      <c r="N14399" s="200"/>
      <c r="P14399" s="199"/>
    </row>
    <row r="14400" spans="7:16" x14ac:dyDescent="0.2">
      <c r="G14400" s="199"/>
      <c r="I14400" s="199"/>
      <c r="K14400" s="199"/>
      <c r="M14400" s="199"/>
      <c r="N14400" s="200"/>
      <c r="P14400" s="199"/>
    </row>
    <row r="14401" spans="7:16" x14ac:dyDescent="0.2">
      <c r="G14401" s="199"/>
      <c r="I14401" s="199"/>
      <c r="K14401" s="199"/>
      <c r="M14401" s="199"/>
      <c r="N14401" s="200"/>
      <c r="P14401" s="199"/>
    </row>
    <row r="14402" spans="7:16" x14ac:dyDescent="0.2">
      <c r="G14402" s="199"/>
      <c r="I14402" s="199"/>
      <c r="K14402" s="199"/>
      <c r="M14402" s="199"/>
      <c r="N14402" s="200"/>
      <c r="P14402" s="199"/>
    </row>
    <row r="14403" spans="7:16" x14ac:dyDescent="0.2">
      <c r="G14403" s="199"/>
      <c r="I14403" s="199"/>
      <c r="K14403" s="199"/>
      <c r="M14403" s="199"/>
      <c r="N14403" s="200"/>
      <c r="P14403" s="199"/>
    </row>
    <row r="14404" spans="7:16" x14ac:dyDescent="0.2">
      <c r="G14404" s="199"/>
      <c r="I14404" s="199"/>
      <c r="K14404" s="199"/>
      <c r="M14404" s="199"/>
      <c r="N14404" s="200"/>
      <c r="P14404" s="199"/>
    </row>
    <row r="14405" spans="7:16" x14ac:dyDescent="0.2">
      <c r="G14405" s="199"/>
      <c r="I14405" s="199"/>
      <c r="K14405" s="199"/>
      <c r="M14405" s="199"/>
      <c r="N14405" s="200"/>
      <c r="P14405" s="199"/>
    </row>
    <row r="14406" spans="7:16" x14ac:dyDescent="0.2">
      <c r="G14406" s="199"/>
      <c r="I14406" s="199"/>
      <c r="K14406" s="199"/>
      <c r="M14406" s="199"/>
      <c r="N14406" s="200"/>
      <c r="P14406" s="199"/>
    </row>
    <row r="14407" spans="7:16" x14ac:dyDescent="0.2">
      <c r="G14407" s="199"/>
      <c r="I14407" s="199"/>
      <c r="K14407" s="199"/>
      <c r="M14407" s="199"/>
      <c r="N14407" s="200"/>
      <c r="P14407" s="199"/>
    </row>
    <row r="14408" spans="7:16" x14ac:dyDescent="0.2">
      <c r="G14408" s="199"/>
      <c r="I14408" s="199"/>
      <c r="K14408" s="199"/>
      <c r="M14408" s="199"/>
      <c r="N14408" s="200"/>
      <c r="P14408" s="199"/>
    </row>
    <row r="14409" spans="7:16" x14ac:dyDescent="0.2">
      <c r="G14409" s="199"/>
      <c r="I14409" s="199"/>
      <c r="K14409" s="199"/>
      <c r="M14409" s="199"/>
      <c r="N14409" s="200"/>
      <c r="P14409" s="199"/>
    </row>
    <row r="14410" spans="7:16" x14ac:dyDescent="0.2">
      <c r="G14410" s="199"/>
      <c r="I14410" s="199"/>
      <c r="K14410" s="199"/>
      <c r="M14410" s="199"/>
      <c r="N14410" s="200"/>
      <c r="P14410" s="199"/>
    </row>
    <row r="14411" spans="7:16" x14ac:dyDescent="0.2">
      <c r="G14411" s="199"/>
      <c r="I14411" s="199"/>
      <c r="K14411" s="199"/>
      <c r="M14411" s="199"/>
      <c r="N14411" s="200"/>
      <c r="P14411" s="199"/>
    </row>
    <row r="14412" spans="7:16" x14ac:dyDescent="0.2">
      <c r="G14412" s="199"/>
      <c r="I14412" s="199"/>
      <c r="K14412" s="199"/>
      <c r="M14412" s="199"/>
      <c r="N14412" s="200"/>
      <c r="P14412" s="199"/>
    </row>
    <row r="14413" spans="7:16" x14ac:dyDescent="0.2">
      <c r="G14413" s="199"/>
      <c r="I14413" s="199"/>
      <c r="K14413" s="199"/>
      <c r="M14413" s="199"/>
      <c r="N14413" s="200"/>
      <c r="P14413" s="199"/>
    </row>
    <row r="14414" spans="7:16" x14ac:dyDescent="0.2">
      <c r="G14414" s="199"/>
      <c r="I14414" s="199"/>
      <c r="K14414" s="199"/>
      <c r="M14414" s="199"/>
      <c r="N14414" s="200"/>
      <c r="P14414" s="199"/>
    </row>
    <row r="14415" spans="7:16" x14ac:dyDescent="0.2">
      <c r="G14415" s="199"/>
      <c r="I14415" s="199"/>
      <c r="K14415" s="199"/>
      <c r="M14415" s="199"/>
      <c r="N14415" s="200"/>
      <c r="P14415" s="199"/>
    </row>
    <row r="14416" spans="7:16" x14ac:dyDescent="0.2">
      <c r="G14416" s="199"/>
      <c r="I14416" s="199"/>
      <c r="K14416" s="199"/>
      <c r="M14416" s="199"/>
      <c r="N14416" s="200"/>
      <c r="P14416" s="199"/>
    </row>
    <row r="14417" spans="7:16" x14ac:dyDescent="0.2">
      <c r="G14417" s="199"/>
      <c r="I14417" s="199"/>
      <c r="K14417" s="199"/>
      <c r="M14417" s="199"/>
      <c r="N14417" s="200"/>
      <c r="P14417" s="199"/>
    </row>
    <row r="14418" spans="7:16" x14ac:dyDescent="0.2">
      <c r="G14418" s="199"/>
      <c r="I14418" s="199"/>
      <c r="K14418" s="199"/>
      <c r="M14418" s="199"/>
      <c r="N14418" s="200"/>
      <c r="P14418" s="199"/>
    </row>
    <row r="14419" spans="7:16" x14ac:dyDescent="0.2">
      <c r="G14419" s="199"/>
      <c r="I14419" s="199"/>
      <c r="K14419" s="199"/>
      <c r="M14419" s="199"/>
      <c r="N14419" s="200"/>
      <c r="P14419" s="199"/>
    </row>
    <row r="14420" spans="7:16" x14ac:dyDescent="0.2">
      <c r="G14420" s="199"/>
      <c r="I14420" s="199"/>
      <c r="K14420" s="199"/>
      <c r="M14420" s="199"/>
      <c r="N14420" s="200"/>
      <c r="P14420" s="199"/>
    </row>
    <row r="14421" spans="7:16" x14ac:dyDescent="0.2">
      <c r="G14421" s="199"/>
      <c r="I14421" s="199"/>
      <c r="K14421" s="199"/>
      <c r="M14421" s="199"/>
      <c r="N14421" s="200"/>
      <c r="P14421" s="199"/>
    </row>
    <row r="14422" spans="7:16" x14ac:dyDescent="0.2">
      <c r="G14422" s="199"/>
      <c r="I14422" s="199"/>
      <c r="K14422" s="199"/>
      <c r="M14422" s="199"/>
      <c r="N14422" s="200"/>
      <c r="P14422" s="199"/>
    </row>
    <row r="14423" spans="7:16" x14ac:dyDescent="0.2">
      <c r="G14423" s="199"/>
      <c r="I14423" s="199"/>
      <c r="K14423" s="199"/>
      <c r="M14423" s="199"/>
      <c r="N14423" s="200"/>
      <c r="P14423" s="199"/>
    </row>
    <row r="14424" spans="7:16" x14ac:dyDescent="0.2">
      <c r="G14424" s="199"/>
      <c r="I14424" s="199"/>
      <c r="K14424" s="199"/>
      <c r="M14424" s="199"/>
      <c r="N14424" s="200"/>
      <c r="P14424" s="199"/>
    </row>
    <row r="14425" spans="7:16" x14ac:dyDescent="0.2">
      <c r="G14425" s="199"/>
      <c r="I14425" s="199"/>
      <c r="K14425" s="199"/>
      <c r="M14425" s="199"/>
      <c r="N14425" s="200"/>
      <c r="P14425" s="199"/>
    </row>
    <row r="14426" spans="7:16" x14ac:dyDescent="0.2">
      <c r="G14426" s="199"/>
      <c r="I14426" s="199"/>
      <c r="K14426" s="199"/>
      <c r="M14426" s="199"/>
      <c r="N14426" s="200"/>
      <c r="P14426" s="199"/>
    </row>
    <row r="14427" spans="7:16" x14ac:dyDescent="0.2">
      <c r="G14427" s="199"/>
      <c r="I14427" s="199"/>
      <c r="K14427" s="199"/>
      <c r="M14427" s="199"/>
      <c r="N14427" s="200"/>
      <c r="P14427" s="199"/>
    </row>
    <row r="14428" spans="7:16" x14ac:dyDescent="0.2">
      <c r="G14428" s="199"/>
      <c r="I14428" s="199"/>
      <c r="K14428" s="199"/>
      <c r="M14428" s="199"/>
      <c r="N14428" s="200"/>
      <c r="P14428" s="199"/>
    </row>
    <row r="14429" spans="7:16" x14ac:dyDescent="0.2">
      <c r="G14429" s="199"/>
      <c r="I14429" s="199"/>
      <c r="K14429" s="199"/>
      <c r="M14429" s="199"/>
      <c r="N14429" s="200"/>
      <c r="P14429" s="199"/>
    </row>
    <row r="14430" spans="7:16" x14ac:dyDescent="0.2">
      <c r="G14430" s="199"/>
      <c r="I14430" s="199"/>
      <c r="K14430" s="199"/>
      <c r="M14430" s="199"/>
      <c r="N14430" s="200"/>
      <c r="P14430" s="199"/>
    </row>
    <row r="14431" spans="7:16" x14ac:dyDescent="0.2">
      <c r="G14431" s="199"/>
      <c r="I14431" s="199"/>
      <c r="K14431" s="199"/>
      <c r="M14431" s="199"/>
      <c r="N14431" s="200"/>
      <c r="P14431" s="199"/>
    </row>
    <row r="14432" spans="7:16" x14ac:dyDescent="0.2">
      <c r="G14432" s="199"/>
      <c r="I14432" s="199"/>
      <c r="K14432" s="199"/>
      <c r="M14432" s="199"/>
      <c r="N14432" s="200"/>
      <c r="P14432" s="199"/>
    </row>
    <row r="14433" spans="7:16" x14ac:dyDescent="0.2">
      <c r="G14433" s="199"/>
      <c r="I14433" s="199"/>
      <c r="K14433" s="199"/>
      <c r="M14433" s="199"/>
      <c r="N14433" s="200"/>
      <c r="P14433" s="199"/>
    </row>
    <row r="14434" spans="7:16" x14ac:dyDescent="0.2">
      <c r="G14434" s="199"/>
      <c r="I14434" s="199"/>
      <c r="K14434" s="199"/>
      <c r="M14434" s="199"/>
      <c r="N14434" s="200"/>
      <c r="P14434" s="199"/>
    </row>
    <row r="14435" spans="7:16" x14ac:dyDescent="0.2">
      <c r="G14435" s="199"/>
      <c r="I14435" s="199"/>
      <c r="K14435" s="199"/>
      <c r="M14435" s="199"/>
      <c r="N14435" s="200"/>
      <c r="P14435" s="199"/>
    </row>
    <row r="14436" spans="7:16" x14ac:dyDescent="0.2">
      <c r="G14436" s="199"/>
      <c r="I14436" s="199"/>
      <c r="K14436" s="199"/>
      <c r="M14436" s="199"/>
      <c r="N14436" s="200"/>
      <c r="P14436" s="199"/>
    </row>
    <row r="14437" spans="7:16" x14ac:dyDescent="0.2">
      <c r="G14437" s="199"/>
      <c r="I14437" s="199"/>
      <c r="K14437" s="199"/>
      <c r="M14437" s="199"/>
      <c r="N14437" s="200"/>
      <c r="P14437" s="199"/>
    </row>
    <row r="14438" spans="7:16" x14ac:dyDescent="0.2">
      <c r="G14438" s="199"/>
      <c r="I14438" s="199"/>
      <c r="K14438" s="199"/>
      <c r="M14438" s="199"/>
      <c r="N14438" s="200"/>
      <c r="P14438" s="199"/>
    </row>
    <row r="14439" spans="7:16" x14ac:dyDescent="0.2">
      <c r="G14439" s="199"/>
      <c r="I14439" s="199"/>
      <c r="K14439" s="199"/>
      <c r="M14439" s="199"/>
      <c r="N14439" s="200"/>
      <c r="P14439" s="199"/>
    </row>
    <row r="14440" spans="7:16" x14ac:dyDescent="0.2">
      <c r="G14440" s="199"/>
      <c r="I14440" s="199"/>
      <c r="K14440" s="199"/>
      <c r="M14440" s="199"/>
      <c r="N14440" s="200"/>
      <c r="P14440" s="199"/>
    </row>
    <row r="14441" spans="7:16" x14ac:dyDescent="0.2">
      <c r="G14441" s="199"/>
      <c r="I14441" s="199"/>
      <c r="K14441" s="199"/>
      <c r="M14441" s="199"/>
      <c r="N14441" s="200"/>
      <c r="P14441" s="199"/>
    </row>
    <row r="14442" spans="7:16" x14ac:dyDescent="0.2">
      <c r="G14442" s="199"/>
      <c r="I14442" s="199"/>
      <c r="K14442" s="199"/>
      <c r="M14442" s="199"/>
      <c r="N14442" s="200"/>
      <c r="P14442" s="199"/>
    </row>
    <row r="14443" spans="7:16" x14ac:dyDescent="0.2">
      <c r="G14443" s="199"/>
      <c r="I14443" s="199"/>
      <c r="K14443" s="199"/>
      <c r="M14443" s="199"/>
      <c r="N14443" s="200"/>
      <c r="P14443" s="199"/>
    </row>
    <row r="14444" spans="7:16" x14ac:dyDescent="0.2">
      <c r="G14444" s="199"/>
      <c r="I14444" s="199"/>
      <c r="K14444" s="199"/>
      <c r="M14444" s="199"/>
      <c r="N14444" s="200"/>
      <c r="P14444" s="199"/>
    </row>
    <row r="14445" spans="7:16" x14ac:dyDescent="0.2">
      <c r="G14445" s="199"/>
      <c r="I14445" s="199"/>
      <c r="K14445" s="199"/>
      <c r="M14445" s="199"/>
      <c r="N14445" s="200"/>
      <c r="P14445" s="199"/>
    </row>
    <row r="14446" spans="7:16" x14ac:dyDescent="0.2">
      <c r="G14446" s="199"/>
      <c r="I14446" s="199"/>
      <c r="K14446" s="199"/>
      <c r="M14446" s="199"/>
      <c r="N14446" s="200"/>
      <c r="P14446" s="199"/>
    </row>
    <row r="14447" spans="7:16" x14ac:dyDescent="0.2">
      <c r="G14447" s="199"/>
      <c r="I14447" s="199"/>
      <c r="K14447" s="199"/>
      <c r="M14447" s="199"/>
      <c r="N14447" s="200"/>
      <c r="P14447" s="199"/>
    </row>
    <row r="14448" spans="7:16" x14ac:dyDescent="0.2">
      <c r="G14448" s="199"/>
      <c r="I14448" s="199"/>
      <c r="K14448" s="199"/>
      <c r="M14448" s="199"/>
      <c r="N14448" s="200"/>
      <c r="P14448" s="199"/>
    </row>
    <row r="14449" spans="7:16" x14ac:dyDescent="0.2">
      <c r="G14449" s="199"/>
      <c r="I14449" s="199"/>
      <c r="K14449" s="199"/>
      <c r="M14449" s="199"/>
      <c r="N14449" s="200"/>
      <c r="P14449" s="199"/>
    </row>
    <row r="14450" spans="7:16" x14ac:dyDescent="0.2">
      <c r="G14450" s="199"/>
      <c r="I14450" s="199"/>
      <c r="K14450" s="199"/>
      <c r="M14450" s="199"/>
      <c r="N14450" s="200"/>
      <c r="P14450" s="199"/>
    </row>
    <row r="14451" spans="7:16" x14ac:dyDescent="0.2">
      <c r="G14451" s="199"/>
      <c r="I14451" s="199"/>
      <c r="K14451" s="199"/>
      <c r="M14451" s="199"/>
      <c r="N14451" s="200"/>
      <c r="P14451" s="199"/>
    </row>
    <row r="14452" spans="7:16" x14ac:dyDescent="0.2">
      <c r="G14452" s="199"/>
      <c r="I14452" s="199"/>
      <c r="K14452" s="199"/>
      <c r="M14452" s="199"/>
      <c r="N14452" s="200"/>
      <c r="P14452" s="199"/>
    </row>
    <row r="14453" spans="7:16" x14ac:dyDescent="0.2">
      <c r="G14453" s="199"/>
      <c r="I14453" s="199"/>
      <c r="K14453" s="199"/>
      <c r="M14453" s="199"/>
      <c r="N14453" s="200"/>
      <c r="P14453" s="199"/>
    </row>
    <row r="14454" spans="7:16" x14ac:dyDescent="0.2">
      <c r="G14454" s="199"/>
      <c r="I14454" s="199"/>
      <c r="K14454" s="199"/>
      <c r="M14454" s="199"/>
      <c r="N14454" s="200"/>
      <c r="P14454" s="199"/>
    </row>
    <row r="14455" spans="7:16" x14ac:dyDescent="0.2">
      <c r="G14455" s="199"/>
      <c r="I14455" s="199"/>
      <c r="K14455" s="199"/>
      <c r="M14455" s="199"/>
      <c r="N14455" s="200"/>
      <c r="P14455" s="199"/>
    </row>
    <row r="14456" spans="7:16" x14ac:dyDescent="0.2">
      <c r="G14456" s="199"/>
      <c r="I14456" s="199"/>
      <c r="K14456" s="199"/>
      <c r="M14456" s="199"/>
      <c r="N14456" s="200"/>
      <c r="P14456" s="199"/>
    </row>
    <row r="14457" spans="7:16" x14ac:dyDescent="0.2">
      <c r="G14457" s="199"/>
      <c r="I14457" s="199"/>
      <c r="K14457" s="199"/>
      <c r="M14457" s="199"/>
      <c r="N14457" s="200"/>
      <c r="P14457" s="199"/>
    </row>
    <row r="14458" spans="7:16" x14ac:dyDescent="0.2">
      <c r="G14458" s="199"/>
      <c r="I14458" s="199"/>
      <c r="K14458" s="199"/>
      <c r="M14458" s="199"/>
      <c r="N14458" s="200"/>
      <c r="P14458" s="199"/>
    </row>
    <row r="14459" spans="7:16" x14ac:dyDescent="0.2">
      <c r="G14459" s="199"/>
      <c r="I14459" s="199"/>
      <c r="K14459" s="199"/>
      <c r="M14459" s="199"/>
      <c r="N14459" s="200"/>
      <c r="P14459" s="199"/>
    </row>
    <row r="14460" spans="7:16" x14ac:dyDescent="0.2">
      <c r="G14460" s="199"/>
      <c r="I14460" s="199"/>
      <c r="K14460" s="199"/>
      <c r="M14460" s="199"/>
      <c r="N14460" s="200"/>
      <c r="P14460" s="199"/>
    </row>
    <row r="14461" spans="7:16" x14ac:dyDescent="0.2">
      <c r="G14461" s="199"/>
      <c r="I14461" s="199"/>
      <c r="K14461" s="199"/>
      <c r="M14461" s="199"/>
      <c r="N14461" s="200"/>
      <c r="P14461" s="199"/>
    </row>
    <row r="14462" spans="7:16" x14ac:dyDescent="0.2">
      <c r="G14462" s="199"/>
      <c r="I14462" s="199"/>
      <c r="K14462" s="199"/>
      <c r="M14462" s="199"/>
      <c r="N14462" s="200"/>
      <c r="P14462" s="199"/>
    </row>
    <row r="14463" spans="7:16" x14ac:dyDescent="0.2">
      <c r="G14463" s="199"/>
      <c r="I14463" s="199"/>
      <c r="K14463" s="199"/>
      <c r="M14463" s="199"/>
      <c r="N14463" s="200"/>
      <c r="P14463" s="199"/>
    </row>
    <row r="14464" spans="7:16" x14ac:dyDescent="0.2">
      <c r="G14464" s="199"/>
      <c r="I14464" s="199"/>
      <c r="K14464" s="199"/>
      <c r="M14464" s="199"/>
      <c r="N14464" s="200"/>
      <c r="P14464" s="199"/>
    </row>
    <row r="14465" spans="7:16" x14ac:dyDescent="0.2">
      <c r="G14465" s="199"/>
      <c r="I14465" s="199"/>
      <c r="K14465" s="199"/>
      <c r="M14465" s="199"/>
      <c r="N14465" s="200"/>
      <c r="P14465" s="199"/>
    </row>
    <row r="14466" spans="7:16" x14ac:dyDescent="0.2">
      <c r="G14466" s="199"/>
      <c r="I14466" s="199"/>
      <c r="K14466" s="199"/>
      <c r="M14466" s="199"/>
      <c r="N14466" s="200"/>
      <c r="P14466" s="199"/>
    </row>
    <row r="14467" spans="7:16" x14ac:dyDescent="0.2">
      <c r="G14467" s="199"/>
      <c r="I14467" s="199"/>
      <c r="K14467" s="199"/>
      <c r="M14467" s="199"/>
      <c r="N14467" s="200"/>
      <c r="P14467" s="199"/>
    </row>
    <row r="14468" spans="7:16" x14ac:dyDescent="0.2">
      <c r="G14468" s="199"/>
      <c r="I14468" s="199"/>
      <c r="K14468" s="199"/>
      <c r="M14468" s="199"/>
      <c r="N14468" s="200"/>
      <c r="P14468" s="199"/>
    </row>
    <row r="14469" spans="7:16" x14ac:dyDescent="0.2">
      <c r="G14469" s="199"/>
      <c r="I14469" s="199"/>
      <c r="K14469" s="199"/>
      <c r="M14469" s="199"/>
      <c r="N14469" s="200"/>
      <c r="P14469" s="199"/>
    </row>
    <row r="14470" spans="7:16" x14ac:dyDescent="0.2">
      <c r="G14470" s="199"/>
      <c r="I14470" s="199"/>
      <c r="K14470" s="199"/>
      <c r="M14470" s="199"/>
      <c r="N14470" s="200"/>
      <c r="P14470" s="199"/>
    </row>
    <row r="14471" spans="7:16" x14ac:dyDescent="0.2">
      <c r="G14471" s="199"/>
      <c r="I14471" s="199"/>
      <c r="K14471" s="199"/>
      <c r="M14471" s="199"/>
      <c r="N14471" s="200"/>
      <c r="P14471" s="199"/>
    </row>
    <row r="14472" spans="7:16" x14ac:dyDescent="0.2">
      <c r="G14472" s="199"/>
      <c r="I14472" s="199"/>
      <c r="K14472" s="199"/>
      <c r="M14472" s="199"/>
      <c r="N14472" s="200"/>
      <c r="P14472" s="199"/>
    </row>
    <row r="14473" spans="7:16" x14ac:dyDescent="0.2">
      <c r="G14473" s="199"/>
      <c r="I14473" s="199"/>
      <c r="K14473" s="199"/>
      <c r="M14473" s="199"/>
      <c r="N14473" s="200"/>
      <c r="P14473" s="199"/>
    </row>
    <row r="14474" spans="7:16" x14ac:dyDescent="0.2">
      <c r="G14474" s="199"/>
      <c r="I14474" s="199"/>
      <c r="K14474" s="199"/>
      <c r="M14474" s="199"/>
      <c r="N14474" s="200"/>
      <c r="P14474" s="199"/>
    </row>
    <row r="14475" spans="7:16" x14ac:dyDescent="0.2">
      <c r="G14475" s="199"/>
      <c r="I14475" s="199"/>
      <c r="K14475" s="199"/>
      <c r="M14475" s="199"/>
      <c r="N14475" s="200"/>
      <c r="P14475" s="199"/>
    </row>
    <row r="14476" spans="7:16" x14ac:dyDescent="0.2">
      <c r="G14476" s="199"/>
      <c r="I14476" s="199"/>
      <c r="K14476" s="199"/>
      <c r="M14476" s="199"/>
      <c r="N14476" s="200"/>
      <c r="P14476" s="199"/>
    </row>
    <row r="14477" spans="7:16" x14ac:dyDescent="0.2">
      <c r="G14477" s="199"/>
      <c r="I14477" s="199"/>
      <c r="K14477" s="199"/>
      <c r="M14477" s="199"/>
      <c r="N14477" s="200"/>
      <c r="P14477" s="199"/>
    </row>
    <row r="14478" spans="7:16" x14ac:dyDescent="0.2">
      <c r="G14478" s="199"/>
      <c r="I14478" s="199"/>
      <c r="K14478" s="199"/>
      <c r="M14478" s="199"/>
      <c r="N14478" s="200"/>
      <c r="P14478" s="199"/>
    </row>
    <row r="14479" spans="7:16" x14ac:dyDescent="0.2">
      <c r="G14479" s="199"/>
      <c r="I14479" s="199"/>
      <c r="K14479" s="199"/>
      <c r="M14479" s="199"/>
      <c r="N14479" s="200"/>
      <c r="P14479" s="199"/>
    </row>
    <row r="14480" spans="7:16" x14ac:dyDescent="0.2">
      <c r="G14480" s="199"/>
      <c r="I14480" s="199"/>
      <c r="K14480" s="199"/>
      <c r="M14480" s="199"/>
      <c r="N14480" s="200"/>
      <c r="P14480" s="199"/>
    </row>
    <row r="14481" spans="7:16" x14ac:dyDescent="0.2">
      <c r="G14481" s="199"/>
      <c r="I14481" s="199"/>
      <c r="K14481" s="199"/>
      <c r="M14481" s="199"/>
      <c r="N14481" s="200"/>
      <c r="P14481" s="199"/>
    </row>
    <row r="14482" spans="7:16" x14ac:dyDescent="0.2">
      <c r="G14482" s="199"/>
      <c r="I14482" s="199"/>
      <c r="K14482" s="199"/>
      <c r="M14482" s="199"/>
      <c r="N14482" s="200"/>
      <c r="P14482" s="199"/>
    </row>
    <row r="14483" spans="7:16" x14ac:dyDescent="0.2">
      <c r="G14483" s="199"/>
      <c r="I14483" s="199"/>
      <c r="K14483" s="199"/>
      <c r="M14483" s="199"/>
      <c r="N14483" s="200"/>
      <c r="P14483" s="199"/>
    </row>
    <row r="14484" spans="7:16" x14ac:dyDescent="0.2">
      <c r="G14484" s="199"/>
      <c r="I14484" s="199"/>
      <c r="K14484" s="199"/>
      <c r="M14484" s="199"/>
      <c r="N14484" s="200"/>
      <c r="P14484" s="199"/>
    </row>
    <row r="14485" spans="7:16" x14ac:dyDescent="0.2">
      <c r="G14485" s="199"/>
      <c r="I14485" s="199"/>
      <c r="K14485" s="199"/>
      <c r="M14485" s="199"/>
      <c r="N14485" s="200"/>
      <c r="P14485" s="199"/>
    </row>
    <row r="14486" spans="7:16" x14ac:dyDescent="0.2">
      <c r="G14486" s="199"/>
      <c r="I14486" s="199"/>
      <c r="K14486" s="199"/>
      <c r="M14486" s="199"/>
      <c r="N14486" s="200"/>
      <c r="P14486" s="199"/>
    </row>
    <row r="14487" spans="7:16" x14ac:dyDescent="0.2">
      <c r="G14487" s="199"/>
      <c r="I14487" s="199"/>
      <c r="K14487" s="199"/>
      <c r="M14487" s="199"/>
      <c r="N14487" s="200"/>
      <c r="P14487" s="199"/>
    </row>
    <row r="14488" spans="7:16" x14ac:dyDescent="0.2">
      <c r="G14488" s="199"/>
      <c r="I14488" s="199"/>
      <c r="K14488" s="199"/>
      <c r="M14488" s="199"/>
      <c r="N14488" s="200"/>
      <c r="P14488" s="199"/>
    </row>
    <row r="14489" spans="7:16" x14ac:dyDescent="0.2">
      <c r="G14489" s="199"/>
      <c r="I14489" s="199"/>
      <c r="K14489" s="199"/>
      <c r="M14489" s="199"/>
      <c r="N14489" s="200"/>
      <c r="P14489" s="199"/>
    </row>
    <row r="14490" spans="7:16" x14ac:dyDescent="0.2">
      <c r="G14490" s="199"/>
      <c r="I14490" s="199"/>
      <c r="K14490" s="199"/>
      <c r="M14490" s="199"/>
      <c r="N14490" s="200"/>
      <c r="P14490" s="199"/>
    </row>
    <row r="14491" spans="7:16" x14ac:dyDescent="0.2">
      <c r="G14491" s="199"/>
      <c r="I14491" s="199"/>
      <c r="K14491" s="199"/>
      <c r="M14491" s="199"/>
      <c r="N14491" s="200"/>
      <c r="P14491" s="199"/>
    </row>
    <row r="14492" spans="7:16" x14ac:dyDescent="0.2">
      <c r="G14492" s="199"/>
      <c r="I14492" s="199"/>
      <c r="K14492" s="199"/>
      <c r="M14492" s="199"/>
      <c r="N14492" s="200"/>
      <c r="P14492" s="199"/>
    </row>
    <row r="14493" spans="7:16" x14ac:dyDescent="0.2">
      <c r="G14493" s="199"/>
      <c r="I14493" s="199"/>
      <c r="K14493" s="199"/>
      <c r="M14493" s="199"/>
      <c r="N14493" s="200"/>
      <c r="P14493" s="199"/>
    </row>
    <row r="14494" spans="7:16" x14ac:dyDescent="0.2">
      <c r="G14494" s="199"/>
      <c r="I14494" s="199"/>
      <c r="K14494" s="199"/>
      <c r="M14494" s="199"/>
      <c r="N14494" s="200"/>
      <c r="P14494" s="199"/>
    </row>
    <row r="14495" spans="7:16" x14ac:dyDescent="0.2">
      <c r="G14495" s="199"/>
      <c r="I14495" s="199"/>
      <c r="K14495" s="199"/>
      <c r="M14495" s="199"/>
      <c r="N14495" s="200"/>
      <c r="P14495" s="199"/>
    </row>
    <row r="14496" spans="7:16" x14ac:dyDescent="0.2">
      <c r="G14496" s="199"/>
      <c r="I14496" s="199"/>
      <c r="K14496" s="199"/>
      <c r="M14496" s="199"/>
      <c r="N14496" s="200"/>
      <c r="P14496" s="199"/>
    </row>
    <row r="14497" spans="7:16" x14ac:dyDescent="0.2">
      <c r="G14497" s="199"/>
      <c r="I14497" s="199"/>
      <c r="K14497" s="199"/>
      <c r="M14497" s="199"/>
      <c r="N14497" s="200"/>
      <c r="P14497" s="199"/>
    </row>
    <row r="14498" spans="7:16" x14ac:dyDescent="0.2">
      <c r="G14498" s="199"/>
      <c r="I14498" s="199"/>
      <c r="K14498" s="199"/>
      <c r="M14498" s="199"/>
      <c r="N14498" s="200"/>
      <c r="P14498" s="199"/>
    </row>
    <row r="14499" spans="7:16" x14ac:dyDescent="0.2">
      <c r="G14499" s="199"/>
      <c r="I14499" s="199"/>
      <c r="K14499" s="199"/>
      <c r="M14499" s="199"/>
      <c r="N14499" s="200"/>
      <c r="P14499" s="199"/>
    </row>
    <row r="14500" spans="7:16" x14ac:dyDescent="0.2">
      <c r="G14500" s="199"/>
      <c r="I14500" s="199"/>
      <c r="K14500" s="199"/>
      <c r="M14500" s="199"/>
      <c r="N14500" s="200"/>
      <c r="P14500" s="199"/>
    </row>
    <row r="14501" spans="7:16" x14ac:dyDescent="0.2">
      <c r="G14501" s="199"/>
      <c r="I14501" s="199"/>
      <c r="K14501" s="199"/>
      <c r="M14501" s="199"/>
      <c r="N14501" s="200"/>
      <c r="P14501" s="199"/>
    </row>
    <row r="14502" spans="7:16" x14ac:dyDescent="0.2">
      <c r="G14502" s="199"/>
      <c r="I14502" s="199"/>
      <c r="K14502" s="199"/>
      <c r="M14502" s="199"/>
      <c r="N14502" s="200"/>
      <c r="P14502" s="199"/>
    </row>
    <row r="14503" spans="7:16" x14ac:dyDescent="0.2">
      <c r="G14503" s="199"/>
      <c r="I14503" s="199"/>
      <c r="K14503" s="199"/>
      <c r="M14503" s="199"/>
      <c r="N14503" s="200"/>
      <c r="P14503" s="199"/>
    </row>
    <row r="14504" spans="7:16" x14ac:dyDescent="0.2">
      <c r="G14504" s="199"/>
      <c r="I14504" s="199"/>
      <c r="K14504" s="199"/>
      <c r="M14504" s="199"/>
      <c r="N14504" s="200"/>
      <c r="P14504" s="199"/>
    </row>
    <row r="14505" spans="7:16" x14ac:dyDescent="0.2">
      <c r="G14505" s="199"/>
      <c r="I14505" s="199"/>
      <c r="K14505" s="199"/>
      <c r="M14505" s="199"/>
      <c r="N14505" s="200"/>
      <c r="P14505" s="199"/>
    </row>
    <row r="14506" spans="7:16" x14ac:dyDescent="0.2">
      <c r="G14506" s="199"/>
      <c r="I14506" s="199"/>
      <c r="K14506" s="199"/>
      <c r="M14506" s="199"/>
      <c r="N14506" s="200"/>
      <c r="P14506" s="199"/>
    </row>
    <row r="14507" spans="7:16" x14ac:dyDescent="0.2">
      <c r="G14507" s="199"/>
      <c r="I14507" s="199"/>
      <c r="K14507" s="199"/>
      <c r="M14507" s="199"/>
      <c r="N14507" s="200"/>
      <c r="P14507" s="199"/>
    </row>
    <row r="14508" spans="7:16" x14ac:dyDescent="0.2">
      <c r="G14508" s="199"/>
      <c r="I14508" s="199"/>
      <c r="K14508" s="199"/>
      <c r="M14508" s="199"/>
      <c r="N14508" s="200"/>
      <c r="P14508" s="199"/>
    </row>
    <row r="14509" spans="7:16" x14ac:dyDescent="0.2">
      <c r="G14509" s="199"/>
      <c r="I14509" s="199"/>
      <c r="K14509" s="199"/>
      <c r="M14509" s="199"/>
      <c r="N14509" s="200"/>
      <c r="P14509" s="199"/>
    </row>
    <row r="14510" spans="7:16" x14ac:dyDescent="0.2">
      <c r="G14510" s="199"/>
      <c r="I14510" s="199"/>
      <c r="K14510" s="199"/>
      <c r="M14510" s="199"/>
      <c r="N14510" s="200"/>
      <c r="P14510" s="199"/>
    </row>
    <row r="14511" spans="7:16" x14ac:dyDescent="0.2">
      <c r="G14511" s="199"/>
      <c r="I14511" s="199"/>
      <c r="K14511" s="199"/>
      <c r="M14511" s="199"/>
      <c r="N14511" s="200"/>
      <c r="P14511" s="199"/>
    </row>
    <row r="14512" spans="7:16" x14ac:dyDescent="0.2">
      <c r="G14512" s="199"/>
      <c r="I14512" s="199"/>
      <c r="K14512" s="199"/>
      <c r="M14512" s="199"/>
      <c r="N14512" s="200"/>
      <c r="P14512" s="199"/>
    </row>
    <row r="14513" spans="7:16" x14ac:dyDescent="0.2">
      <c r="G14513" s="199"/>
      <c r="I14513" s="199"/>
      <c r="K14513" s="199"/>
      <c r="M14513" s="199"/>
      <c r="N14513" s="200"/>
      <c r="P14513" s="199"/>
    </row>
    <row r="14514" spans="7:16" x14ac:dyDescent="0.2">
      <c r="G14514" s="199"/>
      <c r="I14514" s="199"/>
      <c r="K14514" s="199"/>
      <c r="M14514" s="199"/>
      <c r="N14514" s="200"/>
      <c r="P14514" s="199"/>
    </row>
    <row r="14515" spans="7:16" x14ac:dyDescent="0.2">
      <c r="G14515" s="199"/>
      <c r="I14515" s="199"/>
      <c r="K14515" s="199"/>
      <c r="M14515" s="199"/>
      <c r="N14515" s="200"/>
      <c r="P14515" s="199"/>
    </row>
    <row r="14516" spans="7:16" x14ac:dyDescent="0.2">
      <c r="G14516" s="199"/>
      <c r="I14516" s="199"/>
      <c r="K14516" s="199"/>
      <c r="M14516" s="199"/>
      <c r="N14516" s="200"/>
      <c r="P14516" s="199"/>
    </row>
    <row r="14517" spans="7:16" x14ac:dyDescent="0.2">
      <c r="G14517" s="199"/>
      <c r="I14517" s="199"/>
      <c r="K14517" s="199"/>
      <c r="M14517" s="199"/>
      <c r="N14517" s="200"/>
      <c r="P14517" s="199"/>
    </row>
    <row r="14518" spans="7:16" x14ac:dyDescent="0.2">
      <c r="G14518" s="199"/>
      <c r="I14518" s="199"/>
      <c r="K14518" s="199"/>
      <c r="M14518" s="199"/>
      <c r="N14518" s="200"/>
      <c r="P14518" s="199"/>
    </row>
    <row r="14519" spans="7:16" x14ac:dyDescent="0.2">
      <c r="G14519" s="199"/>
      <c r="I14519" s="199"/>
      <c r="K14519" s="199"/>
      <c r="M14519" s="199"/>
      <c r="N14519" s="200"/>
      <c r="P14519" s="199"/>
    </row>
    <row r="14520" spans="7:16" x14ac:dyDescent="0.2">
      <c r="G14520" s="199"/>
      <c r="I14520" s="199"/>
      <c r="K14520" s="199"/>
      <c r="M14520" s="199"/>
      <c r="N14520" s="200"/>
      <c r="P14520" s="199"/>
    </row>
    <row r="14521" spans="7:16" x14ac:dyDescent="0.2">
      <c r="G14521" s="199"/>
      <c r="I14521" s="199"/>
      <c r="K14521" s="199"/>
      <c r="M14521" s="199"/>
      <c r="N14521" s="200"/>
      <c r="P14521" s="199"/>
    </row>
    <row r="14522" spans="7:16" x14ac:dyDescent="0.2">
      <c r="G14522" s="199"/>
      <c r="I14522" s="199"/>
      <c r="K14522" s="199"/>
      <c r="M14522" s="199"/>
      <c r="N14522" s="200"/>
      <c r="P14522" s="199"/>
    </row>
    <row r="14523" spans="7:16" x14ac:dyDescent="0.2">
      <c r="G14523" s="199"/>
      <c r="I14523" s="199"/>
      <c r="K14523" s="199"/>
      <c r="M14523" s="199"/>
      <c r="N14523" s="200"/>
      <c r="P14523" s="199"/>
    </row>
    <row r="14524" spans="7:16" x14ac:dyDescent="0.2">
      <c r="G14524" s="199"/>
      <c r="I14524" s="199"/>
      <c r="K14524" s="199"/>
      <c r="M14524" s="199"/>
      <c r="N14524" s="200"/>
      <c r="P14524" s="199"/>
    </row>
    <row r="14525" spans="7:16" x14ac:dyDescent="0.2">
      <c r="G14525" s="199"/>
      <c r="I14525" s="199"/>
      <c r="K14525" s="199"/>
      <c r="M14525" s="199"/>
      <c r="N14525" s="200"/>
      <c r="P14525" s="199"/>
    </row>
    <row r="14526" spans="7:16" x14ac:dyDescent="0.2">
      <c r="G14526" s="199"/>
      <c r="I14526" s="199"/>
      <c r="K14526" s="199"/>
      <c r="M14526" s="199"/>
      <c r="N14526" s="200"/>
      <c r="P14526" s="199"/>
    </row>
    <row r="14527" spans="7:16" x14ac:dyDescent="0.2">
      <c r="G14527" s="199"/>
      <c r="I14527" s="199"/>
      <c r="K14527" s="199"/>
      <c r="M14527" s="199"/>
      <c r="N14527" s="200"/>
      <c r="P14527" s="199"/>
    </row>
    <row r="14528" spans="7:16" x14ac:dyDescent="0.2">
      <c r="G14528" s="199"/>
      <c r="I14528" s="199"/>
      <c r="K14528" s="199"/>
      <c r="M14528" s="199"/>
      <c r="N14528" s="200"/>
      <c r="P14528" s="199"/>
    </row>
    <row r="14529" spans="7:16" x14ac:dyDescent="0.2">
      <c r="G14529" s="199"/>
      <c r="I14529" s="199"/>
      <c r="K14529" s="199"/>
      <c r="M14529" s="199"/>
      <c r="N14529" s="200"/>
      <c r="P14529" s="199"/>
    </row>
    <row r="14530" spans="7:16" x14ac:dyDescent="0.2">
      <c r="G14530" s="199"/>
      <c r="I14530" s="199"/>
      <c r="K14530" s="199"/>
      <c r="M14530" s="199"/>
      <c r="N14530" s="200"/>
      <c r="P14530" s="199"/>
    </row>
    <row r="14531" spans="7:16" x14ac:dyDescent="0.2">
      <c r="G14531" s="199"/>
      <c r="I14531" s="199"/>
      <c r="K14531" s="199"/>
      <c r="M14531" s="199"/>
      <c r="N14531" s="200"/>
      <c r="P14531" s="199"/>
    </row>
    <row r="14532" spans="7:16" x14ac:dyDescent="0.2">
      <c r="G14532" s="199"/>
      <c r="I14532" s="199"/>
      <c r="K14532" s="199"/>
      <c r="M14532" s="199"/>
      <c r="N14532" s="200"/>
      <c r="P14532" s="199"/>
    </row>
    <row r="14533" spans="7:16" x14ac:dyDescent="0.2">
      <c r="G14533" s="199"/>
      <c r="I14533" s="199"/>
      <c r="K14533" s="199"/>
      <c r="M14533" s="199"/>
      <c r="N14533" s="200"/>
      <c r="P14533" s="199"/>
    </row>
    <row r="14534" spans="7:16" x14ac:dyDescent="0.2">
      <c r="G14534" s="199"/>
      <c r="I14534" s="199"/>
      <c r="K14534" s="199"/>
      <c r="M14534" s="199"/>
      <c r="N14534" s="200"/>
      <c r="P14534" s="199"/>
    </row>
    <row r="14535" spans="7:16" x14ac:dyDescent="0.2">
      <c r="G14535" s="199"/>
      <c r="I14535" s="199"/>
      <c r="K14535" s="199"/>
      <c r="M14535" s="199"/>
      <c r="N14535" s="200"/>
      <c r="P14535" s="199"/>
    </row>
    <row r="14536" spans="7:16" x14ac:dyDescent="0.2">
      <c r="G14536" s="199"/>
      <c r="I14536" s="199"/>
      <c r="K14536" s="199"/>
      <c r="M14536" s="199"/>
      <c r="N14536" s="200"/>
      <c r="P14536" s="199"/>
    </row>
    <row r="14537" spans="7:16" x14ac:dyDescent="0.2">
      <c r="G14537" s="199"/>
      <c r="I14537" s="199"/>
      <c r="K14537" s="199"/>
      <c r="M14537" s="199"/>
      <c r="N14537" s="200"/>
      <c r="P14537" s="199"/>
    </row>
    <row r="14538" spans="7:16" x14ac:dyDescent="0.2">
      <c r="G14538" s="199"/>
      <c r="I14538" s="199"/>
      <c r="K14538" s="199"/>
      <c r="M14538" s="199"/>
      <c r="N14538" s="200"/>
      <c r="P14538" s="199"/>
    </row>
    <row r="14539" spans="7:16" x14ac:dyDescent="0.2">
      <c r="G14539" s="199"/>
      <c r="I14539" s="199"/>
      <c r="K14539" s="199"/>
      <c r="M14539" s="199"/>
      <c r="N14539" s="200"/>
      <c r="P14539" s="199"/>
    </row>
    <row r="14540" spans="7:16" x14ac:dyDescent="0.2">
      <c r="G14540" s="199"/>
      <c r="I14540" s="199"/>
      <c r="K14540" s="199"/>
      <c r="M14540" s="199"/>
      <c r="N14540" s="200"/>
      <c r="P14540" s="199"/>
    </row>
    <row r="14541" spans="7:16" x14ac:dyDescent="0.2">
      <c r="G14541" s="199"/>
      <c r="I14541" s="199"/>
      <c r="K14541" s="199"/>
      <c r="M14541" s="199"/>
      <c r="N14541" s="200"/>
      <c r="P14541" s="199"/>
    </row>
    <row r="14542" spans="7:16" x14ac:dyDescent="0.2">
      <c r="G14542" s="199"/>
      <c r="I14542" s="199"/>
      <c r="K14542" s="199"/>
      <c r="M14542" s="199"/>
      <c r="N14542" s="200"/>
      <c r="P14542" s="199"/>
    </row>
    <row r="14543" spans="7:16" x14ac:dyDescent="0.2">
      <c r="G14543" s="199"/>
      <c r="I14543" s="199"/>
      <c r="K14543" s="199"/>
      <c r="M14543" s="199"/>
      <c r="N14543" s="200"/>
      <c r="P14543" s="199"/>
    </row>
    <row r="14544" spans="7:16" x14ac:dyDescent="0.2">
      <c r="G14544" s="199"/>
      <c r="I14544" s="199"/>
      <c r="K14544" s="199"/>
      <c r="M14544" s="199"/>
      <c r="N14544" s="200"/>
      <c r="P14544" s="199"/>
    </row>
    <row r="14545" spans="7:16" x14ac:dyDescent="0.2">
      <c r="G14545" s="199"/>
      <c r="I14545" s="199"/>
      <c r="K14545" s="199"/>
      <c r="M14545" s="199"/>
      <c r="N14545" s="200"/>
      <c r="P14545" s="199"/>
    </row>
    <row r="14546" spans="7:16" x14ac:dyDescent="0.2">
      <c r="G14546" s="199"/>
      <c r="I14546" s="199"/>
      <c r="K14546" s="199"/>
      <c r="M14546" s="199"/>
      <c r="N14546" s="200"/>
      <c r="P14546" s="199"/>
    </row>
    <row r="14547" spans="7:16" x14ac:dyDescent="0.2">
      <c r="G14547" s="199"/>
      <c r="I14547" s="199"/>
      <c r="K14547" s="199"/>
      <c r="M14547" s="199"/>
      <c r="N14547" s="200"/>
      <c r="P14547" s="199"/>
    </row>
    <row r="14548" spans="7:16" x14ac:dyDescent="0.2">
      <c r="G14548" s="199"/>
      <c r="I14548" s="199"/>
      <c r="K14548" s="199"/>
      <c r="M14548" s="199"/>
      <c r="N14548" s="200"/>
      <c r="P14548" s="199"/>
    </row>
    <row r="14549" spans="7:16" x14ac:dyDescent="0.2">
      <c r="G14549" s="199"/>
      <c r="I14549" s="199"/>
      <c r="K14549" s="199"/>
      <c r="M14549" s="199"/>
      <c r="N14549" s="200"/>
      <c r="P14549" s="199"/>
    </row>
    <row r="14550" spans="7:16" x14ac:dyDescent="0.2">
      <c r="G14550" s="199"/>
      <c r="I14550" s="199"/>
      <c r="K14550" s="199"/>
      <c r="M14550" s="199"/>
      <c r="N14550" s="200"/>
      <c r="P14550" s="199"/>
    </row>
    <row r="14551" spans="7:16" x14ac:dyDescent="0.2">
      <c r="G14551" s="199"/>
      <c r="I14551" s="199"/>
      <c r="K14551" s="199"/>
      <c r="M14551" s="199"/>
      <c r="N14551" s="200"/>
      <c r="P14551" s="199"/>
    </row>
    <row r="14552" spans="7:16" x14ac:dyDescent="0.2">
      <c r="G14552" s="199"/>
      <c r="I14552" s="199"/>
      <c r="K14552" s="199"/>
      <c r="M14552" s="199"/>
      <c r="N14552" s="200"/>
      <c r="P14552" s="199"/>
    </row>
    <row r="14553" spans="7:16" x14ac:dyDescent="0.2">
      <c r="G14553" s="199"/>
      <c r="I14553" s="199"/>
      <c r="K14553" s="199"/>
      <c r="M14553" s="199"/>
      <c r="N14553" s="200"/>
      <c r="P14553" s="199"/>
    </row>
    <row r="14554" spans="7:16" x14ac:dyDescent="0.2">
      <c r="G14554" s="199"/>
      <c r="I14554" s="199"/>
      <c r="K14554" s="199"/>
      <c r="M14554" s="199"/>
      <c r="N14554" s="200"/>
      <c r="P14554" s="199"/>
    </row>
    <row r="14555" spans="7:16" x14ac:dyDescent="0.2">
      <c r="G14555" s="199"/>
      <c r="I14555" s="199"/>
      <c r="K14555" s="199"/>
      <c r="M14555" s="199"/>
      <c r="N14555" s="200"/>
      <c r="P14555" s="199"/>
    </row>
    <row r="14556" spans="7:16" x14ac:dyDescent="0.2">
      <c r="G14556" s="199"/>
      <c r="I14556" s="199"/>
      <c r="K14556" s="199"/>
      <c r="M14556" s="199"/>
      <c r="N14556" s="200"/>
      <c r="P14556" s="199"/>
    </row>
    <row r="14557" spans="7:16" x14ac:dyDescent="0.2">
      <c r="G14557" s="199"/>
      <c r="I14557" s="199"/>
      <c r="K14557" s="199"/>
      <c r="M14557" s="199"/>
      <c r="N14557" s="200"/>
      <c r="P14557" s="199"/>
    </row>
    <row r="14558" spans="7:16" x14ac:dyDescent="0.2">
      <c r="G14558" s="199"/>
      <c r="I14558" s="199"/>
      <c r="K14558" s="199"/>
      <c r="M14558" s="199"/>
      <c r="N14558" s="200"/>
      <c r="P14558" s="199"/>
    </row>
    <row r="14559" spans="7:16" x14ac:dyDescent="0.2">
      <c r="G14559" s="199"/>
      <c r="I14559" s="199"/>
      <c r="K14559" s="199"/>
      <c r="M14559" s="199"/>
      <c r="N14559" s="200"/>
      <c r="P14559" s="199"/>
    </row>
    <row r="14560" spans="7:16" x14ac:dyDescent="0.2">
      <c r="G14560" s="199"/>
      <c r="I14560" s="199"/>
      <c r="K14560" s="199"/>
      <c r="M14560" s="199"/>
      <c r="N14560" s="200"/>
      <c r="P14560" s="199"/>
    </row>
    <row r="14561" spans="7:16" x14ac:dyDescent="0.2">
      <c r="G14561" s="199"/>
      <c r="I14561" s="199"/>
      <c r="K14561" s="199"/>
      <c r="M14561" s="199"/>
      <c r="N14561" s="200"/>
      <c r="P14561" s="199"/>
    </row>
    <row r="14562" spans="7:16" x14ac:dyDescent="0.2">
      <c r="G14562" s="199"/>
      <c r="I14562" s="199"/>
      <c r="K14562" s="199"/>
      <c r="M14562" s="199"/>
      <c r="N14562" s="200"/>
      <c r="P14562" s="199"/>
    </row>
    <row r="14563" spans="7:16" x14ac:dyDescent="0.2">
      <c r="G14563" s="199"/>
      <c r="I14563" s="199"/>
      <c r="K14563" s="199"/>
      <c r="M14563" s="199"/>
      <c r="N14563" s="200"/>
      <c r="P14563" s="199"/>
    </row>
    <row r="14564" spans="7:16" x14ac:dyDescent="0.2">
      <c r="G14564" s="199"/>
      <c r="I14564" s="199"/>
      <c r="K14564" s="199"/>
      <c r="M14564" s="199"/>
      <c r="N14564" s="200"/>
      <c r="P14564" s="199"/>
    </row>
    <row r="14565" spans="7:16" x14ac:dyDescent="0.2">
      <c r="G14565" s="199"/>
      <c r="I14565" s="199"/>
      <c r="K14565" s="199"/>
      <c r="M14565" s="199"/>
      <c r="N14565" s="200"/>
      <c r="P14565" s="199"/>
    </row>
    <row r="14566" spans="7:16" x14ac:dyDescent="0.2">
      <c r="G14566" s="199"/>
      <c r="I14566" s="199"/>
      <c r="K14566" s="199"/>
      <c r="M14566" s="199"/>
      <c r="N14566" s="200"/>
      <c r="P14566" s="199"/>
    </row>
    <row r="14567" spans="7:16" x14ac:dyDescent="0.2">
      <c r="G14567" s="199"/>
      <c r="I14567" s="199"/>
      <c r="K14567" s="199"/>
      <c r="M14567" s="199"/>
      <c r="N14567" s="200"/>
      <c r="P14567" s="199"/>
    </row>
    <row r="14568" spans="7:16" x14ac:dyDescent="0.2">
      <c r="G14568" s="199"/>
      <c r="I14568" s="199"/>
      <c r="K14568" s="199"/>
      <c r="M14568" s="199"/>
      <c r="N14568" s="200"/>
      <c r="P14568" s="199"/>
    </row>
    <row r="14569" spans="7:16" x14ac:dyDescent="0.2">
      <c r="G14569" s="199"/>
      <c r="I14569" s="199"/>
      <c r="K14569" s="199"/>
      <c r="M14569" s="199"/>
      <c r="N14569" s="200"/>
      <c r="P14569" s="199"/>
    </row>
    <row r="14570" spans="7:16" x14ac:dyDescent="0.2">
      <c r="G14570" s="199"/>
      <c r="I14570" s="199"/>
      <c r="K14570" s="199"/>
      <c r="M14570" s="199"/>
      <c r="N14570" s="200"/>
      <c r="P14570" s="199"/>
    </row>
    <row r="14571" spans="7:16" x14ac:dyDescent="0.2">
      <c r="G14571" s="199"/>
      <c r="I14571" s="199"/>
      <c r="K14571" s="199"/>
      <c r="M14571" s="199"/>
      <c r="N14571" s="200"/>
      <c r="P14571" s="199"/>
    </row>
    <row r="14572" spans="7:16" x14ac:dyDescent="0.2">
      <c r="G14572" s="199"/>
      <c r="I14572" s="199"/>
      <c r="K14572" s="199"/>
      <c r="M14572" s="199"/>
      <c r="N14572" s="200"/>
      <c r="P14572" s="199"/>
    </row>
    <row r="14573" spans="7:16" x14ac:dyDescent="0.2">
      <c r="G14573" s="199"/>
      <c r="I14573" s="199"/>
      <c r="K14573" s="199"/>
      <c r="M14573" s="199"/>
      <c r="N14573" s="200"/>
      <c r="P14573" s="199"/>
    </row>
    <row r="14574" spans="7:16" x14ac:dyDescent="0.2">
      <c r="G14574" s="199"/>
      <c r="I14574" s="199"/>
      <c r="K14574" s="199"/>
      <c r="M14574" s="199"/>
      <c r="N14574" s="200"/>
      <c r="P14574" s="199"/>
    </row>
    <row r="14575" spans="7:16" x14ac:dyDescent="0.2">
      <c r="G14575" s="199"/>
      <c r="I14575" s="199"/>
      <c r="K14575" s="199"/>
      <c r="M14575" s="199"/>
      <c r="N14575" s="200"/>
      <c r="P14575" s="199"/>
    </row>
    <row r="14576" spans="7:16" x14ac:dyDescent="0.2">
      <c r="G14576" s="199"/>
      <c r="I14576" s="199"/>
      <c r="K14576" s="199"/>
      <c r="M14576" s="199"/>
      <c r="N14576" s="200"/>
      <c r="P14576" s="199"/>
    </row>
    <row r="14577" spans="7:16" x14ac:dyDescent="0.2">
      <c r="G14577" s="199"/>
      <c r="I14577" s="199"/>
      <c r="K14577" s="199"/>
      <c r="M14577" s="199"/>
      <c r="N14577" s="200"/>
      <c r="P14577" s="199"/>
    </row>
    <row r="14578" spans="7:16" x14ac:dyDescent="0.2">
      <c r="G14578" s="199"/>
      <c r="I14578" s="199"/>
      <c r="K14578" s="199"/>
      <c r="M14578" s="199"/>
      <c r="N14578" s="200"/>
      <c r="P14578" s="199"/>
    </row>
    <row r="14579" spans="7:16" x14ac:dyDescent="0.2">
      <c r="G14579" s="199"/>
      <c r="I14579" s="199"/>
      <c r="K14579" s="199"/>
      <c r="M14579" s="199"/>
      <c r="N14579" s="200"/>
      <c r="P14579" s="199"/>
    </row>
    <row r="14580" spans="7:16" x14ac:dyDescent="0.2">
      <c r="G14580" s="199"/>
      <c r="I14580" s="199"/>
      <c r="K14580" s="199"/>
      <c r="M14580" s="199"/>
      <c r="N14580" s="200"/>
      <c r="P14580" s="199"/>
    </row>
    <row r="14581" spans="7:16" x14ac:dyDescent="0.2">
      <c r="G14581" s="199"/>
      <c r="I14581" s="199"/>
      <c r="K14581" s="199"/>
      <c r="M14581" s="199"/>
      <c r="N14581" s="200"/>
      <c r="P14581" s="199"/>
    </row>
    <row r="14582" spans="7:16" x14ac:dyDescent="0.2">
      <c r="G14582" s="199"/>
      <c r="I14582" s="199"/>
      <c r="K14582" s="199"/>
      <c r="M14582" s="199"/>
      <c r="N14582" s="200"/>
      <c r="P14582" s="199"/>
    </row>
    <row r="14583" spans="7:16" x14ac:dyDescent="0.2">
      <c r="G14583" s="199"/>
      <c r="I14583" s="199"/>
      <c r="K14583" s="199"/>
      <c r="M14583" s="199"/>
      <c r="N14583" s="200"/>
      <c r="P14583" s="199"/>
    </row>
    <row r="14584" spans="7:16" x14ac:dyDescent="0.2">
      <c r="G14584" s="199"/>
      <c r="I14584" s="199"/>
      <c r="K14584" s="199"/>
      <c r="M14584" s="199"/>
      <c r="N14584" s="200"/>
      <c r="P14584" s="199"/>
    </row>
    <row r="14585" spans="7:16" x14ac:dyDescent="0.2">
      <c r="G14585" s="199"/>
      <c r="I14585" s="199"/>
      <c r="K14585" s="199"/>
      <c r="M14585" s="199"/>
      <c r="N14585" s="200"/>
      <c r="P14585" s="199"/>
    </row>
    <row r="14586" spans="7:16" x14ac:dyDescent="0.2">
      <c r="G14586" s="199"/>
      <c r="I14586" s="199"/>
      <c r="K14586" s="199"/>
      <c r="M14586" s="199"/>
      <c r="N14586" s="200"/>
      <c r="P14586" s="199"/>
    </row>
    <row r="14587" spans="7:16" x14ac:dyDescent="0.2">
      <c r="G14587" s="199"/>
      <c r="I14587" s="199"/>
      <c r="K14587" s="199"/>
      <c r="M14587" s="199"/>
      <c r="N14587" s="200"/>
      <c r="P14587" s="199"/>
    </row>
    <row r="14588" spans="7:16" x14ac:dyDescent="0.2">
      <c r="G14588" s="199"/>
      <c r="I14588" s="199"/>
      <c r="K14588" s="199"/>
      <c r="M14588" s="199"/>
      <c r="N14588" s="200"/>
      <c r="P14588" s="199"/>
    </row>
    <row r="14589" spans="7:16" x14ac:dyDescent="0.2">
      <c r="G14589" s="199"/>
      <c r="I14589" s="199"/>
      <c r="K14589" s="199"/>
      <c r="M14589" s="199"/>
      <c r="N14589" s="200"/>
      <c r="P14589" s="199"/>
    </row>
    <row r="14590" spans="7:16" x14ac:dyDescent="0.2">
      <c r="G14590" s="199"/>
      <c r="I14590" s="199"/>
      <c r="K14590" s="199"/>
      <c r="M14590" s="199"/>
      <c r="N14590" s="200"/>
      <c r="P14590" s="199"/>
    </row>
    <row r="14591" spans="7:16" x14ac:dyDescent="0.2">
      <c r="G14591" s="199"/>
      <c r="I14591" s="199"/>
      <c r="K14591" s="199"/>
      <c r="M14591" s="199"/>
      <c r="N14591" s="200"/>
      <c r="P14591" s="199"/>
    </row>
    <row r="14592" spans="7:16" x14ac:dyDescent="0.2">
      <c r="G14592" s="199"/>
      <c r="I14592" s="199"/>
      <c r="K14592" s="199"/>
      <c r="M14592" s="199"/>
      <c r="N14592" s="200"/>
      <c r="P14592" s="199"/>
    </row>
    <row r="14593" spans="7:16" x14ac:dyDescent="0.2">
      <c r="G14593" s="199"/>
      <c r="I14593" s="199"/>
      <c r="K14593" s="199"/>
      <c r="M14593" s="199"/>
      <c r="N14593" s="200"/>
      <c r="P14593" s="199"/>
    </row>
    <row r="14594" spans="7:16" x14ac:dyDescent="0.2">
      <c r="G14594" s="199"/>
      <c r="I14594" s="199"/>
      <c r="K14594" s="199"/>
      <c r="M14594" s="199"/>
      <c r="N14594" s="200"/>
      <c r="P14594" s="199"/>
    </row>
    <row r="14595" spans="7:16" x14ac:dyDescent="0.2">
      <c r="G14595" s="199"/>
      <c r="I14595" s="199"/>
      <c r="K14595" s="199"/>
      <c r="M14595" s="199"/>
      <c r="N14595" s="200"/>
      <c r="P14595" s="199"/>
    </row>
    <row r="14596" spans="7:16" x14ac:dyDescent="0.2">
      <c r="G14596" s="199"/>
      <c r="I14596" s="199"/>
      <c r="K14596" s="199"/>
      <c r="M14596" s="199"/>
      <c r="N14596" s="200"/>
      <c r="P14596" s="199"/>
    </row>
    <row r="14597" spans="7:16" x14ac:dyDescent="0.2">
      <c r="G14597" s="199"/>
      <c r="I14597" s="199"/>
      <c r="K14597" s="199"/>
      <c r="M14597" s="199"/>
      <c r="N14597" s="200"/>
      <c r="P14597" s="199"/>
    </row>
    <row r="14598" spans="7:16" x14ac:dyDescent="0.2">
      <c r="G14598" s="199"/>
      <c r="I14598" s="199"/>
      <c r="K14598" s="199"/>
      <c r="M14598" s="199"/>
      <c r="N14598" s="200"/>
      <c r="P14598" s="199"/>
    </row>
    <row r="14599" spans="7:16" x14ac:dyDescent="0.2">
      <c r="G14599" s="199"/>
      <c r="I14599" s="199"/>
      <c r="K14599" s="199"/>
      <c r="M14599" s="199"/>
      <c r="N14599" s="200"/>
      <c r="P14599" s="199"/>
    </row>
    <row r="14600" spans="7:16" x14ac:dyDescent="0.2">
      <c r="G14600" s="199"/>
      <c r="I14600" s="199"/>
      <c r="K14600" s="199"/>
      <c r="M14600" s="199"/>
      <c r="N14600" s="200"/>
      <c r="P14600" s="199"/>
    </row>
    <row r="14601" spans="7:16" x14ac:dyDescent="0.2">
      <c r="G14601" s="199"/>
      <c r="I14601" s="199"/>
      <c r="K14601" s="199"/>
      <c r="M14601" s="199"/>
      <c r="N14601" s="200"/>
      <c r="P14601" s="199"/>
    </row>
    <row r="14602" spans="7:16" x14ac:dyDescent="0.2">
      <c r="G14602" s="199"/>
      <c r="I14602" s="199"/>
      <c r="K14602" s="199"/>
      <c r="M14602" s="199"/>
      <c r="N14602" s="200"/>
      <c r="P14602" s="199"/>
    </row>
    <row r="14603" spans="7:16" x14ac:dyDescent="0.2">
      <c r="G14603" s="199"/>
      <c r="I14603" s="199"/>
      <c r="K14603" s="199"/>
      <c r="M14603" s="199"/>
      <c r="N14603" s="200"/>
      <c r="P14603" s="199"/>
    </row>
    <row r="14604" spans="7:16" x14ac:dyDescent="0.2">
      <c r="G14604" s="199"/>
      <c r="I14604" s="199"/>
      <c r="K14604" s="199"/>
      <c r="M14604" s="199"/>
      <c r="N14604" s="200"/>
      <c r="P14604" s="199"/>
    </row>
    <row r="14605" spans="7:16" x14ac:dyDescent="0.2">
      <c r="G14605" s="199"/>
      <c r="I14605" s="199"/>
      <c r="K14605" s="199"/>
      <c r="M14605" s="199"/>
      <c r="N14605" s="200"/>
      <c r="P14605" s="199"/>
    </row>
    <row r="14606" spans="7:16" x14ac:dyDescent="0.2">
      <c r="G14606" s="199"/>
      <c r="I14606" s="199"/>
      <c r="K14606" s="199"/>
      <c r="M14606" s="199"/>
      <c r="N14606" s="200"/>
      <c r="P14606" s="199"/>
    </row>
    <row r="14607" spans="7:16" x14ac:dyDescent="0.2">
      <c r="G14607" s="199"/>
      <c r="I14607" s="199"/>
      <c r="K14607" s="199"/>
      <c r="M14607" s="199"/>
      <c r="N14607" s="200"/>
      <c r="P14607" s="199"/>
    </row>
    <row r="14608" spans="7:16" x14ac:dyDescent="0.2">
      <c r="G14608" s="199"/>
      <c r="I14608" s="199"/>
      <c r="K14608" s="199"/>
      <c r="M14608" s="199"/>
      <c r="N14608" s="200"/>
      <c r="P14608" s="199"/>
    </row>
    <row r="14609" spans="7:16" x14ac:dyDescent="0.2">
      <c r="G14609" s="199"/>
      <c r="I14609" s="199"/>
      <c r="K14609" s="199"/>
      <c r="M14609" s="199"/>
      <c r="N14609" s="200"/>
      <c r="P14609" s="199"/>
    </row>
    <row r="14610" spans="7:16" x14ac:dyDescent="0.2">
      <c r="G14610" s="199"/>
      <c r="I14610" s="199"/>
      <c r="K14610" s="199"/>
      <c r="M14610" s="199"/>
      <c r="N14610" s="200"/>
      <c r="P14610" s="199"/>
    </row>
    <row r="14611" spans="7:16" x14ac:dyDescent="0.2">
      <c r="G14611" s="199"/>
      <c r="I14611" s="199"/>
      <c r="K14611" s="199"/>
      <c r="M14611" s="199"/>
      <c r="N14611" s="200"/>
      <c r="P14611" s="199"/>
    </row>
    <row r="14612" spans="7:16" x14ac:dyDescent="0.2">
      <c r="G14612" s="199"/>
      <c r="I14612" s="199"/>
      <c r="K14612" s="199"/>
      <c r="M14612" s="199"/>
      <c r="N14612" s="200"/>
      <c r="P14612" s="199"/>
    </row>
    <row r="14613" spans="7:16" x14ac:dyDescent="0.2">
      <c r="G14613" s="199"/>
      <c r="I14613" s="199"/>
      <c r="K14613" s="199"/>
      <c r="M14613" s="199"/>
      <c r="N14613" s="200"/>
      <c r="P14613" s="199"/>
    </row>
    <row r="14614" spans="7:16" x14ac:dyDescent="0.2">
      <c r="G14614" s="199"/>
      <c r="I14614" s="199"/>
      <c r="K14614" s="199"/>
      <c r="M14614" s="199"/>
      <c r="N14614" s="200"/>
      <c r="P14614" s="199"/>
    </row>
    <row r="14615" spans="7:16" x14ac:dyDescent="0.2">
      <c r="G14615" s="199"/>
      <c r="I14615" s="199"/>
      <c r="K14615" s="199"/>
      <c r="M14615" s="199"/>
      <c r="N14615" s="200"/>
      <c r="P14615" s="199"/>
    </row>
    <row r="14616" spans="7:16" x14ac:dyDescent="0.2">
      <c r="G14616" s="199"/>
      <c r="I14616" s="199"/>
      <c r="K14616" s="199"/>
      <c r="M14616" s="199"/>
      <c r="N14616" s="200"/>
      <c r="P14616" s="199"/>
    </row>
    <row r="14617" spans="7:16" x14ac:dyDescent="0.2">
      <c r="G14617" s="199"/>
      <c r="I14617" s="199"/>
      <c r="K14617" s="199"/>
      <c r="M14617" s="199"/>
      <c r="N14617" s="200"/>
      <c r="P14617" s="199"/>
    </row>
    <row r="14618" spans="7:16" x14ac:dyDescent="0.2">
      <c r="G14618" s="199"/>
      <c r="I14618" s="199"/>
      <c r="K14618" s="199"/>
      <c r="M14618" s="199"/>
      <c r="N14618" s="200"/>
      <c r="P14618" s="199"/>
    </row>
    <row r="14619" spans="7:16" x14ac:dyDescent="0.2">
      <c r="G14619" s="199"/>
      <c r="I14619" s="199"/>
      <c r="K14619" s="199"/>
      <c r="M14619" s="199"/>
      <c r="N14619" s="200"/>
      <c r="P14619" s="199"/>
    </row>
    <row r="14620" spans="7:16" x14ac:dyDescent="0.2">
      <c r="G14620" s="199"/>
      <c r="I14620" s="199"/>
      <c r="K14620" s="199"/>
      <c r="M14620" s="199"/>
      <c r="N14620" s="200"/>
      <c r="P14620" s="199"/>
    </row>
    <row r="14621" spans="7:16" x14ac:dyDescent="0.2">
      <c r="G14621" s="199"/>
      <c r="I14621" s="199"/>
      <c r="K14621" s="199"/>
      <c r="M14621" s="199"/>
      <c r="N14621" s="200"/>
      <c r="P14621" s="199"/>
    </row>
    <row r="14622" spans="7:16" x14ac:dyDescent="0.2">
      <c r="G14622" s="199"/>
      <c r="I14622" s="199"/>
      <c r="K14622" s="199"/>
      <c r="M14622" s="199"/>
      <c r="N14622" s="200"/>
      <c r="P14622" s="199"/>
    </row>
    <row r="14623" spans="7:16" x14ac:dyDescent="0.2">
      <c r="G14623" s="199"/>
      <c r="I14623" s="199"/>
      <c r="K14623" s="199"/>
      <c r="M14623" s="199"/>
      <c r="N14623" s="200"/>
      <c r="P14623" s="199"/>
    </row>
    <row r="14624" spans="7:16" x14ac:dyDescent="0.2">
      <c r="G14624" s="199"/>
      <c r="I14624" s="199"/>
      <c r="K14624" s="199"/>
      <c r="M14624" s="199"/>
      <c r="N14624" s="200"/>
      <c r="P14624" s="199"/>
    </row>
    <row r="14625" spans="7:16" x14ac:dyDescent="0.2">
      <c r="G14625" s="199"/>
      <c r="I14625" s="199"/>
      <c r="K14625" s="199"/>
      <c r="M14625" s="199"/>
      <c r="N14625" s="200"/>
      <c r="P14625" s="199"/>
    </row>
    <row r="14626" spans="7:16" x14ac:dyDescent="0.2">
      <c r="G14626" s="199"/>
      <c r="I14626" s="199"/>
      <c r="K14626" s="199"/>
      <c r="M14626" s="199"/>
      <c r="N14626" s="200"/>
      <c r="P14626" s="199"/>
    </row>
    <row r="14627" spans="7:16" x14ac:dyDescent="0.2">
      <c r="G14627" s="199"/>
      <c r="I14627" s="199"/>
      <c r="K14627" s="199"/>
      <c r="M14627" s="199"/>
      <c r="N14627" s="200"/>
      <c r="P14627" s="199"/>
    </row>
    <row r="14628" spans="7:16" x14ac:dyDescent="0.2">
      <c r="G14628" s="199"/>
      <c r="I14628" s="199"/>
      <c r="K14628" s="199"/>
      <c r="M14628" s="199"/>
      <c r="N14628" s="200"/>
      <c r="P14628" s="199"/>
    </row>
    <row r="14629" spans="7:16" x14ac:dyDescent="0.2">
      <c r="G14629" s="199"/>
      <c r="I14629" s="199"/>
      <c r="K14629" s="199"/>
      <c r="M14629" s="199"/>
      <c r="N14629" s="200"/>
      <c r="P14629" s="199"/>
    </row>
    <row r="14630" spans="7:16" x14ac:dyDescent="0.2">
      <c r="G14630" s="199"/>
      <c r="I14630" s="199"/>
      <c r="K14630" s="199"/>
      <c r="M14630" s="199"/>
      <c r="N14630" s="200"/>
      <c r="P14630" s="199"/>
    </row>
    <row r="14631" spans="7:16" x14ac:dyDescent="0.2">
      <c r="G14631" s="199"/>
      <c r="I14631" s="199"/>
      <c r="K14631" s="199"/>
      <c r="M14631" s="199"/>
      <c r="N14631" s="200"/>
      <c r="P14631" s="199"/>
    </row>
    <row r="14632" spans="7:16" x14ac:dyDescent="0.2">
      <c r="G14632" s="199"/>
      <c r="I14632" s="199"/>
      <c r="K14632" s="199"/>
      <c r="M14632" s="199"/>
      <c r="N14632" s="200"/>
      <c r="P14632" s="199"/>
    </row>
    <row r="14633" spans="7:16" x14ac:dyDescent="0.2">
      <c r="G14633" s="199"/>
      <c r="I14633" s="199"/>
      <c r="K14633" s="199"/>
      <c r="M14633" s="199"/>
      <c r="N14633" s="200"/>
      <c r="P14633" s="199"/>
    </row>
    <row r="14634" spans="7:16" x14ac:dyDescent="0.2">
      <c r="G14634" s="199"/>
      <c r="I14634" s="199"/>
      <c r="K14634" s="199"/>
      <c r="M14634" s="199"/>
      <c r="N14634" s="200"/>
      <c r="P14634" s="199"/>
    </row>
    <row r="14635" spans="7:16" x14ac:dyDescent="0.2">
      <c r="G14635" s="199"/>
      <c r="I14635" s="199"/>
      <c r="K14635" s="199"/>
      <c r="M14635" s="199"/>
      <c r="N14635" s="200"/>
      <c r="P14635" s="199"/>
    </row>
    <row r="14636" spans="7:16" x14ac:dyDescent="0.2">
      <c r="G14636" s="199"/>
      <c r="I14636" s="199"/>
      <c r="K14636" s="199"/>
      <c r="M14636" s="199"/>
      <c r="N14636" s="200"/>
      <c r="P14636" s="199"/>
    </row>
    <row r="14637" spans="7:16" x14ac:dyDescent="0.2">
      <c r="G14637" s="199"/>
      <c r="I14637" s="199"/>
      <c r="K14637" s="199"/>
      <c r="M14637" s="199"/>
      <c r="N14637" s="200"/>
      <c r="P14637" s="199"/>
    </row>
    <row r="14638" spans="7:16" x14ac:dyDescent="0.2">
      <c r="G14638" s="199"/>
      <c r="I14638" s="199"/>
      <c r="K14638" s="199"/>
      <c r="M14638" s="199"/>
      <c r="N14638" s="200"/>
      <c r="P14638" s="199"/>
    </row>
    <row r="14639" spans="7:16" x14ac:dyDescent="0.2">
      <c r="G14639" s="199"/>
      <c r="I14639" s="199"/>
      <c r="K14639" s="199"/>
      <c r="M14639" s="199"/>
      <c r="N14639" s="200"/>
      <c r="P14639" s="199"/>
    </row>
    <row r="14640" spans="7:16" x14ac:dyDescent="0.2">
      <c r="G14640" s="199"/>
      <c r="I14640" s="199"/>
      <c r="K14640" s="199"/>
      <c r="M14640" s="199"/>
      <c r="N14640" s="200"/>
      <c r="P14640" s="199"/>
    </row>
    <row r="14641" spans="7:16" x14ac:dyDescent="0.2">
      <c r="G14641" s="199"/>
      <c r="I14641" s="199"/>
      <c r="K14641" s="199"/>
      <c r="M14641" s="199"/>
      <c r="N14641" s="200"/>
      <c r="P14641" s="199"/>
    </row>
    <row r="14642" spans="7:16" x14ac:dyDescent="0.2">
      <c r="G14642" s="199"/>
      <c r="I14642" s="199"/>
      <c r="K14642" s="199"/>
      <c r="M14642" s="199"/>
      <c r="N14642" s="200"/>
      <c r="P14642" s="199"/>
    </row>
    <row r="14643" spans="7:16" x14ac:dyDescent="0.2">
      <c r="G14643" s="199"/>
      <c r="I14643" s="199"/>
      <c r="K14643" s="199"/>
      <c r="M14643" s="199"/>
      <c r="N14643" s="200"/>
      <c r="P14643" s="199"/>
    </row>
    <row r="14644" spans="7:16" x14ac:dyDescent="0.2">
      <c r="G14644" s="199"/>
      <c r="I14644" s="199"/>
      <c r="K14644" s="199"/>
      <c r="M14644" s="199"/>
      <c r="N14644" s="200"/>
      <c r="P14644" s="199"/>
    </row>
    <row r="14645" spans="7:16" x14ac:dyDescent="0.2">
      <c r="G14645" s="199"/>
      <c r="I14645" s="199"/>
      <c r="K14645" s="199"/>
      <c r="M14645" s="199"/>
      <c r="N14645" s="200"/>
      <c r="P14645" s="199"/>
    </row>
    <row r="14646" spans="7:16" x14ac:dyDescent="0.2">
      <c r="G14646" s="199"/>
      <c r="I14646" s="199"/>
      <c r="K14646" s="199"/>
      <c r="M14646" s="199"/>
      <c r="N14646" s="200"/>
      <c r="P14646" s="199"/>
    </row>
    <row r="14647" spans="7:16" x14ac:dyDescent="0.2">
      <c r="G14647" s="199"/>
      <c r="I14647" s="199"/>
      <c r="K14647" s="199"/>
      <c r="M14647" s="199"/>
      <c r="N14647" s="200"/>
      <c r="P14647" s="199"/>
    </row>
    <row r="14648" spans="7:16" x14ac:dyDescent="0.2">
      <c r="G14648" s="199"/>
      <c r="I14648" s="199"/>
      <c r="K14648" s="199"/>
      <c r="M14648" s="199"/>
      <c r="N14648" s="200"/>
      <c r="P14648" s="199"/>
    </row>
    <row r="14649" spans="7:16" x14ac:dyDescent="0.2">
      <c r="G14649" s="199"/>
      <c r="I14649" s="199"/>
      <c r="K14649" s="199"/>
      <c r="M14649" s="199"/>
      <c r="N14649" s="200"/>
      <c r="P14649" s="199"/>
    </row>
    <row r="14650" spans="7:16" x14ac:dyDescent="0.2">
      <c r="G14650" s="199"/>
      <c r="I14650" s="199"/>
      <c r="K14650" s="199"/>
      <c r="M14650" s="199"/>
      <c r="N14650" s="200"/>
      <c r="P14650" s="199"/>
    </row>
    <row r="14651" spans="7:16" x14ac:dyDescent="0.2">
      <c r="G14651" s="199"/>
      <c r="I14651" s="199"/>
      <c r="K14651" s="199"/>
      <c r="M14651" s="199"/>
      <c r="N14651" s="200"/>
      <c r="P14651" s="199"/>
    </row>
    <row r="14652" spans="7:16" x14ac:dyDescent="0.2">
      <c r="G14652" s="199"/>
      <c r="I14652" s="199"/>
      <c r="K14652" s="199"/>
      <c r="M14652" s="199"/>
      <c r="N14652" s="200"/>
      <c r="P14652" s="199"/>
    </row>
    <row r="14653" spans="7:16" x14ac:dyDescent="0.2">
      <c r="G14653" s="199"/>
      <c r="I14653" s="199"/>
      <c r="K14653" s="199"/>
      <c r="M14653" s="199"/>
      <c r="N14653" s="200"/>
      <c r="P14653" s="199"/>
    </row>
    <row r="14654" spans="7:16" x14ac:dyDescent="0.2">
      <c r="G14654" s="199"/>
      <c r="I14654" s="199"/>
      <c r="K14654" s="199"/>
      <c r="M14654" s="199"/>
      <c r="N14654" s="200"/>
      <c r="P14654" s="199"/>
    </row>
    <row r="14655" spans="7:16" x14ac:dyDescent="0.2">
      <c r="G14655" s="199"/>
      <c r="I14655" s="199"/>
      <c r="K14655" s="199"/>
      <c r="M14655" s="199"/>
      <c r="N14655" s="200"/>
      <c r="P14655" s="199"/>
    </row>
    <row r="14656" spans="7:16" x14ac:dyDescent="0.2">
      <c r="G14656" s="199"/>
      <c r="I14656" s="199"/>
      <c r="K14656" s="199"/>
      <c r="M14656" s="199"/>
      <c r="N14656" s="200"/>
      <c r="P14656" s="199"/>
    </row>
    <row r="14657" spans="7:16" x14ac:dyDescent="0.2">
      <c r="G14657" s="199"/>
      <c r="I14657" s="199"/>
      <c r="K14657" s="199"/>
      <c r="M14657" s="199"/>
      <c r="N14657" s="200"/>
      <c r="P14657" s="199"/>
    </row>
    <row r="14658" spans="7:16" x14ac:dyDescent="0.2">
      <c r="G14658" s="199"/>
      <c r="I14658" s="199"/>
      <c r="K14658" s="199"/>
      <c r="M14658" s="199"/>
      <c r="N14658" s="200"/>
      <c r="P14658" s="199"/>
    </row>
    <row r="14659" spans="7:16" x14ac:dyDescent="0.2">
      <c r="G14659" s="199"/>
      <c r="I14659" s="199"/>
      <c r="K14659" s="199"/>
      <c r="M14659" s="199"/>
      <c r="N14659" s="200"/>
      <c r="P14659" s="199"/>
    </row>
    <row r="14660" spans="7:16" x14ac:dyDescent="0.2">
      <c r="G14660" s="199"/>
      <c r="I14660" s="199"/>
      <c r="K14660" s="199"/>
      <c r="M14660" s="199"/>
      <c r="N14660" s="200"/>
      <c r="P14660" s="199"/>
    </row>
    <row r="14661" spans="7:16" x14ac:dyDescent="0.2">
      <c r="G14661" s="199"/>
      <c r="I14661" s="199"/>
      <c r="K14661" s="199"/>
      <c r="M14661" s="199"/>
      <c r="N14661" s="200"/>
      <c r="P14661" s="199"/>
    </row>
    <row r="14662" spans="7:16" x14ac:dyDescent="0.2">
      <c r="G14662" s="199"/>
      <c r="I14662" s="199"/>
      <c r="K14662" s="199"/>
      <c r="M14662" s="199"/>
      <c r="N14662" s="200"/>
      <c r="P14662" s="199"/>
    </row>
    <row r="14663" spans="7:16" x14ac:dyDescent="0.2">
      <c r="G14663" s="199"/>
      <c r="I14663" s="199"/>
      <c r="K14663" s="199"/>
      <c r="M14663" s="199"/>
      <c r="N14663" s="200"/>
      <c r="P14663" s="199"/>
    </row>
    <row r="14664" spans="7:16" x14ac:dyDescent="0.2">
      <c r="G14664" s="199"/>
      <c r="I14664" s="199"/>
      <c r="K14664" s="199"/>
      <c r="M14664" s="199"/>
      <c r="N14664" s="200"/>
      <c r="P14664" s="199"/>
    </row>
    <row r="14665" spans="7:16" x14ac:dyDescent="0.2">
      <c r="G14665" s="199"/>
      <c r="I14665" s="199"/>
      <c r="K14665" s="199"/>
      <c r="M14665" s="199"/>
      <c r="N14665" s="200"/>
      <c r="P14665" s="199"/>
    </row>
    <row r="14666" spans="7:16" x14ac:dyDescent="0.2">
      <c r="G14666" s="199"/>
      <c r="I14666" s="199"/>
      <c r="K14666" s="199"/>
      <c r="M14666" s="199"/>
      <c r="N14666" s="200"/>
      <c r="P14666" s="199"/>
    </row>
    <row r="14667" spans="7:16" x14ac:dyDescent="0.2">
      <c r="G14667" s="199"/>
      <c r="I14667" s="199"/>
      <c r="K14667" s="199"/>
      <c r="M14667" s="199"/>
      <c r="N14667" s="200"/>
      <c r="P14667" s="199"/>
    </row>
    <row r="14668" spans="7:16" x14ac:dyDescent="0.2">
      <c r="G14668" s="199"/>
      <c r="I14668" s="199"/>
      <c r="K14668" s="199"/>
      <c r="M14668" s="199"/>
      <c r="N14668" s="200"/>
      <c r="P14668" s="199"/>
    </row>
    <row r="14669" spans="7:16" x14ac:dyDescent="0.2">
      <c r="G14669" s="199"/>
      <c r="I14669" s="199"/>
      <c r="K14669" s="199"/>
      <c r="M14669" s="199"/>
      <c r="N14669" s="200"/>
      <c r="P14669" s="199"/>
    </row>
    <row r="14670" spans="7:16" x14ac:dyDescent="0.2">
      <c r="G14670" s="199"/>
      <c r="I14670" s="199"/>
      <c r="K14670" s="199"/>
      <c r="M14670" s="199"/>
      <c r="N14670" s="200"/>
      <c r="P14670" s="199"/>
    </row>
    <row r="14671" spans="7:16" x14ac:dyDescent="0.2">
      <c r="G14671" s="199"/>
      <c r="I14671" s="199"/>
      <c r="K14671" s="199"/>
      <c r="M14671" s="199"/>
      <c r="N14671" s="200"/>
      <c r="P14671" s="199"/>
    </row>
    <row r="14672" spans="7:16" x14ac:dyDescent="0.2">
      <c r="G14672" s="199"/>
      <c r="I14672" s="199"/>
      <c r="K14672" s="199"/>
      <c r="M14672" s="199"/>
      <c r="N14672" s="200"/>
      <c r="P14672" s="199"/>
    </row>
    <row r="14673" spans="7:16" x14ac:dyDescent="0.2">
      <c r="G14673" s="199"/>
      <c r="I14673" s="199"/>
      <c r="K14673" s="199"/>
      <c r="M14673" s="199"/>
      <c r="N14673" s="200"/>
      <c r="P14673" s="199"/>
    </row>
    <row r="14674" spans="7:16" x14ac:dyDescent="0.2">
      <c r="G14674" s="199"/>
      <c r="I14674" s="199"/>
      <c r="K14674" s="199"/>
      <c r="M14674" s="199"/>
      <c r="N14674" s="200"/>
      <c r="P14674" s="199"/>
    </row>
    <row r="14675" spans="7:16" x14ac:dyDescent="0.2">
      <c r="G14675" s="199"/>
      <c r="I14675" s="199"/>
      <c r="K14675" s="199"/>
      <c r="M14675" s="199"/>
      <c r="N14675" s="200"/>
      <c r="P14675" s="199"/>
    </row>
    <row r="14676" spans="7:16" x14ac:dyDescent="0.2">
      <c r="G14676" s="199"/>
      <c r="I14676" s="199"/>
      <c r="K14676" s="199"/>
      <c r="M14676" s="199"/>
      <c r="N14676" s="200"/>
      <c r="P14676" s="199"/>
    </row>
    <row r="14677" spans="7:16" x14ac:dyDescent="0.2">
      <c r="G14677" s="199"/>
      <c r="I14677" s="199"/>
      <c r="K14677" s="199"/>
      <c r="M14677" s="199"/>
      <c r="N14677" s="200"/>
      <c r="P14677" s="199"/>
    </row>
    <row r="14678" spans="7:16" x14ac:dyDescent="0.2">
      <c r="G14678" s="199"/>
      <c r="I14678" s="199"/>
      <c r="K14678" s="199"/>
      <c r="M14678" s="199"/>
      <c r="N14678" s="200"/>
      <c r="P14678" s="199"/>
    </row>
    <row r="14679" spans="7:16" x14ac:dyDescent="0.2">
      <c r="G14679" s="199"/>
      <c r="I14679" s="199"/>
      <c r="K14679" s="199"/>
      <c r="M14679" s="199"/>
      <c r="N14679" s="200"/>
      <c r="P14679" s="199"/>
    </row>
    <row r="14680" spans="7:16" x14ac:dyDescent="0.2">
      <c r="G14680" s="199"/>
      <c r="I14680" s="199"/>
      <c r="K14680" s="199"/>
      <c r="M14680" s="199"/>
      <c r="N14680" s="200"/>
      <c r="P14680" s="199"/>
    </row>
    <row r="14681" spans="7:16" x14ac:dyDescent="0.2">
      <c r="G14681" s="199"/>
      <c r="I14681" s="199"/>
      <c r="K14681" s="199"/>
      <c r="M14681" s="199"/>
      <c r="N14681" s="200"/>
      <c r="P14681" s="199"/>
    </row>
    <row r="14682" spans="7:16" x14ac:dyDescent="0.2">
      <c r="G14682" s="199"/>
      <c r="I14682" s="199"/>
      <c r="K14682" s="199"/>
      <c r="M14682" s="199"/>
      <c r="N14682" s="200"/>
      <c r="P14682" s="199"/>
    </row>
    <row r="14683" spans="7:16" x14ac:dyDescent="0.2">
      <c r="G14683" s="199"/>
      <c r="I14683" s="199"/>
      <c r="K14683" s="199"/>
      <c r="M14683" s="199"/>
      <c r="N14683" s="200"/>
      <c r="P14683" s="199"/>
    </row>
    <row r="14684" spans="7:16" x14ac:dyDescent="0.2">
      <c r="G14684" s="199"/>
      <c r="I14684" s="199"/>
      <c r="K14684" s="199"/>
      <c r="M14684" s="199"/>
      <c r="N14684" s="200"/>
      <c r="P14684" s="199"/>
    </row>
    <row r="14685" spans="7:16" x14ac:dyDescent="0.2">
      <c r="G14685" s="199"/>
      <c r="I14685" s="199"/>
      <c r="K14685" s="199"/>
      <c r="M14685" s="199"/>
      <c r="N14685" s="200"/>
      <c r="P14685" s="199"/>
    </row>
    <row r="14686" spans="7:16" x14ac:dyDescent="0.2">
      <c r="G14686" s="199"/>
      <c r="I14686" s="199"/>
      <c r="K14686" s="199"/>
      <c r="M14686" s="199"/>
      <c r="N14686" s="200"/>
      <c r="P14686" s="199"/>
    </row>
    <row r="14687" spans="7:16" x14ac:dyDescent="0.2">
      <c r="G14687" s="199"/>
      <c r="I14687" s="199"/>
      <c r="K14687" s="199"/>
      <c r="M14687" s="199"/>
      <c r="N14687" s="200"/>
      <c r="P14687" s="199"/>
    </row>
    <row r="14688" spans="7:16" x14ac:dyDescent="0.2">
      <c r="G14688" s="199"/>
      <c r="I14688" s="199"/>
      <c r="K14688" s="199"/>
      <c r="M14688" s="199"/>
      <c r="N14688" s="200"/>
      <c r="P14688" s="199"/>
    </row>
    <row r="14689" spans="7:16" x14ac:dyDescent="0.2">
      <c r="G14689" s="199"/>
      <c r="I14689" s="199"/>
      <c r="K14689" s="199"/>
      <c r="M14689" s="199"/>
      <c r="N14689" s="200"/>
      <c r="P14689" s="199"/>
    </row>
    <row r="14690" spans="7:16" x14ac:dyDescent="0.2">
      <c r="G14690" s="199"/>
      <c r="I14690" s="199"/>
      <c r="K14690" s="199"/>
      <c r="M14690" s="199"/>
      <c r="N14690" s="200"/>
      <c r="P14690" s="199"/>
    </row>
    <row r="14691" spans="7:16" x14ac:dyDescent="0.2">
      <c r="G14691" s="199"/>
      <c r="I14691" s="199"/>
      <c r="K14691" s="199"/>
      <c r="M14691" s="199"/>
      <c r="N14691" s="200"/>
      <c r="P14691" s="199"/>
    </row>
    <row r="14692" spans="7:16" x14ac:dyDescent="0.2">
      <c r="G14692" s="199"/>
      <c r="I14692" s="199"/>
      <c r="K14692" s="199"/>
      <c r="M14692" s="199"/>
      <c r="N14692" s="200"/>
      <c r="P14692" s="199"/>
    </row>
    <row r="14693" spans="7:16" x14ac:dyDescent="0.2">
      <c r="G14693" s="199"/>
      <c r="I14693" s="199"/>
      <c r="K14693" s="199"/>
      <c r="M14693" s="199"/>
      <c r="N14693" s="200"/>
      <c r="P14693" s="199"/>
    </row>
    <row r="14694" spans="7:16" x14ac:dyDescent="0.2">
      <c r="G14694" s="199"/>
      <c r="I14694" s="199"/>
      <c r="K14694" s="199"/>
      <c r="M14694" s="199"/>
      <c r="N14694" s="200"/>
      <c r="P14694" s="199"/>
    </row>
    <row r="14695" spans="7:16" x14ac:dyDescent="0.2">
      <c r="G14695" s="199"/>
      <c r="I14695" s="199"/>
      <c r="K14695" s="199"/>
      <c r="M14695" s="199"/>
      <c r="N14695" s="200"/>
      <c r="P14695" s="199"/>
    </row>
    <row r="14696" spans="7:16" x14ac:dyDescent="0.2">
      <c r="G14696" s="199"/>
      <c r="I14696" s="199"/>
      <c r="K14696" s="199"/>
      <c r="M14696" s="199"/>
      <c r="N14696" s="200"/>
      <c r="P14696" s="199"/>
    </row>
    <row r="14697" spans="7:16" x14ac:dyDescent="0.2">
      <c r="G14697" s="199"/>
      <c r="I14697" s="199"/>
      <c r="K14697" s="199"/>
      <c r="M14697" s="199"/>
      <c r="N14697" s="200"/>
      <c r="P14697" s="199"/>
    </row>
    <row r="14698" spans="7:16" x14ac:dyDescent="0.2">
      <c r="G14698" s="199"/>
      <c r="I14698" s="199"/>
      <c r="K14698" s="199"/>
      <c r="M14698" s="199"/>
      <c r="N14698" s="200"/>
      <c r="P14698" s="199"/>
    </row>
    <row r="14699" spans="7:16" x14ac:dyDescent="0.2">
      <c r="G14699" s="199"/>
      <c r="I14699" s="199"/>
      <c r="K14699" s="199"/>
      <c r="M14699" s="199"/>
      <c r="N14699" s="200"/>
      <c r="P14699" s="199"/>
    </row>
    <row r="14700" spans="7:16" x14ac:dyDescent="0.2">
      <c r="G14700" s="199"/>
      <c r="I14700" s="199"/>
      <c r="K14700" s="199"/>
      <c r="M14700" s="199"/>
      <c r="N14700" s="200"/>
      <c r="P14700" s="199"/>
    </row>
    <row r="14701" spans="7:16" x14ac:dyDescent="0.2">
      <c r="G14701" s="199"/>
      <c r="I14701" s="199"/>
      <c r="K14701" s="199"/>
      <c r="M14701" s="199"/>
      <c r="N14701" s="200"/>
      <c r="P14701" s="199"/>
    </row>
    <row r="14702" spans="7:16" x14ac:dyDescent="0.2">
      <c r="G14702" s="199"/>
      <c r="I14702" s="199"/>
      <c r="K14702" s="199"/>
      <c r="M14702" s="199"/>
      <c r="N14702" s="200"/>
      <c r="P14702" s="199"/>
    </row>
    <row r="14703" spans="7:16" x14ac:dyDescent="0.2">
      <c r="G14703" s="199"/>
      <c r="I14703" s="199"/>
      <c r="K14703" s="199"/>
      <c r="M14703" s="199"/>
      <c r="N14703" s="200"/>
      <c r="P14703" s="199"/>
    </row>
    <row r="14704" spans="7:16" x14ac:dyDescent="0.2">
      <c r="G14704" s="199"/>
      <c r="I14704" s="199"/>
      <c r="K14704" s="199"/>
      <c r="M14704" s="199"/>
      <c r="N14704" s="200"/>
      <c r="P14704" s="199"/>
    </row>
    <row r="14705" spans="7:16" x14ac:dyDescent="0.2">
      <c r="G14705" s="199"/>
      <c r="I14705" s="199"/>
      <c r="K14705" s="199"/>
      <c r="M14705" s="199"/>
      <c r="N14705" s="200"/>
      <c r="P14705" s="199"/>
    </row>
    <row r="14706" spans="7:16" x14ac:dyDescent="0.2">
      <c r="G14706" s="199"/>
      <c r="I14706" s="199"/>
      <c r="K14706" s="199"/>
      <c r="M14706" s="199"/>
      <c r="N14706" s="200"/>
      <c r="P14706" s="199"/>
    </row>
    <row r="14707" spans="7:16" x14ac:dyDescent="0.2">
      <c r="G14707" s="199"/>
      <c r="I14707" s="199"/>
      <c r="K14707" s="199"/>
      <c r="M14707" s="199"/>
      <c r="N14707" s="200"/>
      <c r="P14707" s="199"/>
    </row>
    <row r="14708" spans="7:16" x14ac:dyDescent="0.2">
      <c r="G14708" s="199"/>
      <c r="I14708" s="199"/>
      <c r="K14708" s="199"/>
      <c r="M14708" s="199"/>
      <c r="N14708" s="200"/>
      <c r="P14708" s="199"/>
    </row>
    <row r="14709" spans="7:16" x14ac:dyDescent="0.2">
      <c r="G14709" s="199"/>
      <c r="I14709" s="199"/>
      <c r="K14709" s="199"/>
      <c r="M14709" s="199"/>
      <c r="N14709" s="200"/>
      <c r="P14709" s="199"/>
    </row>
    <row r="14710" spans="7:16" x14ac:dyDescent="0.2">
      <c r="G14710" s="199"/>
      <c r="I14710" s="199"/>
      <c r="K14710" s="199"/>
      <c r="M14710" s="199"/>
      <c r="N14710" s="200"/>
      <c r="P14710" s="199"/>
    </row>
    <row r="14711" spans="7:16" x14ac:dyDescent="0.2">
      <c r="G14711" s="199"/>
      <c r="I14711" s="199"/>
      <c r="K14711" s="199"/>
      <c r="M14711" s="199"/>
      <c r="N14711" s="200"/>
      <c r="P14711" s="199"/>
    </row>
    <row r="14712" spans="7:16" x14ac:dyDescent="0.2">
      <c r="G14712" s="199"/>
      <c r="I14712" s="199"/>
      <c r="K14712" s="199"/>
      <c r="M14712" s="199"/>
      <c r="N14712" s="200"/>
      <c r="P14712" s="199"/>
    </row>
    <row r="14713" spans="7:16" x14ac:dyDescent="0.2">
      <c r="G14713" s="199"/>
      <c r="I14713" s="199"/>
      <c r="K14713" s="199"/>
      <c r="M14713" s="199"/>
      <c r="N14713" s="200"/>
      <c r="P14713" s="199"/>
    </row>
    <row r="14714" spans="7:16" x14ac:dyDescent="0.2">
      <c r="G14714" s="199"/>
      <c r="I14714" s="199"/>
      <c r="K14714" s="199"/>
      <c r="M14714" s="199"/>
      <c r="N14714" s="200"/>
      <c r="P14714" s="199"/>
    </row>
    <row r="14715" spans="7:16" x14ac:dyDescent="0.2">
      <c r="G14715" s="199"/>
      <c r="I14715" s="199"/>
      <c r="K14715" s="199"/>
      <c r="M14715" s="199"/>
      <c r="N14715" s="200"/>
      <c r="P14715" s="199"/>
    </row>
    <row r="14716" spans="7:16" x14ac:dyDescent="0.2">
      <c r="G14716" s="199"/>
      <c r="I14716" s="199"/>
      <c r="K14716" s="199"/>
      <c r="M14716" s="199"/>
      <c r="N14716" s="200"/>
      <c r="P14716" s="199"/>
    </row>
    <row r="14717" spans="7:16" x14ac:dyDescent="0.2">
      <c r="G14717" s="199"/>
      <c r="I14717" s="199"/>
      <c r="K14717" s="199"/>
      <c r="M14717" s="199"/>
      <c r="N14717" s="200"/>
      <c r="P14717" s="199"/>
    </row>
    <row r="14718" spans="7:16" x14ac:dyDescent="0.2">
      <c r="G14718" s="199"/>
      <c r="I14718" s="199"/>
      <c r="K14718" s="199"/>
      <c r="M14718" s="199"/>
      <c r="N14718" s="200"/>
      <c r="P14718" s="199"/>
    </row>
    <row r="14719" spans="7:16" x14ac:dyDescent="0.2">
      <c r="G14719" s="199"/>
      <c r="I14719" s="199"/>
      <c r="K14719" s="199"/>
      <c r="M14719" s="199"/>
      <c r="N14719" s="200"/>
      <c r="P14719" s="199"/>
    </row>
    <row r="14720" spans="7:16" x14ac:dyDescent="0.2">
      <c r="G14720" s="199"/>
      <c r="I14720" s="199"/>
      <c r="K14720" s="199"/>
      <c r="M14720" s="199"/>
      <c r="N14720" s="200"/>
      <c r="P14720" s="199"/>
    </row>
    <row r="14721" spans="7:16" x14ac:dyDescent="0.2">
      <c r="G14721" s="199"/>
      <c r="I14721" s="199"/>
      <c r="K14721" s="199"/>
      <c r="M14721" s="199"/>
      <c r="N14721" s="200"/>
      <c r="P14721" s="199"/>
    </row>
    <row r="14722" spans="7:16" x14ac:dyDescent="0.2">
      <c r="G14722" s="199"/>
      <c r="I14722" s="199"/>
      <c r="K14722" s="199"/>
      <c r="M14722" s="199"/>
      <c r="N14722" s="200"/>
      <c r="P14722" s="199"/>
    </row>
    <row r="14723" spans="7:16" x14ac:dyDescent="0.2">
      <c r="G14723" s="199"/>
      <c r="I14723" s="199"/>
      <c r="K14723" s="199"/>
      <c r="M14723" s="199"/>
      <c r="N14723" s="200"/>
      <c r="P14723" s="199"/>
    </row>
    <row r="14724" spans="7:16" x14ac:dyDescent="0.2">
      <c r="G14724" s="199"/>
      <c r="I14724" s="199"/>
      <c r="K14724" s="199"/>
      <c r="M14724" s="199"/>
      <c r="N14724" s="200"/>
      <c r="P14724" s="199"/>
    </row>
    <row r="14725" spans="7:16" x14ac:dyDescent="0.2">
      <c r="G14725" s="199"/>
      <c r="I14725" s="199"/>
      <c r="K14725" s="199"/>
      <c r="M14725" s="199"/>
      <c r="N14725" s="200"/>
      <c r="P14725" s="199"/>
    </row>
    <row r="14726" spans="7:16" x14ac:dyDescent="0.2">
      <c r="G14726" s="199"/>
      <c r="I14726" s="199"/>
      <c r="K14726" s="199"/>
      <c r="M14726" s="199"/>
      <c r="N14726" s="200"/>
      <c r="P14726" s="199"/>
    </row>
    <row r="14727" spans="7:16" x14ac:dyDescent="0.2">
      <c r="G14727" s="199"/>
      <c r="I14727" s="199"/>
      <c r="K14727" s="199"/>
      <c r="M14727" s="199"/>
      <c r="N14727" s="200"/>
      <c r="P14727" s="199"/>
    </row>
    <row r="14728" spans="7:16" x14ac:dyDescent="0.2">
      <c r="G14728" s="199"/>
      <c r="I14728" s="199"/>
      <c r="K14728" s="199"/>
      <c r="M14728" s="199"/>
      <c r="N14728" s="200"/>
      <c r="P14728" s="199"/>
    </row>
    <row r="14729" spans="7:16" x14ac:dyDescent="0.2">
      <c r="G14729" s="199"/>
      <c r="I14729" s="199"/>
      <c r="K14729" s="199"/>
      <c r="M14729" s="199"/>
      <c r="N14729" s="200"/>
      <c r="P14729" s="199"/>
    </row>
    <row r="14730" spans="7:16" x14ac:dyDescent="0.2">
      <c r="G14730" s="199"/>
      <c r="I14730" s="199"/>
      <c r="K14730" s="199"/>
      <c r="M14730" s="199"/>
      <c r="N14730" s="200"/>
      <c r="P14730" s="199"/>
    </row>
    <row r="14731" spans="7:16" x14ac:dyDescent="0.2">
      <c r="G14731" s="199"/>
      <c r="I14731" s="199"/>
      <c r="K14731" s="199"/>
      <c r="M14731" s="199"/>
      <c r="N14731" s="200"/>
      <c r="P14731" s="199"/>
    </row>
    <row r="14732" spans="7:16" x14ac:dyDescent="0.2">
      <c r="G14732" s="199"/>
      <c r="I14732" s="199"/>
      <c r="K14732" s="199"/>
      <c r="M14732" s="199"/>
      <c r="N14732" s="200"/>
      <c r="P14732" s="199"/>
    </row>
    <row r="14733" spans="7:16" x14ac:dyDescent="0.2">
      <c r="G14733" s="199"/>
      <c r="I14733" s="199"/>
      <c r="K14733" s="199"/>
      <c r="M14733" s="199"/>
      <c r="N14733" s="200"/>
      <c r="P14733" s="199"/>
    </row>
    <row r="14734" spans="7:16" x14ac:dyDescent="0.2">
      <c r="G14734" s="199"/>
      <c r="I14734" s="199"/>
      <c r="K14734" s="199"/>
      <c r="M14734" s="199"/>
      <c r="N14734" s="200"/>
      <c r="P14734" s="199"/>
    </row>
    <row r="14735" spans="7:16" x14ac:dyDescent="0.2">
      <c r="G14735" s="199"/>
      <c r="I14735" s="199"/>
      <c r="K14735" s="199"/>
      <c r="M14735" s="199"/>
      <c r="N14735" s="200"/>
      <c r="P14735" s="199"/>
    </row>
    <row r="14736" spans="7:16" x14ac:dyDescent="0.2">
      <c r="G14736" s="199"/>
      <c r="I14736" s="199"/>
      <c r="K14736" s="199"/>
      <c r="M14736" s="199"/>
      <c r="N14736" s="200"/>
      <c r="P14736" s="199"/>
    </row>
    <row r="14737" spans="7:16" x14ac:dyDescent="0.2">
      <c r="G14737" s="199"/>
      <c r="I14737" s="199"/>
      <c r="K14737" s="199"/>
      <c r="M14737" s="199"/>
      <c r="N14737" s="200"/>
      <c r="P14737" s="199"/>
    </row>
    <row r="14738" spans="7:16" x14ac:dyDescent="0.2">
      <c r="G14738" s="199"/>
      <c r="I14738" s="199"/>
      <c r="K14738" s="199"/>
      <c r="M14738" s="199"/>
      <c r="N14738" s="200"/>
      <c r="P14738" s="199"/>
    </row>
    <row r="14739" spans="7:16" x14ac:dyDescent="0.2">
      <c r="G14739" s="199"/>
      <c r="I14739" s="199"/>
      <c r="K14739" s="199"/>
      <c r="M14739" s="199"/>
      <c r="N14739" s="200"/>
      <c r="P14739" s="199"/>
    </row>
    <row r="14740" spans="7:16" x14ac:dyDescent="0.2">
      <c r="G14740" s="199"/>
      <c r="I14740" s="199"/>
      <c r="K14740" s="199"/>
      <c r="M14740" s="199"/>
      <c r="N14740" s="200"/>
      <c r="P14740" s="199"/>
    </row>
    <row r="14741" spans="7:16" x14ac:dyDescent="0.2">
      <c r="G14741" s="199"/>
      <c r="I14741" s="199"/>
      <c r="K14741" s="199"/>
      <c r="M14741" s="199"/>
      <c r="N14741" s="200"/>
      <c r="P14741" s="199"/>
    </row>
    <row r="14742" spans="7:16" x14ac:dyDescent="0.2">
      <c r="G14742" s="199"/>
      <c r="I14742" s="199"/>
      <c r="K14742" s="199"/>
      <c r="M14742" s="199"/>
      <c r="N14742" s="200"/>
      <c r="P14742" s="199"/>
    </row>
    <row r="14743" spans="7:16" x14ac:dyDescent="0.2">
      <c r="G14743" s="199"/>
      <c r="I14743" s="199"/>
      <c r="K14743" s="199"/>
      <c r="M14743" s="199"/>
      <c r="N14743" s="200"/>
      <c r="P14743" s="199"/>
    </row>
    <row r="14744" spans="7:16" x14ac:dyDescent="0.2">
      <c r="G14744" s="199"/>
      <c r="I14744" s="199"/>
      <c r="K14744" s="199"/>
      <c r="M14744" s="199"/>
      <c r="N14744" s="200"/>
      <c r="P14744" s="199"/>
    </row>
    <row r="14745" spans="7:16" x14ac:dyDescent="0.2">
      <c r="G14745" s="199"/>
      <c r="I14745" s="199"/>
      <c r="K14745" s="199"/>
      <c r="M14745" s="199"/>
      <c r="N14745" s="200"/>
      <c r="P14745" s="199"/>
    </row>
    <row r="14746" spans="7:16" x14ac:dyDescent="0.2">
      <c r="G14746" s="199"/>
      <c r="I14746" s="199"/>
      <c r="K14746" s="199"/>
      <c r="M14746" s="199"/>
      <c r="N14746" s="200"/>
      <c r="P14746" s="199"/>
    </row>
    <row r="14747" spans="7:16" x14ac:dyDescent="0.2">
      <c r="G14747" s="199"/>
      <c r="I14747" s="199"/>
      <c r="K14747" s="199"/>
      <c r="M14747" s="199"/>
      <c r="N14747" s="200"/>
      <c r="P14747" s="199"/>
    </row>
    <row r="14748" spans="7:16" x14ac:dyDescent="0.2">
      <c r="G14748" s="199"/>
      <c r="I14748" s="199"/>
      <c r="K14748" s="199"/>
      <c r="M14748" s="199"/>
      <c r="N14748" s="200"/>
      <c r="P14748" s="199"/>
    </row>
    <row r="14749" spans="7:16" x14ac:dyDescent="0.2">
      <c r="G14749" s="199"/>
      <c r="I14749" s="199"/>
      <c r="K14749" s="199"/>
      <c r="M14749" s="199"/>
      <c r="N14749" s="200"/>
      <c r="P14749" s="199"/>
    </row>
    <row r="14750" spans="7:16" x14ac:dyDescent="0.2">
      <c r="G14750" s="199"/>
      <c r="I14750" s="199"/>
      <c r="K14750" s="199"/>
      <c r="M14750" s="199"/>
      <c r="N14750" s="200"/>
      <c r="P14750" s="199"/>
    </row>
    <row r="14751" spans="7:16" x14ac:dyDescent="0.2">
      <c r="G14751" s="199"/>
      <c r="I14751" s="199"/>
      <c r="K14751" s="199"/>
      <c r="M14751" s="199"/>
      <c r="N14751" s="200"/>
      <c r="P14751" s="199"/>
    </row>
    <row r="14752" spans="7:16" x14ac:dyDescent="0.2">
      <c r="G14752" s="199"/>
      <c r="I14752" s="199"/>
      <c r="K14752" s="199"/>
      <c r="M14752" s="199"/>
      <c r="N14752" s="200"/>
      <c r="P14752" s="199"/>
    </row>
    <row r="14753" spans="7:16" x14ac:dyDescent="0.2">
      <c r="G14753" s="199"/>
      <c r="I14753" s="199"/>
      <c r="K14753" s="199"/>
      <c r="M14753" s="199"/>
      <c r="N14753" s="200"/>
      <c r="P14753" s="199"/>
    </row>
    <row r="14754" spans="7:16" x14ac:dyDescent="0.2">
      <c r="G14754" s="199"/>
      <c r="I14754" s="199"/>
      <c r="K14754" s="199"/>
      <c r="M14754" s="199"/>
      <c r="N14754" s="200"/>
      <c r="P14754" s="199"/>
    </row>
    <row r="14755" spans="7:16" x14ac:dyDescent="0.2">
      <c r="G14755" s="199"/>
      <c r="I14755" s="199"/>
      <c r="K14755" s="199"/>
      <c r="M14755" s="199"/>
      <c r="N14755" s="200"/>
      <c r="P14755" s="199"/>
    </row>
    <row r="14756" spans="7:16" x14ac:dyDescent="0.2">
      <c r="G14756" s="199"/>
      <c r="I14756" s="199"/>
      <c r="K14756" s="199"/>
      <c r="M14756" s="199"/>
      <c r="N14756" s="200"/>
      <c r="P14756" s="199"/>
    </row>
    <row r="14757" spans="7:16" x14ac:dyDescent="0.2">
      <c r="G14757" s="199"/>
      <c r="I14757" s="199"/>
      <c r="K14757" s="199"/>
      <c r="M14757" s="199"/>
      <c r="N14757" s="200"/>
      <c r="P14757" s="199"/>
    </row>
    <row r="14758" spans="7:16" x14ac:dyDescent="0.2">
      <c r="G14758" s="199"/>
      <c r="I14758" s="199"/>
      <c r="K14758" s="199"/>
      <c r="M14758" s="199"/>
      <c r="N14758" s="200"/>
      <c r="P14758" s="199"/>
    </row>
    <row r="14759" spans="7:16" x14ac:dyDescent="0.2">
      <c r="G14759" s="199"/>
      <c r="I14759" s="199"/>
      <c r="K14759" s="199"/>
      <c r="M14759" s="199"/>
      <c r="N14759" s="200"/>
      <c r="P14759" s="199"/>
    </row>
    <row r="14760" spans="7:16" x14ac:dyDescent="0.2">
      <c r="G14760" s="199"/>
      <c r="I14760" s="199"/>
      <c r="K14760" s="199"/>
      <c r="M14760" s="199"/>
      <c r="N14760" s="200"/>
      <c r="P14760" s="199"/>
    </row>
    <row r="14761" spans="7:16" x14ac:dyDescent="0.2">
      <c r="G14761" s="199"/>
      <c r="I14761" s="199"/>
      <c r="K14761" s="199"/>
      <c r="M14761" s="199"/>
      <c r="N14761" s="200"/>
      <c r="P14761" s="199"/>
    </row>
    <row r="14762" spans="7:16" x14ac:dyDescent="0.2">
      <c r="G14762" s="199"/>
      <c r="I14762" s="199"/>
      <c r="K14762" s="199"/>
      <c r="M14762" s="199"/>
      <c r="N14762" s="200"/>
      <c r="P14762" s="199"/>
    </row>
    <row r="14763" spans="7:16" x14ac:dyDescent="0.2">
      <c r="G14763" s="199"/>
      <c r="I14763" s="199"/>
      <c r="K14763" s="199"/>
      <c r="M14763" s="199"/>
      <c r="N14763" s="200"/>
      <c r="P14763" s="199"/>
    </row>
    <row r="14764" spans="7:16" x14ac:dyDescent="0.2">
      <c r="G14764" s="199"/>
      <c r="I14764" s="199"/>
      <c r="K14764" s="199"/>
      <c r="M14764" s="199"/>
      <c r="N14764" s="200"/>
      <c r="P14764" s="199"/>
    </row>
    <row r="14765" spans="7:16" x14ac:dyDescent="0.2">
      <c r="G14765" s="199"/>
      <c r="I14765" s="199"/>
      <c r="K14765" s="199"/>
      <c r="M14765" s="199"/>
      <c r="N14765" s="200"/>
      <c r="P14765" s="199"/>
    </row>
    <row r="14766" spans="7:16" x14ac:dyDescent="0.2">
      <c r="G14766" s="199"/>
      <c r="I14766" s="199"/>
      <c r="K14766" s="199"/>
      <c r="M14766" s="199"/>
      <c r="N14766" s="200"/>
      <c r="P14766" s="199"/>
    </row>
    <row r="14767" spans="7:16" x14ac:dyDescent="0.2">
      <c r="G14767" s="199"/>
      <c r="I14767" s="199"/>
      <c r="K14767" s="199"/>
      <c r="M14767" s="199"/>
      <c r="N14767" s="200"/>
      <c r="P14767" s="199"/>
    </row>
    <row r="14768" spans="7:16" x14ac:dyDescent="0.2">
      <c r="G14768" s="199"/>
      <c r="I14768" s="199"/>
      <c r="K14768" s="199"/>
      <c r="M14768" s="199"/>
      <c r="N14768" s="200"/>
      <c r="P14768" s="199"/>
    </row>
    <row r="14769" spans="7:16" x14ac:dyDescent="0.2">
      <c r="G14769" s="199"/>
      <c r="I14769" s="199"/>
      <c r="K14769" s="199"/>
      <c r="M14769" s="199"/>
      <c r="N14769" s="200"/>
      <c r="P14769" s="199"/>
    </row>
    <row r="14770" spans="7:16" x14ac:dyDescent="0.2">
      <c r="G14770" s="199"/>
      <c r="I14770" s="199"/>
      <c r="K14770" s="199"/>
      <c r="M14770" s="199"/>
      <c r="N14770" s="200"/>
      <c r="P14770" s="199"/>
    </row>
    <row r="14771" spans="7:16" x14ac:dyDescent="0.2">
      <c r="G14771" s="199"/>
      <c r="I14771" s="199"/>
      <c r="K14771" s="199"/>
      <c r="M14771" s="199"/>
      <c r="N14771" s="200"/>
      <c r="P14771" s="199"/>
    </row>
    <row r="14772" spans="7:16" x14ac:dyDescent="0.2">
      <c r="G14772" s="199"/>
      <c r="I14772" s="199"/>
      <c r="K14772" s="199"/>
      <c r="M14772" s="199"/>
      <c r="N14772" s="200"/>
      <c r="P14772" s="199"/>
    </row>
    <row r="14773" spans="7:16" x14ac:dyDescent="0.2">
      <c r="G14773" s="199"/>
      <c r="I14773" s="199"/>
      <c r="K14773" s="199"/>
      <c r="M14773" s="199"/>
      <c r="N14773" s="200"/>
      <c r="P14773" s="199"/>
    </row>
    <row r="14774" spans="7:16" x14ac:dyDescent="0.2">
      <c r="G14774" s="199"/>
      <c r="I14774" s="199"/>
      <c r="K14774" s="199"/>
      <c r="M14774" s="199"/>
      <c r="N14774" s="200"/>
      <c r="P14774" s="199"/>
    </row>
    <row r="14775" spans="7:16" x14ac:dyDescent="0.2">
      <c r="G14775" s="199"/>
      <c r="I14775" s="199"/>
      <c r="K14775" s="199"/>
      <c r="M14775" s="199"/>
      <c r="N14775" s="200"/>
      <c r="P14775" s="199"/>
    </row>
    <row r="14776" spans="7:16" x14ac:dyDescent="0.2">
      <c r="G14776" s="199"/>
      <c r="I14776" s="199"/>
      <c r="K14776" s="199"/>
      <c r="M14776" s="199"/>
      <c r="N14776" s="200"/>
      <c r="P14776" s="199"/>
    </row>
    <row r="14777" spans="7:16" x14ac:dyDescent="0.2">
      <c r="G14777" s="199"/>
      <c r="I14777" s="199"/>
      <c r="K14777" s="199"/>
      <c r="M14777" s="199"/>
      <c r="N14777" s="200"/>
      <c r="P14777" s="199"/>
    </row>
    <row r="14778" spans="7:16" x14ac:dyDescent="0.2">
      <c r="G14778" s="199"/>
      <c r="I14778" s="199"/>
      <c r="K14778" s="199"/>
      <c r="M14778" s="199"/>
      <c r="N14778" s="200"/>
      <c r="P14778" s="199"/>
    </row>
    <row r="14779" spans="7:16" x14ac:dyDescent="0.2">
      <c r="G14779" s="199"/>
      <c r="I14779" s="199"/>
      <c r="K14779" s="199"/>
      <c r="M14779" s="199"/>
      <c r="N14779" s="200"/>
      <c r="P14779" s="199"/>
    </row>
    <row r="14780" spans="7:16" x14ac:dyDescent="0.2">
      <c r="G14780" s="199"/>
      <c r="I14780" s="199"/>
      <c r="K14780" s="199"/>
      <c r="M14780" s="199"/>
      <c r="N14780" s="200"/>
      <c r="P14780" s="199"/>
    </row>
    <row r="14781" spans="7:16" x14ac:dyDescent="0.2">
      <c r="G14781" s="199"/>
      <c r="I14781" s="199"/>
      <c r="K14781" s="199"/>
      <c r="M14781" s="199"/>
      <c r="N14781" s="200"/>
      <c r="P14781" s="199"/>
    </row>
    <row r="14782" spans="7:16" x14ac:dyDescent="0.2">
      <c r="G14782" s="199"/>
      <c r="I14782" s="199"/>
      <c r="K14782" s="199"/>
      <c r="M14782" s="199"/>
      <c r="N14782" s="200"/>
      <c r="P14782" s="199"/>
    </row>
    <row r="14783" spans="7:16" x14ac:dyDescent="0.2">
      <c r="G14783" s="199"/>
      <c r="I14783" s="199"/>
      <c r="K14783" s="199"/>
      <c r="M14783" s="199"/>
      <c r="N14783" s="200"/>
      <c r="P14783" s="199"/>
    </row>
    <row r="14784" spans="7:16" x14ac:dyDescent="0.2">
      <c r="G14784" s="199"/>
      <c r="I14784" s="199"/>
      <c r="K14784" s="199"/>
      <c r="M14784" s="199"/>
      <c r="N14784" s="200"/>
      <c r="P14784" s="199"/>
    </row>
    <row r="14785" spans="7:16" x14ac:dyDescent="0.2">
      <c r="G14785" s="199"/>
      <c r="I14785" s="199"/>
      <c r="K14785" s="199"/>
      <c r="M14785" s="199"/>
      <c r="N14785" s="200"/>
      <c r="P14785" s="199"/>
    </row>
    <row r="14786" spans="7:16" x14ac:dyDescent="0.2">
      <c r="G14786" s="199"/>
      <c r="I14786" s="199"/>
      <c r="K14786" s="199"/>
      <c r="M14786" s="199"/>
      <c r="N14786" s="200"/>
      <c r="P14786" s="199"/>
    </row>
    <row r="14787" spans="7:16" x14ac:dyDescent="0.2">
      <c r="G14787" s="199"/>
      <c r="I14787" s="199"/>
      <c r="K14787" s="199"/>
      <c r="M14787" s="199"/>
      <c r="N14787" s="200"/>
      <c r="P14787" s="199"/>
    </row>
    <row r="14788" spans="7:16" x14ac:dyDescent="0.2">
      <c r="G14788" s="199"/>
      <c r="I14788" s="199"/>
      <c r="K14788" s="199"/>
      <c r="M14788" s="199"/>
      <c r="N14788" s="200"/>
      <c r="P14788" s="199"/>
    </row>
    <row r="14789" spans="7:16" x14ac:dyDescent="0.2">
      <c r="G14789" s="199"/>
      <c r="I14789" s="199"/>
      <c r="K14789" s="199"/>
      <c r="M14789" s="199"/>
      <c r="N14789" s="200"/>
      <c r="P14789" s="199"/>
    </row>
    <row r="14790" spans="7:16" x14ac:dyDescent="0.2">
      <c r="G14790" s="199"/>
      <c r="I14790" s="199"/>
      <c r="K14790" s="199"/>
      <c r="M14790" s="199"/>
      <c r="N14790" s="200"/>
      <c r="P14790" s="199"/>
    </row>
    <row r="14791" spans="7:16" x14ac:dyDescent="0.2">
      <c r="G14791" s="199"/>
      <c r="I14791" s="199"/>
      <c r="K14791" s="199"/>
      <c r="M14791" s="199"/>
      <c r="N14791" s="200"/>
      <c r="P14791" s="199"/>
    </row>
    <row r="14792" spans="7:16" x14ac:dyDescent="0.2">
      <c r="G14792" s="199"/>
      <c r="I14792" s="199"/>
      <c r="K14792" s="199"/>
      <c r="M14792" s="199"/>
      <c r="N14792" s="200"/>
      <c r="P14792" s="199"/>
    </row>
    <row r="14793" spans="7:16" x14ac:dyDescent="0.2">
      <c r="G14793" s="199"/>
      <c r="I14793" s="199"/>
      <c r="K14793" s="199"/>
      <c r="M14793" s="199"/>
      <c r="N14793" s="200"/>
      <c r="P14793" s="199"/>
    </row>
    <row r="14794" spans="7:16" x14ac:dyDescent="0.2">
      <c r="G14794" s="199"/>
      <c r="I14794" s="199"/>
      <c r="K14794" s="199"/>
      <c r="M14794" s="199"/>
      <c r="N14794" s="200"/>
      <c r="P14794" s="199"/>
    </row>
    <row r="14795" spans="7:16" x14ac:dyDescent="0.2">
      <c r="G14795" s="199"/>
      <c r="I14795" s="199"/>
      <c r="K14795" s="199"/>
      <c r="M14795" s="199"/>
      <c r="N14795" s="200"/>
      <c r="P14795" s="199"/>
    </row>
    <row r="14796" spans="7:16" x14ac:dyDescent="0.2">
      <c r="G14796" s="199"/>
      <c r="I14796" s="199"/>
      <c r="K14796" s="199"/>
      <c r="M14796" s="199"/>
      <c r="N14796" s="200"/>
      <c r="P14796" s="199"/>
    </row>
    <row r="14797" spans="7:16" x14ac:dyDescent="0.2">
      <c r="G14797" s="199"/>
      <c r="I14797" s="199"/>
      <c r="K14797" s="199"/>
      <c r="M14797" s="199"/>
      <c r="N14797" s="200"/>
      <c r="P14797" s="199"/>
    </row>
    <row r="14798" spans="7:16" x14ac:dyDescent="0.2">
      <c r="G14798" s="199"/>
      <c r="I14798" s="199"/>
      <c r="K14798" s="199"/>
      <c r="M14798" s="199"/>
      <c r="N14798" s="200"/>
      <c r="P14798" s="199"/>
    </row>
    <row r="14799" spans="7:16" x14ac:dyDescent="0.2">
      <c r="G14799" s="199"/>
      <c r="I14799" s="199"/>
      <c r="K14799" s="199"/>
      <c r="M14799" s="199"/>
      <c r="N14799" s="200"/>
      <c r="P14799" s="199"/>
    </row>
    <row r="14800" spans="7:16" x14ac:dyDescent="0.2">
      <c r="G14800" s="199"/>
      <c r="I14800" s="199"/>
      <c r="K14800" s="199"/>
      <c r="M14800" s="199"/>
      <c r="N14800" s="200"/>
      <c r="P14800" s="199"/>
    </row>
    <row r="14801" spans="7:16" x14ac:dyDescent="0.2">
      <c r="G14801" s="199"/>
      <c r="I14801" s="199"/>
      <c r="K14801" s="199"/>
      <c r="M14801" s="199"/>
      <c r="N14801" s="200"/>
      <c r="P14801" s="199"/>
    </row>
    <row r="14802" spans="7:16" x14ac:dyDescent="0.2">
      <c r="G14802" s="199"/>
      <c r="I14802" s="199"/>
      <c r="K14802" s="199"/>
      <c r="M14802" s="199"/>
      <c r="N14802" s="200"/>
      <c r="P14802" s="199"/>
    </row>
    <row r="14803" spans="7:16" x14ac:dyDescent="0.2">
      <c r="G14803" s="199"/>
      <c r="I14803" s="199"/>
      <c r="K14803" s="199"/>
      <c r="M14803" s="199"/>
      <c r="N14803" s="200"/>
      <c r="P14803" s="199"/>
    </row>
    <row r="14804" spans="7:16" x14ac:dyDescent="0.2">
      <c r="G14804" s="199"/>
      <c r="I14804" s="199"/>
      <c r="K14804" s="199"/>
      <c r="M14804" s="199"/>
      <c r="N14804" s="200"/>
      <c r="P14804" s="199"/>
    </row>
    <row r="14805" spans="7:16" x14ac:dyDescent="0.2">
      <c r="G14805" s="199"/>
      <c r="I14805" s="199"/>
      <c r="K14805" s="199"/>
      <c r="M14805" s="199"/>
      <c r="N14805" s="200"/>
      <c r="P14805" s="199"/>
    </row>
    <row r="14806" spans="7:16" x14ac:dyDescent="0.2">
      <c r="G14806" s="199"/>
      <c r="I14806" s="199"/>
      <c r="K14806" s="199"/>
      <c r="M14806" s="199"/>
      <c r="N14806" s="200"/>
      <c r="P14806" s="199"/>
    </row>
    <row r="14807" spans="7:16" x14ac:dyDescent="0.2">
      <c r="G14807" s="199"/>
      <c r="I14807" s="199"/>
      <c r="K14807" s="199"/>
      <c r="M14807" s="199"/>
      <c r="N14807" s="200"/>
      <c r="P14807" s="199"/>
    </row>
    <row r="14808" spans="7:16" x14ac:dyDescent="0.2">
      <c r="G14808" s="199"/>
      <c r="I14808" s="199"/>
      <c r="K14808" s="199"/>
      <c r="M14808" s="199"/>
      <c r="N14808" s="200"/>
      <c r="P14808" s="199"/>
    </row>
    <row r="14809" spans="7:16" x14ac:dyDescent="0.2">
      <c r="G14809" s="199"/>
      <c r="I14809" s="199"/>
      <c r="K14809" s="199"/>
      <c r="M14809" s="199"/>
      <c r="N14809" s="200"/>
      <c r="P14809" s="199"/>
    </row>
    <row r="14810" spans="7:16" x14ac:dyDescent="0.2">
      <c r="G14810" s="199"/>
      <c r="I14810" s="199"/>
      <c r="K14810" s="199"/>
      <c r="M14810" s="199"/>
      <c r="N14810" s="200"/>
      <c r="P14810" s="199"/>
    </row>
    <row r="14811" spans="7:16" x14ac:dyDescent="0.2">
      <c r="G14811" s="199"/>
      <c r="I14811" s="199"/>
      <c r="K14811" s="199"/>
      <c r="M14811" s="199"/>
      <c r="N14811" s="200"/>
      <c r="P14811" s="199"/>
    </row>
    <row r="14812" spans="7:16" x14ac:dyDescent="0.2">
      <c r="G14812" s="199"/>
      <c r="I14812" s="199"/>
      <c r="K14812" s="199"/>
      <c r="M14812" s="199"/>
      <c r="N14812" s="200"/>
      <c r="P14812" s="199"/>
    </row>
    <row r="14813" spans="7:16" x14ac:dyDescent="0.2">
      <c r="G14813" s="199"/>
      <c r="I14813" s="199"/>
      <c r="K14813" s="199"/>
      <c r="M14813" s="199"/>
      <c r="N14813" s="200"/>
      <c r="P14813" s="199"/>
    </row>
    <row r="14814" spans="7:16" x14ac:dyDescent="0.2">
      <c r="G14814" s="199"/>
      <c r="I14814" s="199"/>
      <c r="K14814" s="199"/>
      <c r="M14814" s="199"/>
      <c r="N14814" s="200"/>
      <c r="P14814" s="199"/>
    </row>
    <row r="14815" spans="7:16" x14ac:dyDescent="0.2">
      <c r="G14815" s="199"/>
      <c r="I14815" s="199"/>
      <c r="K14815" s="199"/>
      <c r="M14815" s="199"/>
      <c r="N14815" s="200"/>
      <c r="P14815" s="199"/>
    </row>
    <row r="14816" spans="7:16" x14ac:dyDescent="0.2">
      <c r="G14816" s="199"/>
      <c r="I14816" s="199"/>
      <c r="K14816" s="199"/>
      <c r="M14816" s="199"/>
      <c r="N14816" s="200"/>
      <c r="P14816" s="199"/>
    </row>
    <row r="14817" spans="7:16" x14ac:dyDescent="0.2">
      <c r="G14817" s="199"/>
      <c r="I14817" s="199"/>
      <c r="K14817" s="199"/>
      <c r="M14817" s="199"/>
      <c r="N14817" s="200"/>
      <c r="P14817" s="199"/>
    </row>
    <row r="14818" spans="7:16" x14ac:dyDescent="0.2">
      <c r="G14818" s="199"/>
      <c r="I14818" s="199"/>
      <c r="K14818" s="199"/>
      <c r="M14818" s="199"/>
      <c r="N14818" s="200"/>
      <c r="P14818" s="199"/>
    </row>
    <row r="14819" spans="7:16" x14ac:dyDescent="0.2">
      <c r="G14819" s="199"/>
      <c r="I14819" s="199"/>
      <c r="K14819" s="199"/>
      <c r="M14819" s="199"/>
      <c r="N14819" s="200"/>
      <c r="P14819" s="199"/>
    </row>
    <row r="14820" spans="7:16" x14ac:dyDescent="0.2">
      <c r="G14820" s="199"/>
      <c r="I14820" s="199"/>
      <c r="K14820" s="199"/>
      <c r="M14820" s="199"/>
      <c r="N14820" s="200"/>
      <c r="P14820" s="199"/>
    </row>
    <row r="14821" spans="7:16" x14ac:dyDescent="0.2">
      <c r="G14821" s="199"/>
      <c r="I14821" s="199"/>
      <c r="K14821" s="199"/>
      <c r="M14821" s="199"/>
      <c r="N14821" s="200"/>
      <c r="P14821" s="199"/>
    </row>
    <row r="14822" spans="7:16" x14ac:dyDescent="0.2">
      <c r="G14822" s="199"/>
      <c r="I14822" s="199"/>
      <c r="K14822" s="199"/>
      <c r="M14822" s="199"/>
      <c r="N14822" s="200"/>
      <c r="P14822" s="199"/>
    </row>
    <row r="14823" spans="7:16" x14ac:dyDescent="0.2">
      <c r="G14823" s="199"/>
      <c r="I14823" s="199"/>
      <c r="K14823" s="199"/>
      <c r="M14823" s="199"/>
      <c r="N14823" s="200"/>
      <c r="P14823" s="199"/>
    </row>
    <row r="14824" spans="7:16" x14ac:dyDescent="0.2">
      <c r="G14824" s="199"/>
      <c r="I14824" s="199"/>
      <c r="K14824" s="199"/>
      <c r="M14824" s="199"/>
      <c r="N14824" s="200"/>
      <c r="P14824" s="199"/>
    </row>
    <row r="14825" spans="7:16" x14ac:dyDescent="0.2">
      <c r="G14825" s="199"/>
      <c r="I14825" s="199"/>
      <c r="K14825" s="199"/>
      <c r="M14825" s="199"/>
      <c r="N14825" s="200"/>
      <c r="P14825" s="199"/>
    </row>
    <row r="14826" spans="7:16" x14ac:dyDescent="0.2">
      <c r="G14826" s="199"/>
      <c r="I14826" s="199"/>
      <c r="K14826" s="199"/>
      <c r="M14826" s="199"/>
      <c r="N14826" s="200"/>
      <c r="P14826" s="199"/>
    </row>
    <row r="14827" spans="7:16" x14ac:dyDescent="0.2">
      <c r="G14827" s="199"/>
      <c r="I14827" s="199"/>
      <c r="K14827" s="199"/>
      <c r="M14827" s="199"/>
      <c r="N14827" s="200"/>
      <c r="P14827" s="199"/>
    </row>
    <row r="14828" spans="7:16" x14ac:dyDescent="0.2">
      <c r="G14828" s="199"/>
      <c r="I14828" s="199"/>
      <c r="K14828" s="199"/>
      <c r="M14828" s="199"/>
      <c r="N14828" s="200"/>
      <c r="P14828" s="199"/>
    </row>
    <row r="14829" spans="7:16" x14ac:dyDescent="0.2">
      <c r="G14829" s="199"/>
      <c r="I14829" s="199"/>
      <c r="K14829" s="199"/>
      <c r="M14829" s="199"/>
      <c r="N14829" s="200"/>
      <c r="P14829" s="199"/>
    </row>
    <row r="14830" spans="7:16" x14ac:dyDescent="0.2">
      <c r="G14830" s="199"/>
      <c r="I14830" s="199"/>
      <c r="K14830" s="199"/>
      <c r="M14830" s="199"/>
      <c r="N14830" s="200"/>
      <c r="P14830" s="199"/>
    </row>
    <row r="14831" spans="7:16" x14ac:dyDescent="0.2">
      <c r="G14831" s="199"/>
      <c r="I14831" s="199"/>
      <c r="K14831" s="199"/>
      <c r="M14831" s="199"/>
      <c r="N14831" s="200"/>
      <c r="P14831" s="199"/>
    </row>
    <row r="14832" spans="7:16" x14ac:dyDescent="0.2">
      <c r="G14832" s="199"/>
      <c r="I14832" s="199"/>
      <c r="K14832" s="199"/>
      <c r="M14832" s="199"/>
      <c r="N14832" s="200"/>
      <c r="P14832" s="199"/>
    </row>
    <row r="14833" spans="7:16" x14ac:dyDescent="0.2">
      <c r="G14833" s="199"/>
      <c r="I14833" s="199"/>
      <c r="K14833" s="199"/>
      <c r="M14833" s="199"/>
      <c r="N14833" s="200"/>
      <c r="P14833" s="199"/>
    </row>
    <row r="14834" spans="7:16" x14ac:dyDescent="0.2">
      <c r="G14834" s="199"/>
      <c r="I14834" s="199"/>
      <c r="K14834" s="199"/>
      <c r="M14834" s="199"/>
      <c r="N14834" s="200"/>
      <c r="P14834" s="199"/>
    </row>
    <row r="14835" spans="7:16" x14ac:dyDescent="0.2">
      <c r="G14835" s="199"/>
      <c r="I14835" s="199"/>
      <c r="K14835" s="199"/>
      <c r="M14835" s="199"/>
      <c r="N14835" s="200"/>
      <c r="P14835" s="199"/>
    </row>
    <row r="14836" spans="7:16" x14ac:dyDescent="0.2">
      <c r="G14836" s="199"/>
      <c r="I14836" s="199"/>
      <c r="K14836" s="199"/>
      <c r="M14836" s="199"/>
      <c r="N14836" s="200"/>
      <c r="P14836" s="199"/>
    </row>
    <row r="14837" spans="7:16" x14ac:dyDescent="0.2">
      <c r="G14837" s="199"/>
      <c r="I14837" s="199"/>
      <c r="K14837" s="199"/>
      <c r="M14837" s="199"/>
      <c r="N14837" s="200"/>
      <c r="P14837" s="199"/>
    </row>
    <row r="14838" spans="7:16" x14ac:dyDescent="0.2">
      <c r="G14838" s="199"/>
      <c r="I14838" s="199"/>
      <c r="K14838" s="199"/>
      <c r="M14838" s="199"/>
      <c r="N14838" s="200"/>
      <c r="P14838" s="199"/>
    </row>
    <row r="14839" spans="7:16" x14ac:dyDescent="0.2">
      <c r="G14839" s="199"/>
      <c r="I14839" s="199"/>
      <c r="K14839" s="199"/>
      <c r="M14839" s="199"/>
      <c r="N14839" s="200"/>
      <c r="P14839" s="199"/>
    </row>
    <row r="14840" spans="7:16" x14ac:dyDescent="0.2">
      <c r="G14840" s="199"/>
      <c r="I14840" s="199"/>
      <c r="K14840" s="199"/>
      <c r="M14840" s="199"/>
      <c r="N14840" s="200"/>
      <c r="P14840" s="199"/>
    </row>
    <row r="14841" spans="7:16" x14ac:dyDescent="0.2">
      <c r="G14841" s="199"/>
      <c r="I14841" s="199"/>
      <c r="K14841" s="199"/>
      <c r="M14841" s="199"/>
      <c r="N14841" s="200"/>
      <c r="P14841" s="199"/>
    </row>
    <row r="14842" spans="7:16" x14ac:dyDescent="0.2">
      <c r="G14842" s="199"/>
      <c r="I14842" s="199"/>
      <c r="K14842" s="199"/>
      <c r="M14842" s="199"/>
      <c r="N14842" s="200"/>
      <c r="P14842" s="199"/>
    </row>
    <row r="14843" spans="7:16" x14ac:dyDescent="0.2">
      <c r="G14843" s="199"/>
      <c r="I14843" s="199"/>
      <c r="K14843" s="199"/>
      <c r="M14843" s="199"/>
      <c r="N14843" s="200"/>
      <c r="P14843" s="199"/>
    </row>
    <row r="14844" spans="7:16" x14ac:dyDescent="0.2">
      <c r="G14844" s="199"/>
      <c r="I14844" s="199"/>
      <c r="K14844" s="199"/>
      <c r="M14844" s="199"/>
      <c r="N14844" s="200"/>
      <c r="P14844" s="199"/>
    </row>
    <row r="14845" spans="7:16" x14ac:dyDescent="0.2">
      <c r="G14845" s="199"/>
      <c r="I14845" s="199"/>
      <c r="K14845" s="199"/>
      <c r="M14845" s="199"/>
      <c r="N14845" s="200"/>
      <c r="P14845" s="199"/>
    </row>
    <row r="14846" spans="7:16" x14ac:dyDescent="0.2">
      <c r="G14846" s="199"/>
      <c r="I14846" s="199"/>
      <c r="K14846" s="199"/>
      <c r="M14846" s="199"/>
      <c r="N14846" s="200"/>
      <c r="P14846" s="199"/>
    </row>
    <row r="14847" spans="7:16" x14ac:dyDescent="0.2">
      <c r="G14847" s="199"/>
      <c r="I14847" s="199"/>
      <c r="K14847" s="199"/>
      <c r="M14847" s="199"/>
      <c r="N14847" s="200"/>
      <c r="P14847" s="199"/>
    </row>
    <row r="14848" spans="7:16" x14ac:dyDescent="0.2">
      <c r="G14848" s="199"/>
      <c r="I14848" s="199"/>
      <c r="K14848" s="199"/>
      <c r="M14848" s="199"/>
      <c r="N14848" s="200"/>
      <c r="P14848" s="199"/>
    </row>
    <row r="14849" spans="7:16" x14ac:dyDescent="0.2">
      <c r="G14849" s="199"/>
      <c r="I14849" s="199"/>
      <c r="K14849" s="199"/>
      <c r="M14849" s="199"/>
      <c r="N14849" s="200"/>
      <c r="P14849" s="199"/>
    </row>
    <row r="14850" spans="7:16" x14ac:dyDescent="0.2">
      <c r="G14850" s="199"/>
      <c r="I14850" s="199"/>
      <c r="K14850" s="199"/>
      <c r="M14850" s="199"/>
      <c r="N14850" s="200"/>
      <c r="P14850" s="199"/>
    </row>
    <row r="14851" spans="7:16" x14ac:dyDescent="0.2">
      <c r="G14851" s="199"/>
      <c r="I14851" s="199"/>
      <c r="K14851" s="199"/>
      <c r="M14851" s="199"/>
      <c r="N14851" s="200"/>
      <c r="P14851" s="199"/>
    </row>
    <row r="14852" spans="7:16" x14ac:dyDescent="0.2">
      <c r="G14852" s="199"/>
      <c r="I14852" s="199"/>
      <c r="K14852" s="199"/>
      <c r="M14852" s="199"/>
      <c r="N14852" s="200"/>
      <c r="P14852" s="199"/>
    </row>
    <row r="14853" spans="7:16" x14ac:dyDescent="0.2">
      <c r="G14853" s="199"/>
      <c r="I14853" s="199"/>
      <c r="K14853" s="199"/>
      <c r="M14853" s="199"/>
      <c r="N14853" s="200"/>
      <c r="P14853" s="199"/>
    </row>
    <row r="14854" spans="7:16" x14ac:dyDescent="0.2">
      <c r="G14854" s="199"/>
      <c r="I14854" s="199"/>
      <c r="K14854" s="199"/>
      <c r="M14854" s="199"/>
      <c r="N14854" s="200"/>
      <c r="P14854" s="199"/>
    </row>
    <row r="14855" spans="7:16" x14ac:dyDescent="0.2">
      <c r="G14855" s="199"/>
      <c r="I14855" s="199"/>
      <c r="K14855" s="199"/>
      <c r="M14855" s="199"/>
      <c r="N14855" s="200"/>
      <c r="P14855" s="199"/>
    </row>
    <row r="14856" spans="7:16" x14ac:dyDescent="0.2">
      <c r="G14856" s="199"/>
      <c r="I14856" s="199"/>
      <c r="K14856" s="199"/>
      <c r="M14856" s="199"/>
      <c r="N14856" s="200"/>
      <c r="P14856" s="199"/>
    </row>
    <row r="14857" spans="7:16" x14ac:dyDescent="0.2">
      <c r="G14857" s="199"/>
      <c r="I14857" s="199"/>
      <c r="K14857" s="199"/>
      <c r="M14857" s="199"/>
      <c r="N14857" s="200"/>
      <c r="P14857" s="199"/>
    </row>
    <row r="14858" spans="7:16" x14ac:dyDescent="0.2">
      <c r="G14858" s="199"/>
      <c r="I14858" s="199"/>
      <c r="K14858" s="199"/>
      <c r="M14858" s="199"/>
      <c r="N14858" s="200"/>
      <c r="P14858" s="199"/>
    </row>
    <row r="14859" spans="7:16" x14ac:dyDescent="0.2">
      <c r="G14859" s="199"/>
      <c r="I14859" s="199"/>
      <c r="K14859" s="199"/>
      <c r="M14859" s="199"/>
      <c r="N14859" s="200"/>
      <c r="P14859" s="199"/>
    </row>
    <row r="14860" spans="7:16" x14ac:dyDescent="0.2">
      <c r="G14860" s="199"/>
      <c r="I14860" s="199"/>
      <c r="K14860" s="199"/>
      <c r="M14860" s="199"/>
      <c r="N14860" s="200"/>
      <c r="P14860" s="199"/>
    </row>
    <row r="14861" spans="7:16" x14ac:dyDescent="0.2">
      <c r="G14861" s="199"/>
      <c r="I14861" s="199"/>
      <c r="K14861" s="199"/>
      <c r="M14861" s="199"/>
      <c r="N14861" s="200"/>
      <c r="P14861" s="199"/>
    </row>
    <row r="14862" spans="7:16" x14ac:dyDescent="0.2">
      <c r="G14862" s="199"/>
      <c r="I14862" s="199"/>
      <c r="K14862" s="199"/>
      <c r="M14862" s="199"/>
      <c r="N14862" s="200"/>
      <c r="P14862" s="199"/>
    </row>
    <row r="14863" spans="7:16" x14ac:dyDescent="0.2">
      <c r="G14863" s="199"/>
      <c r="I14863" s="199"/>
      <c r="K14863" s="199"/>
      <c r="M14863" s="199"/>
      <c r="N14863" s="200"/>
      <c r="P14863" s="199"/>
    </row>
    <row r="14864" spans="7:16" x14ac:dyDescent="0.2">
      <c r="G14864" s="199"/>
      <c r="I14864" s="199"/>
      <c r="K14864" s="199"/>
      <c r="M14864" s="199"/>
      <c r="N14864" s="200"/>
      <c r="P14864" s="199"/>
    </row>
    <row r="14865" spans="7:16" x14ac:dyDescent="0.2">
      <c r="G14865" s="199"/>
      <c r="I14865" s="199"/>
      <c r="K14865" s="199"/>
      <c r="M14865" s="199"/>
      <c r="N14865" s="200"/>
      <c r="P14865" s="199"/>
    </row>
    <row r="14866" spans="7:16" x14ac:dyDescent="0.2">
      <c r="G14866" s="199"/>
      <c r="I14866" s="199"/>
      <c r="K14866" s="199"/>
      <c r="M14866" s="199"/>
      <c r="N14866" s="200"/>
      <c r="P14866" s="199"/>
    </row>
    <row r="14867" spans="7:16" x14ac:dyDescent="0.2">
      <c r="G14867" s="199"/>
      <c r="I14867" s="199"/>
      <c r="K14867" s="199"/>
      <c r="M14867" s="199"/>
      <c r="N14867" s="200"/>
      <c r="P14867" s="199"/>
    </row>
    <row r="14868" spans="7:16" x14ac:dyDescent="0.2">
      <c r="G14868" s="199"/>
      <c r="I14868" s="199"/>
      <c r="K14868" s="199"/>
      <c r="M14868" s="199"/>
      <c r="N14868" s="200"/>
      <c r="P14868" s="199"/>
    </row>
    <row r="14869" spans="7:16" x14ac:dyDescent="0.2">
      <c r="G14869" s="199"/>
      <c r="I14869" s="199"/>
      <c r="K14869" s="199"/>
      <c r="M14869" s="199"/>
      <c r="N14869" s="200"/>
      <c r="P14869" s="199"/>
    </row>
    <row r="14870" spans="7:16" x14ac:dyDescent="0.2">
      <c r="G14870" s="199"/>
      <c r="I14870" s="199"/>
      <c r="K14870" s="199"/>
      <c r="M14870" s="199"/>
      <c r="N14870" s="200"/>
      <c r="P14870" s="199"/>
    </row>
    <row r="14871" spans="7:16" x14ac:dyDescent="0.2">
      <c r="G14871" s="199"/>
      <c r="I14871" s="199"/>
      <c r="K14871" s="199"/>
      <c r="M14871" s="199"/>
      <c r="N14871" s="200"/>
      <c r="P14871" s="199"/>
    </row>
    <row r="14872" spans="7:16" x14ac:dyDescent="0.2">
      <c r="G14872" s="199"/>
      <c r="I14872" s="199"/>
      <c r="K14872" s="199"/>
      <c r="M14872" s="199"/>
      <c r="N14872" s="200"/>
      <c r="P14872" s="199"/>
    </row>
    <row r="14873" spans="7:16" x14ac:dyDescent="0.2">
      <c r="G14873" s="199"/>
      <c r="I14873" s="199"/>
      <c r="K14873" s="199"/>
      <c r="M14873" s="199"/>
      <c r="N14873" s="200"/>
      <c r="P14873" s="199"/>
    </row>
    <row r="14874" spans="7:16" x14ac:dyDescent="0.2">
      <c r="G14874" s="199"/>
      <c r="I14874" s="199"/>
      <c r="K14874" s="199"/>
      <c r="M14874" s="199"/>
      <c r="N14874" s="200"/>
      <c r="P14874" s="199"/>
    </row>
    <row r="14875" spans="7:16" x14ac:dyDescent="0.2">
      <c r="G14875" s="199"/>
      <c r="I14875" s="199"/>
      <c r="K14875" s="199"/>
      <c r="M14875" s="199"/>
      <c r="N14875" s="200"/>
      <c r="P14875" s="199"/>
    </row>
    <row r="14876" spans="7:16" x14ac:dyDescent="0.2">
      <c r="G14876" s="199"/>
      <c r="I14876" s="199"/>
      <c r="K14876" s="199"/>
      <c r="M14876" s="199"/>
      <c r="N14876" s="200"/>
      <c r="P14876" s="199"/>
    </row>
    <row r="14877" spans="7:16" x14ac:dyDescent="0.2">
      <c r="G14877" s="199"/>
      <c r="I14877" s="199"/>
      <c r="K14877" s="199"/>
      <c r="M14877" s="199"/>
      <c r="N14877" s="200"/>
      <c r="P14877" s="199"/>
    </row>
    <row r="14878" spans="7:16" x14ac:dyDescent="0.2">
      <c r="G14878" s="199"/>
      <c r="I14878" s="199"/>
      <c r="K14878" s="199"/>
      <c r="M14878" s="199"/>
      <c r="N14878" s="200"/>
      <c r="P14878" s="199"/>
    </row>
    <row r="14879" spans="7:16" x14ac:dyDescent="0.2">
      <c r="G14879" s="199"/>
      <c r="I14879" s="199"/>
      <c r="K14879" s="199"/>
      <c r="M14879" s="199"/>
      <c r="N14879" s="200"/>
      <c r="P14879" s="199"/>
    </row>
    <row r="14880" spans="7:16" x14ac:dyDescent="0.2">
      <c r="G14880" s="199"/>
      <c r="I14880" s="199"/>
      <c r="K14880" s="199"/>
      <c r="M14880" s="199"/>
      <c r="N14880" s="200"/>
      <c r="P14880" s="199"/>
    </row>
    <row r="14881" spans="7:16" x14ac:dyDescent="0.2">
      <c r="G14881" s="199"/>
      <c r="I14881" s="199"/>
      <c r="K14881" s="199"/>
      <c r="M14881" s="199"/>
      <c r="N14881" s="200"/>
      <c r="P14881" s="199"/>
    </row>
    <row r="14882" spans="7:16" x14ac:dyDescent="0.2">
      <c r="G14882" s="199"/>
      <c r="I14882" s="199"/>
      <c r="K14882" s="199"/>
      <c r="M14882" s="199"/>
      <c r="N14882" s="200"/>
      <c r="P14882" s="199"/>
    </row>
    <row r="14883" spans="7:16" x14ac:dyDescent="0.2">
      <c r="G14883" s="199"/>
      <c r="I14883" s="199"/>
      <c r="K14883" s="199"/>
      <c r="M14883" s="199"/>
      <c r="N14883" s="200"/>
      <c r="P14883" s="199"/>
    </row>
    <row r="14884" spans="7:16" x14ac:dyDescent="0.2">
      <c r="G14884" s="199"/>
      <c r="I14884" s="199"/>
      <c r="K14884" s="199"/>
      <c r="M14884" s="199"/>
      <c r="N14884" s="200"/>
      <c r="P14884" s="199"/>
    </row>
    <row r="14885" spans="7:16" x14ac:dyDescent="0.2">
      <c r="G14885" s="199"/>
      <c r="I14885" s="199"/>
      <c r="K14885" s="199"/>
      <c r="M14885" s="199"/>
      <c r="N14885" s="200"/>
      <c r="P14885" s="199"/>
    </row>
    <row r="14886" spans="7:16" x14ac:dyDescent="0.2">
      <c r="G14886" s="199"/>
      <c r="I14886" s="199"/>
      <c r="K14886" s="199"/>
      <c r="M14886" s="199"/>
      <c r="N14886" s="200"/>
      <c r="P14886" s="199"/>
    </row>
    <row r="14887" spans="7:16" x14ac:dyDescent="0.2">
      <c r="G14887" s="199"/>
      <c r="I14887" s="199"/>
      <c r="K14887" s="199"/>
      <c r="M14887" s="199"/>
      <c r="N14887" s="200"/>
      <c r="P14887" s="199"/>
    </row>
    <row r="14888" spans="7:16" x14ac:dyDescent="0.2">
      <c r="G14888" s="199"/>
      <c r="I14888" s="199"/>
      <c r="K14888" s="199"/>
      <c r="M14888" s="199"/>
      <c r="N14888" s="200"/>
      <c r="P14888" s="199"/>
    </row>
    <row r="14889" spans="7:16" x14ac:dyDescent="0.2">
      <c r="G14889" s="199"/>
      <c r="I14889" s="199"/>
      <c r="K14889" s="199"/>
      <c r="M14889" s="199"/>
      <c r="N14889" s="200"/>
      <c r="P14889" s="199"/>
    </row>
    <row r="14890" spans="7:16" x14ac:dyDescent="0.2">
      <c r="G14890" s="199"/>
      <c r="I14890" s="199"/>
      <c r="K14890" s="199"/>
      <c r="M14890" s="199"/>
      <c r="N14890" s="200"/>
      <c r="P14890" s="199"/>
    </row>
    <row r="14891" spans="7:16" x14ac:dyDescent="0.2">
      <c r="G14891" s="199"/>
      <c r="I14891" s="199"/>
      <c r="K14891" s="199"/>
      <c r="M14891" s="199"/>
      <c r="N14891" s="200"/>
      <c r="P14891" s="199"/>
    </row>
    <row r="14892" spans="7:16" x14ac:dyDescent="0.2">
      <c r="G14892" s="199"/>
      <c r="I14892" s="199"/>
      <c r="K14892" s="199"/>
      <c r="M14892" s="199"/>
      <c r="N14892" s="200"/>
      <c r="P14892" s="199"/>
    </row>
    <row r="14893" spans="7:16" x14ac:dyDescent="0.2">
      <c r="G14893" s="199"/>
      <c r="I14893" s="199"/>
      <c r="K14893" s="199"/>
      <c r="M14893" s="199"/>
      <c r="N14893" s="200"/>
      <c r="P14893" s="199"/>
    </row>
    <row r="14894" spans="7:16" x14ac:dyDescent="0.2">
      <c r="G14894" s="199"/>
      <c r="I14894" s="199"/>
      <c r="K14894" s="199"/>
      <c r="M14894" s="199"/>
      <c r="N14894" s="200"/>
      <c r="P14894" s="199"/>
    </row>
    <row r="14895" spans="7:16" x14ac:dyDescent="0.2">
      <c r="G14895" s="199"/>
      <c r="I14895" s="199"/>
      <c r="K14895" s="199"/>
      <c r="M14895" s="199"/>
      <c r="N14895" s="200"/>
      <c r="P14895" s="199"/>
    </row>
    <row r="14896" spans="7:16" x14ac:dyDescent="0.2">
      <c r="G14896" s="199"/>
      <c r="I14896" s="199"/>
      <c r="K14896" s="199"/>
      <c r="M14896" s="199"/>
      <c r="N14896" s="200"/>
      <c r="P14896" s="199"/>
    </row>
    <row r="14897" spans="7:16" x14ac:dyDescent="0.2">
      <c r="G14897" s="199"/>
      <c r="I14897" s="199"/>
      <c r="K14897" s="199"/>
      <c r="M14897" s="199"/>
      <c r="N14897" s="200"/>
      <c r="P14897" s="199"/>
    </row>
    <row r="14898" spans="7:16" x14ac:dyDescent="0.2">
      <c r="G14898" s="199"/>
      <c r="I14898" s="199"/>
      <c r="K14898" s="199"/>
      <c r="M14898" s="199"/>
      <c r="N14898" s="200"/>
      <c r="P14898" s="199"/>
    </row>
    <row r="14899" spans="7:16" x14ac:dyDescent="0.2">
      <c r="G14899" s="199"/>
      <c r="I14899" s="199"/>
      <c r="K14899" s="199"/>
      <c r="M14899" s="199"/>
      <c r="N14899" s="200"/>
      <c r="P14899" s="199"/>
    </row>
    <row r="14900" spans="7:16" x14ac:dyDescent="0.2">
      <c r="G14900" s="199"/>
      <c r="I14900" s="199"/>
      <c r="K14900" s="199"/>
      <c r="M14900" s="199"/>
      <c r="N14900" s="200"/>
      <c r="P14900" s="199"/>
    </row>
    <row r="14901" spans="7:16" x14ac:dyDescent="0.2">
      <c r="G14901" s="199"/>
      <c r="I14901" s="199"/>
      <c r="K14901" s="199"/>
      <c r="M14901" s="199"/>
      <c r="N14901" s="200"/>
      <c r="P14901" s="199"/>
    </row>
    <row r="14902" spans="7:16" x14ac:dyDescent="0.2">
      <c r="G14902" s="199"/>
      <c r="I14902" s="199"/>
      <c r="K14902" s="199"/>
      <c r="M14902" s="199"/>
      <c r="N14902" s="200"/>
      <c r="P14902" s="199"/>
    </row>
    <row r="14903" spans="7:16" x14ac:dyDescent="0.2">
      <c r="G14903" s="199"/>
      <c r="I14903" s="199"/>
      <c r="K14903" s="199"/>
      <c r="M14903" s="199"/>
      <c r="N14903" s="200"/>
      <c r="P14903" s="199"/>
    </row>
    <row r="14904" spans="7:16" x14ac:dyDescent="0.2">
      <c r="G14904" s="199"/>
      <c r="I14904" s="199"/>
      <c r="K14904" s="199"/>
      <c r="M14904" s="199"/>
      <c r="N14904" s="200"/>
      <c r="P14904" s="199"/>
    </row>
    <row r="14905" spans="7:16" x14ac:dyDescent="0.2">
      <c r="G14905" s="199"/>
      <c r="I14905" s="199"/>
      <c r="K14905" s="199"/>
      <c r="M14905" s="199"/>
      <c r="N14905" s="200"/>
      <c r="P14905" s="199"/>
    </row>
    <row r="14906" spans="7:16" x14ac:dyDescent="0.2">
      <c r="G14906" s="199"/>
      <c r="I14906" s="199"/>
      <c r="K14906" s="199"/>
      <c r="M14906" s="199"/>
      <c r="N14906" s="200"/>
      <c r="P14906" s="199"/>
    </row>
    <row r="14907" spans="7:16" x14ac:dyDescent="0.2">
      <c r="G14907" s="199"/>
      <c r="I14907" s="199"/>
      <c r="K14907" s="199"/>
      <c r="M14907" s="199"/>
      <c r="N14907" s="200"/>
      <c r="P14907" s="199"/>
    </row>
    <row r="14908" spans="7:16" x14ac:dyDescent="0.2">
      <c r="G14908" s="199"/>
      <c r="I14908" s="199"/>
      <c r="K14908" s="199"/>
      <c r="M14908" s="199"/>
      <c r="N14908" s="200"/>
      <c r="P14908" s="199"/>
    </row>
    <row r="14909" spans="7:16" x14ac:dyDescent="0.2">
      <c r="G14909" s="199"/>
      <c r="I14909" s="199"/>
      <c r="K14909" s="199"/>
      <c r="M14909" s="199"/>
      <c r="N14909" s="200"/>
      <c r="P14909" s="199"/>
    </row>
    <row r="14910" spans="7:16" x14ac:dyDescent="0.2">
      <c r="G14910" s="199"/>
      <c r="I14910" s="199"/>
      <c r="K14910" s="199"/>
      <c r="M14910" s="199"/>
      <c r="N14910" s="200"/>
      <c r="P14910" s="199"/>
    </row>
    <row r="14911" spans="7:16" x14ac:dyDescent="0.2">
      <c r="G14911" s="199"/>
      <c r="I14911" s="199"/>
      <c r="K14911" s="199"/>
      <c r="M14911" s="199"/>
      <c r="N14911" s="200"/>
      <c r="P14911" s="199"/>
    </row>
    <row r="14912" spans="7:16" x14ac:dyDescent="0.2">
      <c r="G14912" s="199"/>
      <c r="I14912" s="199"/>
      <c r="K14912" s="199"/>
      <c r="M14912" s="199"/>
      <c r="N14912" s="200"/>
      <c r="P14912" s="199"/>
    </row>
    <row r="14913" spans="7:16" x14ac:dyDescent="0.2">
      <c r="G14913" s="199"/>
      <c r="I14913" s="199"/>
      <c r="K14913" s="199"/>
      <c r="M14913" s="199"/>
      <c r="N14913" s="200"/>
      <c r="P14913" s="199"/>
    </row>
    <row r="14914" spans="7:16" x14ac:dyDescent="0.2">
      <c r="G14914" s="199"/>
      <c r="I14914" s="199"/>
      <c r="K14914" s="199"/>
      <c r="M14914" s="199"/>
      <c r="N14914" s="200"/>
      <c r="P14914" s="199"/>
    </row>
    <row r="14915" spans="7:16" x14ac:dyDescent="0.2">
      <c r="G14915" s="199"/>
      <c r="I14915" s="199"/>
      <c r="K14915" s="199"/>
      <c r="M14915" s="199"/>
      <c r="N14915" s="200"/>
      <c r="P14915" s="199"/>
    </row>
    <row r="14916" spans="7:16" x14ac:dyDescent="0.2">
      <c r="G14916" s="199"/>
      <c r="I14916" s="199"/>
      <c r="K14916" s="199"/>
      <c r="M14916" s="199"/>
      <c r="N14916" s="200"/>
      <c r="P14916" s="199"/>
    </row>
    <row r="14917" spans="7:16" x14ac:dyDescent="0.2">
      <c r="G14917" s="199"/>
      <c r="I14917" s="199"/>
      <c r="K14917" s="199"/>
      <c r="M14917" s="199"/>
      <c r="N14917" s="200"/>
      <c r="P14917" s="199"/>
    </row>
    <row r="14918" spans="7:16" x14ac:dyDescent="0.2">
      <c r="G14918" s="199"/>
      <c r="I14918" s="199"/>
      <c r="K14918" s="199"/>
      <c r="M14918" s="199"/>
      <c r="N14918" s="200"/>
      <c r="P14918" s="199"/>
    </row>
    <row r="14919" spans="7:16" x14ac:dyDescent="0.2">
      <c r="G14919" s="199"/>
      <c r="I14919" s="199"/>
      <c r="K14919" s="199"/>
      <c r="M14919" s="199"/>
      <c r="N14919" s="200"/>
      <c r="P14919" s="199"/>
    </row>
    <row r="14920" spans="7:16" x14ac:dyDescent="0.2">
      <c r="G14920" s="199"/>
      <c r="I14920" s="199"/>
      <c r="K14920" s="199"/>
      <c r="M14920" s="199"/>
      <c r="N14920" s="200"/>
      <c r="P14920" s="199"/>
    </row>
    <row r="14921" spans="7:16" x14ac:dyDescent="0.2">
      <c r="G14921" s="199"/>
      <c r="I14921" s="199"/>
      <c r="K14921" s="199"/>
      <c r="M14921" s="199"/>
      <c r="N14921" s="200"/>
      <c r="P14921" s="199"/>
    </row>
    <row r="14922" spans="7:16" x14ac:dyDescent="0.2">
      <c r="G14922" s="199"/>
      <c r="I14922" s="199"/>
      <c r="K14922" s="199"/>
      <c r="M14922" s="199"/>
      <c r="N14922" s="200"/>
      <c r="P14922" s="199"/>
    </row>
    <row r="14923" spans="7:16" x14ac:dyDescent="0.2">
      <c r="G14923" s="199"/>
      <c r="I14923" s="199"/>
      <c r="K14923" s="199"/>
      <c r="M14923" s="199"/>
      <c r="N14923" s="200"/>
      <c r="P14923" s="199"/>
    </row>
    <row r="14924" spans="7:16" x14ac:dyDescent="0.2">
      <c r="G14924" s="199"/>
      <c r="I14924" s="199"/>
      <c r="K14924" s="199"/>
      <c r="M14924" s="199"/>
      <c r="N14924" s="200"/>
      <c r="P14924" s="199"/>
    </row>
    <row r="14925" spans="7:16" x14ac:dyDescent="0.2">
      <c r="G14925" s="199"/>
      <c r="I14925" s="199"/>
      <c r="K14925" s="199"/>
      <c r="M14925" s="199"/>
      <c r="N14925" s="200"/>
      <c r="P14925" s="199"/>
    </row>
    <row r="14926" spans="7:16" x14ac:dyDescent="0.2">
      <c r="G14926" s="199"/>
      <c r="I14926" s="199"/>
      <c r="K14926" s="199"/>
      <c r="M14926" s="199"/>
      <c r="N14926" s="200"/>
      <c r="P14926" s="199"/>
    </row>
    <row r="14927" spans="7:16" x14ac:dyDescent="0.2">
      <c r="G14927" s="199"/>
      <c r="I14927" s="199"/>
      <c r="K14927" s="199"/>
      <c r="M14927" s="199"/>
      <c r="N14927" s="200"/>
      <c r="P14927" s="199"/>
    </row>
    <row r="14928" spans="7:16" x14ac:dyDescent="0.2">
      <c r="G14928" s="199"/>
      <c r="I14928" s="199"/>
      <c r="K14928" s="199"/>
      <c r="M14928" s="199"/>
      <c r="N14928" s="200"/>
      <c r="P14928" s="199"/>
    </row>
    <row r="14929" spans="7:16" x14ac:dyDescent="0.2">
      <c r="G14929" s="199"/>
      <c r="I14929" s="199"/>
      <c r="K14929" s="199"/>
      <c r="M14929" s="199"/>
      <c r="N14929" s="200"/>
      <c r="P14929" s="199"/>
    </row>
    <row r="14930" spans="7:16" x14ac:dyDescent="0.2">
      <c r="G14930" s="199"/>
      <c r="I14930" s="199"/>
      <c r="K14930" s="199"/>
      <c r="M14930" s="199"/>
      <c r="N14930" s="200"/>
      <c r="P14930" s="199"/>
    </row>
    <row r="14931" spans="7:16" x14ac:dyDescent="0.2">
      <c r="G14931" s="199"/>
      <c r="I14931" s="199"/>
      <c r="K14931" s="199"/>
      <c r="M14931" s="199"/>
      <c r="N14931" s="200"/>
      <c r="P14931" s="199"/>
    </row>
    <row r="14932" spans="7:16" x14ac:dyDescent="0.2">
      <c r="G14932" s="199"/>
      <c r="I14932" s="199"/>
      <c r="K14932" s="199"/>
      <c r="M14932" s="199"/>
      <c r="N14932" s="200"/>
      <c r="P14932" s="199"/>
    </row>
    <row r="14933" spans="7:16" x14ac:dyDescent="0.2">
      <c r="G14933" s="199"/>
      <c r="I14933" s="199"/>
      <c r="K14933" s="199"/>
      <c r="M14933" s="199"/>
      <c r="N14933" s="200"/>
      <c r="P14933" s="199"/>
    </row>
    <row r="14934" spans="7:16" x14ac:dyDescent="0.2">
      <c r="G14934" s="199"/>
      <c r="I14934" s="199"/>
      <c r="K14934" s="199"/>
      <c r="M14934" s="199"/>
      <c r="N14934" s="200"/>
      <c r="P14934" s="199"/>
    </row>
    <row r="14935" spans="7:16" x14ac:dyDescent="0.2">
      <c r="G14935" s="199"/>
      <c r="I14935" s="199"/>
      <c r="K14935" s="199"/>
      <c r="M14935" s="199"/>
      <c r="N14935" s="200"/>
      <c r="P14935" s="199"/>
    </row>
    <row r="14936" spans="7:16" x14ac:dyDescent="0.2">
      <c r="G14936" s="199"/>
      <c r="I14936" s="199"/>
      <c r="K14936" s="199"/>
      <c r="M14936" s="199"/>
      <c r="N14936" s="200"/>
      <c r="P14936" s="199"/>
    </row>
    <row r="14937" spans="7:16" x14ac:dyDescent="0.2">
      <c r="G14937" s="199"/>
      <c r="I14937" s="199"/>
      <c r="K14937" s="199"/>
      <c r="M14937" s="199"/>
      <c r="N14937" s="200"/>
      <c r="P14937" s="199"/>
    </row>
    <row r="14938" spans="7:16" x14ac:dyDescent="0.2">
      <c r="G14938" s="199"/>
      <c r="I14938" s="199"/>
      <c r="K14938" s="199"/>
      <c r="M14938" s="199"/>
      <c r="N14938" s="200"/>
      <c r="P14938" s="199"/>
    </row>
    <row r="14939" spans="7:16" x14ac:dyDescent="0.2">
      <c r="G14939" s="199"/>
      <c r="I14939" s="199"/>
      <c r="K14939" s="199"/>
      <c r="M14939" s="199"/>
      <c r="N14939" s="200"/>
      <c r="P14939" s="199"/>
    </row>
    <row r="14940" spans="7:16" x14ac:dyDescent="0.2">
      <c r="G14940" s="199"/>
      <c r="I14940" s="199"/>
      <c r="K14940" s="199"/>
      <c r="M14940" s="199"/>
      <c r="N14940" s="200"/>
      <c r="P14940" s="199"/>
    </row>
    <row r="14941" spans="7:16" x14ac:dyDescent="0.2">
      <c r="G14941" s="199"/>
      <c r="I14941" s="199"/>
      <c r="K14941" s="199"/>
      <c r="M14941" s="199"/>
      <c r="N14941" s="200"/>
      <c r="P14941" s="199"/>
    </row>
    <row r="14942" spans="7:16" x14ac:dyDescent="0.2">
      <c r="G14942" s="199"/>
      <c r="I14942" s="199"/>
      <c r="K14942" s="199"/>
      <c r="M14942" s="199"/>
      <c r="N14942" s="200"/>
      <c r="P14942" s="199"/>
    </row>
    <row r="14943" spans="7:16" x14ac:dyDescent="0.2">
      <c r="G14943" s="199"/>
      <c r="I14943" s="199"/>
      <c r="K14943" s="199"/>
      <c r="M14943" s="199"/>
      <c r="N14943" s="200"/>
      <c r="P14943" s="199"/>
    </row>
    <row r="14944" spans="7:16" x14ac:dyDescent="0.2">
      <c r="G14944" s="199"/>
      <c r="I14944" s="199"/>
      <c r="K14944" s="199"/>
      <c r="M14944" s="199"/>
      <c r="N14944" s="200"/>
      <c r="P14944" s="199"/>
    </row>
    <row r="14945" spans="7:16" x14ac:dyDescent="0.2">
      <c r="G14945" s="199"/>
      <c r="I14945" s="199"/>
      <c r="K14945" s="199"/>
      <c r="M14945" s="199"/>
      <c r="N14945" s="200"/>
      <c r="P14945" s="199"/>
    </row>
    <row r="14946" spans="7:16" x14ac:dyDescent="0.2">
      <c r="G14946" s="199"/>
      <c r="I14946" s="199"/>
      <c r="K14946" s="199"/>
      <c r="M14946" s="199"/>
      <c r="N14946" s="200"/>
      <c r="P14946" s="199"/>
    </row>
    <row r="14947" spans="7:16" x14ac:dyDescent="0.2">
      <c r="G14947" s="199"/>
      <c r="I14947" s="199"/>
      <c r="K14947" s="199"/>
      <c r="M14947" s="199"/>
      <c r="N14947" s="200"/>
      <c r="P14947" s="199"/>
    </row>
    <row r="14948" spans="7:16" x14ac:dyDescent="0.2">
      <c r="G14948" s="199"/>
      <c r="I14948" s="199"/>
      <c r="K14948" s="199"/>
      <c r="M14948" s="199"/>
      <c r="N14948" s="200"/>
      <c r="P14948" s="199"/>
    </row>
    <row r="14949" spans="7:16" x14ac:dyDescent="0.2">
      <c r="G14949" s="199"/>
      <c r="I14949" s="199"/>
      <c r="K14949" s="199"/>
      <c r="M14949" s="199"/>
      <c r="N14949" s="200"/>
      <c r="P14949" s="199"/>
    </row>
    <row r="14950" spans="7:16" x14ac:dyDescent="0.2">
      <c r="G14950" s="199"/>
      <c r="I14950" s="199"/>
      <c r="K14950" s="199"/>
      <c r="M14950" s="199"/>
      <c r="N14950" s="200"/>
      <c r="P14950" s="199"/>
    </row>
    <row r="14951" spans="7:16" x14ac:dyDescent="0.2">
      <c r="G14951" s="199"/>
      <c r="I14951" s="199"/>
      <c r="K14951" s="199"/>
      <c r="M14951" s="199"/>
      <c r="N14951" s="200"/>
      <c r="P14951" s="199"/>
    </row>
    <row r="14952" spans="7:16" x14ac:dyDescent="0.2">
      <c r="G14952" s="199"/>
      <c r="I14952" s="199"/>
      <c r="K14952" s="199"/>
      <c r="M14952" s="199"/>
      <c r="N14952" s="200"/>
      <c r="P14952" s="199"/>
    </row>
    <row r="14953" spans="7:16" x14ac:dyDescent="0.2">
      <c r="G14953" s="199"/>
      <c r="I14953" s="199"/>
      <c r="K14953" s="199"/>
      <c r="M14953" s="199"/>
      <c r="N14953" s="200"/>
      <c r="P14953" s="199"/>
    </row>
    <row r="14954" spans="7:16" x14ac:dyDescent="0.2">
      <c r="G14954" s="199"/>
      <c r="I14954" s="199"/>
      <c r="K14954" s="199"/>
      <c r="M14954" s="199"/>
      <c r="N14954" s="200"/>
      <c r="P14954" s="199"/>
    </row>
    <row r="14955" spans="7:16" x14ac:dyDescent="0.2">
      <c r="G14955" s="199"/>
      <c r="I14955" s="199"/>
      <c r="K14955" s="199"/>
      <c r="M14955" s="199"/>
      <c r="N14955" s="200"/>
      <c r="P14955" s="199"/>
    </row>
    <row r="14956" spans="7:16" x14ac:dyDescent="0.2">
      <c r="G14956" s="199"/>
      <c r="I14956" s="199"/>
      <c r="K14956" s="199"/>
      <c r="M14956" s="199"/>
      <c r="N14956" s="200"/>
      <c r="P14956" s="199"/>
    </row>
    <row r="14957" spans="7:16" x14ac:dyDescent="0.2">
      <c r="G14957" s="199"/>
      <c r="I14957" s="199"/>
      <c r="K14957" s="199"/>
      <c r="M14957" s="199"/>
      <c r="N14957" s="200"/>
      <c r="P14957" s="199"/>
    </row>
    <row r="14958" spans="7:16" x14ac:dyDescent="0.2">
      <c r="G14958" s="199"/>
      <c r="I14958" s="199"/>
      <c r="K14958" s="199"/>
      <c r="M14958" s="199"/>
      <c r="N14958" s="200"/>
      <c r="P14958" s="199"/>
    </row>
    <row r="14959" spans="7:16" x14ac:dyDescent="0.2">
      <c r="G14959" s="199"/>
      <c r="I14959" s="199"/>
      <c r="K14959" s="199"/>
      <c r="M14959" s="199"/>
      <c r="N14959" s="200"/>
      <c r="P14959" s="199"/>
    </row>
    <row r="14960" spans="7:16" x14ac:dyDescent="0.2">
      <c r="G14960" s="199"/>
      <c r="I14960" s="199"/>
      <c r="K14960" s="199"/>
      <c r="M14960" s="199"/>
      <c r="N14960" s="200"/>
      <c r="P14960" s="199"/>
    </row>
    <row r="14961" spans="7:16" x14ac:dyDescent="0.2">
      <c r="G14961" s="199"/>
      <c r="I14961" s="199"/>
      <c r="K14961" s="199"/>
      <c r="M14961" s="199"/>
      <c r="N14961" s="200"/>
      <c r="P14961" s="199"/>
    </row>
    <row r="14962" spans="7:16" x14ac:dyDescent="0.2">
      <c r="G14962" s="199"/>
      <c r="I14962" s="199"/>
      <c r="K14962" s="199"/>
      <c r="M14962" s="199"/>
      <c r="N14962" s="200"/>
      <c r="P14962" s="199"/>
    </row>
    <row r="14963" spans="7:16" x14ac:dyDescent="0.2">
      <c r="G14963" s="199"/>
      <c r="I14963" s="199"/>
      <c r="K14963" s="199"/>
      <c r="M14963" s="199"/>
      <c r="N14963" s="200"/>
      <c r="P14963" s="199"/>
    </row>
    <row r="14964" spans="7:16" x14ac:dyDescent="0.2">
      <c r="G14964" s="199"/>
      <c r="I14964" s="199"/>
      <c r="K14964" s="199"/>
      <c r="M14964" s="199"/>
      <c r="N14964" s="200"/>
      <c r="P14964" s="199"/>
    </row>
    <row r="14965" spans="7:16" x14ac:dyDescent="0.2">
      <c r="G14965" s="199"/>
      <c r="I14965" s="199"/>
      <c r="K14965" s="199"/>
      <c r="M14965" s="199"/>
      <c r="N14965" s="200"/>
      <c r="P14965" s="199"/>
    </row>
    <row r="14966" spans="7:16" x14ac:dyDescent="0.2">
      <c r="G14966" s="199"/>
      <c r="I14966" s="199"/>
      <c r="K14966" s="199"/>
      <c r="M14966" s="199"/>
      <c r="N14966" s="200"/>
      <c r="P14966" s="199"/>
    </row>
    <row r="14967" spans="7:16" x14ac:dyDescent="0.2">
      <c r="G14967" s="199"/>
      <c r="I14967" s="199"/>
      <c r="K14967" s="199"/>
      <c r="M14967" s="199"/>
      <c r="N14967" s="200"/>
      <c r="P14967" s="199"/>
    </row>
    <row r="14968" spans="7:16" x14ac:dyDescent="0.2">
      <c r="G14968" s="199"/>
      <c r="I14968" s="199"/>
      <c r="K14968" s="199"/>
      <c r="M14968" s="199"/>
      <c r="N14968" s="200"/>
      <c r="P14968" s="199"/>
    </row>
    <row r="14969" spans="7:16" x14ac:dyDescent="0.2">
      <c r="G14969" s="199"/>
      <c r="I14969" s="199"/>
      <c r="K14969" s="199"/>
      <c r="M14969" s="199"/>
      <c r="N14969" s="200"/>
      <c r="P14969" s="199"/>
    </row>
    <row r="14970" spans="7:16" x14ac:dyDescent="0.2">
      <c r="G14970" s="199"/>
      <c r="I14970" s="199"/>
      <c r="K14970" s="199"/>
      <c r="M14970" s="199"/>
      <c r="N14970" s="200"/>
      <c r="P14970" s="199"/>
    </row>
    <row r="14971" spans="7:16" x14ac:dyDescent="0.2">
      <c r="G14971" s="199"/>
      <c r="I14971" s="199"/>
      <c r="K14971" s="199"/>
      <c r="M14971" s="199"/>
      <c r="N14971" s="200"/>
      <c r="P14971" s="199"/>
    </row>
    <row r="14972" spans="7:16" x14ac:dyDescent="0.2">
      <c r="G14972" s="199"/>
      <c r="I14972" s="199"/>
      <c r="K14972" s="199"/>
      <c r="M14972" s="199"/>
      <c r="N14972" s="200"/>
      <c r="P14972" s="199"/>
    </row>
    <row r="14973" spans="7:16" x14ac:dyDescent="0.2">
      <c r="G14973" s="199"/>
      <c r="I14973" s="199"/>
      <c r="K14973" s="199"/>
      <c r="M14973" s="199"/>
      <c r="N14973" s="200"/>
      <c r="P14973" s="199"/>
    </row>
    <row r="14974" spans="7:16" x14ac:dyDescent="0.2">
      <c r="G14974" s="199"/>
      <c r="I14974" s="199"/>
      <c r="K14974" s="199"/>
      <c r="M14974" s="199"/>
      <c r="N14974" s="200"/>
      <c r="P14974" s="199"/>
    </row>
    <row r="14975" spans="7:16" x14ac:dyDescent="0.2">
      <c r="G14975" s="199"/>
      <c r="I14975" s="199"/>
      <c r="K14975" s="199"/>
      <c r="M14975" s="199"/>
      <c r="N14975" s="200"/>
      <c r="P14975" s="199"/>
    </row>
    <row r="14976" spans="7:16" x14ac:dyDescent="0.2">
      <c r="G14976" s="199"/>
      <c r="I14976" s="199"/>
      <c r="K14976" s="199"/>
      <c r="M14976" s="199"/>
      <c r="N14976" s="200"/>
      <c r="P14976" s="199"/>
    </row>
    <row r="14977" spans="7:16" x14ac:dyDescent="0.2">
      <c r="G14977" s="199"/>
      <c r="I14977" s="199"/>
      <c r="K14977" s="199"/>
      <c r="M14977" s="199"/>
      <c r="N14977" s="200"/>
      <c r="P14977" s="199"/>
    </row>
    <row r="14978" spans="7:16" x14ac:dyDescent="0.2">
      <c r="G14978" s="199"/>
      <c r="I14978" s="199"/>
      <c r="K14978" s="199"/>
      <c r="M14978" s="199"/>
      <c r="N14978" s="200"/>
      <c r="P14978" s="199"/>
    </row>
    <row r="14979" spans="7:16" x14ac:dyDescent="0.2">
      <c r="G14979" s="199"/>
      <c r="I14979" s="199"/>
      <c r="K14979" s="199"/>
      <c r="M14979" s="199"/>
      <c r="N14979" s="200"/>
      <c r="P14979" s="199"/>
    </row>
    <row r="14980" spans="7:16" x14ac:dyDescent="0.2">
      <c r="G14980" s="199"/>
      <c r="I14980" s="199"/>
      <c r="K14980" s="199"/>
      <c r="M14980" s="199"/>
      <c r="N14980" s="200"/>
      <c r="P14980" s="199"/>
    </row>
    <row r="14981" spans="7:16" x14ac:dyDescent="0.2">
      <c r="G14981" s="199"/>
      <c r="I14981" s="199"/>
      <c r="K14981" s="199"/>
      <c r="M14981" s="199"/>
      <c r="N14981" s="200"/>
      <c r="P14981" s="199"/>
    </row>
    <row r="14982" spans="7:16" x14ac:dyDescent="0.2">
      <c r="G14982" s="199"/>
      <c r="I14982" s="199"/>
      <c r="K14982" s="199"/>
      <c r="M14982" s="199"/>
      <c r="N14982" s="200"/>
      <c r="P14982" s="199"/>
    </row>
    <row r="14983" spans="7:16" x14ac:dyDescent="0.2">
      <c r="G14983" s="199"/>
      <c r="I14983" s="199"/>
      <c r="K14983" s="199"/>
      <c r="M14983" s="199"/>
      <c r="N14983" s="200"/>
      <c r="P14983" s="199"/>
    </row>
    <row r="14984" spans="7:16" x14ac:dyDescent="0.2">
      <c r="G14984" s="199"/>
      <c r="I14984" s="199"/>
      <c r="K14984" s="199"/>
      <c r="M14984" s="199"/>
      <c r="N14984" s="200"/>
      <c r="P14984" s="199"/>
    </row>
    <row r="14985" spans="7:16" x14ac:dyDescent="0.2">
      <c r="G14985" s="199"/>
      <c r="I14985" s="199"/>
      <c r="K14985" s="199"/>
      <c r="M14985" s="199"/>
      <c r="N14985" s="200"/>
      <c r="P14985" s="199"/>
    </row>
    <row r="14986" spans="7:16" x14ac:dyDescent="0.2">
      <c r="G14986" s="199"/>
      <c r="I14986" s="199"/>
      <c r="K14986" s="199"/>
      <c r="M14986" s="199"/>
      <c r="N14986" s="200"/>
      <c r="P14986" s="199"/>
    </row>
    <row r="14987" spans="7:16" x14ac:dyDescent="0.2">
      <c r="G14987" s="199"/>
      <c r="I14987" s="199"/>
      <c r="K14987" s="199"/>
      <c r="M14987" s="199"/>
      <c r="N14987" s="200"/>
      <c r="P14987" s="199"/>
    </row>
    <row r="14988" spans="7:16" x14ac:dyDescent="0.2">
      <c r="G14988" s="199"/>
      <c r="I14988" s="199"/>
      <c r="K14988" s="199"/>
      <c r="M14988" s="199"/>
      <c r="N14988" s="200"/>
      <c r="P14988" s="199"/>
    </row>
    <row r="14989" spans="7:16" x14ac:dyDescent="0.2">
      <c r="G14989" s="199"/>
      <c r="I14989" s="199"/>
      <c r="K14989" s="199"/>
      <c r="M14989" s="199"/>
      <c r="N14989" s="200"/>
      <c r="P14989" s="199"/>
    </row>
    <row r="14990" spans="7:16" x14ac:dyDescent="0.2">
      <c r="G14990" s="199"/>
      <c r="I14990" s="199"/>
      <c r="K14990" s="199"/>
      <c r="M14990" s="199"/>
      <c r="N14990" s="200"/>
      <c r="P14990" s="199"/>
    </row>
    <row r="14991" spans="7:16" x14ac:dyDescent="0.2">
      <c r="G14991" s="199"/>
      <c r="I14991" s="199"/>
      <c r="K14991" s="199"/>
      <c r="M14991" s="199"/>
      <c r="N14991" s="200"/>
      <c r="P14991" s="199"/>
    </row>
    <row r="14992" spans="7:16" x14ac:dyDescent="0.2">
      <c r="G14992" s="199"/>
      <c r="I14992" s="199"/>
      <c r="K14992" s="199"/>
      <c r="M14992" s="199"/>
      <c r="N14992" s="200"/>
      <c r="P14992" s="199"/>
    </row>
    <row r="14993" spans="7:16" x14ac:dyDescent="0.2">
      <c r="G14993" s="199"/>
      <c r="I14993" s="199"/>
      <c r="K14993" s="199"/>
      <c r="M14993" s="199"/>
      <c r="N14993" s="200"/>
      <c r="P14993" s="199"/>
    </row>
    <row r="14994" spans="7:16" x14ac:dyDescent="0.2">
      <c r="G14994" s="199"/>
      <c r="I14994" s="199"/>
      <c r="K14994" s="199"/>
      <c r="M14994" s="199"/>
      <c r="N14994" s="200"/>
      <c r="P14994" s="199"/>
    </row>
    <row r="14995" spans="7:16" x14ac:dyDescent="0.2">
      <c r="G14995" s="199"/>
      <c r="I14995" s="199"/>
      <c r="K14995" s="199"/>
      <c r="M14995" s="199"/>
      <c r="N14995" s="200"/>
      <c r="P14995" s="199"/>
    </row>
    <row r="14996" spans="7:16" x14ac:dyDescent="0.2">
      <c r="G14996" s="199"/>
      <c r="I14996" s="199"/>
      <c r="K14996" s="199"/>
      <c r="M14996" s="199"/>
      <c r="N14996" s="200"/>
      <c r="P14996" s="199"/>
    </row>
    <row r="14997" spans="7:16" x14ac:dyDescent="0.2">
      <c r="G14997" s="199"/>
      <c r="I14997" s="199"/>
      <c r="K14997" s="199"/>
      <c r="M14997" s="199"/>
      <c r="N14997" s="200"/>
      <c r="P14997" s="199"/>
    </row>
    <row r="14998" spans="7:16" x14ac:dyDescent="0.2">
      <c r="G14998" s="199"/>
      <c r="I14998" s="199"/>
      <c r="K14998" s="199"/>
      <c r="M14998" s="199"/>
      <c r="N14998" s="200"/>
      <c r="P14998" s="199"/>
    </row>
    <row r="14999" spans="7:16" x14ac:dyDescent="0.2">
      <c r="G14999" s="199"/>
      <c r="I14999" s="199"/>
      <c r="K14999" s="199"/>
      <c r="M14999" s="199"/>
      <c r="N14999" s="200"/>
      <c r="P14999" s="199"/>
    </row>
    <row r="15000" spans="7:16" x14ac:dyDescent="0.2">
      <c r="G15000" s="199"/>
      <c r="I15000" s="199"/>
      <c r="K15000" s="199"/>
      <c r="M15000" s="199"/>
      <c r="N15000" s="200"/>
      <c r="P15000" s="199"/>
    </row>
    <row r="15001" spans="7:16" x14ac:dyDescent="0.2">
      <c r="G15001" s="199"/>
      <c r="I15001" s="199"/>
      <c r="K15001" s="199"/>
      <c r="M15001" s="199"/>
      <c r="N15001" s="200"/>
      <c r="P15001" s="199"/>
    </row>
    <row r="15002" spans="7:16" x14ac:dyDescent="0.2">
      <c r="G15002" s="199"/>
      <c r="I15002" s="199"/>
      <c r="K15002" s="199"/>
      <c r="M15002" s="199"/>
      <c r="N15002" s="200"/>
      <c r="P15002" s="199"/>
    </row>
    <row r="15003" spans="7:16" x14ac:dyDescent="0.2">
      <c r="G15003" s="199"/>
      <c r="I15003" s="199"/>
      <c r="K15003" s="199"/>
      <c r="M15003" s="199"/>
      <c r="N15003" s="200"/>
      <c r="P15003" s="199"/>
    </row>
    <row r="15004" spans="7:16" x14ac:dyDescent="0.2">
      <c r="G15004" s="199"/>
      <c r="I15004" s="199"/>
      <c r="K15004" s="199"/>
      <c r="M15004" s="199"/>
      <c r="N15004" s="200"/>
      <c r="P15004" s="199"/>
    </row>
    <row r="15005" spans="7:16" x14ac:dyDescent="0.2">
      <c r="G15005" s="199"/>
      <c r="I15005" s="199"/>
      <c r="K15005" s="199"/>
      <c r="M15005" s="199"/>
      <c r="N15005" s="200"/>
      <c r="P15005" s="199"/>
    </row>
    <row r="15006" spans="7:16" x14ac:dyDescent="0.2">
      <c r="G15006" s="199"/>
      <c r="I15006" s="199"/>
      <c r="K15006" s="199"/>
      <c r="M15006" s="199"/>
      <c r="N15006" s="200"/>
      <c r="P15006" s="199"/>
    </row>
    <row r="15007" spans="7:16" x14ac:dyDescent="0.2">
      <c r="G15007" s="199"/>
      <c r="I15007" s="199"/>
      <c r="K15007" s="199"/>
      <c r="M15007" s="199"/>
      <c r="N15007" s="200"/>
      <c r="P15007" s="199"/>
    </row>
    <row r="15008" spans="7:16" x14ac:dyDescent="0.2">
      <c r="G15008" s="199"/>
      <c r="I15008" s="199"/>
      <c r="K15008" s="199"/>
      <c r="M15008" s="199"/>
      <c r="N15008" s="200"/>
      <c r="P15008" s="199"/>
    </row>
    <row r="15009" spans="7:16" x14ac:dyDescent="0.2">
      <c r="G15009" s="199"/>
      <c r="I15009" s="199"/>
      <c r="K15009" s="199"/>
      <c r="M15009" s="199"/>
      <c r="N15009" s="200"/>
      <c r="P15009" s="199"/>
    </row>
    <row r="15010" spans="7:16" x14ac:dyDescent="0.2">
      <c r="G15010" s="199"/>
      <c r="I15010" s="199"/>
      <c r="K15010" s="199"/>
      <c r="M15010" s="199"/>
      <c r="N15010" s="200"/>
      <c r="P15010" s="199"/>
    </row>
    <row r="15011" spans="7:16" x14ac:dyDescent="0.2">
      <c r="G15011" s="199"/>
      <c r="I15011" s="199"/>
      <c r="K15011" s="199"/>
      <c r="M15011" s="199"/>
      <c r="N15011" s="200"/>
      <c r="P15011" s="199"/>
    </row>
    <row r="15012" spans="7:16" x14ac:dyDescent="0.2">
      <c r="G15012" s="199"/>
      <c r="I15012" s="199"/>
      <c r="K15012" s="199"/>
      <c r="M15012" s="199"/>
      <c r="N15012" s="200"/>
      <c r="P15012" s="199"/>
    </row>
    <row r="15013" spans="7:16" x14ac:dyDescent="0.2">
      <c r="G15013" s="199"/>
      <c r="I15013" s="199"/>
      <c r="K15013" s="199"/>
      <c r="M15013" s="199"/>
      <c r="N15013" s="200"/>
      <c r="P15013" s="199"/>
    </row>
    <row r="15014" spans="7:16" x14ac:dyDescent="0.2">
      <c r="G15014" s="199"/>
      <c r="I15014" s="199"/>
      <c r="K15014" s="199"/>
      <c r="M15014" s="199"/>
      <c r="N15014" s="200"/>
      <c r="P15014" s="199"/>
    </row>
    <row r="15015" spans="7:16" x14ac:dyDescent="0.2">
      <c r="G15015" s="199"/>
      <c r="I15015" s="199"/>
      <c r="K15015" s="199"/>
      <c r="M15015" s="199"/>
      <c r="N15015" s="200"/>
      <c r="P15015" s="199"/>
    </row>
    <row r="15016" spans="7:16" x14ac:dyDescent="0.2">
      <c r="G15016" s="199"/>
      <c r="I15016" s="199"/>
      <c r="K15016" s="199"/>
      <c r="M15016" s="199"/>
      <c r="N15016" s="200"/>
      <c r="P15016" s="199"/>
    </row>
    <row r="15017" spans="7:16" x14ac:dyDescent="0.2">
      <c r="G15017" s="199"/>
      <c r="I15017" s="199"/>
      <c r="K15017" s="199"/>
      <c r="M15017" s="199"/>
      <c r="N15017" s="200"/>
      <c r="P15017" s="199"/>
    </row>
    <row r="15018" spans="7:16" x14ac:dyDescent="0.2">
      <c r="G15018" s="199"/>
      <c r="I15018" s="199"/>
      <c r="K15018" s="199"/>
      <c r="M15018" s="199"/>
      <c r="N15018" s="200"/>
      <c r="P15018" s="199"/>
    </row>
    <row r="15019" spans="7:16" x14ac:dyDescent="0.2">
      <c r="G15019" s="199"/>
      <c r="I15019" s="199"/>
      <c r="K15019" s="199"/>
      <c r="M15019" s="199"/>
      <c r="N15019" s="200"/>
      <c r="P15019" s="199"/>
    </row>
    <row r="15020" spans="7:16" x14ac:dyDescent="0.2">
      <c r="G15020" s="199"/>
      <c r="I15020" s="199"/>
      <c r="K15020" s="199"/>
      <c r="M15020" s="199"/>
      <c r="N15020" s="200"/>
      <c r="P15020" s="199"/>
    </row>
    <row r="15021" spans="7:16" x14ac:dyDescent="0.2">
      <c r="G15021" s="199"/>
      <c r="I15021" s="199"/>
      <c r="K15021" s="199"/>
      <c r="M15021" s="199"/>
      <c r="N15021" s="200"/>
      <c r="P15021" s="199"/>
    </row>
    <row r="15022" spans="7:16" x14ac:dyDescent="0.2">
      <c r="G15022" s="199"/>
      <c r="I15022" s="199"/>
      <c r="K15022" s="199"/>
      <c r="M15022" s="199"/>
      <c r="N15022" s="200"/>
      <c r="P15022" s="199"/>
    </row>
    <row r="15023" spans="7:16" x14ac:dyDescent="0.2">
      <c r="G15023" s="199"/>
      <c r="I15023" s="199"/>
      <c r="K15023" s="199"/>
      <c r="M15023" s="199"/>
      <c r="N15023" s="200"/>
      <c r="P15023" s="199"/>
    </row>
    <row r="15024" spans="7:16" x14ac:dyDescent="0.2">
      <c r="G15024" s="199"/>
      <c r="I15024" s="199"/>
      <c r="K15024" s="199"/>
      <c r="M15024" s="199"/>
      <c r="N15024" s="200"/>
      <c r="P15024" s="199"/>
    </row>
    <row r="15025" spans="7:16" x14ac:dyDescent="0.2">
      <c r="G15025" s="199"/>
      <c r="I15025" s="199"/>
      <c r="K15025" s="199"/>
      <c r="M15025" s="199"/>
      <c r="N15025" s="200"/>
      <c r="P15025" s="199"/>
    </row>
    <row r="15026" spans="7:16" x14ac:dyDescent="0.2">
      <c r="G15026" s="199"/>
      <c r="I15026" s="199"/>
      <c r="K15026" s="199"/>
      <c r="M15026" s="199"/>
      <c r="N15026" s="200"/>
      <c r="P15026" s="199"/>
    </row>
    <row r="15027" spans="7:16" x14ac:dyDescent="0.2">
      <c r="G15027" s="199"/>
      <c r="I15027" s="199"/>
      <c r="K15027" s="199"/>
      <c r="M15027" s="199"/>
      <c r="N15027" s="200"/>
      <c r="P15027" s="199"/>
    </row>
    <row r="15028" spans="7:16" x14ac:dyDescent="0.2">
      <c r="G15028" s="199"/>
      <c r="I15028" s="199"/>
      <c r="K15028" s="199"/>
      <c r="M15028" s="199"/>
      <c r="N15028" s="200"/>
      <c r="P15028" s="199"/>
    </row>
    <row r="15029" spans="7:16" x14ac:dyDescent="0.2">
      <c r="G15029" s="199"/>
      <c r="I15029" s="199"/>
      <c r="K15029" s="199"/>
      <c r="M15029" s="199"/>
      <c r="N15029" s="200"/>
      <c r="P15029" s="199"/>
    </row>
    <row r="15030" spans="7:16" x14ac:dyDescent="0.2">
      <c r="G15030" s="199"/>
      <c r="I15030" s="199"/>
      <c r="K15030" s="199"/>
      <c r="M15030" s="199"/>
      <c r="N15030" s="200"/>
      <c r="P15030" s="199"/>
    </row>
    <row r="15031" spans="7:16" x14ac:dyDescent="0.2">
      <c r="G15031" s="199"/>
      <c r="I15031" s="199"/>
      <c r="K15031" s="199"/>
      <c r="M15031" s="199"/>
      <c r="N15031" s="200"/>
      <c r="P15031" s="199"/>
    </row>
    <row r="15032" spans="7:16" x14ac:dyDescent="0.2">
      <c r="G15032" s="199"/>
      <c r="I15032" s="199"/>
      <c r="K15032" s="199"/>
      <c r="M15032" s="199"/>
      <c r="N15032" s="200"/>
      <c r="P15032" s="199"/>
    </row>
    <row r="15033" spans="7:16" x14ac:dyDescent="0.2">
      <c r="G15033" s="199"/>
      <c r="I15033" s="199"/>
      <c r="K15033" s="199"/>
      <c r="M15033" s="199"/>
      <c r="N15033" s="200"/>
      <c r="P15033" s="199"/>
    </row>
    <row r="15034" spans="7:16" x14ac:dyDescent="0.2">
      <c r="G15034" s="199"/>
      <c r="I15034" s="199"/>
      <c r="K15034" s="199"/>
      <c r="M15034" s="199"/>
      <c r="N15034" s="200"/>
      <c r="P15034" s="199"/>
    </row>
    <row r="15035" spans="7:16" x14ac:dyDescent="0.2">
      <c r="G15035" s="199"/>
      <c r="I15035" s="199"/>
      <c r="K15035" s="199"/>
      <c r="M15035" s="199"/>
      <c r="N15035" s="200"/>
      <c r="P15035" s="199"/>
    </row>
    <row r="15036" spans="7:16" x14ac:dyDescent="0.2">
      <c r="G15036" s="199"/>
      <c r="I15036" s="199"/>
      <c r="K15036" s="199"/>
      <c r="M15036" s="199"/>
      <c r="N15036" s="200"/>
      <c r="P15036" s="199"/>
    </row>
    <row r="15037" spans="7:16" x14ac:dyDescent="0.2">
      <c r="G15037" s="199"/>
      <c r="I15037" s="199"/>
      <c r="K15037" s="199"/>
      <c r="M15037" s="199"/>
      <c r="N15037" s="200"/>
      <c r="P15037" s="199"/>
    </row>
    <row r="15038" spans="7:16" x14ac:dyDescent="0.2">
      <c r="G15038" s="199"/>
      <c r="I15038" s="199"/>
      <c r="K15038" s="199"/>
      <c r="M15038" s="199"/>
      <c r="N15038" s="200"/>
      <c r="P15038" s="199"/>
    </row>
    <row r="15039" spans="7:16" x14ac:dyDescent="0.2">
      <c r="G15039" s="199"/>
      <c r="I15039" s="199"/>
      <c r="K15039" s="199"/>
      <c r="M15039" s="199"/>
      <c r="N15039" s="200"/>
      <c r="P15039" s="199"/>
    </row>
    <row r="15040" spans="7:16" x14ac:dyDescent="0.2">
      <c r="G15040" s="199"/>
      <c r="I15040" s="199"/>
      <c r="K15040" s="199"/>
      <c r="M15040" s="199"/>
      <c r="N15040" s="200"/>
      <c r="P15040" s="199"/>
    </row>
    <row r="15041" spans="7:16" x14ac:dyDescent="0.2">
      <c r="G15041" s="199"/>
      <c r="I15041" s="199"/>
      <c r="K15041" s="199"/>
      <c r="M15041" s="199"/>
      <c r="N15041" s="200"/>
      <c r="P15041" s="199"/>
    </row>
    <row r="15042" spans="7:16" x14ac:dyDescent="0.2">
      <c r="G15042" s="199"/>
      <c r="I15042" s="199"/>
      <c r="K15042" s="199"/>
      <c r="M15042" s="199"/>
      <c r="N15042" s="200"/>
      <c r="P15042" s="199"/>
    </row>
    <row r="15043" spans="7:16" x14ac:dyDescent="0.2">
      <c r="G15043" s="199"/>
      <c r="I15043" s="199"/>
      <c r="K15043" s="199"/>
      <c r="M15043" s="199"/>
      <c r="N15043" s="200"/>
      <c r="P15043" s="199"/>
    </row>
    <row r="15044" spans="7:16" x14ac:dyDescent="0.2">
      <c r="G15044" s="199"/>
      <c r="I15044" s="199"/>
      <c r="K15044" s="199"/>
      <c r="M15044" s="199"/>
      <c r="N15044" s="200"/>
      <c r="P15044" s="199"/>
    </row>
    <row r="15045" spans="7:16" x14ac:dyDescent="0.2">
      <c r="G15045" s="199"/>
      <c r="I15045" s="199"/>
      <c r="K15045" s="199"/>
      <c r="M15045" s="199"/>
      <c r="N15045" s="200"/>
      <c r="P15045" s="199"/>
    </row>
    <row r="15046" spans="7:16" x14ac:dyDescent="0.2">
      <c r="G15046" s="199"/>
      <c r="I15046" s="199"/>
      <c r="K15046" s="199"/>
      <c r="M15046" s="199"/>
      <c r="N15046" s="200"/>
      <c r="P15046" s="199"/>
    </row>
    <row r="15047" spans="7:16" x14ac:dyDescent="0.2">
      <c r="G15047" s="199"/>
      <c r="I15047" s="199"/>
      <c r="K15047" s="199"/>
      <c r="M15047" s="199"/>
      <c r="N15047" s="200"/>
      <c r="P15047" s="199"/>
    </row>
    <row r="15048" spans="7:16" x14ac:dyDescent="0.2">
      <c r="G15048" s="199"/>
      <c r="I15048" s="199"/>
      <c r="K15048" s="199"/>
      <c r="M15048" s="199"/>
      <c r="N15048" s="200"/>
      <c r="P15048" s="199"/>
    </row>
    <row r="15049" spans="7:16" x14ac:dyDescent="0.2">
      <c r="G15049" s="199"/>
      <c r="I15049" s="199"/>
      <c r="K15049" s="199"/>
      <c r="M15049" s="199"/>
      <c r="N15049" s="200"/>
      <c r="P15049" s="199"/>
    </row>
    <row r="15050" spans="7:16" x14ac:dyDescent="0.2">
      <c r="G15050" s="199"/>
      <c r="I15050" s="199"/>
      <c r="K15050" s="199"/>
      <c r="M15050" s="199"/>
      <c r="N15050" s="200"/>
      <c r="P15050" s="199"/>
    </row>
    <row r="15051" spans="7:16" x14ac:dyDescent="0.2">
      <c r="G15051" s="199"/>
      <c r="I15051" s="199"/>
      <c r="K15051" s="199"/>
      <c r="M15051" s="199"/>
      <c r="N15051" s="200"/>
      <c r="P15051" s="199"/>
    </row>
    <row r="15052" spans="7:16" x14ac:dyDescent="0.2">
      <c r="G15052" s="199"/>
      <c r="I15052" s="199"/>
      <c r="K15052" s="199"/>
      <c r="M15052" s="199"/>
      <c r="N15052" s="200"/>
      <c r="P15052" s="199"/>
    </row>
    <row r="15053" spans="7:16" x14ac:dyDescent="0.2">
      <c r="G15053" s="199"/>
      <c r="I15053" s="199"/>
      <c r="K15053" s="199"/>
      <c r="M15053" s="199"/>
      <c r="N15053" s="200"/>
      <c r="P15053" s="199"/>
    </row>
    <row r="15054" spans="7:16" x14ac:dyDescent="0.2">
      <c r="G15054" s="199"/>
      <c r="I15054" s="199"/>
      <c r="K15054" s="199"/>
      <c r="M15054" s="199"/>
      <c r="N15054" s="200"/>
      <c r="P15054" s="199"/>
    </row>
    <row r="15055" spans="7:16" x14ac:dyDescent="0.2">
      <c r="G15055" s="199"/>
      <c r="I15055" s="199"/>
      <c r="K15055" s="199"/>
      <c r="M15055" s="199"/>
      <c r="N15055" s="200"/>
      <c r="P15055" s="199"/>
    </row>
    <row r="15056" spans="7:16" x14ac:dyDescent="0.2">
      <c r="G15056" s="199"/>
      <c r="I15056" s="199"/>
      <c r="K15056" s="199"/>
      <c r="M15056" s="199"/>
      <c r="N15056" s="200"/>
      <c r="P15056" s="199"/>
    </row>
    <row r="15057" spans="7:16" x14ac:dyDescent="0.2">
      <c r="G15057" s="199"/>
      <c r="I15057" s="199"/>
      <c r="K15057" s="199"/>
      <c r="M15057" s="199"/>
      <c r="N15057" s="200"/>
      <c r="P15057" s="199"/>
    </row>
    <row r="15058" spans="7:16" x14ac:dyDescent="0.2">
      <c r="G15058" s="199"/>
      <c r="I15058" s="199"/>
      <c r="K15058" s="199"/>
      <c r="M15058" s="199"/>
      <c r="N15058" s="200"/>
      <c r="P15058" s="199"/>
    </row>
    <row r="15059" spans="7:16" x14ac:dyDescent="0.2">
      <c r="G15059" s="199"/>
      <c r="I15059" s="199"/>
      <c r="K15059" s="199"/>
      <c r="M15059" s="199"/>
      <c r="N15059" s="200"/>
      <c r="P15059" s="199"/>
    </row>
    <row r="15060" spans="7:16" x14ac:dyDescent="0.2">
      <c r="G15060" s="199"/>
      <c r="I15060" s="199"/>
      <c r="K15060" s="199"/>
      <c r="M15060" s="199"/>
      <c r="N15060" s="200"/>
      <c r="P15060" s="199"/>
    </row>
    <row r="15061" spans="7:16" x14ac:dyDescent="0.2">
      <c r="G15061" s="199"/>
      <c r="I15061" s="199"/>
      <c r="K15061" s="199"/>
      <c r="M15061" s="199"/>
      <c r="N15061" s="200"/>
      <c r="P15061" s="199"/>
    </row>
    <row r="15062" spans="7:16" x14ac:dyDescent="0.2">
      <c r="G15062" s="199"/>
      <c r="I15062" s="199"/>
      <c r="K15062" s="199"/>
      <c r="M15062" s="199"/>
      <c r="N15062" s="200"/>
      <c r="P15062" s="199"/>
    </row>
    <row r="15063" spans="7:16" x14ac:dyDescent="0.2">
      <c r="G15063" s="199"/>
      <c r="I15063" s="199"/>
      <c r="K15063" s="199"/>
      <c r="M15063" s="199"/>
      <c r="N15063" s="200"/>
      <c r="P15063" s="199"/>
    </row>
    <row r="15064" spans="7:16" x14ac:dyDescent="0.2">
      <c r="G15064" s="199"/>
      <c r="I15064" s="199"/>
      <c r="K15064" s="199"/>
      <c r="M15064" s="199"/>
      <c r="N15064" s="200"/>
      <c r="P15064" s="199"/>
    </row>
    <row r="15065" spans="7:16" x14ac:dyDescent="0.2">
      <c r="G15065" s="199"/>
      <c r="I15065" s="199"/>
      <c r="K15065" s="199"/>
      <c r="M15065" s="199"/>
      <c r="N15065" s="200"/>
      <c r="P15065" s="199"/>
    </row>
    <row r="15066" spans="7:16" x14ac:dyDescent="0.2">
      <c r="G15066" s="199"/>
      <c r="I15066" s="199"/>
      <c r="K15066" s="199"/>
      <c r="M15066" s="199"/>
      <c r="N15066" s="200"/>
      <c r="P15066" s="199"/>
    </row>
    <row r="15067" spans="7:16" x14ac:dyDescent="0.2">
      <c r="G15067" s="199"/>
      <c r="I15067" s="199"/>
      <c r="K15067" s="199"/>
      <c r="M15067" s="199"/>
      <c r="N15067" s="200"/>
      <c r="P15067" s="199"/>
    </row>
    <row r="15068" spans="7:16" x14ac:dyDescent="0.2">
      <c r="G15068" s="199"/>
      <c r="I15068" s="199"/>
      <c r="K15068" s="199"/>
      <c r="M15068" s="199"/>
      <c r="N15068" s="200"/>
      <c r="P15068" s="199"/>
    </row>
    <row r="15069" spans="7:16" x14ac:dyDescent="0.2">
      <c r="G15069" s="199"/>
      <c r="I15069" s="199"/>
      <c r="K15069" s="199"/>
      <c r="M15069" s="199"/>
      <c r="N15069" s="200"/>
      <c r="P15069" s="199"/>
    </row>
    <row r="15070" spans="7:16" x14ac:dyDescent="0.2">
      <c r="G15070" s="199"/>
      <c r="I15070" s="199"/>
      <c r="K15070" s="199"/>
      <c r="M15070" s="199"/>
      <c r="N15070" s="200"/>
      <c r="P15070" s="199"/>
    </row>
    <row r="15071" spans="7:16" x14ac:dyDescent="0.2">
      <c r="G15071" s="199"/>
      <c r="I15071" s="199"/>
      <c r="K15071" s="199"/>
      <c r="M15071" s="199"/>
      <c r="N15071" s="200"/>
      <c r="P15071" s="199"/>
    </row>
    <row r="15072" spans="7:16" x14ac:dyDescent="0.2">
      <c r="G15072" s="199"/>
      <c r="I15072" s="199"/>
      <c r="K15072" s="199"/>
      <c r="M15072" s="199"/>
      <c r="N15072" s="200"/>
      <c r="P15072" s="199"/>
    </row>
    <row r="15073" spans="7:16" x14ac:dyDescent="0.2">
      <c r="G15073" s="199"/>
      <c r="I15073" s="199"/>
      <c r="K15073" s="199"/>
      <c r="M15073" s="199"/>
      <c r="N15073" s="200"/>
      <c r="P15073" s="199"/>
    </row>
    <row r="15074" spans="7:16" x14ac:dyDescent="0.2">
      <c r="G15074" s="199"/>
      <c r="I15074" s="199"/>
      <c r="K15074" s="199"/>
      <c r="M15074" s="199"/>
      <c r="N15074" s="200"/>
      <c r="P15074" s="199"/>
    </row>
    <row r="15075" spans="7:16" x14ac:dyDescent="0.2">
      <c r="G15075" s="199"/>
      <c r="I15075" s="199"/>
      <c r="K15075" s="199"/>
      <c r="M15075" s="199"/>
      <c r="N15075" s="200"/>
      <c r="P15075" s="199"/>
    </row>
    <row r="15076" spans="7:16" x14ac:dyDescent="0.2">
      <c r="G15076" s="199"/>
      <c r="I15076" s="199"/>
      <c r="K15076" s="199"/>
      <c r="M15076" s="199"/>
      <c r="N15076" s="200"/>
      <c r="P15076" s="199"/>
    </row>
    <row r="15077" spans="7:16" x14ac:dyDescent="0.2">
      <c r="G15077" s="199"/>
      <c r="I15077" s="199"/>
      <c r="K15077" s="199"/>
      <c r="M15077" s="199"/>
      <c r="N15077" s="200"/>
      <c r="P15077" s="199"/>
    </row>
    <row r="15078" spans="7:16" x14ac:dyDescent="0.2">
      <c r="G15078" s="199"/>
      <c r="I15078" s="199"/>
      <c r="K15078" s="199"/>
      <c r="M15078" s="199"/>
      <c r="N15078" s="200"/>
      <c r="P15078" s="199"/>
    </row>
    <row r="15079" spans="7:16" x14ac:dyDescent="0.2">
      <c r="G15079" s="199"/>
      <c r="I15079" s="199"/>
      <c r="K15079" s="199"/>
      <c r="M15079" s="199"/>
      <c r="N15079" s="200"/>
      <c r="P15079" s="199"/>
    </row>
    <row r="15080" spans="7:16" x14ac:dyDescent="0.2">
      <c r="G15080" s="199"/>
      <c r="I15080" s="199"/>
      <c r="K15080" s="199"/>
      <c r="M15080" s="199"/>
      <c r="N15080" s="200"/>
      <c r="P15080" s="199"/>
    </row>
    <row r="15081" spans="7:16" x14ac:dyDescent="0.2">
      <c r="G15081" s="199"/>
      <c r="I15081" s="199"/>
      <c r="K15081" s="199"/>
      <c r="M15081" s="199"/>
      <c r="N15081" s="200"/>
      <c r="P15081" s="199"/>
    </row>
    <row r="15082" spans="7:16" x14ac:dyDescent="0.2">
      <c r="G15082" s="199"/>
      <c r="I15082" s="199"/>
      <c r="K15082" s="199"/>
      <c r="M15082" s="199"/>
      <c r="N15082" s="200"/>
      <c r="P15082" s="199"/>
    </row>
    <row r="15083" spans="7:16" x14ac:dyDescent="0.2">
      <c r="G15083" s="199"/>
      <c r="I15083" s="199"/>
      <c r="K15083" s="199"/>
      <c r="M15083" s="199"/>
      <c r="N15083" s="200"/>
      <c r="P15083" s="199"/>
    </row>
    <row r="15084" spans="7:16" x14ac:dyDescent="0.2">
      <c r="G15084" s="199"/>
      <c r="I15084" s="199"/>
      <c r="K15084" s="199"/>
      <c r="M15084" s="199"/>
      <c r="N15084" s="200"/>
      <c r="P15084" s="199"/>
    </row>
    <row r="15085" spans="7:16" x14ac:dyDescent="0.2">
      <c r="G15085" s="199"/>
      <c r="I15085" s="199"/>
      <c r="K15085" s="199"/>
      <c r="M15085" s="199"/>
      <c r="N15085" s="200"/>
      <c r="P15085" s="199"/>
    </row>
    <row r="15086" spans="7:16" x14ac:dyDescent="0.2">
      <c r="G15086" s="199"/>
      <c r="I15086" s="199"/>
      <c r="K15086" s="199"/>
      <c r="M15086" s="199"/>
      <c r="N15086" s="200"/>
      <c r="P15086" s="199"/>
    </row>
    <row r="15087" spans="7:16" x14ac:dyDescent="0.2">
      <c r="G15087" s="199"/>
      <c r="I15087" s="199"/>
      <c r="K15087" s="199"/>
      <c r="M15087" s="199"/>
      <c r="N15087" s="200"/>
      <c r="P15087" s="199"/>
    </row>
    <row r="15088" spans="7:16" x14ac:dyDescent="0.2">
      <c r="G15088" s="199"/>
      <c r="I15088" s="199"/>
      <c r="K15088" s="199"/>
      <c r="M15088" s="199"/>
      <c r="N15088" s="200"/>
      <c r="P15088" s="199"/>
    </row>
    <row r="15089" spans="7:16" x14ac:dyDescent="0.2">
      <c r="G15089" s="199"/>
      <c r="I15089" s="199"/>
      <c r="K15089" s="199"/>
      <c r="M15089" s="199"/>
      <c r="N15089" s="200"/>
      <c r="P15089" s="199"/>
    </row>
    <row r="15090" spans="7:16" x14ac:dyDescent="0.2">
      <c r="G15090" s="199"/>
      <c r="I15090" s="199"/>
      <c r="K15090" s="199"/>
      <c r="M15090" s="199"/>
      <c r="N15090" s="200"/>
      <c r="P15090" s="199"/>
    </row>
    <row r="15091" spans="7:16" x14ac:dyDescent="0.2">
      <c r="G15091" s="199"/>
      <c r="I15091" s="199"/>
      <c r="K15091" s="199"/>
      <c r="M15091" s="199"/>
      <c r="N15091" s="200"/>
      <c r="P15091" s="199"/>
    </row>
    <row r="15092" spans="7:16" x14ac:dyDescent="0.2">
      <c r="G15092" s="199"/>
      <c r="I15092" s="199"/>
      <c r="K15092" s="199"/>
      <c r="M15092" s="199"/>
      <c r="N15092" s="200"/>
      <c r="P15092" s="199"/>
    </row>
    <row r="15093" spans="7:16" x14ac:dyDescent="0.2">
      <c r="G15093" s="199"/>
      <c r="I15093" s="199"/>
      <c r="K15093" s="199"/>
      <c r="M15093" s="199"/>
      <c r="N15093" s="200"/>
      <c r="P15093" s="199"/>
    </row>
    <row r="15094" spans="7:16" x14ac:dyDescent="0.2">
      <c r="G15094" s="199"/>
      <c r="I15094" s="199"/>
      <c r="K15094" s="199"/>
      <c r="M15094" s="199"/>
      <c r="N15094" s="200"/>
      <c r="P15094" s="199"/>
    </row>
    <row r="15095" spans="7:16" x14ac:dyDescent="0.2">
      <c r="G15095" s="199"/>
      <c r="I15095" s="199"/>
      <c r="K15095" s="199"/>
      <c r="M15095" s="199"/>
      <c r="N15095" s="200"/>
      <c r="P15095" s="199"/>
    </row>
    <row r="15096" spans="7:16" x14ac:dyDescent="0.2">
      <c r="G15096" s="199"/>
      <c r="I15096" s="199"/>
      <c r="K15096" s="199"/>
      <c r="M15096" s="199"/>
      <c r="N15096" s="200"/>
      <c r="P15096" s="199"/>
    </row>
    <row r="15097" spans="7:16" x14ac:dyDescent="0.2">
      <c r="G15097" s="199"/>
      <c r="I15097" s="199"/>
      <c r="K15097" s="199"/>
      <c r="M15097" s="199"/>
      <c r="N15097" s="200"/>
      <c r="P15097" s="199"/>
    </row>
    <row r="15098" spans="7:16" x14ac:dyDescent="0.2">
      <c r="G15098" s="199"/>
      <c r="I15098" s="199"/>
      <c r="K15098" s="199"/>
      <c r="M15098" s="199"/>
      <c r="N15098" s="200"/>
      <c r="P15098" s="199"/>
    </row>
    <row r="15099" spans="7:16" x14ac:dyDescent="0.2">
      <c r="G15099" s="199"/>
      <c r="I15099" s="199"/>
      <c r="K15099" s="199"/>
      <c r="M15099" s="199"/>
      <c r="N15099" s="200"/>
      <c r="P15099" s="199"/>
    </row>
    <row r="15100" spans="7:16" x14ac:dyDescent="0.2">
      <c r="G15100" s="199"/>
      <c r="I15100" s="199"/>
      <c r="K15100" s="199"/>
      <c r="M15100" s="199"/>
      <c r="N15100" s="200"/>
      <c r="P15100" s="199"/>
    </row>
    <row r="15101" spans="7:16" x14ac:dyDescent="0.2">
      <c r="G15101" s="199"/>
      <c r="I15101" s="199"/>
      <c r="K15101" s="199"/>
      <c r="M15101" s="199"/>
      <c r="N15101" s="200"/>
      <c r="P15101" s="199"/>
    </row>
    <row r="15102" spans="7:16" x14ac:dyDescent="0.2">
      <c r="G15102" s="199"/>
      <c r="I15102" s="199"/>
      <c r="K15102" s="199"/>
      <c r="M15102" s="199"/>
      <c r="N15102" s="200"/>
      <c r="P15102" s="199"/>
    </row>
    <row r="15103" spans="7:16" x14ac:dyDescent="0.2">
      <c r="G15103" s="199"/>
      <c r="I15103" s="199"/>
      <c r="K15103" s="199"/>
      <c r="M15103" s="199"/>
      <c r="N15103" s="200"/>
      <c r="P15103" s="199"/>
    </row>
    <row r="15104" spans="7:16" x14ac:dyDescent="0.2">
      <c r="G15104" s="199"/>
      <c r="I15104" s="199"/>
      <c r="K15104" s="199"/>
      <c r="M15104" s="199"/>
      <c r="N15104" s="200"/>
      <c r="P15104" s="199"/>
    </row>
    <row r="15105" spans="7:16" x14ac:dyDescent="0.2">
      <c r="G15105" s="199"/>
      <c r="I15105" s="199"/>
      <c r="K15105" s="199"/>
      <c r="M15105" s="199"/>
      <c r="N15105" s="200"/>
      <c r="P15105" s="199"/>
    </row>
    <row r="15106" spans="7:16" x14ac:dyDescent="0.2">
      <c r="G15106" s="199"/>
      <c r="I15106" s="199"/>
      <c r="K15106" s="199"/>
      <c r="M15106" s="199"/>
      <c r="N15106" s="200"/>
      <c r="P15106" s="199"/>
    </row>
    <row r="15107" spans="7:16" x14ac:dyDescent="0.2">
      <c r="G15107" s="199"/>
      <c r="I15107" s="199"/>
      <c r="K15107" s="199"/>
      <c r="M15107" s="199"/>
      <c r="N15107" s="200"/>
      <c r="P15107" s="199"/>
    </row>
    <row r="15108" spans="7:16" x14ac:dyDescent="0.2">
      <c r="G15108" s="199"/>
      <c r="I15108" s="199"/>
      <c r="K15108" s="199"/>
      <c r="M15108" s="199"/>
      <c r="N15108" s="200"/>
      <c r="P15108" s="199"/>
    </row>
    <row r="15109" spans="7:16" x14ac:dyDescent="0.2">
      <c r="G15109" s="199"/>
      <c r="I15109" s="199"/>
      <c r="K15109" s="199"/>
      <c r="M15109" s="199"/>
      <c r="N15109" s="200"/>
      <c r="P15109" s="199"/>
    </row>
    <row r="15110" spans="7:16" x14ac:dyDescent="0.2">
      <c r="G15110" s="199"/>
      <c r="I15110" s="199"/>
      <c r="K15110" s="199"/>
      <c r="M15110" s="199"/>
      <c r="N15110" s="200"/>
      <c r="P15110" s="199"/>
    </row>
    <row r="15111" spans="7:16" x14ac:dyDescent="0.2">
      <c r="G15111" s="199"/>
      <c r="I15111" s="199"/>
      <c r="K15111" s="199"/>
      <c r="M15111" s="199"/>
      <c r="N15111" s="200"/>
      <c r="P15111" s="199"/>
    </row>
    <row r="15112" spans="7:16" x14ac:dyDescent="0.2">
      <c r="G15112" s="199"/>
      <c r="I15112" s="199"/>
      <c r="K15112" s="199"/>
      <c r="M15112" s="199"/>
      <c r="N15112" s="200"/>
      <c r="P15112" s="199"/>
    </row>
    <row r="15113" spans="7:16" x14ac:dyDescent="0.2">
      <c r="G15113" s="199"/>
      <c r="I15113" s="199"/>
      <c r="K15113" s="199"/>
      <c r="M15113" s="199"/>
      <c r="N15113" s="200"/>
      <c r="P15113" s="199"/>
    </row>
    <row r="15114" spans="7:16" x14ac:dyDescent="0.2">
      <c r="G15114" s="199"/>
      <c r="I15114" s="199"/>
      <c r="K15114" s="199"/>
      <c r="M15114" s="199"/>
      <c r="N15114" s="200"/>
      <c r="P15114" s="199"/>
    </row>
    <row r="15115" spans="7:16" x14ac:dyDescent="0.2">
      <c r="G15115" s="199"/>
      <c r="I15115" s="199"/>
      <c r="K15115" s="199"/>
      <c r="M15115" s="199"/>
      <c r="N15115" s="200"/>
      <c r="P15115" s="199"/>
    </row>
    <row r="15116" spans="7:16" x14ac:dyDescent="0.2">
      <c r="G15116" s="199"/>
      <c r="I15116" s="199"/>
      <c r="K15116" s="199"/>
      <c r="M15116" s="199"/>
      <c r="N15116" s="200"/>
      <c r="P15116" s="199"/>
    </row>
    <row r="15117" spans="7:16" x14ac:dyDescent="0.2">
      <c r="G15117" s="199"/>
      <c r="I15117" s="199"/>
      <c r="K15117" s="199"/>
      <c r="M15117" s="199"/>
      <c r="N15117" s="200"/>
      <c r="P15117" s="199"/>
    </row>
    <row r="15118" spans="7:16" x14ac:dyDescent="0.2">
      <c r="G15118" s="199"/>
      <c r="I15118" s="199"/>
      <c r="K15118" s="199"/>
      <c r="M15118" s="199"/>
      <c r="N15118" s="200"/>
      <c r="P15118" s="199"/>
    </row>
    <row r="15119" spans="7:16" x14ac:dyDescent="0.2">
      <c r="G15119" s="199"/>
      <c r="I15119" s="199"/>
      <c r="K15119" s="199"/>
      <c r="M15119" s="199"/>
      <c r="N15119" s="200"/>
      <c r="P15119" s="199"/>
    </row>
    <row r="15120" spans="7:16" x14ac:dyDescent="0.2">
      <c r="G15120" s="199"/>
      <c r="I15120" s="199"/>
      <c r="K15120" s="199"/>
      <c r="M15120" s="199"/>
      <c r="N15120" s="200"/>
      <c r="P15120" s="199"/>
    </row>
    <row r="15121" spans="7:16" x14ac:dyDescent="0.2">
      <c r="G15121" s="199"/>
      <c r="I15121" s="199"/>
      <c r="K15121" s="199"/>
      <c r="M15121" s="199"/>
      <c r="N15121" s="200"/>
      <c r="P15121" s="199"/>
    </row>
    <row r="15122" spans="7:16" x14ac:dyDescent="0.2">
      <c r="G15122" s="199"/>
      <c r="I15122" s="199"/>
      <c r="K15122" s="199"/>
      <c r="M15122" s="199"/>
      <c r="N15122" s="200"/>
      <c r="P15122" s="199"/>
    </row>
    <row r="15123" spans="7:16" x14ac:dyDescent="0.2">
      <c r="G15123" s="199"/>
      <c r="I15123" s="199"/>
      <c r="K15123" s="199"/>
      <c r="M15123" s="199"/>
      <c r="N15123" s="200"/>
      <c r="P15123" s="199"/>
    </row>
    <row r="15124" spans="7:16" x14ac:dyDescent="0.2">
      <c r="G15124" s="199"/>
      <c r="I15124" s="199"/>
      <c r="K15124" s="199"/>
      <c r="M15124" s="199"/>
      <c r="N15124" s="200"/>
      <c r="P15124" s="199"/>
    </row>
    <row r="15125" spans="7:16" x14ac:dyDescent="0.2">
      <c r="G15125" s="199"/>
      <c r="I15125" s="199"/>
      <c r="K15125" s="199"/>
      <c r="M15125" s="199"/>
      <c r="N15125" s="200"/>
      <c r="P15125" s="199"/>
    </row>
    <row r="15126" spans="7:16" x14ac:dyDescent="0.2">
      <c r="G15126" s="199"/>
      <c r="I15126" s="199"/>
      <c r="K15126" s="199"/>
      <c r="M15126" s="199"/>
      <c r="N15126" s="200"/>
      <c r="P15126" s="199"/>
    </row>
    <row r="15127" spans="7:16" x14ac:dyDescent="0.2">
      <c r="G15127" s="199"/>
      <c r="I15127" s="199"/>
      <c r="K15127" s="199"/>
      <c r="M15127" s="199"/>
      <c r="N15127" s="200"/>
      <c r="P15127" s="199"/>
    </row>
    <row r="15128" spans="7:16" x14ac:dyDescent="0.2">
      <c r="G15128" s="199"/>
      <c r="I15128" s="199"/>
      <c r="K15128" s="199"/>
      <c r="M15128" s="199"/>
      <c r="N15128" s="200"/>
      <c r="P15128" s="199"/>
    </row>
    <row r="15129" spans="7:16" x14ac:dyDescent="0.2">
      <c r="G15129" s="199"/>
      <c r="I15129" s="199"/>
      <c r="K15129" s="199"/>
      <c r="M15129" s="199"/>
      <c r="N15129" s="200"/>
      <c r="P15129" s="199"/>
    </row>
    <row r="15130" spans="7:16" x14ac:dyDescent="0.2">
      <c r="G15130" s="199"/>
      <c r="I15130" s="199"/>
      <c r="K15130" s="199"/>
      <c r="M15130" s="199"/>
      <c r="N15130" s="200"/>
      <c r="P15130" s="199"/>
    </row>
    <row r="15131" spans="7:16" x14ac:dyDescent="0.2">
      <c r="G15131" s="199"/>
      <c r="I15131" s="199"/>
      <c r="K15131" s="199"/>
      <c r="M15131" s="199"/>
      <c r="N15131" s="200"/>
      <c r="P15131" s="199"/>
    </row>
    <row r="15132" spans="7:16" x14ac:dyDescent="0.2">
      <c r="G15132" s="199"/>
      <c r="I15132" s="199"/>
      <c r="K15132" s="199"/>
      <c r="M15132" s="199"/>
      <c r="N15132" s="200"/>
      <c r="P15132" s="199"/>
    </row>
    <row r="15133" spans="7:16" x14ac:dyDescent="0.2">
      <c r="G15133" s="199"/>
      <c r="I15133" s="199"/>
      <c r="K15133" s="199"/>
      <c r="M15133" s="199"/>
      <c r="N15133" s="200"/>
      <c r="P15133" s="199"/>
    </row>
    <row r="15134" spans="7:16" x14ac:dyDescent="0.2">
      <c r="G15134" s="199"/>
      <c r="I15134" s="199"/>
      <c r="K15134" s="199"/>
      <c r="M15134" s="199"/>
      <c r="N15134" s="200"/>
      <c r="P15134" s="199"/>
    </row>
    <row r="15135" spans="7:16" x14ac:dyDescent="0.2">
      <c r="G15135" s="199"/>
      <c r="I15135" s="199"/>
      <c r="K15135" s="199"/>
      <c r="M15135" s="199"/>
      <c r="N15135" s="200"/>
      <c r="P15135" s="199"/>
    </row>
    <row r="15136" spans="7:16" x14ac:dyDescent="0.2">
      <c r="G15136" s="199"/>
      <c r="I15136" s="199"/>
      <c r="K15136" s="199"/>
      <c r="M15136" s="199"/>
      <c r="N15136" s="200"/>
      <c r="P15136" s="199"/>
    </row>
    <row r="15137" spans="7:16" x14ac:dyDescent="0.2">
      <c r="G15137" s="199"/>
      <c r="I15137" s="199"/>
      <c r="K15137" s="199"/>
      <c r="M15137" s="199"/>
      <c r="N15137" s="200"/>
      <c r="P15137" s="199"/>
    </row>
    <row r="15138" spans="7:16" x14ac:dyDescent="0.2">
      <c r="G15138" s="199"/>
      <c r="I15138" s="199"/>
      <c r="K15138" s="199"/>
      <c r="M15138" s="199"/>
      <c r="N15138" s="200"/>
      <c r="P15138" s="199"/>
    </row>
    <row r="15139" spans="7:16" x14ac:dyDescent="0.2">
      <c r="G15139" s="199"/>
      <c r="I15139" s="199"/>
      <c r="K15139" s="199"/>
      <c r="M15139" s="199"/>
      <c r="N15139" s="200"/>
      <c r="P15139" s="199"/>
    </row>
    <row r="15140" spans="7:16" x14ac:dyDescent="0.2">
      <c r="G15140" s="199"/>
      <c r="I15140" s="199"/>
      <c r="K15140" s="199"/>
      <c r="M15140" s="199"/>
      <c r="N15140" s="200"/>
      <c r="P15140" s="199"/>
    </row>
    <row r="15141" spans="7:16" x14ac:dyDescent="0.2">
      <c r="G15141" s="199"/>
      <c r="I15141" s="199"/>
      <c r="K15141" s="199"/>
      <c r="M15141" s="199"/>
      <c r="N15141" s="200"/>
      <c r="P15141" s="199"/>
    </row>
    <row r="15142" spans="7:16" x14ac:dyDescent="0.2">
      <c r="G15142" s="199"/>
      <c r="I15142" s="199"/>
      <c r="K15142" s="199"/>
      <c r="M15142" s="199"/>
      <c r="N15142" s="200"/>
      <c r="P15142" s="199"/>
    </row>
    <row r="15143" spans="7:16" x14ac:dyDescent="0.2">
      <c r="G15143" s="199"/>
      <c r="I15143" s="199"/>
      <c r="K15143" s="199"/>
      <c r="M15143" s="199"/>
      <c r="N15143" s="200"/>
      <c r="P15143" s="199"/>
    </row>
    <row r="15144" spans="7:16" x14ac:dyDescent="0.2">
      <c r="G15144" s="199"/>
      <c r="I15144" s="199"/>
      <c r="K15144" s="199"/>
      <c r="M15144" s="199"/>
      <c r="N15144" s="200"/>
      <c r="P15144" s="199"/>
    </row>
    <row r="15145" spans="7:16" x14ac:dyDescent="0.2">
      <c r="G15145" s="199"/>
      <c r="I15145" s="199"/>
      <c r="K15145" s="199"/>
      <c r="M15145" s="199"/>
      <c r="N15145" s="200"/>
      <c r="P15145" s="199"/>
    </row>
    <row r="15146" spans="7:16" x14ac:dyDescent="0.2">
      <c r="G15146" s="199"/>
      <c r="I15146" s="199"/>
      <c r="K15146" s="199"/>
      <c r="M15146" s="199"/>
      <c r="N15146" s="200"/>
      <c r="P15146" s="199"/>
    </row>
    <row r="15147" spans="7:16" x14ac:dyDescent="0.2">
      <c r="G15147" s="199"/>
      <c r="I15147" s="199"/>
      <c r="K15147" s="199"/>
      <c r="M15147" s="199"/>
      <c r="N15147" s="200"/>
      <c r="P15147" s="199"/>
    </row>
    <row r="15148" spans="7:16" x14ac:dyDescent="0.2">
      <c r="G15148" s="199"/>
      <c r="I15148" s="199"/>
      <c r="K15148" s="199"/>
      <c r="M15148" s="199"/>
      <c r="N15148" s="200"/>
      <c r="P15148" s="199"/>
    </row>
    <row r="15149" spans="7:16" x14ac:dyDescent="0.2">
      <c r="G15149" s="199"/>
      <c r="I15149" s="199"/>
      <c r="K15149" s="199"/>
      <c r="M15149" s="199"/>
      <c r="N15149" s="200"/>
      <c r="P15149" s="199"/>
    </row>
    <row r="15150" spans="7:16" x14ac:dyDescent="0.2">
      <c r="G15150" s="199"/>
      <c r="I15150" s="199"/>
      <c r="K15150" s="199"/>
      <c r="M15150" s="199"/>
      <c r="N15150" s="200"/>
      <c r="P15150" s="199"/>
    </row>
    <row r="15151" spans="7:16" x14ac:dyDescent="0.2">
      <c r="G15151" s="199"/>
      <c r="I15151" s="199"/>
      <c r="K15151" s="199"/>
      <c r="M15151" s="199"/>
      <c r="N15151" s="200"/>
      <c r="P15151" s="199"/>
    </row>
    <row r="15152" spans="7:16" x14ac:dyDescent="0.2">
      <c r="G15152" s="199"/>
      <c r="I15152" s="199"/>
      <c r="K15152" s="199"/>
      <c r="M15152" s="199"/>
      <c r="N15152" s="200"/>
      <c r="P15152" s="199"/>
    </row>
    <row r="15153" spans="7:16" x14ac:dyDescent="0.2">
      <c r="G15153" s="199"/>
      <c r="I15153" s="199"/>
      <c r="K15153" s="199"/>
      <c r="M15153" s="199"/>
      <c r="N15153" s="200"/>
      <c r="P15153" s="199"/>
    </row>
    <row r="15154" spans="7:16" x14ac:dyDescent="0.2">
      <c r="G15154" s="199"/>
      <c r="I15154" s="199"/>
      <c r="K15154" s="199"/>
      <c r="M15154" s="199"/>
      <c r="N15154" s="200"/>
      <c r="P15154" s="199"/>
    </row>
    <row r="15155" spans="7:16" x14ac:dyDescent="0.2">
      <c r="G15155" s="199"/>
      <c r="I15155" s="199"/>
      <c r="K15155" s="199"/>
      <c r="M15155" s="199"/>
      <c r="N15155" s="200"/>
      <c r="P15155" s="199"/>
    </row>
    <row r="15156" spans="7:16" x14ac:dyDescent="0.2">
      <c r="G15156" s="199"/>
      <c r="I15156" s="199"/>
      <c r="K15156" s="199"/>
      <c r="M15156" s="199"/>
      <c r="N15156" s="200"/>
      <c r="P15156" s="199"/>
    </row>
    <row r="15157" spans="7:16" x14ac:dyDescent="0.2">
      <c r="G15157" s="199"/>
      <c r="I15157" s="199"/>
      <c r="K15157" s="199"/>
      <c r="M15157" s="199"/>
      <c r="N15157" s="200"/>
      <c r="P15157" s="199"/>
    </row>
    <row r="15158" spans="7:16" x14ac:dyDescent="0.2">
      <c r="G15158" s="199"/>
      <c r="I15158" s="199"/>
      <c r="K15158" s="199"/>
      <c r="M15158" s="199"/>
      <c r="N15158" s="200"/>
      <c r="P15158" s="199"/>
    </row>
    <row r="15159" spans="7:16" x14ac:dyDescent="0.2">
      <c r="G15159" s="199"/>
      <c r="I15159" s="199"/>
      <c r="K15159" s="199"/>
      <c r="M15159" s="199"/>
      <c r="N15159" s="200"/>
      <c r="P15159" s="199"/>
    </row>
    <row r="15160" spans="7:16" x14ac:dyDescent="0.2">
      <c r="G15160" s="199"/>
      <c r="I15160" s="199"/>
      <c r="K15160" s="199"/>
      <c r="M15160" s="199"/>
      <c r="N15160" s="200"/>
      <c r="P15160" s="199"/>
    </row>
    <row r="15161" spans="7:16" x14ac:dyDescent="0.2">
      <c r="G15161" s="199"/>
      <c r="I15161" s="199"/>
      <c r="K15161" s="199"/>
      <c r="M15161" s="199"/>
      <c r="N15161" s="200"/>
      <c r="P15161" s="199"/>
    </row>
    <row r="15162" spans="7:16" x14ac:dyDescent="0.2">
      <c r="G15162" s="199"/>
      <c r="I15162" s="199"/>
      <c r="K15162" s="199"/>
      <c r="M15162" s="199"/>
      <c r="N15162" s="200"/>
      <c r="P15162" s="199"/>
    </row>
    <row r="15163" spans="7:16" x14ac:dyDescent="0.2">
      <c r="G15163" s="199"/>
      <c r="I15163" s="199"/>
      <c r="K15163" s="199"/>
      <c r="M15163" s="199"/>
      <c r="N15163" s="200"/>
      <c r="P15163" s="199"/>
    </row>
    <row r="15164" spans="7:16" x14ac:dyDescent="0.2">
      <c r="G15164" s="199"/>
      <c r="I15164" s="199"/>
      <c r="K15164" s="199"/>
      <c r="M15164" s="199"/>
      <c r="N15164" s="200"/>
      <c r="P15164" s="199"/>
    </row>
    <row r="15165" spans="7:16" x14ac:dyDescent="0.2">
      <c r="G15165" s="199"/>
      <c r="I15165" s="199"/>
      <c r="K15165" s="199"/>
      <c r="M15165" s="199"/>
      <c r="N15165" s="200"/>
      <c r="P15165" s="199"/>
    </row>
    <row r="15166" spans="7:16" x14ac:dyDescent="0.2">
      <c r="G15166" s="199"/>
      <c r="I15166" s="199"/>
      <c r="K15166" s="199"/>
      <c r="M15166" s="199"/>
      <c r="N15166" s="200"/>
      <c r="P15166" s="199"/>
    </row>
    <row r="15167" spans="7:16" x14ac:dyDescent="0.2">
      <c r="G15167" s="199"/>
      <c r="I15167" s="199"/>
      <c r="K15167" s="199"/>
      <c r="M15167" s="199"/>
      <c r="N15167" s="200"/>
      <c r="P15167" s="199"/>
    </row>
    <row r="15168" spans="7:16" x14ac:dyDescent="0.2">
      <c r="G15168" s="199"/>
      <c r="I15168" s="199"/>
      <c r="K15168" s="199"/>
      <c r="M15168" s="199"/>
      <c r="N15168" s="200"/>
      <c r="P15168" s="199"/>
    </row>
    <row r="15169" spans="7:16" x14ac:dyDescent="0.2">
      <c r="G15169" s="199"/>
      <c r="I15169" s="199"/>
      <c r="K15169" s="199"/>
      <c r="M15169" s="199"/>
      <c r="N15169" s="200"/>
      <c r="P15169" s="199"/>
    </row>
    <row r="15170" spans="7:16" x14ac:dyDescent="0.2">
      <c r="G15170" s="199"/>
      <c r="I15170" s="199"/>
      <c r="K15170" s="199"/>
      <c r="M15170" s="199"/>
      <c r="N15170" s="200"/>
      <c r="P15170" s="199"/>
    </row>
    <row r="15171" spans="7:16" x14ac:dyDescent="0.2">
      <c r="G15171" s="199"/>
      <c r="I15171" s="199"/>
      <c r="K15171" s="199"/>
      <c r="M15171" s="199"/>
      <c r="N15171" s="200"/>
      <c r="P15171" s="199"/>
    </row>
    <row r="15172" spans="7:16" x14ac:dyDescent="0.2">
      <c r="G15172" s="199"/>
      <c r="I15172" s="199"/>
      <c r="K15172" s="199"/>
      <c r="M15172" s="199"/>
      <c r="N15172" s="200"/>
      <c r="P15172" s="199"/>
    </row>
    <row r="15173" spans="7:16" x14ac:dyDescent="0.2">
      <c r="G15173" s="199"/>
      <c r="I15173" s="199"/>
      <c r="K15173" s="199"/>
      <c r="M15173" s="199"/>
      <c r="N15173" s="200"/>
      <c r="P15173" s="199"/>
    </row>
    <row r="15174" spans="7:16" x14ac:dyDescent="0.2">
      <c r="G15174" s="199"/>
      <c r="I15174" s="199"/>
      <c r="K15174" s="199"/>
      <c r="M15174" s="199"/>
      <c r="N15174" s="200"/>
      <c r="P15174" s="199"/>
    </row>
    <row r="15175" spans="7:16" x14ac:dyDescent="0.2">
      <c r="G15175" s="199"/>
      <c r="I15175" s="199"/>
      <c r="K15175" s="199"/>
      <c r="M15175" s="199"/>
      <c r="N15175" s="200"/>
      <c r="P15175" s="199"/>
    </row>
    <row r="15176" spans="7:16" x14ac:dyDescent="0.2">
      <c r="G15176" s="199"/>
      <c r="I15176" s="199"/>
      <c r="K15176" s="199"/>
      <c r="M15176" s="199"/>
      <c r="N15176" s="200"/>
      <c r="P15176" s="199"/>
    </row>
    <row r="15177" spans="7:16" x14ac:dyDescent="0.2">
      <c r="G15177" s="199"/>
      <c r="I15177" s="199"/>
      <c r="K15177" s="199"/>
      <c r="M15177" s="199"/>
      <c r="N15177" s="200"/>
      <c r="P15177" s="199"/>
    </row>
    <row r="15178" spans="7:16" x14ac:dyDescent="0.2">
      <c r="G15178" s="199"/>
      <c r="I15178" s="199"/>
      <c r="K15178" s="199"/>
      <c r="M15178" s="199"/>
      <c r="N15178" s="200"/>
      <c r="P15178" s="199"/>
    </row>
    <row r="15179" spans="7:16" x14ac:dyDescent="0.2">
      <c r="G15179" s="199"/>
      <c r="I15179" s="199"/>
      <c r="K15179" s="199"/>
      <c r="M15179" s="199"/>
      <c r="N15179" s="200"/>
      <c r="P15179" s="199"/>
    </row>
    <row r="15180" spans="7:16" x14ac:dyDescent="0.2">
      <c r="G15180" s="199"/>
      <c r="I15180" s="199"/>
      <c r="K15180" s="199"/>
      <c r="M15180" s="199"/>
      <c r="N15180" s="200"/>
      <c r="P15180" s="199"/>
    </row>
    <row r="15181" spans="7:16" x14ac:dyDescent="0.2">
      <c r="G15181" s="199"/>
      <c r="I15181" s="199"/>
      <c r="K15181" s="199"/>
      <c r="M15181" s="199"/>
      <c r="N15181" s="200"/>
      <c r="P15181" s="199"/>
    </row>
    <row r="15182" spans="7:16" x14ac:dyDescent="0.2">
      <c r="G15182" s="199"/>
      <c r="I15182" s="199"/>
      <c r="K15182" s="199"/>
      <c r="M15182" s="199"/>
      <c r="N15182" s="200"/>
      <c r="P15182" s="199"/>
    </row>
    <row r="15183" spans="7:16" x14ac:dyDescent="0.2">
      <c r="G15183" s="199"/>
      <c r="I15183" s="199"/>
      <c r="K15183" s="199"/>
      <c r="M15183" s="199"/>
      <c r="N15183" s="200"/>
      <c r="P15183" s="199"/>
    </row>
    <row r="15184" spans="7:16" x14ac:dyDescent="0.2">
      <c r="G15184" s="199"/>
      <c r="I15184" s="199"/>
      <c r="K15184" s="199"/>
      <c r="M15184" s="199"/>
      <c r="N15184" s="200"/>
      <c r="P15184" s="199"/>
    </row>
    <row r="15185" spans="7:16" x14ac:dyDescent="0.2">
      <c r="G15185" s="199"/>
      <c r="I15185" s="199"/>
      <c r="K15185" s="199"/>
      <c r="M15185" s="199"/>
      <c r="N15185" s="200"/>
      <c r="P15185" s="199"/>
    </row>
    <row r="15186" spans="7:16" x14ac:dyDescent="0.2">
      <c r="G15186" s="199"/>
      <c r="I15186" s="199"/>
      <c r="K15186" s="199"/>
      <c r="M15186" s="199"/>
      <c r="N15186" s="200"/>
      <c r="P15186" s="199"/>
    </row>
    <row r="15187" spans="7:16" x14ac:dyDescent="0.2">
      <c r="G15187" s="199"/>
      <c r="I15187" s="199"/>
      <c r="K15187" s="199"/>
      <c r="M15187" s="199"/>
      <c r="N15187" s="200"/>
      <c r="P15187" s="199"/>
    </row>
    <row r="15188" spans="7:16" x14ac:dyDescent="0.2">
      <c r="G15188" s="199"/>
      <c r="I15188" s="199"/>
      <c r="K15188" s="199"/>
      <c r="M15188" s="199"/>
      <c r="N15188" s="200"/>
      <c r="P15188" s="199"/>
    </row>
    <row r="15189" spans="7:16" x14ac:dyDescent="0.2">
      <c r="G15189" s="199"/>
      <c r="I15189" s="199"/>
      <c r="K15189" s="199"/>
      <c r="M15189" s="199"/>
      <c r="N15189" s="200"/>
      <c r="P15189" s="199"/>
    </row>
    <row r="15190" spans="7:16" x14ac:dyDescent="0.2">
      <c r="G15190" s="199"/>
      <c r="I15190" s="199"/>
      <c r="K15190" s="199"/>
      <c r="M15190" s="199"/>
      <c r="N15190" s="200"/>
      <c r="P15190" s="199"/>
    </row>
    <row r="15191" spans="7:16" x14ac:dyDescent="0.2">
      <c r="G15191" s="199"/>
      <c r="I15191" s="199"/>
      <c r="K15191" s="199"/>
      <c r="M15191" s="199"/>
      <c r="N15191" s="200"/>
      <c r="P15191" s="199"/>
    </row>
    <row r="15192" spans="7:16" x14ac:dyDescent="0.2">
      <c r="G15192" s="199"/>
      <c r="I15192" s="199"/>
      <c r="K15192" s="199"/>
      <c r="M15192" s="199"/>
      <c r="N15192" s="200"/>
      <c r="P15192" s="199"/>
    </row>
    <row r="15193" spans="7:16" x14ac:dyDescent="0.2">
      <c r="G15193" s="199"/>
      <c r="I15193" s="199"/>
      <c r="K15193" s="199"/>
      <c r="M15193" s="199"/>
      <c r="N15193" s="200"/>
      <c r="P15193" s="199"/>
    </row>
    <row r="15194" spans="7:16" x14ac:dyDescent="0.2">
      <c r="G15194" s="199"/>
      <c r="I15194" s="199"/>
      <c r="K15194" s="199"/>
      <c r="M15194" s="199"/>
      <c r="N15194" s="200"/>
      <c r="P15194" s="199"/>
    </row>
    <row r="15195" spans="7:16" x14ac:dyDescent="0.2">
      <c r="G15195" s="199"/>
      <c r="I15195" s="199"/>
      <c r="K15195" s="199"/>
      <c r="M15195" s="199"/>
      <c r="N15195" s="200"/>
      <c r="P15195" s="199"/>
    </row>
    <row r="15196" spans="7:16" x14ac:dyDescent="0.2">
      <c r="G15196" s="199"/>
      <c r="I15196" s="199"/>
      <c r="K15196" s="199"/>
      <c r="M15196" s="199"/>
      <c r="N15196" s="200"/>
      <c r="P15196" s="199"/>
    </row>
    <row r="15197" spans="7:16" x14ac:dyDescent="0.2">
      <c r="G15197" s="199"/>
      <c r="I15197" s="199"/>
      <c r="K15197" s="199"/>
      <c r="M15197" s="199"/>
      <c r="N15197" s="200"/>
      <c r="P15197" s="199"/>
    </row>
    <row r="15198" spans="7:16" x14ac:dyDescent="0.2">
      <c r="G15198" s="199"/>
      <c r="I15198" s="199"/>
      <c r="K15198" s="199"/>
      <c r="M15198" s="199"/>
      <c r="N15198" s="200"/>
      <c r="P15198" s="199"/>
    </row>
    <row r="15199" spans="7:16" x14ac:dyDescent="0.2">
      <c r="G15199" s="199"/>
      <c r="I15199" s="199"/>
      <c r="K15199" s="199"/>
      <c r="M15199" s="199"/>
      <c r="N15199" s="200"/>
      <c r="P15199" s="199"/>
    </row>
    <row r="15200" spans="7:16" x14ac:dyDescent="0.2">
      <c r="G15200" s="199"/>
      <c r="I15200" s="199"/>
      <c r="K15200" s="199"/>
      <c r="M15200" s="199"/>
      <c r="N15200" s="200"/>
      <c r="P15200" s="199"/>
    </row>
    <row r="15201" spans="7:16" x14ac:dyDescent="0.2">
      <c r="G15201" s="199"/>
      <c r="I15201" s="199"/>
      <c r="K15201" s="199"/>
      <c r="M15201" s="199"/>
      <c r="N15201" s="200"/>
      <c r="P15201" s="199"/>
    </row>
    <row r="15202" spans="7:16" x14ac:dyDescent="0.2">
      <c r="G15202" s="199"/>
      <c r="I15202" s="199"/>
      <c r="K15202" s="199"/>
      <c r="M15202" s="199"/>
      <c r="N15202" s="200"/>
      <c r="P15202" s="199"/>
    </row>
    <row r="15203" spans="7:16" x14ac:dyDescent="0.2">
      <c r="G15203" s="199"/>
      <c r="I15203" s="199"/>
      <c r="K15203" s="199"/>
      <c r="M15203" s="199"/>
      <c r="N15203" s="200"/>
      <c r="P15203" s="199"/>
    </row>
    <row r="15204" spans="7:16" x14ac:dyDescent="0.2">
      <c r="G15204" s="199"/>
      <c r="I15204" s="199"/>
      <c r="K15204" s="199"/>
      <c r="M15204" s="199"/>
      <c r="N15204" s="200"/>
      <c r="P15204" s="199"/>
    </row>
    <row r="15205" spans="7:16" x14ac:dyDescent="0.2">
      <c r="G15205" s="199"/>
      <c r="I15205" s="199"/>
      <c r="K15205" s="199"/>
      <c r="M15205" s="199"/>
      <c r="N15205" s="200"/>
      <c r="P15205" s="199"/>
    </row>
    <row r="15206" spans="7:16" x14ac:dyDescent="0.2">
      <c r="G15206" s="199"/>
      <c r="I15206" s="199"/>
      <c r="K15206" s="199"/>
      <c r="M15206" s="199"/>
      <c r="N15206" s="200"/>
      <c r="P15206" s="199"/>
    </row>
    <row r="15207" spans="7:16" x14ac:dyDescent="0.2">
      <c r="G15207" s="199"/>
      <c r="I15207" s="199"/>
      <c r="K15207" s="199"/>
      <c r="M15207" s="199"/>
      <c r="N15207" s="200"/>
      <c r="P15207" s="199"/>
    </row>
    <row r="15208" spans="7:16" x14ac:dyDescent="0.2">
      <c r="G15208" s="199"/>
      <c r="I15208" s="199"/>
      <c r="K15208" s="199"/>
      <c r="M15208" s="199"/>
      <c r="N15208" s="200"/>
      <c r="P15208" s="199"/>
    </row>
    <row r="15209" spans="7:16" x14ac:dyDescent="0.2">
      <c r="G15209" s="199"/>
      <c r="I15209" s="199"/>
      <c r="K15209" s="199"/>
      <c r="M15209" s="199"/>
      <c r="N15209" s="200"/>
      <c r="P15209" s="199"/>
    </row>
    <row r="15210" spans="7:16" x14ac:dyDescent="0.2">
      <c r="G15210" s="199"/>
      <c r="I15210" s="199"/>
      <c r="K15210" s="199"/>
      <c r="M15210" s="199"/>
      <c r="N15210" s="200"/>
      <c r="P15210" s="199"/>
    </row>
    <row r="15211" spans="7:16" x14ac:dyDescent="0.2">
      <c r="G15211" s="199"/>
      <c r="I15211" s="199"/>
      <c r="K15211" s="199"/>
      <c r="M15211" s="199"/>
      <c r="N15211" s="200"/>
      <c r="P15211" s="199"/>
    </row>
    <row r="15212" spans="7:16" x14ac:dyDescent="0.2">
      <c r="G15212" s="199"/>
      <c r="I15212" s="199"/>
      <c r="K15212" s="199"/>
      <c r="M15212" s="199"/>
      <c r="N15212" s="200"/>
      <c r="P15212" s="199"/>
    </row>
    <row r="15213" spans="7:16" x14ac:dyDescent="0.2">
      <c r="G15213" s="199"/>
      <c r="I15213" s="199"/>
      <c r="K15213" s="199"/>
      <c r="M15213" s="199"/>
      <c r="N15213" s="200"/>
      <c r="P15213" s="199"/>
    </row>
    <row r="15214" spans="7:16" x14ac:dyDescent="0.2">
      <c r="G15214" s="199"/>
      <c r="I15214" s="199"/>
      <c r="K15214" s="199"/>
      <c r="M15214" s="199"/>
      <c r="N15214" s="200"/>
      <c r="P15214" s="199"/>
    </row>
    <row r="15215" spans="7:16" x14ac:dyDescent="0.2">
      <c r="G15215" s="199"/>
      <c r="I15215" s="199"/>
      <c r="K15215" s="199"/>
      <c r="M15215" s="199"/>
      <c r="N15215" s="200"/>
      <c r="P15215" s="199"/>
    </row>
    <row r="15216" spans="7:16" x14ac:dyDescent="0.2">
      <c r="G15216" s="199"/>
      <c r="I15216" s="199"/>
      <c r="K15216" s="199"/>
      <c r="M15216" s="199"/>
      <c r="N15216" s="200"/>
      <c r="P15216" s="199"/>
    </row>
    <row r="15217" spans="7:16" x14ac:dyDescent="0.2">
      <c r="G15217" s="199"/>
      <c r="I15217" s="199"/>
      <c r="K15217" s="199"/>
      <c r="M15217" s="199"/>
      <c r="N15217" s="200"/>
      <c r="P15217" s="199"/>
    </row>
    <row r="15218" spans="7:16" x14ac:dyDescent="0.2">
      <c r="G15218" s="199"/>
      <c r="I15218" s="199"/>
      <c r="K15218" s="199"/>
      <c r="M15218" s="199"/>
      <c r="N15218" s="200"/>
      <c r="P15218" s="199"/>
    </row>
    <row r="15219" spans="7:16" x14ac:dyDescent="0.2">
      <c r="G15219" s="199"/>
      <c r="I15219" s="199"/>
      <c r="K15219" s="199"/>
      <c r="M15219" s="199"/>
      <c r="N15219" s="200"/>
      <c r="P15219" s="199"/>
    </row>
    <row r="15220" spans="7:16" x14ac:dyDescent="0.2">
      <c r="G15220" s="199"/>
      <c r="I15220" s="199"/>
      <c r="K15220" s="199"/>
      <c r="M15220" s="199"/>
      <c r="N15220" s="200"/>
      <c r="P15220" s="199"/>
    </row>
    <row r="15221" spans="7:16" x14ac:dyDescent="0.2">
      <c r="G15221" s="199"/>
      <c r="I15221" s="199"/>
      <c r="K15221" s="199"/>
      <c r="M15221" s="199"/>
      <c r="N15221" s="200"/>
      <c r="P15221" s="199"/>
    </row>
    <row r="15222" spans="7:16" x14ac:dyDescent="0.2">
      <c r="G15222" s="199"/>
      <c r="I15222" s="199"/>
      <c r="K15222" s="199"/>
      <c r="M15222" s="199"/>
      <c r="N15222" s="200"/>
      <c r="P15222" s="199"/>
    </row>
    <row r="15223" spans="7:16" x14ac:dyDescent="0.2">
      <c r="G15223" s="199"/>
      <c r="I15223" s="199"/>
      <c r="K15223" s="199"/>
      <c r="M15223" s="199"/>
      <c r="N15223" s="200"/>
      <c r="P15223" s="199"/>
    </row>
    <row r="15224" spans="7:16" x14ac:dyDescent="0.2">
      <c r="G15224" s="199"/>
      <c r="I15224" s="199"/>
      <c r="K15224" s="199"/>
      <c r="M15224" s="199"/>
      <c r="N15224" s="200"/>
      <c r="P15224" s="199"/>
    </row>
    <row r="15225" spans="7:16" x14ac:dyDescent="0.2">
      <c r="G15225" s="199"/>
      <c r="I15225" s="199"/>
      <c r="K15225" s="199"/>
      <c r="M15225" s="199"/>
      <c r="N15225" s="200"/>
      <c r="P15225" s="199"/>
    </row>
    <row r="15226" spans="7:16" x14ac:dyDescent="0.2">
      <c r="G15226" s="199"/>
      <c r="I15226" s="199"/>
      <c r="K15226" s="199"/>
      <c r="M15226" s="199"/>
      <c r="N15226" s="200"/>
      <c r="P15226" s="199"/>
    </row>
    <row r="15227" spans="7:16" x14ac:dyDescent="0.2">
      <c r="G15227" s="199"/>
      <c r="I15227" s="199"/>
      <c r="K15227" s="199"/>
      <c r="M15227" s="199"/>
      <c r="N15227" s="200"/>
      <c r="P15227" s="199"/>
    </row>
    <row r="15228" spans="7:16" x14ac:dyDescent="0.2">
      <c r="G15228" s="199"/>
      <c r="I15228" s="199"/>
      <c r="K15228" s="199"/>
      <c r="M15228" s="199"/>
      <c r="N15228" s="200"/>
      <c r="P15228" s="199"/>
    </row>
    <row r="15229" spans="7:16" x14ac:dyDescent="0.2">
      <c r="G15229" s="199"/>
      <c r="I15229" s="199"/>
      <c r="K15229" s="199"/>
      <c r="M15229" s="199"/>
      <c r="N15229" s="200"/>
      <c r="P15229" s="199"/>
    </row>
    <row r="15230" spans="7:16" x14ac:dyDescent="0.2">
      <c r="G15230" s="199"/>
      <c r="I15230" s="199"/>
      <c r="K15230" s="199"/>
      <c r="M15230" s="199"/>
      <c r="N15230" s="200"/>
      <c r="P15230" s="199"/>
    </row>
    <row r="15231" spans="7:16" x14ac:dyDescent="0.2">
      <c r="G15231" s="199"/>
      <c r="I15231" s="199"/>
      <c r="K15231" s="199"/>
      <c r="M15231" s="199"/>
      <c r="N15231" s="200"/>
      <c r="P15231" s="199"/>
    </row>
    <row r="15232" spans="7:16" x14ac:dyDescent="0.2">
      <c r="G15232" s="199"/>
      <c r="I15232" s="199"/>
      <c r="K15232" s="199"/>
      <c r="M15232" s="199"/>
      <c r="N15232" s="200"/>
      <c r="P15232" s="199"/>
    </row>
    <row r="15233" spans="7:16" x14ac:dyDescent="0.2">
      <c r="G15233" s="199"/>
      <c r="I15233" s="199"/>
      <c r="K15233" s="199"/>
      <c r="M15233" s="199"/>
      <c r="N15233" s="200"/>
      <c r="P15233" s="199"/>
    </row>
    <row r="15234" spans="7:16" x14ac:dyDescent="0.2">
      <c r="G15234" s="199"/>
      <c r="I15234" s="199"/>
      <c r="K15234" s="199"/>
      <c r="M15234" s="199"/>
      <c r="N15234" s="200"/>
      <c r="P15234" s="199"/>
    </row>
    <row r="15235" spans="7:16" x14ac:dyDescent="0.2">
      <c r="G15235" s="199"/>
      <c r="I15235" s="199"/>
      <c r="K15235" s="199"/>
      <c r="M15235" s="199"/>
      <c r="N15235" s="200"/>
      <c r="P15235" s="199"/>
    </row>
    <row r="15236" spans="7:16" x14ac:dyDescent="0.2">
      <c r="G15236" s="199"/>
      <c r="I15236" s="199"/>
      <c r="K15236" s="199"/>
      <c r="M15236" s="199"/>
      <c r="N15236" s="200"/>
      <c r="P15236" s="199"/>
    </row>
    <row r="15237" spans="7:16" x14ac:dyDescent="0.2">
      <c r="G15237" s="199"/>
      <c r="I15237" s="199"/>
      <c r="K15237" s="199"/>
      <c r="M15237" s="199"/>
      <c r="N15237" s="200"/>
      <c r="P15237" s="199"/>
    </row>
    <row r="15238" spans="7:16" x14ac:dyDescent="0.2">
      <c r="G15238" s="199"/>
      <c r="I15238" s="199"/>
      <c r="K15238" s="199"/>
      <c r="M15238" s="199"/>
      <c r="N15238" s="200"/>
      <c r="P15238" s="199"/>
    </row>
    <row r="15239" spans="7:16" x14ac:dyDescent="0.2">
      <c r="G15239" s="199"/>
      <c r="I15239" s="199"/>
      <c r="K15239" s="199"/>
      <c r="M15239" s="199"/>
      <c r="N15239" s="200"/>
      <c r="P15239" s="199"/>
    </row>
    <row r="15240" spans="7:16" x14ac:dyDescent="0.2">
      <c r="G15240" s="199"/>
      <c r="I15240" s="199"/>
      <c r="K15240" s="199"/>
      <c r="M15240" s="199"/>
      <c r="N15240" s="200"/>
      <c r="P15240" s="199"/>
    </row>
    <row r="15241" spans="7:16" x14ac:dyDescent="0.2">
      <c r="G15241" s="199"/>
      <c r="I15241" s="199"/>
      <c r="K15241" s="199"/>
      <c r="M15241" s="199"/>
      <c r="N15241" s="200"/>
      <c r="P15241" s="199"/>
    </row>
    <row r="15242" spans="7:16" x14ac:dyDescent="0.2">
      <c r="G15242" s="199"/>
      <c r="I15242" s="199"/>
      <c r="K15242" s="199"/>
      <c r="M15242" s="199"/>
      <c r="N15242" s="200"/>
      <c r="P15242" s="199"/>
    </row>
    <row r="15243" spans="7:16" x14ac:dyDescent="0.2">
      <c r="G15243" s="199"/>
      <c r="I15243" s="199"/>
      <c r="K15243" s="199"/>
      <c r="M15243" s="199"/>
      <c r="N15243" s="200"/>
      <c r="P15243" s="199"/>
    </row>
    <row r="15244" spans="7:16" x14ac:dyDescent="0.2">
      <c r="G15244" s="199"/>
      <c r="I15244" s="199"/>
      <c r="K15244" s="199"/>
      <c r="M15244" s="199"/>
      <c r="N15244" s="200"/>
      <c r="P15244" s="199"/>
    </row>
    <row r="15245" spans="7:16" x14ac:dyDescent="0.2">
      <c r="G15245" s="199"/>
      <c r="I15245" s="199"/>
      <c r="K15245" s="199"/>
      <c r="M15245" s="199"/>
      <c r="N15245" s="200"/>
      <c r="P15245" s="199"/>
    </row>
    <row r="15246" spans="7:16" x14ac:dyDescent="0.2">
      <c r="G15246" s="199"/>
      <c r="I15246" s="199"/>
      <c r="K15246" s="199"/>
      <c r="M15246" s="199"/>
      <c r="N15246" s="200"/>
      <c r="P15246" s="199"/>
    </row>
    <row r="15247" spans="7:16" x14ac:dyDescent="0.2">
      <c r="G15247" s="199"/>
      <c r="I15247" s="199"/>
      <c r="K15247" s="199"/>
      <c r="M15247" s="199"/>
      <c r="N15247" s="200"/>
      <c r="P15247" s="199"/>
    </row>
    <row r="15248" spans="7:16" x14ac:dyDescent="0.2">
      <c r="G15248" s="199"/>
      <c r="I15248" s="199"/>
      <c r="K15248" s="199"/>
      <c r="M15248" s="199"/>
      <c r="N15248" s="200"/>
      <c r="P15248" s="199"/>
    </row>
    <row r="15249" spans="7:16" x14ac:dyDescent="0.2">
      <c r="G15249" s="199"/>
      <c r="I15249" s="199"/>
      <c r="K15249" s="199"/>
      <c r="M15249" s="199"/>
      <c r="N15249" s="200"/>
      <c r="P15249" s="199"/>
    </row>
    <row r="15250" spans="7:16" x14ac:dyDescent="0.2">
      <c r="G15250" s="199"/>
      <c r="I15250" s="199"/>
      <c r="K15250" s="199"/>
      <c r="M15250" s="199"/>
      <c r="N15250" s="200"/>
      <c r="P15250" s="199"/>
    </row>
    <row r="15251" spans="7:16" x14ac:dyDescent="0.2">
      <c r="G15251" s="199"/>
      <c r="I15251" s="199"/>
      <c r="K15251" s="199"/>
      <c r="M15251" s="199"/>
      <c r="N15251" s="200"/>
      <c r="P15251" s="199"/>
    </row>
    <row r="15252" spans="7:16" x14ac:dyDescent="0.2">
      <c r="G15252" s="199"/>
      <c r="I15252" s="199"/>
      <c r="K15252" s="199"/>
      <c r="M15252" s="199"/>
      <c r="N15252" s="200"/>
      <c r="P15252" s="199"/>
    </row>
    <row r="15253" spans="7:16" x14ac:dyDescent="0.2">
      <c r="G15253" s="199"/>
      <c r="I15253" s="199"/>
      <c r="K15253" s="199"/>
      <c r="M15253" s="199"/>
      <c r="N15253" s="200"/>
      <c r="P15253" s="199"/>
    </row>
    <row r="15254" spans="7:16" x14ac:dyDescent="0.2">
      <c r="G15254" s="199"/>
      <c r="I15254" s="199"/>
      <c r="K15254" s="199"/>
      <c r="M15254" s="199"/>
      <c r="N15254" s="200"/>
      <c r="P15254" s="199"/>
    </row>
    <row r="15255" spans="7:16" x14ac:dyDescent="0.2">
      <c r="G15255" s="199"/>
      <c r="I15255" s="199"/>
      <c r="K15255" s="199"/>
      <c r="M15255" s="199"/>
      <c r="N15255" s="200"/>
      <c r="P15255" s="199"/>
    </row>
    <row r="15256" spans="7:16" x14ac:dyDescent="0.2">
      <c r="G15256" s="199"/>
      <c r="I15256" s="199"/>
      <c r="K15256" s="199"/>
      <c r="M15256" s="199"/>
      <c r="N15256" s="200"/>
      <c r="P15256" s="199"/>
    </row>
    <row r="15257" spans="7:16" x14ac:dyDescent="0.2">
      <c r="G15257" s="199"/>
      <c r="I15257" s="199"/>
      <c r="K15257" s="199"/>
      <c r="M15257" s="199"/>
      <c r="N15257" s="200"/>
      <c r="P15257" s="199"/>
    </row>
    <row r="15258" spans="7:16" x14ac:dyDescent="0.2">
      <c r="G15258" s="199"/>
      <c r="I15258" s="199"/>
      <c r="K15258" s="199"/>
      <c r="M15258" s="199"/>
      <c r="N15258" s="200"/>
      <c r="P15258" s="199"/>
    </row>
    <row r="15259" spans="7:16" x14ac:dyDescent="0.2">
      <c r="G15259" s="199"/>
      <c r="I15259" s="199"/>
      <c r="K15259" s="199"/>
      <c r="M15259" s="199"/>
      <c r="N15259" s="200"/>
      <c r="P15259" s="199"/>
    </row>
    <row r="15260" spans="7:16" x14ac:dyDescent="0.2">
      <c r="G15260" s="199"/>
      <c r="I15260" s="199"/>
      <c r="K15260" s="199"/>
      <c r="M15260" s="199"/>
      <c r="N15260" s="200"/>
      <c r="P15260" s="199"/>
    </row>
    <row r="15261" spans="7:16" x14ac:dyDescent="0.2">
      <c r="G15261" s="199"/>
      <c r="I15261" s="199"/>
      <c r="K15261" s="199"/>
      <c r="M15261" s="199"/>
      <c r="N15261" s="200"/>
      <c r="P15261" s="199"/>
    </row>
    <row r="15262" spans="7:16" x14ac:dyDescent="0.2">
      <c r="G15262" s="199"/>
      <c r="I15262" s="199"/>
      <c r="K15262" s="199"/>
      <c r="M15262" s="199"/>
      <c r="N15262" s="200"/>
      <c r="P15262" s="199"/>
    </row>
    <row r="15263" spans="7:16" x14ac:dyDescent="0.2">
      <c r="G15263" s="199"/>
      <c r="I15263" s="199"/>
      <c r="K15263" s="199"/>
      <c r="M15263" s="199"/>
      <c r="N15263" s="200"/>
      <c r="P15263" s="199"/>
    </row>
    <row r="15264" spans="7:16" x14ac:dyDescent="0.2">
      <c r="G15264" s="199"/>
      <c r="I15264" s="199"/>
      <c r="K15264" s="199"/>
      <c r="M15264" s="199"/>
      <c r="N15264" s="200"/>
      <c r="P15264" s="199"/>
    </row>
    <row r="15265" spans="7:16" x14ac:dyDescent="0.2">
      <c r="G15265" s="199"/>
      <c r="I15265" s="199"/>
      <c r="K15265" s="199"/>
      <c r="M15265" s="199"/>
      <c r="N15265" s="200"/>
      <c r="P15265" s="199"/>
    </row>
    <row r="15266" spans="7:16" x14ac:dyDescent="0.2">
      <c r="G15266" s="199"/>
      <c r="I15266" s="199"/>
      <c r="K15266" s="199"/>
      <c r="M15266" s="199"/>
      <c r="N15266" s="200"/>
      <c r="P15266" s="199"/>
    </row>
    <row r="15267" spans="7:16" x14ac:dyDescent="0.2">
      <c r="G15267" s="199"/>
      <c r="I15267" s="199"/>
      <c r="K15267" s="199"/>
      <c r="M15267" s="199"/>
      <c r="N15267" s="200"/>
      <c r="P15267" s="199"/>
    </row>
    <row r="15268" spans="7:16" x14ac:dyDescent="0.2">
      <c r="G15268" s="199"/>
      <c r="I15268" s="199"/>
      <c r="K15268" s="199"/>
      <c r="M15268" s="199"/>
      <c r="N15268" s="200"/>
      <c r="P15268" s="199"/>
    </row>
    <row r="15269" spans="7:16" x14ac:dyDescent="0.2">
      <c r="G15269" s="199"/>
      <c r="I15269" s="199"/>
      <c r="K15269" s="199"/>
      <c r="M15269" s="199"/>
      <c r="N15269" s="200"/>
      <c r="P15269" s="199"/>
    </row>
    <row r="15270" spans="7:16" x14ac:dyDescent="0.2">
      <c r="G15270" s="199"/>
      <c r="I15270" s="199"/>
      <c r="K15270" s="199"/>
      <c r="M15270" s="199"/>
      <c r="N15270" s="200"/>
      <c r="P15270" s="199"/>
    </row>
    <row r="15271" spans="7:16" x14ac:dyDescent="0.2">
      <c r="G15271" s="199"/>
      <c r="I15271" s="199"/>
      <c r="K15271" s="199"/>
      <c r="M15271" s="199"/>
      <c r="N15271" s="200"/>
      <c r="P15271" s="199"/>
    </row>
    <row r="15272" spans="7:16" x14ac:dyDescent="0.2">
      <c r="G15272" s="199"/>
      <c r="I15272" s="199"/>
      <c r="K15272" s="199"/>
      <c r="M15272" s="199"/>
      <c r="N15272" s="200"/>
      <c r="P15272" s="199"/>
    </row>
    <row r="15273" spans="7:16" x14ac:dyDescent="0.2">
      <c r="G15273" s="199"/>
      <c r="I15273" s="199"/>
      <c r="K15273" s="199"/>
      <c r="M15273" s="199"/>
      <c r="N15273" s="200"/>
      <c r="P15273" s="199"/>
    </row>
    <row r="15274" spans="7:16" x14ac:dyDescent="0.2">
      <c r="G15274" s="199"/>
      <c r="I15274" s="199"/>
      <c r="K15274" s="199"/>
      <c r="M15274" s="199"/>
      <c r="N15274" s="200"/>
      <c r="P15274" s="199"/>
    </row>
    <row r="15275" spans="7:16" x14ac:dyDescent="0.2">
      <c r="G15275" s="199"/>
      <c r="I15275" s="199"/>
      <c r="K15275" s="199"/>
      <c r="M15275" s="199"/>
      <c r="N15275" s="200"/>
      <c r="P15275" s="199"/>
    </row>
    <row r="15276" spans="7:16" x14ac:dyDescent="0.2">
      <c r="G15276" s="199"/>
      <c r="I15276" s="199"/>
      <c r="K15276" s="199"/>
      <c r="M15276" s="199"/>
      <c r="N15276" s="200"/>
      <c r="P15276" s="199"/>
    </row>
    <row r="15277" spans="7:16" x14ac:dyDescent="0.2">
      <c r="G15277" s="199"/>
      <c r="I15277" s="199"/>
      <c r="K15277" s="199"/>
      <c r="M15277" s="199"/>
      <c r="N15277" s="200"/>
      <c r="P15277" s="199"/>
    </row>
    <row r="15278" spans="7:16" x14ac:dyDescent="0.2">
      <c r="G15278" s="199"/>
      <c r="I15278" s="199"/>
      <c r="K15278" s="199"/>
      <c r="M15278" s="199"/>
      <c r="N15278" s="200"/>
      <c r="P15278" s="199"/>
    </row>
    <row r="15279" spans="7:16" x14ac:dyDescent="0.2">
      <c r="G15279" s="199"/>
      <c r="I15279" s="199"/>
      <c r="K15279" s="199"/>
      <c r="M15279" s="199"/>
      <c r="N15279" s="200"/>
      <c r="P15279" s="199"/>
    </row>
    <row r="15280" spans="7:16" x14ac:dyDescent="0.2">
      <c r="G15280" s="199"/>
      <c r="I15280" s="199"/>
      <c r="K15280" s="199"/>
      <c r="M15280" s="199"/>
      <c r="N15280" s="200"/>
      <c r="P15280" s="199"/>
    </row>
    <row r="15281" spans="7:16" x14ac:dyDescent="0.2">
      <c r="G15281" s="199"/>
      <c r="I15281" s="199"/>
      <c r="K15281" s="199"/>
      <c r="M15281" s="199"/>
      <c r="N15281" s="200"/>
      <c r="P15281" s="199"/>
    </row>
    <row r="15282" spans="7:16" x14ac:dyDescent="0.2">
      <c r="G15282" s="199"/>
      <c r="I15282" s="199"/>
      <c r="K15282" s="199"/>
      <c r="M15282" s="199"/>
      <c r="N15282" s="200"/>
      <c r="P15282" s="199"/>
    </row>
    <row r="15283" spans="7:16" x14ac:dyDescent="0.2">
      <c r="G15283" s="199"/>
      <c r="I15283" s="199"/>
      <c r="K15283" s="199"/>
      <c r="M15283" s="199"/>
      <c r="N15283" s="200"/>
      <c r="P15283" s="199"/>
    </row>
    <row r="15284" spans="7:16" x14ac:dyDescent="0.2">
      <c r="G15284" s="199"/>
      <c r="I15284" s="199"/>
      <c r="K15284" s="199"/>
      <c r="M15284" s="199"/>
      <c r="N15284" s="200"/>
      <c r="P15284" s="199"/>
    </row>
    <row r="15285" spans="7:16" x14ac:dyDescent="0.2">
      <c r="G15285" s="199"/>
      <c r="I15285" s="199"/>
      <c r="K15285" s="199"/>
      <c r="M15285" s="199"/>
      <c r="N15285" s="200"/>
      <c r="P15285" s="199"/>
    </row>
    <row r="15286" spans="7:16" x14ac:dyDescent="0.2">
      <c r="G15286" s="199"/>
      <c r="I15286" s="199"/>
      <c r="K15286" s="199"/>
      <c r="M15286" s="199"/>
      <c r="N15286" s="200"/>
      <c r="P15286" s="199"/>
    </row>
    <row r="15287" spans="7:16" x14ac:dyDescent="0.2">
      <c r="G15287" s="199"/>
      <c r="I15287" s="199"/>
      <c r="K15287" s="199"/>
      <c r="M15287" s="199"/>
      <c r="N15287" s="200"/>
      <c r="P15287" s="199"/>
    </row>
    <row r="15288" spans="7:16" x14ac:dyDescent="0.2">
      <c r="G15288" s="199"/>
      <c r="I15288" s="199"/>
      <c r="K15288" s="199"/>
      <c r="M15288" s="199"/>
      <c r="N15288" s="200"/>
      <c r="P15288" s="199"/>
    </row>
    <row r="15289" spans="7:16" x14ac:dyDescent="0.2">
      <c r="G15289" s="199"/>
      <c r="I15289" s="199"/>
      <c r="K15289" s="199"/>
      <c r="M15289" s="199"/>
      <c r="N15289" s="200"/>
      <c r="P15289" s="199"/>
    </row>
    <row r="15290" spans="7:16" x14ac:dyDescent="0.2">
      <c r="G15290" s="199"/>
      <c r="I15290" s="199"/>
      <c r="K15290" s="199"/>
      <c r="M15290" s="199"/>
      <c r="N15290" s="200"/>
      <c r="P15290" s="199"/>
    </row>
    <row r="15291" spans="7:16" x14ac:dyDescent="0.2">
      <c r="G15291" s="199"/>
      <c r="I15291" s="199"/>
      <c r="K15291" s="199"/>
      <c r="M15291" s="199"/>
      <c r="N15291" s="200"/>
      <c r="P15291" s="199"/>
    </row>
    <row r="15292" spans="7:16" x14ac:dyDescent="0.2">
      <c r="G15292" s="199"/>
      <c r="I15292" s="199"/>
      <c r="K15292" s="199"/>
      <c r="M15292" s="199"/>
      <c r="N15292" s="200"/>
      <c r="P15292" s="199"/>
    </row>
    <row r="15293" spans="7:16" x14ac:dyDescent="0.2">
      <c r="G15293" s="199"/>
      <c r="I15293" s="199"/>
      <c r="K15293" s="199"/>
      <c r="M15293" s="199"/>
      <c r="N15293" s="200"/>
      <c r="P15293" s="199"/>
    </row>
    <row r="15294" spans="7:16" x14ac:dyDescent="0.2">
      <c r="G15294" s="199"/>
      <c r="I15294" s="199"/>
      <c r="K15294" s="199"/>
      <c r="M15294" s="199"/>
      <c r="N15294" s="200"/>
      <c r="P15294" s="199"/>
    </row>
    <row r="15295" spans="7:16" x14ac:dyDescent="0.2">
      <c r="G15295" s="199"/>
      <c r="I15295" s="199"/>
      <c r="K15295" s="199"/>
      <c r="M15295" s="199"/>
      <c r="N15295" s="200"/>
      <c r="P15295" s="199"/>
    </row>
    <row r="15296" spans="7:16" x14ac:dyDescent="0.2">
      <c r="G15296" s="199"/>
      <c r="I15296" s="199"/>
      <c r="K15296" s="199"/>
      <c r="M15296" s="199"/>
      <c r="N15296" s="200"/>
      <c r="P15296" s="199"/>
    </row>
    <row r="15297" spans="7:16" x14ac:dyDescent="0.2">
      <c r="G15297" s="199"/>
      <c r="I15297" s="199"/>
      <c r="K15297" s="199"/>
      <c r="M15297" s="199"/>
      <c r="N15297" s="200"/>
      <c r="P15297" s="199"/>
    </row>
    <row r="15298" spans="7:16" x14ac:dyDescent="0.2">
      <c r="G15298" s="199"/>
      <c r="I15298" s="199"/>
      <c r="K15298" s="199"/>
      <c r="M15298" s="199"/>
      <c r="N15298" s="200"/>
      <c r="P15298" s="199"/>
    </row>
    <row r="15299" spans="7:16" x14ac:dyDescent="0.2">
      <c r="G15299" s="199"/>
      <c r="I15299" s="199"/>
      <c r="K15299" s="199"/>
      <c r="M15299" s="199"/>
      <c r="N15299" s="200"/>
      <c r="P15299" s="199"/>
    </row>
    <row r="15300" spans="7:16" x14ac:dyDescent="0.2">
      <c r="G15300" s="199"/>
      <c r="I15300" s="199"/>
      <c r="K15300" s="199"/>
      <c r="M15300" s="199"/>
      <c r="N15300" s="200"/>
      <c r="P15300" s="199"/>
    </row>
    <row r="15301" spans="7:16" x14ac:dyDescent="0.2">
      <c r="G15301" s="199"/>
      <c r="I15301" s="199"/>
      <c r="K15301" s="199"/>
      <c r="M15301" s="199"/>
      <c r="N15301" s="200"/>
      <c r="P15301" s="199"/>
    </row>
    <row r="15302" spans="7:16" x14ac:dyDescent="0.2">
      <c r="G15302" s="199"/>
      <c r="I15302" s="199"/>
      <c r="K15302" s="199"/>
      <c r="M15302" s="199"/>
      <c r="N15302" s="200"/>
      <c r="P15302" s="199"/>
    </row>
    <row r="15303" spans="7:16" x14ac:dyDescent="0.2">
      <c r="G15303" s="199"/>
      <c r="I15303" s="199"/>
      <c r="K15303" s="199"/>
      <c r="M15303" s="199"/>
      <c r="N15303" s="200"/>
      <c r="P15303" s="199"/>
    </row>
    <row r="15304" spans="7:16" x14ac:dyDescent="0.2">
      <c r="G15304" s="199"/>
      <c r="I15304" s="199"/>
      <c r="K15304" s="199"/>
      <c r="M15304" s="199"/>
      <c r="N15304" s="200"/>
      <c r="P15304" s="199"/>
    </row>
    <row r="15305" spans="7:16" x14ac:dyDescent="0.2">
      <c r="G15305" s="199"/>
      <c r="I15305" s="199"/>
      <c r="K15305" s="199"/>
      <c r="M15305" s="199"/>
      <c r="N15305" s="200"/>
      <c r="P15305" s="199"/>
    </row>
    <row r="15306" spans="7:16" x14ac:dyDescent="0.2">
      <c r="G15306" s="199"/>
      <c r="I15306" s="199"/>
      <c r="K15306" s="199"/>
      <c r="M15306" s="199"/>
      <c r="N15306" s="200"/>
      <c r="P15306" s="199"/>
    </row>
    <row r="15307" spans="7:16" x14ac:dyDescent="0.2">
      <c r="G15307" s="199"/>
      <c r="I15307" s="199"/>
      <c r="K15307" s="199"/>
      <c r="M15307" s="199"/>
      <c r="N15307" s="200"/>
      <c r="P15307" s="199"/>
    </row>
    <row r="15308" spans="7:16" x14ac:dyDescent="0.2">
      <c r="G15308" s="199"/>
      <c r="I15308" s="199"/>
      <c r="K15308" s="199"/>
      <c r="M15308" s="199"/>
      <c r="N15308" s="200"/>
      <c r="P15308" s="199"/>
    </row>
    <row r="15309" spans="7:16" x14ac:dyDescent="0.2">
      <c r="G15309" s="199"/>
      <c r="I15309" s="199"/>
      <c r="K15309" s="199"/>
      <c r="M15309" s="199"/>
      <c r="N15309" s="200"/>
      <c r="P15309" s="199"/>
    </row>
    <row r="15310" spans="7:16" x14ac:dyDescent="0.2">
      <c r="G15310" s="199"/>
      <c r="I15310" s="199"/>
      <c r="K15310" s="199"/>
      <c r="M15310" s="199"/>
      <c r="N15310" s="200"/>
      <c r="P15310" s="199"/>
    </row>
    <row r="15311" spans="7:16" x14ac:dyDescent="0.2">
      <c r="G15311" s="199"/>
      <c r="I15311" s="199"/>
      <c r="K15311" s="199"/>
      <c r="M15311" s="199"/>
      <c r="N15311" s="200"/>
      <c r="P15311" s="199"/>
    </row>
    <row r="15312" spans="7:16" x14ac:dyDescent="0.2">
      <c r="G15312" s="199"/>
      <c r="I15312" s="199"/>
      <c r="K15312" s="199"/>
      <c r="M15312" s="199"/>
      <c r="N15312" s="200"/>
      <c r="P15312" s="199"/>
    </row>
    <row r="15313" spans="7:16" x14ac:dyDescent="0.2">
      <c r="G15313" s="199"/>
      <c r="I15313" s="199"/>
      <c r="K15313" s="199"/>
      <c r="M15313" s="199"/>
      <c r="N15313" s="200"/>
      <c r="P15313" s="199"/>
    </row>
    <row r="15314" spans="7:16" x14ac:dyDescent="0.2">
      <c r="G15314" s="199"/>
      <c r="I15314" s="199"/>
      <c r="K15314" s="199"/>
      <c r="M15314" s="199"/>
      <c r="N15314" s="200"/>
      <c r="P15314" s="199"/>
    </row>
    <row r="15315" spans="7:16" x14ac:dyDescent="0.2">
      <c r="G15315" s="199"/>
      <c r="I15315" s="199"/>
      <c r="K15315" s="199"/>
      <c r="M15315" s="199"/>
      <c r="N15315" s="200"/>
      <c r="P15315" s="199"/>
    </row>
    <row r="15316" spans="7:16" x14ac:dyDescent="0.2">
      <c r="G15316" s="199"/>
      <c r="I15316" s="199"/>
      <c r="K15316" s="199"/>
      <c r="M15316" s="199"/>
      <c r="N15316" s="200"/>
      <c r="P15316" s="199"/>
    </row>
    <row r="15317" spans="7:16" x14ac:dyDescent="0.2">
      <c r="G15317" s="199"/>
      <c r="I15317" s="199"/>
      <c r="K15317" s="199"/>
      <c r="M15317" s="199"/>
      <c r="N15317" s="200"/>
      <c r="P15317" s="199"/>
    </row>
    <row r="15318" spans="7:16" x14ac:dyDescent="0.2">
      <c r="G15318" s="199"/>
      <c r="I15318" s="199"/>
      <c r="K15318" s="199"/>
      <c r="M15318" s="199"/>
      <c r="N15318" s="200"/>
      <c r="P15318" s="199"/>
    </row>
    <row r="15319" spans="7:16" x14ac:dyDescent="0.2">
      <c r="G15319" s="199"/>
      <c r="I15319" s="199"/>
      <c r="K15319" s="199"/>
      <c r="M15319" s="199"/>
      <c r="N15319" s="200"/>
      <c r="P15319" s="199"/>
    </row>
    <row r="15320" spans="7:16" x14ac:dyDescent="0.2">
      <c r="G15320" s="199"/>
      <c r="I15320" s="199"/>
      <c r="K15320" s="199"/>
      <c r="M15320" s="199"/>
      <c r="N15320" s="200"/>
      <c r="P15320" s="199"/>
    </row>
    <row r="15321" spans="7:16" x14ac:dyDescent="0.2">
      <c r="G15321" s="199"/>
      <c r="I15321" s="199"/>
      <c r="K15321" s="199"/>
      <c r="M15321" s="199"/>
      <c r="N15321" s="200"/>
      <c r="P15321" s="199"/>
    </row>
    <row r="15322" spans="7:16" x14ac:dyDescent="0.2">
      <c r="G15322" s="199"/>
      <c r="I15322" s="199"/>
      <c r="K15322" s="199"/>
      <c r="M15322" s="199"/>
      <c r="N15322" s="200"/>
      <c r="P15322" s="199"/>
    </row>
    <row r="15323" spans="7:16" x14ac:dyDescent="0.2">
      <c r="G15323" s="199"/>
      <c r="I15323" s="199"/>
      <c r="K15323" s="199"/>
      <c r="M15323" s="199"/>
      <c r="N15323" s="200"/>
      <c r="P15323" s="199"/>
    </row>
    <row r="15324" spans="7:16" x14ac:dyDescent="0.2">
      <c r="G15324" s="199"/>
      <c r="I15324" s="199"/>
      <c r="K15324" s="199"/>
      <c r="M15324" s="199"/>
      <c r="N15324" s="200"/>
      <c r="P15324" s="199"/>
    </row>
    <row r="15325" spans="7:16" x14ac:dyDescent="0.2">
      <c r="G15325" s="199"/>
      <c r="I15325" s="199"/>
      <c r="K15325" s="199"/>
      <c r="M15325" s="199"/>
      <c r="N15325" s="200"/>
      <c r="P15325" s="199"/>
    </row>
    <row r="15326" spans="7:16" x14ac:dyDescent="0.2">
      <c r="G15326" s="199"/>
      <c r="I15326" s="199"/>
      <c r="K15326" s="199"/>
      <c r="M15326" s="199"/>
      <c r="N15326" s="200"/>
      <c r="P15326" s="199"/>
    </row>
    <row r="15327" spans="7:16" x14ac:dyDescent="0.2">
      <c r="G15327" s="199"/>
      <c r="I15327" s="199"/>
      <c r="K15327" s="199"/>
      <c r="M15327" s="199"/>
      <c r="N15327" s="200"/>
      <c r="P15327" s="199"/>
    </row>
    <row r="15328" spans="7:16" x14ac:dyDescent="0.2">
      <c r="G15328" s="199"/>
      <c r="I15328" s="199"/>
      <c r="K15328" s="199"/>
      <c r="M15328" s="199"/>
      <c r="N15328" s="200"/>
      <c r="P15328" s="199"/>
    </row>
    <row r="15329" spans="7:16" x14ac:dyDescent="0.2">
      <c r="G15329" s="199"/>
      <c r="I15329" s="199"/>
      <c r="K15329" s="199"/>
      <c r="M15329" s="199"/>
      <c r="N15329" s="200"/>
      <c r="P15329" s="199"/>
    </row>
    <row r="15330" spans="7:16" x14ac:dyDescent="0.2">
      <c r="G15330" s="199"/>
      <c r="I15330" s="199"/>
      <c r="K15330" s="199"/>
      <c r="M15330" s="199"/>
      <c r="N15330" s="200"/>
      <c r="P15330" s="199"/>
    </row>
    <row r="15331" spans="7:16" x14ac:dyDescent="0.2">
      <c r="G15331" s="199"/>
      <c r="I15331" s="199"/>
      <c r="K15331" s="199"/>
      <c r="M15331" s="199"/>
      <c r="N15331" s="200"/>
      <c r="P15331" s="199"/>
    </row>
    <row r="15332" spans="7:16" x14ac:dyDescent="0.2">
      <c r="G15332" s="199"/>
      <c r="I15332" s="199"/>
      <c r="K15332" s="199"/>
      <c r="M15332" s="199"/>
      <c r="N15332" s="200"/>
      <c r="P15332" s="199"/>
    </row>
    <row r="15333" spans="7:16" x14ac:dyDescent="0.2">
      <c r="G15333" s="199"/>
      <c r="I15333" s="199"/>
      <c r="K15333" s="199"/>
      <c r="M15333" s="199"/>
      <c r="N15333" s="200"/>
      <c r="P15333" s="199"/>
    </row>
    <row r="15334" spans="7:16" x14ac:dyDescent="0.2">
      <c r="G15334" s="199"/>
      <c r="I15334" s="199"/>
      <c r="K15334" s="199"/>
      <c r="M15334" s="199"/>
      <c r="N15334" s="200"/>
      <c r="P15334" s="199"/>
    </row>
    <row r="15335" spans="7:16" x14ac:dyDescent="0.2">
      <c r="G15335" s="199"/>
      <c r="I15335" s="199"/>
      <c r="K15335" s="199"/>
      <c r="M15335" s="199"/>
      <c r="N15335" s="200"/>
      <c r="P15335" s="199"/>
    </row>
    <row r="15336" spans="7:16" x14ac:dyDescent="0.2">
      <c r="G15336" s="199"/>
      <c r="I15336" s="199"/>
      <c r="K15336" s="199"/>
      <c r="M15336" s="199"/>
      <c r="N15336" s="200"/>
      <c r="P15336" s="199"/>
    </row>
    <row r="15337" spans="7:16" x14ac:dyDescent="0.2">
      <c r="G15337" s="199"/>
      <c r="I15337" s="199"/>
      <c r="K15337" s="199"/>
      <c r="M15337" s="199"/>
      <c r="N15337" s="200"/>
      <c r="P15337" s="199"/>
    </row>
    <row r="15338" spans="7:16" x14ac:dyDescent="0.2">
      <c r="G15338" s="199"/>
      <c r="I15338" s="199"/>
      <c r="K15338" s="199"/>
      <c r="M15338" s="199"/>
      <c r="N15338" s="200"/>
      <c r="P15338" s="199"/>
    </row>
    <row r="15339" spans="7:16" x14ac:dyDescent="0.2">
      <c r="G15339" s="199"/>
      <c r="I15339" s="199"/>
      <c r="K15339" s="199"/>
      <c r="M15339" s="199"/>
      <c r="N15339" s="200"/>
      <c r="P15339" s="199"/>
    </row>
    <row r="15340" spans="7:16" x14ac:dyDescent="0.2">
      <c r="G15340" s="199"/>
      <c r="I15340" s="199"/>
      <c r="K15340" s="199"/>
      <c r="M15340" s="199"/>
      <c r="N15340" s="200"/>
      <c r="P15340" s="199"/>
    </row>
    <row r="15341" spans="7:16" x14ac:dyDescent="0.2">
      <c r="G15341" s="199"/>
      <c r="I15341" s="199"/>
      <c r="K15341" s="199"/>
      <c r="M15341" s="199"/>
      <c r="N15341" s="200"/>
      <c r="P15341" s="199"/>
    </row>
    <row r="15342" spans="7:16" x14ac:dyDescent="0.2">
      <c r="G15342" s="199"/>
      <c r="I15342" s="199"/>
      <c r="K15342" s="199"/>
      <c r="M15342" s="199"/>
      <c r="N15342" s="200"/>
      <c r="P15342" s="199"/>
    </row>
    <row r="15343" spans="7:16" x14ac:dyDescent="0.2">
      <c r="G15343" s="199"/>
      <c r="I15343" s="199"/>
      <c r="K15343" s="199"/>
      <c r="M15343" s="199"/>
      <c r="N15343" s="200"/>
      <c r="P15343" s="199"/>
    </row>
    <row r="15344" spans="7:16" x14ac:dyDescent="0.2">
      <c r="G15344" s="199"/>
      <c r="I15344" s="199"/>
      <c r="K15344" s="199"/>
      <c r="M15344" s="199"/>
      <c r="N15344" s="200"/>
      <c r="P15344" s="199"/>
    </row>
    <row r="15345" spans="7:16" x14ac:dyDescent="0.2">
      <c r="G15345" s="199"/>
      <c r="I15345" s="199"/>
      <c r="K15345" s="199"/>
      <c r="M15345" s="199"/>
      <c r="N15345" s="200"/>
      <c r="P15345" s="199"/>
    </row>
    <row r="15346" spans="7:16" x14ac:dyDescent="0.2">
      <c r="G15346" s="199"/>
      <c r="I15346" s="199"/>
      <c r="K15346" s="199"/>
      <c r="M15346" s="199"/>
      <c r="N15346" s="200"/>
      <c r="P15346" s="199"/>
    </row>
    <row r="15347" spans="7:16" x14ac:dyDescent="0.2">
      <c r="G15347" s="199"/>
      <c r="I15347" s="199"/>
      <c r="K15347" s="199"/>
      <c r="M15347" s="199"/>
      <c r="N15347" s="200"/>
      <c r="P15347" s="199"/>
    </row>
    <row r="15348" spans="7:16" x14ac:dyDescent="0.2">
      <c r="G15348" s="199"/>
      <c r="I15348" s="199"/>
      <c r="K15348" s="199"/>
      <c r="M15348" s="199"/>
      <c r="N15348" s="200"/>
      <c r="P15348" s="199"/>
    </row>
    <row r="15349" spans="7:16" x14ac:dyDescent="0.2">
      <c r="G15349" s="199"/>
      <c r="I15349" s="199"/>
      <c r="K15349" s="199"/>
      <c r="M15349" s="199"/>
      <c r="N15349" s="200"/>
      <c r="P15349" s="199"/>
    </row>
    <row r="15350" spans="7:16" x14ac:dyDescent="0.2">
      <c r="G15350" s="199"/>
      <c r="I15350" s="199"/>
      <c r="K15350" s="199"/>
      <c r="M15350" s="199"/>
      <c r="N15350" s="200"/>
      <c r="P15350" s="199"/>
    </row>
    <row r="15351" spans="7:16" x14ac:dyDescent="0.2">
      <c r="G15351" s="199"/>
      <c r="I15351" s="199"/>
      <c r="K15351" s="199"/>
      <c r="M15351" s="199"/>
      <c r="N15351" s="200"/>
      <c r="P15351" s="199"/>
    </row>
    <row r="15352" spans="7:16" x14ac:dyDescent="0.2">
      <c r="G15352" s="199"/>
      <c r="I15352" s="199"/>
      <c r="K15352" s="199"/>
      <c r="M15352" s="199"/>
      <c r="N15352" s="200"/>
      <c r="P15352" s="199"/>
    </row>
    <row r="15353" spans="7:16" x14ac:dyDescent="0.2">
      <c r="G15353" s="199"/>
      <c r="I15353" s="199"/>
      <c r="K15353" s="199"/>
      <c r="M15353" s="199"/>
      <c r="N15353" s="200"/>
      <c r="P15353" s="199"/>
    </row>
    <row r="15354" spans="7:16" x14ac:dyDescent="0.2">
      <c r="G15354" s="199"/>
      <c r="I15354" s="199"/>
      <c r="K15354" s="199"/>
      <c r="M15354" s="199"/>
      <c r="N15354" s="200"/>
      <c r="P15354" s="199"/>
    </row>
    <row r="15355" spans="7:16" x14ac:dyDescent="0.2">
      <c r="G15355" s="199"/>
      <c r="I15355" s="199"/>
      <c r="K15355" s="199"/>
      <c r="M15355" s="199"/>
      <c r="N15355" s="200"/>
      <c r="P15355" s="199"/>
    </row>
    <row r="15356" spans="7:16" x14ac:dyDescent="0.2">
      <c r="G15356" s="199"/>
      <c r="I15356" s="199"/>
      <c r="K15356" s="199"/>
      <c r="M15356" s="199"/>
      <c r="N15356" s="200"/>
      <c r="P15356" s="199"/>
    </row>
    <row r="15357" spans="7:16" x14ac:dyDescent="0.2">
      <c r="G15357" s="199"/>
      <c r="I15357" s="199"/>
      <c r="K15357" s="199"/>
      <c r="M15357" s="199"/>
      <c r="N15357" s="200"/>
      <c r="P15357" s="199"/>
    </row>
    <row r="15358" spans="7:16" x14ac:dyDescent="0.2">
      <c r="G15358" s="199"/>
      <c r="I15358" s="199"/>
      <c r="K15358" s="199"/>
      <c r="M15358" s="199"/>
      <c r="N15358" s="200"/>
      <c r="P15358" s="199"/>
    </row>
    <row r="15359" spans="7:16" x14ac:dyDescent="0.2">
      <c r="G15359" s="199"/>
      <c r="I15359" s="199"/>
      <c r="K15359" s="199"/>
      <c r="M15359" s="199"/>
      <c r="N15359" s="200"/>
      <c r="P15359" s="199"/>
    </row>
    <row r="15360" spans="7:16" x14ac:dyDescent="0.2">
      <c r="G15360" s="199"/>
      <c r="I15360" s="199"/>
      <c r="K15360" s="199"/>
      <c r="M15360" s="199"/>
      <c r="N15360" s="200"/>
      <c r="P15360" s="199"/>
    </row>
    <row r="15361" spans="7:16" x14ac:dyDescent="0.2">
      <c r="G15361" s="199"/>
      <c r="I15361" s="199"/>
      <c r="K15361" s="199"/>
      <c r="M15361" s="199"/>
      <c r="N15361" s="200"/>
      <c r="P15361" s="199"/>
    </row>
    <row r="15362" spans="7:16" x14ac:dyDescent="0.2">
      <c r="G15362" s="199"/>
      <c r="I15362" s="199"/>
      <c r="K15362" s="199"/>
      <c r="M15362" s="199"/>
      <c r="N15362" s="200"/>
      <c r="P15362" s="199"/>
    </row>
    <row r="15363" spans="7:16" x14ac:dyDescent="0.2">
      <c r="G15363" s="199"/>
      <c r="I15363" s="199"/>
      <c r="K15363" s="199"/>
      <c r="M15363" s="199"/>
      <c r="N15363" s="200"/>
      <c r="P15363" s="199"/>
    </row>
    <row r="15364" spans="7:16" x14ac:dyDescent="0.2">
      <c r="G15364" s="199"/>
      <c r="I15364" s="199"/>
      <c r="K15364" s="199"/>
      <c r="M15364" s="199"/>
      <c r="N15364" s="200"/>
      <c r="P15364" s="199"/>
    </row>
    <row r="15365" spans="7:16" x14ac:dyDescent="0.2">
      <c r="G15365" s="199"/>
      <c r="I15365" s="199"/>
      <c r="K15365" s="199"/>
      <c r="M15365" s="199"/>
      <c r="N15365" s="200"/>
      <c r="P15365" s="199"/>
    </row>
    <row r="15366" spans="7:16" x14ac:dyDescent="0.2">
      <c r="G15366" s="199"/>
      <c r="I15366" s="199"/>
      <c r="K15366" s="199"/>
      <c r="M15366" s="199"/>
      <c r="N15366" s="200"/>
      <c r="P15366" s="199"/>
    </row>
    <row r="15367" spans="7:16" x14ac:dyDescent="0.2">
      <c r="G15367" s="199"/>
      <c r="I15367" s="199"/>
      <c r="K15367" s="199"/>
      <c r="M15367" s="199"/>
      <c r="N15367" s="200"/>
      <c r="P15367" s="199"/>
    </row>
    <row r="15368" spans="7:16" x14ac:dyDescent="0.2">
      <c r="G15368" s="199"/>
      <c r="I15368" s="199"/>
      <c r="K15368" s="199"/>
      <c r="M15368" s="199"/>
      <c r="N15368" s="200"/>
      <c r="P15368" s="199"/>
    </row>
    <row r="15369" spans="7:16" x14ac:dyDescent="0.2">
      <c r="G15369" s="199"/>
      <c r="I15369" s="199"/>
      <c r="K15369" s="199"/>
      <c r="M15369" s="199"/>
      <c r="N15369" s="200"/>
      <c r="P15369" s="199"/>
    </row>
    <row r="15370" spans="7:16" x14ac:dyDescent="0.2">
      <c r="G15370" s="199"/>
      <c r="I15370" s="199"/>
      <c r="K15370" s="199"/>
      <c r="M15370" s="199"/>
      <c r="N15370" s="200"/>
      <c r="P15370" s="199"/>
    </row>
    <row r="15371" spans="7:16" x14ac:dyDescent="0.2">
      <c r="G15371" s="199"/>
      <c r="I15371" s="199"/>
      <c r="K15371" s="199"/>
      <c r="M15371" s="199"/>
      <c r="N15371" s="200"/>
      <c r="P15371" s="199"/>
    </row>
    <row r="15372" spans="7:16" x14ac:dyDescent="0.2">
      <c r="G15372" s="199"/>
      <c r="I15372" s="199"/>
      <c r="K15372" s="199"/>
      <c r="M15372" s="199"/>
      <c r="N15372" s="200"/>
      <c r="P15372" s="199"/>
    </row>
    <row r="15373" spans="7:16" x14ac:dyDescent="0.2">
      <c r="G15373" s="199"/>
      <c r="I15373" s="199"/>
      <c r="K15373" s="199"/>
      <c r="M15373" s="199"/>
      <c r="N15373" s="200"/>
      <c r="P15373" s="199"/>
    </row>
    <row r="15374" spans="7:16" x14ac:dyDescent="0.2">
      <c r="G15374" s="199"/>
      <c r="I15374" s="199"/>
      <c r="K15374" s="199"/>
      <c r="M15374" s="199"/>
      <c r="N15374" s="200"/>
      <c r="P15374" s="199"/>
    </row>
    <row r="15375" spans="7:16" x14ac:dyDescent="0.2">
      <c r="G15375" s="199"/>
      <c r="I15375" s="199"/>
      <c r="K15375" s="199"/>
      <c r="M15375" s="199"/>
      <c r="N15375" s="200"/>
      <c r="P15375" s="199"/>
    </row>
    <row r="15376" spans="7:16" x14ac:dyDescent="0.2">
      <c r="G15376" s="199"/>
      <c r="I15376" s="199"/>
      <c r="K15376" s="199"/>
      <c r="M15376" s="199"/>
      <c r="N15376" s="200"/>
      <c r="P15376" s="199"/>
    </row>
    <row r="15377" spans="7:16" x14ac:dyDescent="0.2">
      <c r="G15377" s="199"/>
      <c r="I15377" s="199"/>
      <c r="K15377" s="199"/>
      <c r="M15377" s="199"/>
      <c r="N15377" s="200"/>
      <c r="P15377" s="199"/>
    </row>
    <row r="15378" spans="7:16" x14ac:dyDescent="0.2">
      <c r="G15378" s="199"/>
      <c r="I15378" s="199"/>
      <c r="K15378" s="199"/>
      <c r="M15378" s="199"/>
      <c r="N15378" s="200"/>
      <c r="P15378" s="199"/>
    </row>
    <row r="15379" spans="7:16" x14ac:dyDescent="0.2">
      <c r="G15379" s="199"/>
      <c r="I15379" s="199"/>
      <c r="K15379" s="199"/>
      <c r="M15379" s="199"/>
      <c r="N15379" s="200"/>
      <c r="P15379" s="199"/>
    </row>
    <row r="15380" spans="7:16" x14ac:dyDescent="0.2">
      <c r="G15380" s="199"/>
      <c r="I15380" s="199"/>
      <c r="K15380" s="199"/>
      <c r="M15380" s="199"/>
      <c r="N15380" s="200"/>
      <c r="P15380" s="199"/>
    </row>
    <row r="15381" spans="7:16" x14ac:dyDescent="0.2">
      <c r="G15381" s="199"/>
      <c r="I15381" s="199"/>
      <c r="K15381" s="199"/>
      <c r="M15381" s="199"/>
      <c r="N15381" s="200"/>
      <c r="P15381" s="199"/>
    </row>
    <row r="15382" spans="7:16" x14ac:dyDescent="0.2">
      <c r="G15382" s="199"/>
      <c r="I15382" s="199"/>
      <c r="K15382" s="199"/>
      <c r="M15382" s="199"/>
      <c r="N15382" s="200"/>
      <c r="P15382" s="199"/>
    </row>
    <row r="15383" spans="7:16" x14ac:dyDescent="0.2">
      <c r="G15383" s="199"/>
      <c r="I15383" s="199"/>
      <c r="K15383" s="199"/>
      <c r="M15383" s="199"/>
      <c r="N15383" s="200"/>
      <c r="P15383" s="199"/>
    </row>
    <row r="15384" spans="7:16" x14ac:dyDescent="0.2">
      <c r="G15384" s="199"/>
      <c r="I15384" s="199"/>
      <c r="K15384" s="199"/>
      <c r="M15384" s="199"/>
      <c r="N15384" s="200"/>
      <c r="P15384" s="199"/>
    </row>
    <row r="15385" spans="7:16" x14ac:dyDescent="0.2">
      <c r="G15385" s="199"/>
      <c r="I15385" s="199"/>
      <c r="K15385" s="199"/>
      <c r="M15385" s="199"/>
      <c r="N15385" s="200"/>
      <c r="P15385" s="199"/>
    </row>
    <row r="15386" spans="7:16" x14ac:dyDescent="0.2">
      <c r="G15386" s="199"/>
      <c r="I15386" s="199"/>
      <c r="K15386" s="199"/>
      <c r="M15386" s="199"/>
      <c r="N15386" s="200"/>
      <c r="P15386" s="199"/>
    </row>
    <row r="15387" spans="7:16" x14ac:dyDescent="0.2">
      <c r="G15387" s="199"/>
      <c r="I15387" s="199"/>
      <c r="K15387" s="199"/>
      <c r="M15387" s="199"/>
      <c r="N15387" s="200"/>
      <c r="P15387" s="199"/>
    </row>
    <row r="15388" spans="7:16" x14ac:dyDescent="0.2">
      <c r="G15388" s="199"/>
      <c r="I15388" s="199"/>
      <c r="K15388" s="199"/>
      <c r="M15388" s="199"/>
      <c r="N15388" s="200"/>
      <c r="P15388" s="199"/>
    </row>
    <row r="15389" spans="7:16" x14ac:dyDescent="0.2">
      <c r="G15389" s="199"/>
      <c r="I15389" s="199"/>
      <c r="K15389" s="199"/>
      <c r="M15389" s="199"/>
      <c r="N15389" s="200"/>
      <c r="P15389" s="199"/>
    </row>
    <row r="15390" spans="7:16" x14ac:dyDescent="0.2">
      <c r="G15390" s="199"/>
      <c r="I15390" s="199"/>
      <c r="K15390" s="199"/>
      <c r="M15390" s="199"/>
      <c r="N15390" s="200"/>
      <c r="P15390" s="199"/>
    </row>
    <row r="15391" spans="7:16" x14ac:dyDescent="0.2">
      <c r="G15391" s="199"/>
      <c r="I15391" s="199"/>
      <c r="K15391" s="199"/>
      <c r="M15391" s="199"/>
      <c r="N15391" s="200"/>
      <c r="P15391" s="199"/>
    </row>
    <row r="15392" spans="7:16" x14ac:dyDescent="0.2">
      <c r="G15392" s="199"/>
      <c r="I15392" s="199"/>
      <c r="K15392" s="199"/>
      <c r="M15392" s="199"/>
      <c r="N15392" s="200"/>
      <c r="P15392" s="199"/>
    </row>
    <row r="15393" spans="7:16" x14ac:dyDescent="0.2">
      <c r="G15393" s="199"/>
      <c r="I15393" s="199"/>
      <c r="K15393" s="199"/>
      <c r="M15393" s="199"/>
      <c r="N15393" s="200"/>
      <c r="P15393" s="199"/>
    </row>
    <row r="15394" spans="7:16" x14ac:dyDescent="0.2">
      <c r="G15394" s="199"/>
      <c r="I15394" s="199"/>
      <c r="K15394" s="199"/>
      <c r="M15394" s="199"/>
      <c r="N15394" s="200"/>
      <c r="P15394" s="199"/>
    </row>
    <row r="15395" spans="7:16" x14ac:dyDescent="0.2">
      <c r="G15395" s="199"/>
      <c r="I15395" s="199"/>
      <c r="K15395" s="199"/>
      <c r="M15395" s="199"/>
      <c r="N15395" s="200"/>
      <c r="P15395" s="199"/>
    </row>
    <row r="15396" spans="7:16" x14ac:dyDescent="0.2">
      <c r="G15396" s="199"/>
      <c r="I15396" s="199"/>
      <c r="K15396" s="199"/>
      <c r="M15396" s="199"/>
      <c r="N15396" s="200"/>
      <c r="P15396" s="199"/>
    </row>
    <row r="15397" spans="7:16" x14ac:dyDescent="0.2">
      <c r="G15397" s="199"/>
      <c r="I15397" s="199"/>
      <c r="K15397" s="199"/>
      <c r="M15397" s="199"/>
      <c r="N15397" s="200"/>
      <c r="P15397" s="199"/>
    </row>
    <row r="15398" spans="7:16" x14ac:dyDescent="0.2">
      <c r="G15398" s="199"/>
      <c r="I15398" s="199"/>
      <c r="K15398" s="199"/>
      <c r="M15398" s="199"/>
      <c r="N15398" s="200"/>
      <c r="P15398" s="199"/>
    </row>
    <row r="15399" spans="7:16" x14ac:dyDescent="0.2">
      <c r="G15399" s="199"/>
      <c r="I15399" s="199"/>
      <c r="K15399" s="199"/>
      <c r="M15399" s="199"/>
      <c r="N15399" s="200"/>
      <c r="P15399" s="199"/>
    </row>
    <row r="15400" spans="7:16" x14ac:dyDescent="0.2">
      <c r="G15400" s="199"/>
      <c r="I15400" s="199"/>
      <c r="K15400" s="199"/>
      <c r="M15400" s="199"/>
      <c r="N15400" s="200"/>
      <c r="P15400" s="199"/>
    </row>
    <row r="15401" spans="7:16" x14ac:dyDescent="0.2">
      <c r="G15401" s="199"/>
      <c r="I15401" s="199"/>
      <c r="K15401" s="199"/>
      <c r="M15401" s="199"/>
      <c r="N15401" s="200"/>
      <c r="P15401" s="199"/>
    </row>
    <row r="15402" spans="7:16" x14ac:dyDescent="0.2">
      <c r="G15402" s="199"/>
      <c r="I15402" s="199"/>
      <c r="K15402" s="199"/>
      <c r="M15402" s="199"/>
      <c r="N15402" s="200"/>
      <c r="P15402" s="199"/>
    </row>
    <row r="15403" spans="7:16" x14ac:dyDescent="0.2">
      <c r="G15403" s="199"/>
      <c r="I15403" s="199"/>
      <c r="K15403" s="199"/>
      <c r="M15403" s="199"/>
      <c r="N15403" s="200"/>
      <c r="P15403" s="199"/>
    </row>
    <row r="15404" spans="7:16" x14ac:dyDescent="0.2">
      <c r="G15404" s="199"/>
      <c r="I15404" s="199"/>
      <c r="K15404" s="199"/>
      <c r="M15404" s="199"/>
      <c r="N15404" s="200"/>
      <c r="P15404" s="199"/>
    </row>
    <row r="15405" spans="7:16" x14ac:dyDescent="0.2">
      <c r="G15405" s="199"/>
      <c r="I15405" s="199"/>
      <c r="K15405" s="199"/>
      <c r="M15405" s="199"/>
      <c r="N15405" s="200"/>
      <c r="P15405" s="199"/>
    </row>
    <row r="15406" spans="7:16" x14ac:dyDescent="0.2">
      <c r="G15406" s="199"/>
      <c r="I15406" s="199"/>
      <c r="K15406" s="199"/>
      <c r="M15406" s="199"/>
      <c r="N15406" s="200"/>
      <c r="P15406" s="199"/>
    </row>
    <row r="15407" spans="7:16" x14ac:dyDescent="0.2">
      <c r="G15407" s="199"/>
      <c r="I15407" s="199"/>
      <c r="K15407" s="199"/>
      <c r="M15407" s="199"/>
      <c r="N15407" s="200"/>
      <c r="P15407" s="199"/>
    </row>
    <row r="15408" spans="7:16" x14ac:dyDescent="0.2">
      <c r="G15408" s="199"/>
      <c r="I15408" s="199"/>
      <c r="K15408" s="199"/>
      <c r="M15408" s="199"/>
      <c r="N15408" s="200"/>
      <c r="P15408" s="199"/>
    </row>
    <row r="15409" spans="7:16" x14ac:dyDescent="0.2">
      <c r="G15409" s="199"/>
      <c r="I15409" s="199"/>
      <c r="K15409" s="199"/>
      <c r="M15409" s="199"/>
      <c r="N15409" s="200"/>
      <c r="P15409" s="199"/>
    </row>
    <row r="15410" spans="7:16" x14ac:dyDescent="0.2">
      <c r="G15410" s="199"/>
      <c r="I15410" s="199"/>
      <c r="K15410" s="199"/>
      <c r="M15410" s="199"/>
      <c r="N15410" s="200"/>
      <c r="P15410" s="199"/>
    </row>
    <row r="15411" spans="7:16" x14ac:dyDescent="0.2">
      <c r="G15411" s="199"/>
      <c r="I15411" s="199"/>
      <c r="K15411" s="199"/>
      <c r="M15411" s="199"/>
      <c r="N15411" s="200"/>
      <c r="P15411" s="199"/>
    </row>
    <row r="15412" spans="7:16" x14ac:dyDescent="0.2">
      <c r="G15412" s="199"/>
      <c r="I15412" s="199"/>
      <c r="K15412" s="199"/>
      <c r="M15412" s="199"/>
      <c r="N15412" s="200"/>
      <c r="P15412" s="199"/>
    </row>
    <row r="15413" spans="7:16" x14ac:dyDescent="0.2">
      <c r="G15413" s="199"/>
      <c r="I15413" s="199"/>
      <c r="K15413" s="199"/>
      <c r="M15413" s="199"/>
      <c r="N15413" s="200"/>
      <c r="P15413" s="199"/>
    </row>
    <row r="15414" spans="7:16" x14ac:dyDescent="0.2">
      <c r="G15414" s="199"/>
      <c r="I15414" s="199"/>
      <c r="K15414" s="199"/>
      <c r="M15414" s="199"/>
      <c r="N15414" s="200"/>
      <c r="P15414" s="199"/>
    </row>
    <row r="15415" spans="7:16" x14ac:dyDescent="0.2">
      <c r="G15415" s="199"/>
      <c r="I15415" s="199"/>
      <c r="K15415" s="199"/>
      <c r="M15415" s="199"/>
      <c r="N15415" s="200"/>
      <c r="P15415" s="199"/>
    </row>
    <row r="15416" spans="7:16" x14ac:dyDescent="0.2">
      <c r="G15416" s="199"/>
      <c r="I15416" s="199"/>
      <c r="K15416" s="199"/>
      <c r="M15416" s="199"/>
      <c r="N15416" s="200"/>
      <c r="P15416" s="199"/>
    </row>
    <row r="15417" spans="7:16" x14ac:dyDescent="0.2">
      <c r="G15417" s="199"/>
      <c r="I15417" s="199"/>
      <c r="K15417" s="199"/>
      <c r="M15417" s="199"/>
      <c r="N15417" s="200"/>
      <c r="P15417" s="199"/>
    </row>
    <row r="15418" spans="7:16" x14ac:dyDescent="0.2">
      <c r="G15418" s="199"/>
      <c r="I15418" s="199"/>
      <c r="K15418" s="199"/>
      <c r="M15418" s="199"/>
      <c r="N15418" s="200"/>
      <c r="P15418" s="199"/>
    </row>
    <row r="15419" spans="7:16" x14ac:dyDescent="0.2">
      <c r="G15419" s="199"/>
      <c r="I15419" s="199"/>
      <c r="K15419" s="199"/>
      <c r="M15419" s="199"/>
      <c r="N15419" s="200"/>
      <c r="P15419" s="199"/>
    </row>
    <row r="15420" spans="7:16" x14ac:dyDescent="0.2">
      <c r="G15420" s="199"/>
      <c r="I15420" s="199"/>
      <c r="K15420" s="199"/>
      <c r="M15420" s="199"/>
      <c r="N15420" s="200"/>
      <c r="P15420" s="199"/>
    </row>
    <row r="15421" spans="7:16" x14ac:dyDescent="0.2">
      <c r="G15421" s="199"/>
      <c r="I15421" s="199"/>
      <c r="K15421" s="199"/>
      <c r="M15421" s="199"/>
      <c r="N15421" s="200"/>
      <c r="P15421" s="199"/>
    </row>
    <row r="15422" spans="7:16" x14ac:dyDescent="0.2">
      <c r="G15422" s="199"/>
      <c r="I15422" s="199"/>
      <c r="K15422" s="199"/>
      <c r="M15422" s="199"/>
      <c r="N15422" s="200"/>
      <c r="P15422" s="199"/>
    </row>
    <row r="15423" spans="7:16" x14ac:dyDescent="0.2">
      <c r="G15423" s="199"/>
      <c r="I15423" s="199"/>
      <c r="K15423" s="199"/>
      <c r="M15423" s="199"/>
      <c r="N15423" s="200"/>
      <c r="P15423" s="199"/>
    </row>
    <row r="15424" spans="7:16" x14ac:dyDescent="0.2">
      <c r="G15424" s="199"/>
      <c r="I15424" s="199"/>
      <c r="K15424" s="199"/>
      <c r="M15424" s="199"/>
      <c r="N15424" s="200"/>
      <c r="P15424" s="199"/>
    </row>
    <row r="15425" spans="7:16" x14ac:dyDescent="0.2">
      <c r="G15425" s="199"/>
      <c r="I15425" s="199"/>
      <c r="K15425" s="199"/>
      <c r="M15425" s="199"/>
      <c r="N15425" s="200"/>
      <c r="P15425" s="199"/>
    </row>
    <row r="15426" spans="7:16" x14ac:dyDescent="0.2">
      <c r="G15426" s="199"/>
      <c r="I15426" s="199"/>
      <c r="K15426" s="199"/>
      <c r="M15426" s="199"/>
      <c r="N15426" s="200"/>
      <c r="P15426" s="199"/>
    </row>
    <row r="15427" spans="7:16" x14ac:dyDescent="0.2">
      <c r="G15427" s="199"/>
      <c r="I15427" s="199"/>
      <c r="K15427" s="199"/>
      <c r="M15427" s="199"/>
      <c r="N15427" s="200"/>
      <c r="P15427" s="199"/>
    </row>
    <row r="15428" spans="7:16" x14ac:dyDescent="0.2">
      <c r="G15428" s="199"/>
      <c r="I15428" s="199"/>
      <c r="K15428" s="199"/>
      <c r="M15428" s="199"/>
      <c r="N15428" s="200"/>
      <c r="P15428" s="199"/>
    </row>
    <row r="15429" spans="7:16" x14ac:dyDescent="0.2">
      <c r="G15429" s="199"/>
      <c r="I15429" s="199"/>
      <c r="K15429" s="199"/>
      <c r="M15429" s="199"/>
      <c r="N15429" s="200"/>
      <c r="P15429" s="199"/>
    </row>
    <row r="15430" spans="7:16" x14ac:dyDescent="0.2">
      <c r="G15430" s="199"/>
      <c r="I15430" s="199"/>
      <c r="K15430" s="199"/>
      <c r="M15430" s="199"/>
      <c r="N15430" s="200"/>
      <c r="P15430" s="199"/>
    </row>
    <row r="15431" spans="7:16" x14ac:dyDescent="0.2">
      <c r="G15431" s="199"/>
      <c r="I15431" s="199"/>
      <c r="K15431" s="199"/>
      <c r="M15431" s="199"/>
      <c r="N15431" s="200"/>
      <c r="P15431" s="199"/>
    </row>
    <row r="15432" spans="7:16" x14ac:dyDescent="0.2">
      <c r="G15432" s="199"/>
      <c r="I15432" s="199"/>
      <c r="K15432" s="199"/>
      <c r="M15432" s="199"/>
      <c r="N15432" s="200"/>
      <c r="P15432" s="199"/>
    </row>
    <row r="15433" spans="7:16" x14ac:dyDescent="0.2">
      <c r="G15433" s="199"/>
      <c r="I15433" s="199"/>
      <c r="K15433" s="199"/>
      <c r="M15433" s="199"/>
      <c r="N15433" s="200"/>
      <c r="P15433" s="199"/>
    </row>
    <row r="15434" spans="7:16" x14ac:dyDescent="0.2">
      <c r="G15434" s="199"/>
      <c r="I15434" s="199"/>
      <c r="K15434" s="199"/>
      <c r="M15434" s="199"/>
      <c r="N15434" s="200"/>
      <c r="P15434" s="199"/>
    </row>
    <row r="15435" spans="7:16" x14ac:dyDescent="0.2">
      <c r="G15435" s="199"/>
      <c r="I15435" s="199"/>
      <c r="K15435" s="199"/>
      <c r="M15435" s="199"/>
      <c r="N15435" s="200"/>
      <c r="P15435" s="199"/>
    </row>
    <row r="15436" spans="7:16" x14ac:dyDescent="0.2">
      <c r="G15436" s="199"/>
      <c r="I15436" s="199"/>
      <c r="K15436" s="199"/>
      <c r="M15436" s="199"/>
      <c r="N15436" s="200"/>
      <c r="P15436" s="199"/>
    </row>
    <row r="15437" spans="7:16" x14ac:dyDescent="0.2">
      <c r="G15437" s="199"/>
      <c r="I15437" s="199"/>
      <c r="K15437" s="199"/>
      <c r="M15437" s="199"/>
      <c r="N15437" s="200"/>
      <c r="P15437" s="199"/>
    </row>
    <row r="15438" spans="7:16" x14ac:dyDescent="0.2">
      <c r="G15438" s="199"/>
      <c r="I15438" s="199"/>
      <c r="K15438" s="199"/>
      <c r="M15438" s="199"/>
      <c r="N15438" s="200"/>
      <c r="P15438" s="199"/>
    </row>
    <row r="15439" spans="7:16" x14ac:dyDescent="0.2">
      <c r="G15439" s="199"/>
      <c r="I15439" s="199"/>
      <c r="K15439" s="199"/>
      <c r="M15439" s="199"/>
      <c r="N15439" s="200"/>
      <c r="P15439" s="199"/>
    </row>
    <row r="15440" spans="7:16" x14ac:dyDescent="0.2">
      <c r="G15440" s="199"/>
      <c r="I15440" s="199"/>
      <c r="K15440" s="199"/>
      <c r="M15440" s="199"/>
      <c r="N15440" s="200"/>
      <c r="P15440" s="199"/>
    </row>
    <row r="15441" spans="7:16" x14ac:dyDescent="0.2">
      <c r="G15441" s="199"/>
      <c r="I15441" s="199"/>
      <c r="K15441" s="199"/>
      <c r="M15441" s="199"/>
      <c r="N15441" s="200"/>
      <c r="P15441" s="199"/>
    </row>
    <row r="15442" spans="7:16" x14ac:dyDescent="0.2">
      <c r="G15442" s="199"/>
      <c r="I15442" s="199"/>
      <c r="K15442" s="199"/>
      <c r="M15442" s="199"/>
      <c r="N15442" s="200"/>
      <c r="P15442" s="199"/>
    </row>
    <row r="15443" spans="7:16" x14ac:dyDescent="0.2">
      <c r="G15443" s="199"/>
      <c r="I15443" s="199"/>
      <c r="K15443" s="199"/>
      <c r="M15443" s="199"/>
      <c r="N15443" s="200"/>
      <c r="P15443" s="199"/>
    </row>
    <row r="15444" spans="7:16" x14ac:dyDescent="0.2">
      <c r="G15444" s="199"/>
      <c r="I15444" s="199"/>
      <c r="K15444" s="199"/>
      <c r="M15444" s="199"/>
      <c r="N15444" s="200"/>
      <c r="P15444" s="199"/>
    </row>
    <row r="15445" spans="7:16" x14ac:dyDescent="0.2">
      <c r="G15445" s="199"/>
      <c r="I15445" s="199"/>
      <c r="K15445" s="199"/>
      <c r="M15445" s="199"/>
      <c r="N15445" s="200"/>
      <c r="P15445" s="199"/>
    </row>
    <row r="15446" spans="7:16" x14ac:dyDescent="0.2">
      <c r="G15446" s="199"/>
      <c r="I15446" s="199"/>
      <c r="K15446" s="199"/>
      <c r="M15446" s="199"/>
      <c r="N15446" s="200"/>
      <c r="P15446" s="199"/>
    </row>
    <row r="15447" spans="7:16" x14ac:dyDescent="0.2">
      <c r="G15447" s="199"/>
      <c r="I15447" s="199"/>
      <c r="K15447" s="199"/>
      <c r="M15447" s="199"/>
      <c r="N15447" s="200"/>
      <c r="P15447" s="199"/>
    </row>
    <row r="15448" spans="7:16" x14ac:dyDescent="0.2">
      <c r="G15448" s="199"/>
      <c r="I15448" s="199"/>
      <c r="K15448" s="199"/>
      <c r="M15448" s="199"/>
      <c r="N15448" s="200"/>
      <c r="P15448" s="199"/>
    </row>
    <row r="15449" spans="7:16" x14ac:dyDescent="0.2">
      <c r="G15449" s="199"/>
      <c r="I15449" s="199"/>
      <c r="K15449" s="199"/>
      <c r="M15449" s="199"/>
      <c r="N15449" s="200"/>
      <c r="P15449" s="199"/>
    </row>
    <row r="15450" spans="7:16" x14ac:dyDescent="0.2">
      <c r="G15450" s="199"/>
      <c r="I15450" s="199"/>
      <c r="K15450" s="199"/>
      <c r="M15450" s="199"/>
      <c r="N15450" s="200"/>
      <c r="P15450" s="199"/>
    </row>
    <row r="15451" spans="7:16" x14ac:dyDescent="0.2">
      <c r="G15451" s="199"/>
      <c r="I15451" s="199"/>
      <c r="K15451" s="199"/>
      <c r="M15451" s="199"/>
      <c r="N15451" s="200"/>
      <c r="P15451" s="199"/>
    </row>
    <row r="15452" spans="7:16" x14ac:dyDescent="0.2">
      <c r="G15452" s="199"/>
      <c r="I15452" s="199"/>
      <c r="K15452" s="199"/>
      <c r="M15452" s="199"/>
      <c r="N15452" s="200"/>
      <c r="P15452" s="199"/>
    </row>
    <row r="15453" spans="7:16" x14ac:dyDescent="0.2">
      <c r="G15453" s="199"/>
      <c r="I15453" s="199"/>
      <c r="K15453" s="199"/>
      <c r="M15453" s="199"/>
      <c r="N15453" s="200"/>
      <c r="P15453" s="199"/>
    </row>
    <row r="15454" spans="7:16" x14ac:dyDescent="0.2">
      <c r="G15454" s="199"/>
      <c r="I15454" s="199"/>
      <c r="K15454" s="199"/>
      <c r="M15454" s="199"/>
      <c r="N15454" s="200"/>
      <c r="P15454" s="199"/>
    </row>
    <row r="15455" spans="7:16" x14ac:dyDescent="0.2">
      <c r="G15455" s="199"/>
      <c r="I15455" s="199"/>
      <c r="K15455" s="199"/>
      <c r="M15455" s="199"/>
      <c r="N15455" s="200"/>
      <c r="P15455" s="199"/>
    </row>
    <row r="15456" spans="7:16" x14ac:dyDescent="0.2">
      <c r="G15456" s="199"/>
      <c r="I15456" s="199"/>
      <c r="K15456" s="199"/>
      <c r="M15456" s="199"/>
      <c r="N15456" s="200"/>
      <c r="P15456" s="199"/>
    </row>
    <row r="15457" spans="7:16" x14ac:dyDescent="0.2">
      <c r="G15457" s="199"/>
      <c r="I15457" s="199"/>
      <c r="K15457" s="199"/>
      <c r="M15457" s="199"/>
      <c r="N15457" s="200"/>
      <c r="P15457" s="199"/>
    </row>
    <row r="15458" spans="7:16" x14ac:dyDescent="0.2">
      <c r="G15458" s="199"/>
      <c r="I15458" s="199"/>
      <c r="K15458" s="199"/>
      <c r="M15458" s="199"/>
      <c r="N15458" s="200"/>
      <c r="P15458" s="199"/>
    </row>
    <row r="15459" spans="7:16" x14ac:dyDescent="0.2">
      <c r="G15459" s="199"/>
      <c r="I15459" s="199"/>
      <c r="K15459" s="199"/>
      <c r="M15459" s="199"/>
      <c r="N15459" s="200"/>
      <c r="P15459" s="199"/>
    </row>
    <row r="15460" spans="7:16" x14ac:dyDescent="0.2">
      <c r="G15460" s="199"/>
      <c r="I15460" s="199"/>
      <c r="K15460" s="199"/>
      <c r="M15460" s="199"/>
      <c r="N15460" s="200"/>
      <c r="P15460" s="199"/>
    </row>
    <row r="15461" spans="7:16" x14ac:dyDescent="0.2">
      <c r="G15461" s="199"/>
      <c r="I15461" s="199"/>
      <c r="K15461" s="199"/>
      <c r="M15461" s="199"/>
      <c r="N15461" s="200"/>
      <c r="P15461" s="199"/>
    </row>
    <row r="15462" spans="7:16" x14ac:dyDescent="0.2">
      <c r="G15462" s="199"/>
      <c r="I15462" s="199"/>
      <c r="K15462" s="199"/>
      <c r="M15462" s="199"/>
      <c r="N15462" s="200"/>
      <c r="P15462" s="199"/>
    </row>
    <row r="15463" spans="7:16" x14ac:dyDescent="0.2">
      <c r="G15463" s="199"/>
      <c r="I15463" s="199"/>
      <c r="K15463" s="199"/>
      <c r="M15463" s="199"/>
      <c r="N15463" s="200"/>
      <c r="P15463" s="199"/>
    </row>
    <row r="15464" spans="7:16" x14ac:dyDescent="0.2">
      <c r="G15464" s="199"/>
      <c r="I15464" s="199"/>
      <c r="K15464" s="199"/>
      <c r="M15464" s="199"/>
      <c r="N15464" s="200"/>
      <c r="P15464" s="199"/>
    </row>
    <row r="15465" spans="7:16" x14ac:dyDescent="0.2">
      <c r="G15465" s="199"/>
      <c r="I15465" s="199"/>
      <c r="K15465" s="199"/>
      <c r="M15465" s="199"/>
      <c r="N15465" s="200"/>
      <c r="P15465" s="199"/>
    </row>
    <row r="15466" spans="7:16" x14ac:dyDescent="0.2">
      <c r="G15466" s="199"/>
      <c r="I15466" s="199"/>
      <c r="K15466" s="199"/>
      <c r="M15466" s="199"/>
      <c r="N15466" s="200"/>
      <c r="P15466" s="199"/>
    </row>
    <row r="15467" spans="7:16" x14ac:dyDescent="0.2">
      <c r="G15467" s="199"/>
      <c r="I15467" s="199"/>
      <c r="K15467" s="199"/>
      <c r="M15467" s="199"/>
      <c r="N15467" s="200"/>
      <c r="P15467" s="199"/>
    </row>
    <row r="15468" spans="7:16" x14ac:dyDescent="0.2">
      <c r="G15468" s="199"/>
      <c r="I15468" s="199"/>
      <c r="K15468" s="199"/>
      <c r="M15468" s="199"/>
      <c r="N15468" s="200"/>
      <c r="P15468" s="199"/>
    </row>
    <row r="15469" spans="7:16" x14ac:dyDescent="0.2">
      <c r="G15469" s="199"/>
      <c r="I15469" s="199"/>
      <c r="K15469" s="199"/>
      <c r="M15469" s="199"/>
      <c r="N15469" s="200"/>
      <c r="P15469" s="199"/>
    </row>
    <row r="15470" spans="7:16" x14ac:dyDescent="0.2">
      <c r="G15470" s="199"/>
      <c r="I15470" s="199"/>
      <c r="K15470" s="199"/>
      <c r="M15470" s="199"/>
      <c r="N15470" s="200"/>
      <c r="P15470" s="199"/>
    </row>
    <row r="15471" spans="7:16" x14ac:dyDescent="0.2">
      <c r="G15471" s="199"/>
      <c r="I15471" s="199"/>
      <c r="K15471" s="199"/>
      <c r="M15471" s="199"/>
      <c r="N15471" s="200"/>
      <c r="P15471" s="199"/>
    </row>
    <row r="15472" spans="7:16" x14ac:dyDescent="0.2">
      <c r="G15472" s="199"/>
      <c r="I15472" s="199"/>
      <c r="K15472" s="199"/>
      <c r="M15472" s="199"/>
      <c r="N15472" s="200"/>
      <c r="P15472" s="199"/>
    </row>
    <row r="15473" spans="7:16" x14ac:dyDescent="0.2">
      <c r="G15473" s="199"/>
      <c r="I15473" s="199"/>
      <c r="K15473" s="199"/>
      <c r="M15473" s="199"/>
      <c r="N15473" s="200"/>
      <c r="P15473" s="199"/>
    </row>
    <row r="15474" spans="7:16" x14ac:dyDescent="0.2">
      <c r="G15474" s="199"/>
      <c r="I15474" s="199"/>
      <c r="K15474" s="199"/>
      <c r="M15474" s="199"/>
      <c r="N15474" s="200"/>
      <c r="P15474" s="199"/>
    </row>
    <row r="15475" spans="7:16" x14ac:dyDescent="0.2">
      <c r="G15475" s="199"/>
      <c r="I15475" s="199"/>
      <c r="K15475" s="199"/>
      <c r="M15475" s="199"/>
      <c r="N15475" s="200"/>
      <c r="P15475" s="199"/>
    </row>
    <row r="15476" spans="7:16" x14ac:dyDescent="0.2">
      <c r="G15476" s="199"/>
      <c r="I15476" s="199"/>
      <c r="K15476" s="199"/>
      <c r="M15476" s="199"/>
      <c r="N15476" s="200"/>
      <c r="P15476" s="199"/>
    </row>
    <row r="15477" spans="7:16" x14ac:dyDescent="0.2">
      <c r="G15477" s="199"/>
      <c r="I15477" s="199"/>
      <c r="K15477" s="199"/>
      <c r="M15477" s="199"/>
      <c r="N15477" s="200"/>
      <c r="P15477" s="199"/>
    </row>
    <row r="15478" spans="7:16" x14ac:dyDescent="0.2">
      <c r="G15478" s="199"/>
      <c r="I15478" s="199"/>
      <c r="K15478" s="199"/>
      <c r="M15478" s="199"/>
      <c r="N15478" s="200"/>
      <c r="P15478" s="199"/>
    </row>
    <row r="15479" spans="7:16" x14ac:dyDescent="0.2">
      <c r="G15479" s="199"/>
      <c r="I15479" s="199"/>
      <c r="K15479" s="199"/>
      <c r="M15479" s="199"/>
      <c r="N15479" s="200"/>
      <c r="P15479" s="199"/>
    </row>
    <row r="15480" spans="7:16" x14ac:dyDescent="0.2">
      <c r="G15480" s="199"/>
      <c r="I15480" s="199"/>
      <c r="K15480" s="199"/>
      <c r="M15480" s="199"/>
      <c r="N15480" s="200"/>
      <c r="P15480" s="199"/>
    </row>
    <row r="15481" spans="7:16" x14ac:dyDescent="0.2">
      <c r="G15481" s="199"/>
      <c r="I15481" s="199"/>
      <c r="K15481" s="199"/>
      <c r="M15481" s="199"/>
      <c r="N15481" s="200"/>
      <c r="P15481" s="199"/>
    </row>
    <row r="15482" spans="7:16" x14ac:dyDescent="0.2">
      <c r="G15482" s="199"/>
      <c r="I15482" s="199"/>
      <c r="K15482" s="199"/>
      <c r="M15482" s="199"/>
      <c r="N15482" s="200"/>
      <c r="P15482" s="199"/>
    </row>
    <row r="15483" spans="7:16" x14ac:dyDescent="0.2">
      <c r="G15483" s="199"/>
      <c r="I15483" s="199"/>
      <c r="K15483" s="199"/>
      <c r="M15483" s="199"/>
      <c r="N15483" s="200"/>
      <c r="P15483" s="199"/>
    </row>
    <row r="15484" spans="7:16" x14ac:dyDescent="0.2">
      <c r="G15484" s="199"/>
      <c r="I15484" s="199"/>
      <c r="K15484" s="199"/>
      <c r="M15484" s="199"/>
      <c r="N15484" s="200"/>
      <c r="P15484" s="199"/>
    </row>
    <row r="15485" spans="7:16" x14ac:dyDescent="0.2">
      <c r="G15485" s="199"/>
      <c r="I15485" s="199"/>
      <c r="K15485" s="199"/>
      <c r="M15485" s="199"/>
      <c r="N15485" s="200"/>
      <c r="P15485" s="199"/>
    </row>
    <row r="15486" spans="7:16" x14ac:dyDescent="0.2">
      <c r="G15486" s="199"/>
      <c r="I15486" s="199"/>
      <c r="K15486" s="199"/>
      <c r="M15486" s="199"/>
      <c r="N15486" s="200"/>
      <c r="P15486" s="199"/>
    </row>
    <row r="15487" spans="7:16" x14ac:dyDescent="0.2">
      <c r="G15487" s="199"/>
      <c r="I15487" s="199"/>
      <c r="K15487" s="199"/>
      <c r="M15487" s="199"/>
      <c r="N15487" s="200"/>
      <c r="P15487" s="199"/>
    </row>
    <row r="15488" spans="7:16" x14ac:dyDescent="0.2">
      <c r="G15488" s="199"/>
      <c r="I15488" s="199"/>
      <c r="K15488" s="199"/>
      <c r="M15488" s="199"/>
      <c r="N15488" s="200"/>
      <c r="P15488" s="199"/>
    </row>
    <row r="15489" spans="7:16" x14ac:dyDescent="0.2">
      <c r="G15489" s="199"/>
      <c r="I15489" s="199"/>
      <c r="K15489" s="199"/>
      <c r="M15489" s="199"/>
      <c r="N15489" s="200"/>
      <c r="P15489" s="199"/>
    </row>
    <row r="15490" spans="7:16" x14ac:dyDescent="0.2">
      <c r="G15490" s="199"/>
      <c r="I15490" s="199"/>
      <c r="K15490" s="199"/>
      <c r="M15490" s="199"/>
      <c r="N15490" s="200"/>
      <c r="P15490" s="199"/>
    </row>
    <row r="15491" spans="7:16" x14ac:dyDescent="0.2">
      <c r="G15491" s="199"/>
      <c r="I15491" s="199"/>
      <c r="K15491" s="199"/>
      <c r="M15491" s="199"/>
      <c r="N15491" s="200"/>
      <c r="P15491" s="199"/>
    </row>
    <row r="15492" spans="7:16" x14ac:dyDescent="0.2">
      <c r="G15492" s="199"/>
      <c r="I15492" s="199"/>
      <c r="K15492" s="199"/>
      <c r="M15492" s="199"/>
      <c r="N15492" s="200"/>
      <c r="P15492" s="199"/>
    </row>
    <row r="15493" spans="7:16" x14ac:dyDescent="0.2">
      <c r="G15493" s="199"/>
      <c r="I15493" s="199"/>
      <c r="K15493" s="199"/>
      <c r="M15493" s="199"/>
      <c r="N15493" s="200"/>
      <c r="P15493" s="199"/>
    </row>
    <row r="15494" spans="7:16" x14ac:dyDescent="0.2">
      <c r="G15494" s="199"/>
      <c r="I15494" s="199"/>
      <c r="K15494" s="199"/>
      <c r="M15494" s="199"/>
      <c r="N15494" s="200"/>
      <c r="P15494" s="199"/>
    </row>
    <row r="15495" spans="7:16" x14ac:dyDescent="0.2">
      <c r="G15495" s="199"/>
      <c r="I15495" s="199"/>
      <c r="K15495" s="199"/>
      <c r="M15495" s="199"/>
      <c r="N15495" s="200"/>
      <c r="P15495" s="199"/>
    </row>
    <row r="15496" spans="7:16" x14ac:dyDescent="0.2">
      <c r="G15496" s="199"/>
      <c r="I15496" s="199"/>
      <c r="K15496" s="199"/>
      <c r="M15496" s="199"/>
      <c r="N15496" s="200"/>
      <c r="P15496" s="199"/>
    </row>
    <row r="15497" spans="7:16" x14ac:dyDescent="0.2">
      <c r="G15497" s="199"/>
      <c r="I15497" s="199"/>
      <c r="K15497" s="199"/>
      <c r="M15497" s="199"/>
      <c r="N15497" s="200"/>
      <c r="P15497" s="199"/>
    </row>
    <row r="15498" spans="7:16" x14ac:dyDescent="0.2">
      <c r="G15498" s="199"/>
      <c r="I15498" s="199"/>
      <c r="K15498" s="199"/>
      <c r="M15498" s="199"/>
      <c r="N15498" s="200"/>
      <c r="P15498" s="199"/>
    </row>
    <row r="15499" spans="7:16" x14ac:dyDescent="0.2">
      <c r="G15499" s="199"/>
      <c r="I15499" s="199"/>
      <c r="K15499" s="199"/>
      <c r="M15499" s="199"/>
      <c r="N15499" s="200"/>
      <c r="P15499" s="199"/>
    </row>
    <row r="15500" spans="7:16" x14ac:dyDescent="0.2">
      <c r="G15500" s="199"/>
      <c r="I15500" s="199"/>
      <c r="K15500" s="199"/>
      <c r="M15500" s="199"/>
      <c r="N15500" s="200"/>
      <c r="P15500" s="199"/>
    </row>
    <row r="15501" spans="7:16" x14ac:dyDescent="0.2">
      <c r="G15501" s="199"/>
      <c r="I15501" s="199"/>
      <c r="K15501" s="199"/>
      <c r="M15501" s="199"/>
      <c r="N15501" s="200"/>
      <c r="P15501" s="199"/>
    </row>
    <row r="15502" spans="7:16" x14ac:dyDescent="0.2">
      <c r="G15502" s="199"/>
      <c r="I15502" s="199"/>
      <c r="K15502" s="199"/>
      <c r="M15502" s="199"/>
      <c r="N15502" s="200"/>
      <c r="P15502" s="199"/>
    </row>
    <row r="15503" spans="7:16" x14ac:dyDescent="0.2">
      <c r="G15503" s="199"/>
      <c r="I15503" s="199"/>
      <c r="K15503" s="199"/>
      <c r="M15503" s="199"/>
      <c r="N15503" s="200"/>
      <c r="P15503" s="199"/>
    </row>
    <row r="15504" spans="7:16" x14ac:dyDescent="0.2">
      <c r="G15504" s="199"/>
      <c r="I15504" s="199"/>
      <c r="K15504" s="199"/>
      <c r="M15504" s="199"/>
      <c r="N15504" s="200"/>
      <c r="P15504" s="199"/>
    </row>
    <row r="15505" spans="7:16" x14ac:dyDescent="0.2">
      <c r="G15505" s="199"/>
      <c r="I15505" s="199"/>
      <c r="K15505" s="199"/>
      <c r="M15505" s="199"/>
      <c r="N15505" s="200"/>
      <c r="P15505" s="199"/>
    </row>
    <row r="15506" spans="7:16" x14ac:dyDescent="0.2">
      <c r="G15506" s="199"/>
      <c r="I15506" s="199"/>
      <c r="K15506" s="199"/>
      <c r="M15506" s="199"/>
      <c r="N15506" s="200"/>
      <c r="P15506" s="199"/>
    </row>
    <row r="15507" spans="7:16" x14ac:dyDescent="0.2">
      <c r="G15507" s="199"/>
      <c r="I15507" s="199"/>
      <c r="K15507" s="199"/>
      <c r="M15507" s="199"/>
      <c r="N15507" s="200"/>
      <c r="P15507" s="199"/>
    </row>
    <row r="15508" spans="7:16" x14ac:dyDescent="0.2">
      <c r="G15508" s="199"/>
      <c r="I15508" s="199"/>
      <c r="K15508" s="199"/>
      <c r="M15508" s="199"/>
      <c r="N15508" s="200"/>
      <c r="P15508" s="199"/>
    </row>
    <row r="15509" spans="7:16" x14ac:dyDescent="0.2">
      <c r="G15509" s="199"/>
      <c r="I15509" s="199"/>
      <c r="K15509" s="199"/>
      <c r="M15509" s="199"/>
      <c r="N15509" s="200"/>
      <c r="P15509" s="199"/>
    </row>
    <row r="15510" spans="7:16" x14ac:dyDescent="0.2">
      <c r="G15510" s="199"/>
      <c r="I15510" s="199"/>
      <c r="K15510" s="199"/>
      <c r="M15510" s="199"/>
      <c r="N15510" s="200"/>
      <c r="P15510" s="199"/>
    </row>
    <row r="15511" spans="7:16" x14ac:dyDescent="0.2">
      <c r="G15511" s="199"/>
      <c r="I15511" s="199"/>
      <c r="K15511" s="199"/>
      <c r="M15511" s="199"/>
      <c r="N15511" s="200"/>
      <c r="P15511" s="199"/>
    </row>
    <row r="15512" spans="7:16" x14ac:dyDescent="0.2">
      <c r="G15512" s="199"/>
      <c r="I15512" s="199"/>
      <c r="K15512" s="199"/>
      <c r="M15512" s="199"/>
      <c r="N15512" s="200"/>
      <c r="P15512" s="199"/>
    </row>
    <row r="15513" spans="7:16" x14ac:dyDescent="0.2">
      <c r="G15513" s="199"/>
      <c r="I15513" s="199"/>
      <c r="K15513" s="199"/>
      <c r="M15513" s="199"/>
      <c r="N15513" s="200"/>
      <c r="P15513" s="199"/>
    </row>
    <row r="15514" spans="7:16" x14ac:dyDescent="0.2">
      <c r="G15514" s="199"/>
      <c r="I15514" s="199"/>
      <c r="K15514" s="199"/>
      <c r="M15514" s="199"/>
      <c r="N15514" s="200"/>
      <c r="P15514" s="199"/>
    </row>
    <row r="15515" spans="7:16" x14ac:dyDescent="0.2">
      <c r="G15515" s="199"/>
      <c r="I15515" s="199"/>
      <c r="K15515" s="199"/>
      <c r="M15515" s="199"/>
      <c r="N15515" s="200"/>
      <c r="P15515" s="199"/>
    </row>
    <row r="15516" spans="7:16" x14ac:dyDescent="0.2">
      <c r="G15516" s="199"/>
      <c r="I15516" s="199"/>
      <c r="K15516" s="199"/>
      <c r="M15516" s="199"/>
      <c r="N15516" s="200"/>
      <c r="P15516" s="199"/>
    </row>
    <row r="15517" spans="7:16" x14ac:dyDescent="0.2">
      <c r="G15517" s="199"/>
      <c r="I15517" s="199"/>
      <c r="K15517" s="199"/>
      <c r="M15517" s="199"/>
      <c r="N15517" s="200"/>
      <c r="P15517" s="199"/>
    </row>
    <row r="15518" spans="7:16" x14ac:dyDescent="0.2">
      <c r="G15518" s="199"/>
      <c r="I15518" s="199"/>
      <c r="K15518" s="199"/>
      <c r="M15518" s="199"/>
      <c r="N15518" s="200"/>
      <c r="P15518" s="199"/>
    </row>
    <row r="15519" spans="7:16" x14ac:dyDescent="0.2">
      <c r="G15519" s="199"/>
      <c r="I15519" s="199"/>
      <c r="K15519" s="199"/>
      <c r="M15519" s="199"/>
      <c r="N15519" s="200"/>
      <c r="P15519" s="199"/>
    </row>
    <row r="15520" spans="7:16" x14ac:dyDescent="0.2">
      <c r="G15520" s="199"/>
      <c r="I15520" s="199"/>
      <c r="K15520" s="199"/>
      <c r="M15520" s="199"/>
      <c r="N15520" s="200"/>
      <c r="P15520" s="199"/>
    </row>
    <row r="15521" spans="7:16" x14ac:dyDescent="0.2">
      <c r="G15521" s="199"/>
      <c r="I15521" s="199"/>
      <c r="K15521" s="199"/>
      <c r="M15521" s="199"/>
      <c r="N15521" s="200"/>
      <c r="P15521" s="199"/>
    </row>
    <row r="15522" spans="7:16" x14ac:dyDescent="0.2">
      <c r="G15522" s="199"/>
      <c r="I15522" s="199"/>
      <c r="K15522" s="199"/>
      <c r="M15522" s="199"/>
      <c r="N15522" s="200"/>
      <c r="P15522" s="199"/>
    </row>
    <row r="15523" spans="7:16" x14ac:dyDescent="0.2">
      <c r="G15523" s="199"/>
      <c r="I15523" s="199"/>
      <c r="K15523" s="199"/>
      <c r="M15523" s="199"/>
      <c r="N15523" s="200"/>
      <c r="P15523" s="199"/>
    </row>
    <row r="15524" spans="7:16" x14ac:dyDescent="0.2">
      <c r="G15524" s="199"/>
      <c r="I15524" s="199"/>
      <c r="K15524" s="199"/>
      <c r="M15524" s="199"/>
      <c r="N15524" s="200"/>
      <c r="P15524" s="199"/>
    </row>
    <row r="15525" spans="7:16" x14ac:dyDescent="0.2">
      <c r="G15525" s="199"/>
      <c r="I15525" s="199"/>
      <c r="K15525" s="199"/>
      <c r="M15525" s="199"/>
      <c r="N15525" s="200"/>
      <c r="P15525" s="199"/>
    </row>
    <row r="15526" spans="7:16" x14ac:dyDescent="0.2">
      <c r="G15526" s="199"/>
      <c r="I15526" s="199"/>
      <c r="K15526" s="199"/>
      <c r="M15526" s="199"/>
      <c r="N15526" s="200"/>
      <c r="P15526" s="199"/>
    </row>
    <row r="15527" spans="7:16" x14ac:dyDescent="0.2">
      <c r="G15527" s="199"/>
      <c r="I15527" s="199"/>
      <c r="K15527" s="199"/>
      <c r="M15527" s="199"/>
      <c r="N15527" s="200"/>
      <c r="P15527" s="199"/>
    </row>
    <row r="15528" spans="7:16" x14ac:dyDescent="0.2">
      <c r="G15528" s="199"/>
      <c r="I15528" s="199"/>
      <c r="K15528" s="199"/>
      <c r="M15528" s="199"/>
      <c r="N15528" s="200"/>
      <c r="P15528" s="199"/>
    </row>
    <row r="15529" spans="7:16" x14ac:dyDescent="0.2">
      <c r="G15529" s="199"/>
      <c r="I15529" s="199"/>
      <c r="K15529" s="199"/>
      <c r="M15529" s="199"/>
      <c r="N15529" s="200"/>
      <c r="P15529" s="199"/>
    </row>
    <row r="15530" spans="7:16" x14ac:dyDescent="0.2">
      <c r="G15530" s="199"/>
      <c r="I15530" s="199"/>
      <c r="K15530" s="199"/>
      <c r="M15530" s="199"/>
      <c r="N15530" s="200"/>
      <c r="P15530" s="199"/>
    </row>
    <row r="15531" spans="7:16" x14ac:dyDescent="0.2">
      <c r="G15531" s="199"/>
      <c r="I15531" s="199"/>
      <c r="K15531" s="199"/>
      <c r="M15531" s="199"/>
      <c r="N15531" s="200"/>
      <c r="P15531" s="199"/>
    </row>
    <row r="15532" spans="7:16" x14ac:dyDescent="0.2">
      <c r="G15532" s="199"/>
      <c r="I15532" s="199"/>
      <c r="K15532" s="199"/>
      <c r="M15532" s="199"/>
      <c r="N15532" s="200"/>
      <c r="P15532" s="199"/>
    </row>
    <row r="15533" spans="7:16" x14ac:dyDescent="0.2">
      <c r="G15533" s="199"/>
      <c r="I15533" s="199"/>
      <c r="K15533" s="199"/>
      <c r="M15533" s="199"/>
      <c r="N15533" s="200"/>
      <c r="P15533" s="199"/>
    </row>
    <row r="15534" spans="7:16" x14ac:dyDescent="0.2">
      <c r="G15534" s="199"/>
      <c r="I15534" s="199"/>
      <c r="K15534" s="199"/>
      <c r="M15534" s="199"/>
      <c r="N15534" s="200"/>
      <c r="P15534" s="199"/>
    </row>
    <row r="15535" spans="7:16" x14ac:dyDescent="0.2">
      <c r="G15535" s="199"/>
      <c r="I15535" s="199"/>
      <c r="K15535" s="199"/>
      <c r="M15535" s="199"/>
      <c r="N15535" s="200"/>
      <c r="P15535" s="199"/>
    </row>
    <row r="15536" spans="7:16" x14ac:dyDescent="0.2">
      <c r="G15536" s="199"/>
      <c r="I15536" s="199"/>
      <c r="K15536" s="199"/>
      <c r="M15536" s="199"/>
      <c r="N15536" s="200"/>
      <c r="P15536" s="199"/>
    </row>
    <row r="15537" spans="7:16" x14ac:dyDescent="0.2">
      <c r="G15537" s="199"/>
      <c r="I15537" s="199"/>
      <c r="K15537" s="199"/>
      <c r="M15537" s="199"/>
      <c r="N15537" s="200"/>
      <c r="P15537" s="199"/>
    </row>
    <row r="15538" spans="7:16" x14ac:dyDescent="0.2">
      <c r="G15538" s="199"/>
      <c r="I15538" s="199"/>
      <c r="K15538" s="199"/>
      <c r="M15538" s="199"/>
      <c r="N15538" s="200"/>
      <c r="P15538" s="199"/>
    </row>
    <row r="15539" spans="7:16" x14ac:dyDescent="0.2">
      <c r="G15539" s="199"/>
      <c r="I15539" s="199"/>
      <c r="K15539" s="199"/>
      <c r="M15539" s="199"/>
      <c r="N15539" s="200"/>
      <c r="P15539" s="199"/>
    </row>
    <row r="15540" spans="7:16" x14ac:dyDescent="0.2">
      <c r="G15540" s="199"/>
      <c r="I15540" s="199"/>
      <c r="K15540" s="199"/>
      <c r="M15540" s="199"/>
      <c r="N15540" s="200"/>
      <c r="P15540" s="199"/>
    </row>
    <row r="15541" spans="7:16" x14ac:dyDescent="0.2">
      <c r="G15541" s="199"/>
      <c r="I15541" s="199"/>
      <c r="K15541" s="199"/>
      <c r="M15541" s="199"/>
      <c r="N15541" s="200"/>
      <c r="P15541" s="199"/>
    </row>
    <row r="15542" spans="7:16" x14ac:dyDescent="0.2">
      <c r="G15542" s="199"/>
      <c r="I15542" s="199"/>
      <c r="K15542" s="199"/>
      <c r="M15542" s="199"/>
      <c r="N15542" s="200"/>
      <c r="P15542" s="199"/>
    </row>
    <row r="15543" spans="7:16" x14ac:dyDescent="0.2">
      <c r="G15543" s="199"/>
      <c r="I15543" s="199"/>
      <c r="K15543" s="199"/>
      <c r="M15543" s="199"/>
      <c r="N15543" s="200"/>
      <c r="P15543" s="199"/>
    </row>
    <row r="15544" spans="7:16" x14ac:dyDescent="0.2">
      <c r="G15544" s="199"/>
      <c r="I15544" s="199"/>
      <c r="K15544" s="199"/>
      <c r="M15544" s="199"/>
      <c r="N15544" s="200"/>
      <c r="P15544" s="199"/>
    </row>
    <row r="15545" spans="7:16" x14ac:dyDescent="0.2">
      <c r="G15545" s="199"/>
      <c r="I15545" s="199"/>
      <c r="K15545" s="199"/>
      <c r="M15545" s="199"/>
      <c r="N15545" s="200"/>
      <c r="P15545" s="199"/>
    </row>
    <row r="15546" spans="7:16" x14ac:dyDescent="0.2">
      <c r="G15546" s="199"/>
      <c r="I15546" s="199"/>
      <c r="K15546" s="199"/>
      <c r="M15546" s="199"/>
      <c r="N15546" s="200"/>
      <c r="P15546" s="199"/>
    </row>
    <row r="15547" spans="7:16" x14ac:dyDescent="0.2">
      <c r="G15547" s="199"/>
      <c r="I15547" s="199"/>
      <c r="K15547" s="199"/>
      <c r="M15547" s="199"/>
      <c r="N15547" s="200"/>
      <c r="P15547" s="199"/>
    </row>
    <row r="15548" spans="7:16" x14ac:dyDescent="0.2">
      <c r="G15548" s="199"/>
      <c r="I15548" s="199"/>
      <c r="K15548" s="199"/>
      <c r="M15548" s="199"/>
      <c r="N15548" s="200"/>
      <c r="P15548" s="199"/>
    </row>
    <row r="15549" spans="7:16" x14ac:dyDescent="0.2">
      <c r="G15549" s="199"/>
      <c r="I15549" s="199"/>
      <c r="K15549" s="199"/>
      <c r="M15549" s="199"/>
      <c r="N15549" s="200"/>
      <c r="P15549" s="199"/>
    </row>
    <row r="15550" spans="7:16" x14ac:dyDescent="0.2">
      <c r="G15550" s="199"/>
      <c r="I15550" s="199"/>
      <c r="K15550" s="199"/>
      <c r="M15550" s="199"/>
      <c r="N15550" s="200"/>
      <c r="P15550" s="199"/>
    </row>
    <row r="15551" spans="7:16" x14ac:dyDescent="0.2">
      <c r="G15551" s="199"/>
      <c r="I15551" s="199"/>
      <c r="K15551" s="199"/>
      <c r="M15551" s="199"/>
      <c r="N15551" s="200"/>
      <c r="P15551" s="199"/>
    </row>
    <row r="15552" spans="7:16" x14ac:dyDescent="0.2">
      <c r="G15552" s="199"/>
      <c r="I15552" s="199"/>
      <c r="K15552" s="199"/>
      <c r="M15552" s="199"/>
      <c r="N15552" s="200"/>
      <c r="P15552" s="199"/>
    </row>
    <row r="15553" spans="7:16" x14ac:dyDescent="0.2">
      <c r="G15553" s="199"/>
      <c r="I15553" s="199"/>
      <c r="K15553" s="199"/>
      <c r="M15553" s="199"/>
      <c r="N15553" s="200"/>
      <c r="P15553" s="199"/>
    </row>
    <row r="15554" spans="7:16" x14ac:dyDescent="0.2">
      <c r="G15554" s="199"/>
      <c r="I15554" s="199"/>
      <c r="K15554" s="199"/>
      <c r="M15554" s="199"/>
      <c r="N15554" s="200"/>
      <c r="P15554" s="199"/>
    </row>
    <row r="15555" spans="7:16" x14ac:dyDescent="0.2">
      <c r="G15555" s="199"/>
      <c r="I15555" s="199"/>
      <c r="K15555" s="199"/>
      <c r="M15555" s="199"/>
      <c r="N15555" s="200"/>
      <c r="P15555" s="199"/>
    </row>
    <row r="15556" spans="7:16" x14ac:dyDescent="0.2">
      <c r="G15556" s="199"/>
      <c r="I15556" s="199"/>
      <c r="K15556" s="199"/>
      <c r="M15556" s="199"/>
      <c r="N15556" s="200"/>
      <c r="P15556" s="199"/>
    </row>
    <row r="15557" spans="7:16" x14ac:dyDescent="0.2">
      <c r="G15557" s="199"/>
      <c r="I15557" s="199"/>
      <c r="K15557" s="199"/>
      <c r="M15557" s="199"/>
      <c r="N15557" s="200"/>
      <c r="P15557" s="199"/>
    </row>
    <row r="15558" spans="7:16" x14ac:dyDescent="0.2">
      <c r="G15558" s="199"/>
      <c r="I15558" s="199"/>
      <c r="K15558" s="199"/>
      <c r="M15558" s="199"/>
      <c r="N15558" s="200"/>
      <c r="P15558" s="199"/>
    </row>
    <row r="15559" spans="7:16" x14ac:dyDescent="0.2">
      <c r="G15559" s="199"/>
      <c r="I15559" s="199"/>
      <c r="K15559" s="199"/>
      <c r="M15559" s="199"/>
      <c r="N15559" s="200"/>
      <c r="P15559" s="199"/>
    </row>
    <row r="15560" spans="7:16" x14ac:dyDescent="0.2">
      <c r="G15560" s="199"/>
      <c r="I15560" s="199"/>
      <c r="K15560" s="199"/>
      <c r="M15560" s="199"/>
      <c r="N15560" s="200"/>
      <c r="P15560" s="199"/>
    </row>
    <row r="15561" spans="7:16" x14ac:dyDescent="0.2">
      <c r="G15561" s="199"/>
      <c r="I15561" s="199"/>
      <c r="K15561" s="199"/>
      <c r="M15561" s="199"/>
      <c r="N15561" s="200"/>
      <c r="P15561" s="199"/>
    </row>
    <row r="15562" spans="7:16" x14ac:dyDescent="0.2">
      <c r="G15562" s="199"/>
      <c r="I15562" s="199"/>
      <c r="K15562" s="199"/>
      <c r="M15562" s="199"/>
      <c r="N15562" s="200"/>
      <c r="P15562" s="199"/>
    </row>
    <row r="15563" spans="7:16" x14ac:dyDescent="0.2">
      <c r="G15563" s="199"/>
      <c r="I15563" s="199"/>
      <c r="K15563" s="199"/>
      <c r="M15563" s="199"/>
      <c r="N15563" s="200"/>
      <c r="P15563" s="199"/>
    </row>
    <row r="15564" spans="7:16" x14ac:dyDescent="0.2">
      <c r="G15564" s="199"/>
      <c r="I15564" s="199"/>
      <c r="K15564" s="199"/>
      <c r="M15564" s="199"/>
      <c r="N15564" s="200"/>
      <c r="P15564" s="199"/>
    </row>
    <row r="15565" spans="7:16" x14ac:dyDescent="0.2">
      <c r="G15565" s="199"/>
      <c r="I15565" s="199"/>
      <c r="K15565" s="199"/>
      <c r="M15565" s="199"/>
      <c r="N15565" s="200"/>
      <c r="P15565" s="199"/>
    </row>
    <row r="15566" spans="7:16" x14ac:dyDescent="0.2">
      <c r="G15566" s="199"/>
      <c r="I15566" s="199"/>
      <c r="K15566" s="199"/>
      <c r="M15566" s="199"/>
      <c r="N15566" s="200"/>
      <c r="P15566" s="199"/>
    </row>
    <row r="15567" spans="7:16" x14ac:dyDescent="0.2">
      <c r="G15567" s="199"/>
      <c r="I15567" s="199"/>
      <c r="K15567" s="199"/>
      <c r="M15567" s="199"/>
      <c r="N15567" s="200"/>
      <c r="P15567" s="199"/>
    </row>
    <row r="15568" spans="7:16" x14ac:dyDescent="0.2">
      <c r="G15568" s="199"/>
      <c r="I15568" s="199"/>
      <c r="K15568" s="199"/>
      <c r="M15568" s="199"/>
      <c r="N15568" s="200"/>
      <c r="P15568" s="199"/>
    </row>
    <row r="15569" spans="7:16" x14ac:dyDescent="0.2">
      <c r="G15569" s="199"/>
      <c r="I15569" s="199"/>
      <c r="K15569" s="199"/>
      <c r="M15569" s="199"/>
      <c r="N15569" s="200"/>
      <c r="P15569" s="199"/>
    </row>
    <row r="15570" spans="7:16" x14ac:dyDescent="0.2">
      <c r="G15570" s="199"/>
      <c r="I15570" s="199"/>
      <c r="K15570" s="199"/>
      <c r="M15570" s="199"/>
      <c r="N15570" s="200"/>
      <c r="P15570" s="199"/>
    </row>
    <row r="15571" spans="7:16" x14ac:dyDescent="0.2">
      <c r="G15571" s="199"/>
      <c r="I15571" s="199"/>
      <c r="K15571" s="199"/>
      <c r="M15571" s="199"/>
      <c r="N15571" s="200"/>
      <c r="P15571" s="199"/>
    </row>
    <row r="15572" spans="7:16" x14ac:dyDescent="0.2">
      <c r="G15572" s="199"/>
      <c r="I15572" s="199"/>
      <c r="K15572" s="199"/>
      <c r="M15572" s="199"/>
      <c r="N15572" s="200"/>
      <c r="P15572" s="199"/>
    </row>
    <row r="15573" spans="7:16" x14ac:dyDescent="0.2">
      <c r="G15573" s="199"/>
      <c r="I15573" s="199"/>
      <c r="K15573" s="199"/>
      <c r="M15573" s="199"/>
      <c r="N15573" s="200"/>
      <c r="P15573" s="199"/>
    </row>
    <row r="15574" spans="7:16" x14ac:dyDescent="0.2">
      <c r="G15574" s="199"/>
      <c r="I15574" s="199"/>
      <c r="K15574" s="199"/>
      <c r="M15574" s="199"/>
      <c r="N15574" s="200"/>
      <c r="P15574" s="199"/>
    </row>
    <row r="15575" spans="7:16" x14ac:dyDescent="0.2">
      <c r="G15575" s="199"/>
      <c r="I15575" s="199"/>
      <c r="K15575" s="199"/>
      <c r="M15575" s="199"/>
      <c r="N15575" s="200"/>
      <c r="P15575" s="199"/>
    </row>
    <row r="15576" spans="7:16" x14ac:dyDescent="0.2">
      <c r="G15576" s="199"/>
      <c r="I15576" s="199"/>
      <c r="K15576" s="199"/>
      <c r="M15576" s="199"/>
      <c r="N15576" s="200"/>
      <c r="P15576" s="199"/>
    </row>
    <row r="15577" spans="7:16" x14ac:dyDescent="0.2">
      <c r="G15577" s="199"/>
      <c r="I15577" s="199"/>
      <c r="K15577" s="199"/>
      <c r="M15577" s="199"/>
      <c r="N15577" s="200"/>
      <c r="P15577" s="199"/>
    </row>
    <row r="15578" spans="7:16" x14ac:dyDescent="0.2">
      <c r="G15578" s="199"/>
      <c r="I15578" s="199"/>
      <c r="K15578" s="199"/>
      <c r="M15578" s="199"/>
      <c r="N15578" s="200"/>
      <c r="P15578" s="199"/>
    </row>
    <row r="15579" spans="7:16" x14ac:dyDescent="0.2">
      <c r="G15579" s="199"/>
      <c r="I15579" s="199"/>
      <c r="K15579" s="199"/>
      <c r="M15579" s="199"/>
      <c r="N15579" s="200"/>
      <c r="P15579" s="199"/>
    </row>
    <row r="15580" spans="7:16" x14ac:dyDescent="0.2">
      <c r="G15580" s="199"/>
      <c r="I15580" s="199"/>
      <c r="K15580" s="199"/>
      <c r="M15580" s="199"/>
      <c r="N15580" s="200"/>
      <c r="P15580" s="199"/>
    </row>
    <row r="15581" spans="7:16" x14ac:dyDescent="0.2">
      <c r="G15581" s="199"/>
      <c r="I15581" s="199"/>
      <c r="K15581" s="199"/>
      <c r="M15581" s="199"/>
      <c r="N15581" s="200"/>
      <c r="P15581" s="199"/>
    </row>
    <row r="15582" spans="7:16" x14ac:dyDescent="0.2">
      <c r="G15582" s="199"/>
      <c r="I15582" s="199"/>
      <c r="K15582" s="199"/>
      <c r="M15582" s="199"/>
      <c r="N15582" s="200"/>
      <c r="P15582" s="199"/>
    </row>
    <row r="15583" spans="7:16" x14ac:dyDescent="0.2">
      <c r="G15583" s="199"/>
      <c r="I15583" s="199"/>
      <c r="K15583" s="199"/>
      <c r="M15583" s="199"/>
      <c r="N15583" s="200"/>
      <c r="P15583" s="199"/>
    </row>
    <row r="15584" spans="7:16" x14ac:dyDescent="0.2">
      <c r="G15584" s="199"/>
      <c r="I15584" s="199"/>
      <c r="K15584" s="199"/>
      <c r="M15584" s="199"/>
      <c r="N15584" s="200"/>
      <c r="P15584" s="199"/>
    </row>
    <row r="15585" spans="7:16" x14ac:dyDescent="0.2">
      <c r="G15585" s="199"/>
      <c r="I15585" s="199"/>
      <c r="K15585" s="199"/>
      <c r="M15585" s="199"/>
      <c r="N15585" s="200"/>
      <c r="P15585" s="199"/>
    </row>
    <row r="15586" spans="7:16" x14ac:dyDescent="0.2">
      <c r="G15586" s="199"/>
      <c r="I15586" s="199"/>
      <c r="K15586" s="199"/>
      <c r="M15586" s="199"/>
      <c r="N15586" s="200"/>
      <c r="P15586" s="199"/>
    </row>
    <row r="15587" spans="7:16" x14ac:dyDescent="0.2">
      <c r="G15587" s="199"/>
      <c r="I15587" s="199"/>
      <c r="K15587" s="199"/>
      <c r="M15587" s="199"/>
      <c r="N15587" s="200"/>
      <c r="P15587" s="199"/>
    </row>
    <row r="15588" spans="7:16" x14ac:dyDescent="0.2">
      <c r="G15588" s="199"/>
      <c r="I15588" s="199"/>
      <c r="K15588" s="199"/>
      <c r="M15588" s="199"/>
      <c r="N15588" s="200"/>
      <c r="P15588" s="199"/>
    </row>
    <row r="15589" spans="7:16" x14ac:dyDescent="0.2">
      <c r="G15589" s="199"/>
      <c r="I15589" s="199"/>
      <c r="K15589" s="199"/>
      <c r="M15589" s="199"/>
      <c r="N15589" s="200"/>
      <c r="P15589" s="199"/>
    </row>
    <row r="15590" spans="7:16" x14ac:dyDescent="0.2">
      <c r="G15590" s="199"/>
      <c r="I15590" s="199"/>
      <c r="K15590" s="199"/>
      <c r="M15590" s="199"/>
      <c r="N15590" s="200"/>
      <c r="P15590" s="199"/>
    </row>
    <row r="15591" spans="7:16" x14ac:dyDescent="0.2">
      <c r="G15591" s="199"/>
      <c r="I15591" s="199"/>
      <c r="K15591" s="199"/>
      <c r="M15591" s="199"/>
      <c r="N15591" s="200"/>
      <c r="P15591" s="199"/>
    </row>
    <row r="15592" spans="7:16" x14ac:dyDescent="0.2">
      <c r="G15592" s="199"/>
      <c r="I15592" s="199"/>
      <c r="K15592" s="199"/>
      <c r="M15592" s="199"/>
      <c r="N15592" s="200"/>
      <c r="P15592" s="199"/>
    </row>
    <row r="15593" spans="7:16" x14ac:dyDescent="0.2">
      <c r="G15593" s="199"/>
      <c r="I15593" s="199"/>
      <c r="K15593" s="199"/>
      <c r="M15593" s="199"/>
      <c r="N15593" s="200"/>
      <c r="P15593" s="199"/>
    </row>
    <row r="15594" spans="7:16" x14ac:dyDescent="0.2">
      <c r="G15594" s="199"/>
      <c r="I15594" s="199"/>
      <c r="K15594" s="199"/>
      <c r="M15594" s="199"/>
      <c r="N15594" s="200"/>
      <c r="P15594" s="199"/>
    </row>
    <row r="15595" spans="7:16" x14ac:dyDescent="0.2">
      <c r="G15595" s="199"/>
      <c r="I15595" s="199"/>
      <c r="K15595" s="199"/>
      <c r="M15595" s="199"/>
      <c r="N15595" s="200"/>
      <c r="P15595" s="199"/>
    </row>
    <row r="15596" spans="7:16" x14ac:dyDescent="0.2">
      <c r="G15596" s="199"/>
      <c r="I15596" s="199"/>
      <c r="K15596" s="199"/>
      <c r="M15596" s="199"/>
      <c r="N15596" s="200"/>
      <c r="P15596" s="199"/>
    </row>
    <row r="15597" spans="7:16" x14ac:dyDescent="0.2">
      <c r="G15597" s="199"/>
      <c r="I15597" s="199"/>
      <c r="K15597" s="199"/>
      <c r="M15597" s="199"/>
      <c r="N15597" s="200"/>
      <c r="P15597" s="199"/>
    </row>
    <row r="15598" spans="7:16" x14ac:dyDescent="0.2">
      <c r="G15598" s="199"/>
      <c r="I15598" s="199"/>
      <c r="K15598" s="199"/>
      <c r="M15598" s="199"/>
      <c r="N15598" s="200"/>
      <c r="P15598" s="199"/>
    </row>
    <row r="15599" spans="7:16" x14ac:dyDescent="0.2">
      <c r="G15599" s="199"/>
      <c r="I15599" s="199"/>
      <c r="K15599" s="199"/>
      <c r="M15599" s="199"/>
      <c r="N15599" s="200"/>
      <c r="P15599" s="199"/>
    </row>
    <row r="15600" spans="7:16" x14ac:dyDescent="0.2">
      <c r="G15600" s="199"/>
      <c r="I15600" s="199"/>
      <c r="K15600" s="199"/>
      <c r="M15600" s="199"/>
      <c r="N15600" s="200"/>
      <c r="P15600" s="199"/>
    </row>
    <row r="15601" spans="7:16" x14ac:dyDescent="0.2">
      <c r="G15601" s="199"/>
      <c r="I15601" s="199"/>
      <c r="K15601" s="199"/>
      <c r="M15601" s="199"/>
      <c r="N15601" s="200"/>
      <c r="P15601" s="199"/>
    </row>
    <row r="15602" spans="7:16" x14ac:dyDescent="0.2">
      <c r="G15602" s="199"/>
      <c r="I15602" s="199"/>
      <c r="K15602" s="199"/>
      <c r="M15602" s="199"/>
      <c r="N15602" s="200"/>
      <c r="P15602" s="199"/>
    </row>
    <row r="15603" spans="7:16" x14ac:dyDescent="0.2">
      <c r="G15603" s="199"/>
      <c r="I15603" s="199"/>
      <c r="K15603" s="199"/>
      <c r="M15603" s="199"/>
      <c r="N15603" s="200"/>
      <c r="P15603" s="199"/>
    </row>
    <row r="15604" spans="7:16" x14ac:dyDescent="0.2">
      <c r="G15604" s="199"/>
      <c r="I15604" s="199"/>
      <c r="K15604" s="199"/>
      <c r="M15604" s="199"/>
      <c r="N15604" s="200"/>
      <c r="P15604" s="199"/>
    </row>
    <row r="15605" spans="7:16" x14ac:dyDescent="0.2">
      <c r="G15605" s="199"/>
      <c r="I15605" s="199"/>
      <c r="K15605" s="199"/>
      <c r="M15605" s="199"/>
      <c r="N15605" s="200"/>
      <c r="P15605" s="199"/>
    </row>
    <row r="15606" spans="7:16" x14ac:dyDescent="0.2">
      <c r="G15606" s="199"/>
      <c r="I15606" s="199"/>
      <c r="K15606" s="199"/>
      <c r="M15606" s="199"/>
      <c r="N15606" s="200"/>
      <c r="P15606" s="199"/>
    </row>
    <row r="15607" spans="7:16" x14ac:dyDescent="0.2">
      <c r="G15607" s="199"/>
      <c r="I15607" s="199"/>
      <c r="K15607" s="199"/>
      <c r="M15607" s="199"/>
      <c r="N15607" s="200"/>
      <c r="P15607" s="199"/>
    </row>
    <row r="15608" spans="7:16" x14ac:dyDescent="0.2">
      <c r="G15608" s="199"/>
      <c r="I15608" s="199"/>
      <c r="K15608" s="199"/>
      <c r="M15608" s="199"/>
      <c r="N15608" s="200"/>
      <c r="P15608" s="199"/>
    </row>
    <row r="15609" spans="7:16" x14ac:dyDescent="0.2">
      <c r="G15609" s="199"/>
      <c r="I15609" s="199"/>
      <c r="K15609" s="199"/>
      <c r="M15609" s="199"/>
      <c r="N15609" s="200"/>
      <c r="P15609" s="199"/>
    </row>
    <row r="15610" spans="7:16" x14ac:dyDescent="0.2">
      <c r="G15610" s="199"/>
      <c r="I15610" s="199"/>
      <c r="K15610" s="199"/>
      <c r="M15610" s="199"/>
      <c r="N15610" s="200"/>
      <c r="P15610" s="199"/>
    </row>
    <row r="15611" spans="7:16" x14ac:dyDescent="0.2">
      <c r="G15611" s="199"/>
      <c r="I15611" s="199"/>
      <c r="K15611" s="199"/>
      <c r="M15611" s="199"/>
      <c r="N15611" s="200"/>
      <c r="P15611" s="199"/>
    </row>
    <row r="15612" spans="7:16" x14ac:dyDescent="0.2">
      <c r="G15612" s="199"/>
      <c r="I15612" s="199"/>
      <c r="K15612" s="199"/>
      <c r="M15612" s="199"/>
      <c r="N15612" s="200"/>
      <c r="P15612" s="199"/>
    </row>
    <row r="15613" spans="7:16" x14ac:dyDescent="0.2">
      <c r="G15613" s="199"/>
      <c r="I15613" s="199"/>
      <c r="K15613" s="199"/>
      <c r="M15613" s="199"/>
      <c r="N15613" s="200"/>
      <c r="P15613" s="199"/>
    </row>
    <row r="15614" spans="7:16" x14ac:dyDescent="0.2">
      <c r="G15614" s="199"/>
      <c r="I15614" s="199"/>
      <c r="K15614" s="199"/>
      <c r="M15614" s="199"/>
      <c r="N15614" s="200"/>
      <c r="P15614" s="199"/>
    </row>
    <row r="15615" spans="7:16" x14ac:dyDescent="0.2">
      <c r="G15615" s="199"/>
      <c r="I15615" s="199"/>
      <c r="K15615" s="199"/>
      <c r="M15615" s="199"/>
      <c r="N15615" s="200"/>
      <c r="P15615" s="199"/>
    </row>
    <row r="15616" spans="7:16" x14ac:dyDescent="0.2">
      <c r="G15616" s="199"/>
      <c r="I15616" s="199"/>
      <c r="K15616" s="199"/>
      <c r="M15616" s="199"/>
      <c r="N15616" s="200"/>
      <c r="P15616" s="199"/>
    </row>
    <row r="15617" spans="7:16" x14ac:dyDescent="0.2">
      <c r="G15617" s="199"/>
      <c r="I15617" s="199"/>
      <c r="K15617" s="199"/>
      <c r="M15617" s="199"/>
      <c r="N15617" s="200"/>
      <c r="P15617" s="199"/>
    </row>
    <row r="15618" spans="7:16" x14ac:dyDescent="0.2">
      <c r="G15618" s="199"/>
      <c r="I15618" s="199"/>
      <c r="K15618" s="199"/>
      <c r="M15618" s="199"/>
      <c r="N15618" s="200"/>
      <c r="P15618" s="199"/>
    </row>
    <row r="15619" spans="7:16" x14ac:dyDescent="0.2">
      <c r="G15619" s="199"/>
      <c r="I15619" s="199"/>
      <c r="K15619" s="199"/>
      <c r="M15619" s="199"/>
      <c r="N15619" s="200"/>
      <c r="P15619" s="199"/>
    </row>
    <row r="15620" spans="7:16" x14ac:dyDescent="0.2">
      <c r="G15620" s="199"/>
      <c r="I15620" s="199"/>
      <c r="K15620" s="199"/>
      <c r="M15620" s="199"/>
      <c r="N15620" s="200"/>
      <c r="P15620" s="199"/>
    </row>
    <row r="15621" spans="7:16" x14ac:dyDescent="0.2">
      <c r="G15621" s="199"/>
      <c r="I15621" s="199"/>
      <c r="K15621" s="199"/>
      <c r="M15621" s="199"/>
      <c r="N15621" s="200"/>
      <c r="P15621" s="199"/>
    </row>
    <row r="15622" spans="7:16" x14ac:dyDescent="0.2">
      <c r="G15622" s="199"/>
      <c r="I15622" s="199"/>
      <c r="K15622" s="199"/>
      <c r="M15622" s="199"/>
      <c r="N15622" s="200"/>
      <c r="P15622" s="199"/>
    </row>
    <row r="15623" spans="7:16" x14ac:dyDescent="0.2">
      <c r="G15623" s="199"/>
      <c r="I15623" s="199"/>
      <c r="K15623" s="199"/>
      <c r="M15623" s="199"/>
      <c r="N15623" s="200"/>
      <c r="P15623" s="199"/>
    </row>
    <row r="15624" spans="7:16" x14ac:dyDescent="0.2">
      <c r="G15624" s="199"/>
      <c r="I15624" s="199"/>
      <c r="K15624" s="199"/>
      <c r="M15624" s="199"/>
      <c r="N15624" s="200"/>
      <c r="P15624" s="199"/>
    </row>
    <row r="15625" spans="7:16" x14ac:dyDescent="0.2">
      <c r="G15625" s="199"/>
      <c r="I15625" s="199"/>
      <c r="K15625" s="199"/>
      <c r="M15625" s="199"/>
      <c r="N15625" s="200"/>
      <c r="P15625" s="199"/>
    </row>
    <row r="15626" spans="7:16" x14ac:dyDescent="0.2">
      <c r="G15626" s="199"/>
      <c r="I15626" s="199"/>
      <c r="K15626" s="199"/>
      <c r="M15626" s="199"/>
      <c r="N15626" s="200"/>
      <c r="P15626" s="199"/>
    </row>
    <row r="15627" spans="7:16" x14ac:dyDescent="0.2">
      <c r="G15627" s="199"/>
      <c r="I15627" s="199"/>
      <c r="K15627" s="199"/>
      <c r="M15627" s="199"/>
      <c r="N15627" s="200"/>
      <c r="P15627" s="199"/>
    </row>
    <row r="15628" spans="7:16" x14ac:dyDescent="0.2">
      <c r="G15628" s="199"/>
      <c r="I15628" s="199"/>
      <c r="K15628" s="199"/>
      <c r="M15628" s="199"/>
      <c r="N15628" s="200"/>
      <c r="P15628" s="199"/>
    </row>
    <row r="15629" spans="7:16" x14ac:dyDescent="0.2">
      <c r="G15629" s="199"/>
      <c r="I15629" s="199"/>
      <c r="K15629" s="199"/>
      <c r="M15629" s="199"/>
      <c r="N15629" s="200"/>
      <c r="P15629" s="199"/>
    </row>
    <row r="15630" spans="7:16" x14ac:dyDescent="0.2">
      <c r="G15630" s="199"/>
      <c r="I15630" s="199"/>
      <c r="K15630" s="199"/>
      <c r="M15630" s="199"/>
      <c r="N15630" s="200"/>
      <c r="P15630" s="199"/>
    </row>
    <row r="15631" spans="7:16" x14ac:dyDescent="0.2">
      <c r="G15631" s="199"/>
      <c r="I15631" s="199"/>
      <c r="K15631" s="199"/>
      <c r="M15631" s="199"/>
      <c r="N15631" s="200"/>
      <c r="P15631" s="199"/>
    </row>
    <row r="15632" spans="7:16" x14ac:dyDescent="0.2">
      <c r="G15632" s="199"/>
      <c r="I15632" s="199"/>
      <c r="K15632" s="199"/>
      <c r="M15632" s="199"/>
      <c r="N15632" s="200"/>
      <c r="P15632" s="199"/>
    </row>
    <row r="15633" spans="7:16" x14ac:dyDescent="0.2">
      <c r="G15633" s="199"/>
      <c r="I15633" s="199"/>
      <c r="K15633" s="199"/>
      <c r="M15633" s="199"/>
      <c r="N15633" s="200"/>
      <c r="P15633" s="199"/>
    </row>
    <row r="15634" spans="7:16" x14ac:dyDescent="0.2">
      <c r="G15634" s="199"/>
      <c r="I15634" s="199"/>
      <c r="K15634" s="199"/>
      <c r="M15634" s="199"/>
      <c r="N15634" s="200"/>
      <c r="P15634" s="199"/>
    </row>
    <row r="15635" spans="7:16" x14ac:dyDescent="0.2">
      <c r="G15635" s="199"/>
      <c r="I15635" s="199"/>
      <c r="K15635" s="199"/>
      <c r="M15635" s="199"/>
      <c r="N15635" s="200"/>
      <c r="P15635" s="199"/>
    </row>
    <row r="15636" spans="7:16" x14ac:dyDescent="0.2">
      <c r="G15636" s="199"/>
      <c r="I15636" s="199"/>
      <c r="K15636" s="199"/>
      <c r="M15636" s="199"/>
      <c r="N15636" s="200"/>
      <c r="P15636" s="199"/>
    </row>
    <row r="15637" spans="7:16" x14ac:dyDescent="0.2">
      <c r="G15637" s="199"/>
      <c r="I15637" s="199"/>
      <c r="K15637" s="199"/>
      <c r="M15637" s="199"/>
      <c r="N15637" s="200"/>
      <c r="P15637" s="199"/>
    </row>
    <row r="15638" spans="7:16" x14ac:dyDescent="0.2">
      <c r="G15638" s="199"/>
      <c r="I15638" s="199"/>
      <c r="K15638" s="199"/>
      <c r="M15638" s="199"/>
      <c r="N15638" s="200"/>
      <c r="P15638" s="199"/>
    </row>
    <row r="15639" spans="7:16" x14ac:dyDescent="0.2">
      <c r="G15639" s="199"/>
      <c r="I15639" s="199"/>
      <c r="K15639" s="199"/>
      <c r="M15639" s="199"/>
      <c r="N15639" s="200"/>
      <c r="P15639" s="199"/>
    </row>
    <row r="15640" spans="7:16" x14ac:dyDescent="0.2">
      <c r="G15640" s="199"/>
      <c r="I15640" s="199"/>
      <c r="K15640" s="199"/>
      <c r="M15640" s="199"/>
      <c r="N15640" s="200"/>
      <c r="P15640" s="199"/>
    </row>
    <row r="15641" spans="7:16" x14ac:dyDescent="0.2">
      <c r="G15641" s="199"/>
      <c r="I15641" s="199"/>
      <c r="K15641" s="199"/>
      <c r="M15641" s="199"/>
      <c r="N15641" s="200"/>
      <c r="P15641" s="199"/>
    </row>
    <row r="15642" spans="7:16" x14ac:dyDescent="0.2">
      <c r="G15642" s="199"/>
      <c r="I15642" s="199"/>
      <c r="K15642" s="199"/>
      <c r="M15642" s="199"/>
      <c r="N15642" s="200"/>
      <c r="P15642" s="199"/>
    </row>
    <row r="15643" spans="7:16" x14ac:dyDescent="0.2">
      <c r="G15643" s="199"/>
      <c r="I15643" s="199"/>
      <c r="K15643" s="199"/>
      <c r="M15643" s="199"/>
      <c r="N15643" s="200"/>
      <c r="P15643" s="199"/>
    </row>
    <row r="15644" spans="7:16" x14ac:dyDescent="0.2">
      <c r="G15644" s="199"/>
      <c r="I15644" s="199"/>
      <c r="K15644" s="199"/>
      <c r="M15644" s="199"/>
      <c r="N15644" s="200"/>
      <c r="P15644" s="199"/>
    </row>
    <row r="15645" spans="7:16" x14ac:dyDescent="0.2">
      <c r="G15645" s="199"/>
      <c r="I15645" s="199"/>
      <c r="K15645" s="199"/>
      <c r="M15645" s="199"/>
      <c r="N15645" s="200"/>
      <c r="P15645" s="199"/>
    </row>
    <row r="15646" spans="7:16" x14ac:dyDescent="0.2">
      <c r="G15646" s="199"/>
      <c r="I15646" s="199"/>
      <c r="K15646" s="199"/>
      <c r="M15646" s="199"/>
      <c r="N15646" s="200"/>
      <c r="P15646" s="199"/>
    </row>
    <row r="15647" spans="7:16" x14ac:dyDescent="0.2">
      <c r="G15647" s="199"/>
      <c r="I15647" s="199"/>
      <c r="K15647" s="199"/>
      <c r="M15647" s="199"/>
      <c r="N15647" s="200"/>
      <c r="P15647" s="199"/>
    </row>
    <row r="15648" spans="7:16" x14ac:dyDescent="0.2">
      <c r="G15648" s="199"/>
      <c r="I15648" s="199"/>
      <c r="K15648" s="199"/>
      <c r="M15648" s="199"/>
      <c r="N15648" s="200"/>
      <c r="P15648" s="199"/>
    </row>
    <row r="15649" spans="7:16" x14ac:dyDescent="0.2">
      <c r="G15649" s="199"/>
      <c r="I15649" s="199"/>
      <c r="K15649" s="199"/>
      <c r="M15649" s="199"/>
      <c r="N15649" s="200"/>
      <c r="P15649" s="199"/>
    </row>
    <row r="15650" spans="7:16" x14ac:dyDescent="0.2">
      <c r="G15650" s="199"/>
      <c r="I15650" s="199"/>
      <c r="K15650" s="199"/>
      <c r="M15650" s="199"/>
      <c r="N15650" s="200"/>
      <c r="P15650" s="199"/>
    </row>
    <row r="15651" spans="7:16" x14ac:dyDescent="0.2">
      <c r="G15651" s="199"/>
      <c r="I15651" s="199"/>
      <c r="K15651" s="199"/>
      <c r="M15651" s="199"/>
      <c r="N15651" s="200"/>
      <c r="P15651" s="199"/>
    </row>
    <row r="15652" spans="7:16" x14ac:dyDescent="0.2">
      <c r="G15652" s="199"/>
      <c r="I15652" s="199"/>
      <c r="K15652" s="199"/>
      <c r="M15652" s="199"/>
      <c r="N15652" s="200"/>
      <c r="P15652" s="199"/>
    </row>
    <row r="15653" spans="7:16" x14ac:dyDescent="0.2">
      <c r="G15653" s="199"/>
      <c r="I15653" s="199"/>
      <c r="K15653" s="199"/>
      <c r="M15653" s="199"/>
      <c r="N15653" s="200"/>
      <c r="P15653" s="199"/>
    </row>
    <row r="15654" spans="7:16" x14ac:dyDescent="0.2">
      <c r="G15654" s="199"/>
      <c r="I15654" s="199"/>
      <c r="K15654" s="199"/>
      <c r="M15654" s="199"/>
      <c r="N15654" s="200"/>
      <c r="P15654" s="199"/>
    </row>
    <row r="15655" spans="7:16" x14ac:dyDescent="0.2">
      <c r="G15655" s="199"/>
      <c r="I15655" s="199"/>
      <c r="K15655" s="199"/>
      <c r="M15655" s="199"/>
      <c r="N15655" s="200"/>
      <c r="P15655" s="199"/>
    </row>
    <row r="15656" spans="7:16" x14ac:dyDescent="0.2">
      <c r="G15656" s="199"/>
      <c r="I15656" s="199"/>
      <c r="K15656" s="199"/>
      <c r="M15656" s="199"/>
      <c r="N15656" s="200"/>
      <c r="P15656" s="199"/>
    </row>
    <row r="15657" spans="7:16" x14ac:dyDescent="0.2">
      <c r="G15657" s="199"/>
      <c r="I15657" s="199"/>
      <c r="K15657" s="199"/>
      <c r="M15657" s="199"/>
      <c r="N15657" s="200"/>
      <c r="P15657" s="199"/>
    </row>
    <row r="15658" spans="7:16" x14ac:dyDescent="0.2">
      <c r="G15658" s="199"/>
      <c r="I15658" s="199"/>
      <c r="K15658" s="199"/>
      <c r="M15658" s="199"/>
      <c r="N15658" s="200"/>
      <c r="P15658" s="199"/>
    </row>
    <row r="15659" spans="7:16" x14ac:dyDescent="0.2">
      <c r="G15659" s="199"/>
      <c r="I15659" s="199"/>
      <c r="K15659" s="199"/>
      <c r="M15659" s="199"/>
      <c r="N15659" s="200"/>
      <c r="P15659" s="199"/>
    </row>
    <row r="15660" spans="7:16" x14ac:dyDescent="0.2">
      <c r="G15660" s="199"/>
      <c r="I15660" s="199"/>
      <c r="K15660" s="199"/>
      <c r="M15660" s="199"/>
      <c r="N15660" s="200"/>
      <c r="P15660" s="199"/>
    </row>
    <row r="15661" spans="7:16" x14ac:dyDescent="0.2">
      <c r="G15661" s="199"/>
      <c r="I15661" s="199"/>
      <c r="K15661" s="199"/>
      <c r="M15661" s="199"/>
      <c r="N15661" s="200"/>
      <c r="P15661" s="199"/>
    </row>
    <row r="15662" spans="7:16" x14ac:dyDescent="0.2">
      <c r="G15662" s="199"/>
      <c r="I15662" s="199"/>
      <c r="K15662" s="199"/>
      <c r="M15662" s="199"/>
      <c r="N15662" s="200"/>
      <c r="P15662" s="199"/>
    </row>
    <row r="15663" spans="7:16" x14ac:dyDescent="0.2">
      <c r="G15663" s="199"/>
      <c r="I15663" s="199"/>
      <c r="K15663" s="199"/>
      <c r="M15663" s="199"/>
      <c r="N15663" s="200"/>
      <c r="P15663" s="199"/>
    </row>
    <row r="15664" spans="7:16" x14ac:dyDescent="0.2">
      <c r="G15664" s="199"/>
      <c r="I15664" s="199"/>
      <c r="K15664" s="199"/>
      <c r="M15664" s="199"/>
      <c r="N15664" s="200"/>
      <c r="P15664" s="199"/>
    </row>
    <row r="15665" spans="7:16" x14ac:dyDescent="0.2">
      <c r="G15665" s="199"/>
      <c r="I15665" s="199"/>
      <c r="K15665" s="199"/>
      <c r="M15665" s="199"/>
      <c r="N15665" s="200"/>
      <c r="P15665" s="199"/>
    </row>
    <row r="15666" spans="7:16" x14ac:dyDescent="0.2">
      <c r="G15666" s="199"/>
      <c r="I15666" s="199"/>
      <c r="K15666" s="199"/>
      <c r="M15666" s="199"/>
      <c r="N15666" s="200"/>
      <c r="P15666" s="199"/>
    </row>
    <row r="15667" spans="7:16" x14ac:dyDescent="0.2">
      <c r="G15667" s="199"/>
      <c r="I15667" s="199"/>
      <c r="K15667" s="199"/>
      <c r="M15667" s="199"/>
      <c r="N15667" s="200"/>
      <c r="P15667" s="199"/>
    </row>
    <row r="15668" spans="7:16" x14ac:dyDescent="0.2">
      <c r="G15668" s="199"/>
      <c r="I15668" s="199"/>
      <c r="K15668" s="199"/>
      <c r="M15668" s="199"/>
      <c r="N15668" s="200"/>
      <c r="P15668" s="199"/>
    </row>
    <row r="15669" spans="7:16" x14ac:dyDescent="0.2">
      <c r="G15669" s="199"/>
      <c r="I15669" s="199"/>
      <c r="K15669" s="199"/>
      <c r="M15669" s="199"/>
      <c r="N15669" s="200"/>
      <c r="P15669" s="199"/>
    </row>
    <row r="15670" spans="7:16" x14ac:dyDescent="0.2">
      <c r="G15670" s="199"/>
      <c r="I15670" s="199"/>
      <c r="K15670" s="199"/>
      <c r="M15670" s="199"/>
      <c r="N15670" s="200"/>
      <c r="P15670" s="199"/>
    </row>
    <row r="15671" spans="7:16" x14ac:dyDescent="0.2">
      <c r="G15671" s="199"/>
      <c r="I15671" s="199"/>
      <c r="K15671" s="199"/>
      <c r="M15671" s="199"/>
      <c r="N15671" s="200"/>
      <c r="P15671" s="199"/>
    </row>
    <row r="15672" spans="7:16" x14ac:dyDescent="0.2">
      <c r="G15672" s="199"/>
      <c r="I15672" s="199"/>
      <c r="K15672" s="199"/>
      <c r="M15672" s="199"/>
      <c r="N15672" s="200"/>
      <c r="P15672" s="199"/>
    </row>
    <row r="15673" spans="7:16" x14ac:dyDescent="0.2">
      <c r="G15673" s="199"/>
      <c r="I15673" s="199"/>
      <c r="K15673" s="199"/>
      <c r="M15673" s="199"/>
      <c r="N15673" s="200"/>
      <c r="P15673" s="199"/>
    </row>
    <row r="15674" spans="7:16" x14ac:dyDescent="0.2">
      <c r="G15674" s="199"/>
      <c r="I15674" s="199"/>
      <c r="K15674" s="199"/>
      <c r="M15674" s="199"/>
      <c r="N15674" s="200"/>
      <c r="P15674" s="199"/>
    </row>
    <row r="15675" spans="7:16" x14ac:dyDescent="0.2">
      <c r="G15675" s="199"/>
      <c r="I15675" s="199"/>
      <c r="K15675" s="199"/>
      <c r="M15675" s="199"/>
      <c r="N15675" s="200"/>
      <c r="P15675" s="199"/>
    </row>
    <row r="15676" spans="7:16" x14ac:dyDescent="0.2">
      <c r="G15676" s="199"/>
      <c r="I15676" s="199"/>
      <c r="K15676" s="199"/>
      <c r="M15676" s="199"/>
      <c r="N15676" s="200"/>
      <c r="P15676" s="199"/>
    </row>
    <row r="15677" spans="7:16" x14ac:dyDescent="0.2">
      <c r="G15677" s="199"/>
      <c r="I15677" s="199"/>
      <c r="K15677" s="199"/>
      <c r="M15677" s="199"/>
      <c r="N15677" s="200"/>
      <c r="P15677" s="199"/>
    </row>
    <row r="15678" spans="7:16" x14ac:dyDescent="0.2">
      <c r="G15678" s="199"/>
      <c r="I15678" s="199"/>
      <c r="K15678" s="199"/>
      <c r="M15678" s="199"/>
      <c r="N15678" s="200"/>
      <c r="P15678" s="199"/>
    </row>
    <row r="15679" spans="7:16" x14ac:dyDescent="0.2">
      <c r="G15679" s="199"/>
      <c r="I15679" s="199"/>
      <c r="K15679" s="199"/>
      <c r="M15679" s="199"/>
      <c r="N15679" s="200"/>
      <c r="P15679" s="199"/>
    </row>
    <row r="15680" spans="7:16" x14ac:dyDescent="0.2">
      <c r="G15680" s="199"/>
      <c r="I15680" s="199"/>
      <c r="K15680" s="199"/>
      <c r="M15680" s="199"/>
      <c r="N15680" s="200"/>
      <c r="P15680" s="199"/>
    </row>
    <row r="15681" spans="7:16" x14ac:dyDescent="0.2">
      <c r="G15681" s="199"/>
      <c r="I15681" s="199"/>
      <c r="K15681" s="199"/>
      <c r="M15681" s="199"/>
      <c r="N15681" s="200"/>
      <c r="P15681" s="199"/>
    </row>
    <row r="15682" spans="7:16" x14ac:dyDescent="0.2">
      <c r="G15682" s="199"/>
      <c r="I15682" s="199"/>
      <c r="K15682" s="199"/>
      <c r="M15682" s="199"/>
      <c r="N15682" s="200"/>
      <c r="P15682" s="199"/>
    </row>
    <row r="15683" spans="7:16" x14ac:dyDescent="0.2">
      <c r="G15683" s="199"/>
      <c r="I15683" s="199"/>
      <c r="K15683" s="199"/>
      <c r="M15683" s="199"/>
      <c r="N15683" s="200"/>
      <c r="P15683" s="199"/>
    </row>
    <row r="15684" spans="7:16" x14ac:dyDescent="0.2">
      <c r="G15684" s="199"/>
      <c r="I15684" s="199"/>
      <c r="K15684" s="199"/>
      <c r="M15684" s="199"/>
      <c r="N15684" s="200"/>
      <c r="P15684" s="199"/>
    </row>
    <row r="15685" spans="7:16" x14ac:dyDescent="0.2">
      <c r="G15685" s="199"/>
      <c r="I15685" s="199"/>
      <c r="K15685" s="199"/>
      <c r="M15685" s="199"/>
      <c r="N15685" s="200"/>
      <c r="P15685" s="199"/>
    </row>
    <row r="15686" spans="7:16" x14ac:dyDescent="0.2">
      <c r="G15686" s="199"/>
      <c r="I15686" s="199"/>
      <c r="K15686" s="199"/>
      <c r="M15686" s="199"/>
      <c r="N15686" s="200"/>
      <c r="P15686" s="199"/>
    </row>
    <row r="15687" spans="7:16" x14ac:dyDescent="0.2">
      <c r="G15687" s="199"/>
      <c r="I15687" s="199"/>
      <c r="K15687" s="199"/>
      <c r="M15687" s="199"/>
      <c r="N15687" s="200"/>
      <c r="P15687" s="199"/>
    </row>
    <row r="15688" spans="7:16" x14ac:dyDescent="0.2">
      <c r="G15688" s="199"/>
      <c r="I15688" s="199"/>
      <c r="K15688" s="199"/>
      <c r="M15688" s="199"/>
      <c r="N15688" s="200"/>
      <c r="P15688" s="199"/>
    </row>
    <row r="15689" spans="7:16" x14ac:dyDescent="0.2">
      <c r="G15689" s="199"/>
      <c r="I15689" s="199"/>
      <c r="K15689" s="199"/>
      <c r="M15689" s="199"/>
      <c r="N15689" s="200"/>
      <c r="P15689" s="199"/>
    </row>
    <row r="15690" spans="7:16" x14ac:dyDescent="0.2">
      <c r="G15690" s="199"/>
      <c r="I15690" s="199"/>
      <c r="K15690" s="199"/>
      <c r="M15690" s="199"/>
      <c r="N15690" s="200"/>
      <c r="P15690" s="199"/>
    </row>
    <row r="15691" spans="7:16" x14ac:dyDescent="0.2">
      <c r="G15691" s="199"/>
      <c r="I15691" s="199"/>
      <c r="K15691" s="199"/>
      <c r="M15691" s="199"/>
      <c r="N15691" s="200"/>
      <c r="P15691" s="199"/>
    </row>
    <row r="15692" spans="7:16" x14ac:dyDescent="0.2">
      <c r="G15692" s="199"/>
      <c r="I15692" s="199"/>
      <c r="K15692" s="199"/>
      <c r="M15692" s="199"/>
      <c r="N15692" s="200"/>
      <c r="P15692" s="199"/>
    </row>
    <row r="15693" spans="7:16" x14ac:dyDescent="0.2">
      <c r="G15693" s="199"/>
      <c r="I15693" s="199"/>
      <c r="K15693" s="199"/>
      <c r="M15693" s="199"/>
      <c r="N15693" s="200"/>
      <c r="P15693" s="199"/>
    </row>
    <row r="15694" spans="7:16" x14ac:dyDescent="0.2">
      <c r="G15694" s="199"/>
      <c r="I15694" s="199"/>
      <c r="K15694" s="199"/>
      <c r="M15694" s="199"/>
      <c r="N15694" s="200"/>
      <c r="P15694" s="199"/>
    </row>
    <row r="15695" spans="7:16" x14ac:dyDescent="0.2">
      <c r="G15695" s="199"/>
      <c r="I15695" s="199"/>
      <c r="K15695" s="199"/>
      <c r="M15695" s="199"/>
      <c r="N15695" s="200"/>
      <c r="P15695" s="199"/>
    </row>
    <row r="15696" spans="7:16" x14ac:dyDescent="0.2">
      <c r="G15696" s="199"/>
      <c r="I15696" s="199"/>
      <c r="K15696" s="199"/>
      <c r="M15696" s="199"/>
      <c r="N15696" s="200"/>
      <c r="P15696" s="199"/>
    </row>
    <row r="15697" spans="7:16" x14ac:dyDescent="0.2">
      <c r="G15697" s="199"/>
      <c r="I15697" s="199"/>
      <c r="K15697" s="199"/>
      <c r="M15697" s="199"/>
      <c r="N15697" s="200"/>
      <c r="P15697" s="199"/>
    </row>
    <row r="15698" spans="7:16" x14ac:dyDescent="0.2">
      <c r="G15698" s="199"/>
      <c r="I15698" s="199"/>
      <c r="K15698" s="199"/>
      <c r="M15698" s="199"/>
      <c r="N15698" s="200"/>
      <c r="P15698" s="199"/>
    </row>
    <row r="15699" spans="7:16" x14ac:dyDescent="0.2">
      <c r="G15699" s="199"/>
      <c r="I15699" s="199"/>
      <c r="K15699" s="199"/>
      <c r="M15699" s="199"/>
      <c r="N15699" s="200"/>
      <c r="P15699" s="199"/>
    </row>
    <row r="15700" spans="7:16" x14ac:dyDescent="0.2">
      <c r="G15700" s="199"/>
      <c r="I15700" s="199"/>
      <c r="K15700" s="199"/>
      <c r="M15700" s="199"/>
      <c r="N15700" s="200"/>
      <c r="P15700" s="199"/>
    </row>
    <row r="15701" spans="7:16" x14ac:dyDescent="0.2">
      <c r="G15701" s="199"/>
      <c r="I15701" s="199"/>
      <c r="K15701" s="199"/>
      <c r="M15701" s="199"/>
      <c r="N15701" s="200"/>
      <c r="P15701" s="199"/>
    </row>
    <row r="15702" spans="7:16" x14ac:dyDescent="0.2">
      <c r="G15702" s="199"/>
      <c r="I15702" s="199"/>
      <c r="K15702" s="199"/>
      <c r="M15702" s="199"/>
      <c r="N15702" s="200"/>
      <c r="P15702" s="199"/>
    </row>
    <row r="15703" spans="7:16" x14ac:dyDescent="0.2">
      <c r="G15703" s="199"/>
      <c r="I15703" s="199"/>
      <c r="K15703" s="199"/>
      <c r="M15703" s="199"/>
      <c r="N15703" s="200"/>
      <c r="P15703" s="199"/>
    </row>
    <row r="15704" spans="7:16" x14ac:dyDescent="0.2">
      <c r="G15704" s="199"/>
      <c r="I15704" s="199"/>
      <c r="K15704" s="199"/>
      <c r="M15704" s="199"/>
      <c r="N15704" s="200"/>
      <c r="P15704" s="199"/>
    </row>
    <row r="15705" spans="7:16" x14ac:dyDescent="0.2">
      <c r="G15705" s="199"/>
      <c r="I15705" s="199"/>
      <c r="K15705" s="199"/>
      <c r="M15705" s="199"/>
      <c r="N15705" s="200"/>
      <c r="P15705" s="199"/>
    </row>
    <row r="15706" spans="7:16" x14ac:dyDescent="0.2">
      <c r="G15706" s="199"/>
      <c r="I15706" s="199"/>
      <c r="K15706" s="199"/>
      <c r="M15706" s="199"/>
      <c r="N15706" s="200"/>
      <c r="P15706" s="199"/>
    </row>
    <row r="15707" spans="7:16" x14ac:dyDescent="0.2">
      <c r="G15707" s="199"/>
      <c r="I15707" s="199"/>
      <c r="K15707" s="199"/>
      <c r="M15707" s="199"/>
      <c r="N15707" s="200"/>
      <c r="P15707" s="199"/>
    </row>
    <row r="15708" spans="7:16" x14ac:dyDescent="0.2">
      <c r="G15708" s="199"/>
      <c r="I15708" s="199"/>
      <c r="K15708" s="199"/>
      <c r="M15708" s="199"/>
      <c r="N15708" s="200"/>
      <c r="P15708" s="199"/>
    </row>
    <row r="15709" spans="7:16" x14ac:dyDescent="0.2">
      <c r="G15709" s="199"/>
      <c r="I15709" s="199"/>
      <c r="K15709" s="199"/>
      <c r="M15709" s="199"/>
      <c r="N15709" s="200"/>
      <c r="P15709" s="199"/>
    </row>
    <row r="15710" spans="7:16" x14ac:dyDescent="0.2">
      <c r="G15710" s="199"/>
      <c r="I15710" s="199"/>
      <c r="K15710" s="199"/>
      <c r="M15710" s="199"/>
      <c r="N15710" s="200"/>
      <c r="P15710" s="199"/>
    </row>
    <row r="15711" spans="7:16" x14ac:dyDescent="0.2">
      <c r="G15711" s="199"/>
      <c r="I15711" s="199"/>
      <c r="K15711" s="199"/>
      <c r="M15711" s="199"/>
      <c r="N15711" s="200"/>
      <c r="P15711" s="199"/>
    </row>
    <row r="15712" spans="7:16" x14ac:dyDescent="0.2">
      <c r="G15712" s="199"/>
      <c r="I15712" s="199"/>
      <c r="K15712" s="199"/>
      <c r="M15712" s="199"/>
      <c r="N15712" s="200"/>
      <c r="P15712" s="199"/>
    </row>
    <row r="15713" spans="7:16" x14ac:dyDescent="0.2">
      <c r="G15713" s="199"/>
      <c r="I15713" s="199"/>
      <c r="K15713" s="199"/>
      <c r="M15713" s="199"/>
      <c r="N15713" s="200"/>
      <c r="P15713" s="199"/>
    </row>
    <row r="15714" spans="7:16" x14ac:dyDescent="0.2">
      <c r="G15714" s="199"/>
      <c r="I15714" s="199"/>
      <c r="K15714" s="199"/>
      <c r="M15714" s="199"/>
      <c r="N15714" s="200"/>
      <c r="P15714" s="199"/>
    </row>
    <row r="15715" spans="7:16" x14ac:dyDescent="0.2">
      <c r="G15715" s="199"/>
      <c r="I15715" s="199"/>
      <c r="K15715" s="199"/>
      <c r="M15715" s="199"/>
      <c r="N15715" s="200"/>
      <c r="P15715" s="199"/>
    </row>
    <row r="15716" spans="7:16" x14ac:dyDescent="0.2">
      <c r="G15716" s="199"/>
      <c r="I15716" s="199"/>
      <c r="K15716" s="199"/>
      <c r="M15716" s="199"/>
      <c r="N15716" s="200"/>
      <c r="P15716" s="199"/>
    </row>
    <row r="15717" spans="7:16" x14ac:dyDescent="0.2">
      <c r="G15717" s="199"/>
      <c r="I15717" s="199"/>
      <c r="K15717" s="199"/>
      <c r="M15717" s="199"/>
      <c r="N15717" s="200"/>
      <c r="P15717" s="199"/>
    </row>
    <row r="15718" spans="7:16" x14ac:dyDescent="0.2">
      <c r="G15718" s="199"/>
      <c r="I15718" s="199"/>
      <c r="K15718" s="199"/>
      <c r="M15718" s="199"/>
      <c r="N15718" s="200"/>
      <c r="P15718" s="199"/>
    </row>
    <row r="15719" spans="7:16" x14ac:dyDescent="0.2">
      <c r="G15719" s="199"/>
      <c r="I15719" s="199"/>
      <c r="K15719" s="199"/>
      <c r="M15719" s="199"/>
      <c r="N15719" s="200"/>
      <c r="P15719" s="199"/>
    </row>
    <row r="15720" spans="7:16" x14ac:dyDescent="0.2">
      <c r="G15720" s="199"/>
      <c r="I15720" s="199"/>
      <c r="K15720" s="199"/>
      <c r="M15720" s="199"/>
      <c r="N15720" s="200"/>
      <c r="P15720" s="199"/>
    </row>
    <row r="15721" spans="7:16" x14ac:dyDescent="0.2">
      <c r="G15721" s="199"/>
      <c r="I15721" s="199"/>
      <c r="K15721" s="199"/>
      <c r="M15721" s="199"/>
      <c r="N15721" s="200"/>
      <c r="P15721" s="199"/>
    </row>
    <row r="15722" spans="7:16" x14ac:dyDescent="0.2">
      <c r="G15722" s="199"/>
      <c r="I15722" s="199"/>
      <c r="K15722" s="199"/>
      <c r="M15722" s="199"/>
      <c r="N15722" s="200"/>
      <c r="P15722" s="199"/>
    </row>
    <row r="15723" spans="7:16" x14ac:dyDescent="0.2">
      <c r="G15723" s="199"/>
      <c r="I15723" s="199"/>
      <c r="K15723" s="199"/>
      <c r="M15723" s="199"/>
      <c r="N15723" s="200"/>
      <c r="P15723" s="199"/>
    </row>
    <row r="15724" spans="7:16" x14ac:dyDescent="0.2">
      <c r="G15724" s="199"/>
      <c r="I15724" s="199"/>
      <c r="K15724" s="199"/>
      <c r="M15724" s="199"/>
      <c r="N15724" s="200"/>
      <c r="P15724" s="199"/>
    </row>
    <row r="15725" spans="7:16" x14ac:dyDescent="0.2">
      <c r="G15725" s="199"/>
      <c r="I15725" s="199"/>
      <c r="K15725" s="199"/>
      <c r="M15725" s="199"/>
      <c r="N15725" s="200"/>
      <c r="P15725" s="199"/>
    </row>
    <row r="15726" spans="7:16" x14ac:dyDescent="0.2">
      <c r="G15726" s="199"/>
      <c r="I15726" s="199"/>
      <c r="K15726" s="199"/>
      <c r="M15726" s="199"/>
      <c r="N15726" s="200"/>
      <c r="P15726" s="199"/>
    </row>
    <row r="15727" spans="7:16" x14ac:dyDescent="0.2">
      <c r="G15727" s="199"/>
      <c r="I15727" s="199"/>
      <c r="K15727" s="199"/>
      <c r="M15727" s="199"/>
      <c r="N15727" s="200"/>
      <c r="P15727" s="199"/>
    </row>
    <row r="15728" spans="7:16" x14ac:dyDescent="0.2">
      <c r="G15728" s="199"/>
      <c r="I15728" s="199"/>
      <c r="K15728" s="199"/>
      <c r="M15728" s="199"/>
      <c r="N15728" s="200"/>
      <c r="P15728" s="199"/>
    </row>
    <row r="15729" spans="7:16" x14ac:dyDescent="0.2">
      <c r="G15729" s="199"/>
      <c r="I15729" s="199"/>
      <c r="K15729" s="199"/>
      <c r="M15729" s="199"/>
      <c r="N15729" s="200"/>
      <c r="P15729" s="199"/>
    </row>
    <row r="15730" spans="7:16" x14ac:dyDescent="0.2">
      <c r="G15730" s="199"/>
      <c r="I15730" s="199"/>
      <c r="K15730" s="199"/>
      <c r="M15730" s="199"/>
      <c r="N15730" s="200"/>
      <c r="P15730" s="199"/>
    </row>
    <row r="15731" spans="7:16" x14ac:dyDescent="0.2">
      <c r="G15731" s="199"/>
      <c r="I15731" s="199"/>
      <c r="K15731" s="199"/>
      <c r="M15731" s="199"/>
      <c r="N15731" s="200"/>
      <c r="P15731" s="199"/>
    </row>
    <row r="15732" spans="7:16" x14ac:dyDescent="0.2">
      <c r="G15732" s="199"/>
      <c r="I15732" s="199"/>
      <c r="K15732" s="199"/>
      <c r="M15732" s="199"/>
      <c r="N15732" s="200"/>
      <c r="P15732" s="199"/>
    </row>
    <row r="15733" spans="7:16" x14ac:dyDescent="0.2">
      <c r="G15733" s="199"/>
      <c r="I15733" s="199"/>
      <c r="K15733" s="199"/>
      <c r="M15733" s="199"/>
      <c r="N15733" s="200"/>
      <c r="P15733" s="199"/>
    </row>
    <row r="15734" spans="7:16" x14ac:dyDescent="0.2">
      <c r="G15734" s="199"/>
      <c r="I15734" s="199"/>
      <c r="K15734" s="199"/>
      <c r="M15734" s="199"/>
      <c r="N15734" s="200"/>
      <c r="P15734" s="199"/>
    </row>
    <row r="15735" spans="7:16" x14ac:dyDescent="0.2">
      <c r="G15735" s="199"/>
      <c r="I15735" s="199"/>
      <c r="K15735" s="199"/>
      <c r="M15735" s="199"/>
      <c r="N15735" s="200"/>
      <c r="P15735" s="199"/>
    </row>
    <row r="15736" spans="7:16" x14ac:dyDescent="0.2">
      <c r="G15736" s="199"/>
      <c r="I15736" s="199"/>
      <c r="K15736" s="199"/>
      <c r="M15736" s="199"/>
      <c r="N15736" s="200"/>
      <c r="P15736" s="199"/>
    </row>
    <row r="15737" spans="7:16" x14ac:dyDescent="0.2">
      <c r="G15737" s="199"/>
      <c r="I15737" s="199"/>
      <c r="K15737" s="199"/>
      <c r="M15737" s="199"/>
      <c r="N15737" s="200"/>
      <c r="P15737" s="199"/>
    </row>
    <row r="15738" spans="7:16" x14ac:dyDescent="0.2">
      <c r="G15738" s="199"/>
      <c r="I15738" s="199"/>
      <c r="K15738" s="199"/>
      <c r="M15738" s="199"/>
      <c r="N15738" s="200"/>
      <c r="P15738" s="199"/>
    </row>
    <row r="15739" spans="7:16" x14ac:dyDescent="0.2">
      <c r="G15739" s="199"/>
      <c r="I15739" s="199"/>
      <c r="K15739" s="199"/>
      <c r="M15739" s="199"/>
      <c r="N15739" s="200"/>
      <c r="P15739" s="199"/>
    </row>
    <row r="15740" spans="7:16" x14ac:dyDescent="0.2">
      <c r="G15740" s="199"/>
      <c r="I15740" s="199"/>
      <c r="K15740" s="199"/>
      <c r="M15740" s="199"/>
      <c r="N15740" s="200"/>
      <c r="P15740" s="199"/>
    </row>
    <row r="15741" spans="7:16" x14ac:dyDescent="0.2">
      <c r="G15741" s="199"/>
      <c r="I15741" s="199"/>
      <c r="K15741" s="199"/>
      <c r="M15741" s="199"/>
      <c r="N15741" s="200"/>
      <c r="P15741" s="199"/>
    </row>
    <row r="15742" spans="7:16" x14ac:dyDescent="0.2">
      <c r="G15742" s="199"/>
      <c r="I15742" s="199"/>
      <c r="K15742" s="199"/>
      <c r="M15742" s="199"/>
      <c r="N15742" s="200"/>
      <c r="P15742" s="199"/>
    </row>
    <row r="15743" spans="7:16" x14ac:dyDescent="0.2">
      <c r="G15743" s="199"/>
      <c r="I15743" s="199"/>
      <c r="K15743" s="199"/>
      <c r="M15743" s="199"/>
      <c r="N15743" s="200"/>
      <c r="P15743" s="199"/>
    </row>
    <row r="15744" spans="7:16" x14ac:dyDescent="0.2">
      <c r="G15744" s="199"/>
      <c r="I15744" s="199"/>
      <c r="K15744" s="199"/>
      <c r="M15744" s="199"/>
      <c r="N15744" s="200"/>
      <c r="P15744" s="199"/>
    </row>
    <row r="15745" spans="7:16" x14ac:dyDescent="0.2">
      <c r="G15745" s="199"/>
      <c r="I15745" s="199"/>
      <c r="K15745" s="199"/>
      <c r="M15745" s="199"/>
      <c r="N15745" s="200"/>
      <c r="P15745" s="199"/>
    </row>
    <row r="15746" spans="7:16" x14ac:dyDescent="0.2">
      <c r="G15746" s="199"/>
      <c r="I15746" s="199"/>
      <c r="K15746" s="199"/>
      <c r="M15746" s="199"/>
      <c r="N15746" s="200"/>
      <c r="P15746" s="199"/>
    </row>
    <row r="15747" spans="7:16" x14ac:dyDescent="0.2">
      <c r="G15747" s="199"/>
      <c r="I15747" s="199"/>
      <c r="K15747" s="199"/>
      <c r="M15747" s="199"/>
      <c r="N15747" s="200"/>
      <c r="P15747" s="199"/>
    </row>
    <row r="15748" spans="7:16" x14ac:dyDescent="0.2">
      <c r="G15748" s="199"/>
      <c r="I15748" s="199"/>
      <c r="K15748" s="199"/>
      <c r="M15748" s="199"/>
      <c r="N15748" s="200"/>
      <c r="P15748" s="199"/>
    </row>
    <row r="15749" spans="7:16" x14ac:dyDescent="0.2">
      <c r="G15749" s="199"/>
      <c r="I15749" s="199"/>
      <c r="K15749" s="199"/>
      <c r="M15749" s="199"/>
      <c r="N15749" s="200"/>
      <c r="P15749" s="199"/>
    </row>
    <row r="15750" spans="7:16" x14ac:dyDescent="0.2">
      <c r="G15750" s="199"/>
      <c r="I15750" s="199"/>
      <c r="K15750" s="199"/>
      <c r="M15750" s="199"/>
      <c r="N15750" s="200"/>
      <c r="P15750" s="199"/>
    </row>
    <row r="15751" spans="7:16" x14ac:dyDescent="0.2">
      <c r="G15751" s="199"/>
      <c r="I15751" s="199"/>
      <c r="K15751" s="199"/>
      <c r="M15751" s="199"/>
      <c r="N15751" s="200"/>
      <c r="P15751" s="199"/>
    </row>
    <row r="15752" spans="7:16" x14ac:dyDescent="0.2">
      <c r="G15752" s="199"/>
      <c r="I15752" s="199"/>
      <c r="K15752" s="199"/>
      <c r="M15752" s="199"/>
      <c r="N15752" s="200"/>
      <c r="P15752" s="199"/>
    </row>
    <row r="15753" spans="7:16" x14ac:dyDescent="0.2">
      <c r="G15753" s="199"/>
      <c r="I15753" s="199"/>
      <c r="K15753" s="199"/>
      <c r="M15753" s="199"/>
      <c r="N15753" s="200"/>
      <c r="P15753" s="199"/>
    </row>
    <row r="15754" spans="7:16" x14ac:dyDescent="0.2">
      <c r="G15754" s="199"/>
      <c r="I15754" s="199"/>
      <c r="K15754" s="199"/>
      <c r="M15754" s="199"/>
      <c r="N15754" s="200"/>
      <c r="P15754" s="199"/>
    </row>
    <row r="15755" spans="7:16" x14ac:dyDescent="0.2">
      <c r="G15755" s="199"/>
      <c r="I15755" s="199"/>
      <c r="K15755" s="199"/>
      <c r="M15755" s="199"/>
      <c r="N15755" s="200"/>
      <c r="P15755" s="199"/>
    </row>
    <row r="15756" spans="7:16" x14ac:dyDescent="0.2">
      <c r="G15756" s="199"/>
      <c r="I15756" s="199"/>
      <c r="K15756" s="199"/>
      <c r="M15756" s="199"/>
      <c r="N15756" s="200"/>
      <c r="P15756" s="199"/>
    </row>
    <row r="15757" spans="7:16" x14ac:dyDescent="0.2">
      <c r="G15757" s="199"/>
      <c r="I15757" s="199"/>
      <c r="K15757" s="199"/>
      <c r="M15757" s="199"/>
      <c r="N15757" s="200"/>
      <c r="P15757" s="199"/>
    </row>
    <row r="15758" spans="7:16" x14ac:dyDescent="0.2">
      <c r="G15758" s="199"/>
      <c r="I15758" s="199"/>
      <c r="K15758" s="199"/>
      <c r="M15758" s="199"/>
      <c r="N15758" s="200"/>
      <c r="P15758" s="199"/>
    </row>
    <row r="15759" spans="7:16" x14ac:dyDescent="0.2">
      <c r="G15759" s="199"/>
      <c r="I15759" s="199"/>
      <c r="K15759" s="199"/>
      <c r="M15759" s="199"/>
      <c r="N15759" s="200"/>
      <c r="P15759" s="199"/>
    </row>
    <row r="15760" spans="7:16" x14ac:dyDescent="0.2">
      <c r="G15760" s="199"/>
      <c r="I15760" s="199"/>
      <c r="K15760" s="199"/>
      <c r="M15760" s="199"/>
      <c r="N15760" s="200"/>
      <c r="P15760" s="199"/>
    </row>
    <row r="15761" spans="7:16" x14ac:dyDescent="0.2">
      <c r="G15761" s="199"/>
      <c r="I15761" s="199"/>
      <c r="K15761" s="199"/>
      <c r="M15761" s="199"/>
      <c r="N15761" s="200"/>
      <c r="P15761" s="199"/>
    </row>
    <row r="15762" spans="7:16" x14ac:dyDescent="0.2">
      <c r="G15762" s="199"/>
      <c r="I15762" s="199"/>
      <c r="K15762" s="199"/>
      <c r="M15762" s="199"/>
      <c r="N15762" s="200"/>
      <c r="P15762" s="199"/>
    </row>
    <row r="15763" spans="7:16" x14ac:dyDescent="0.2">
      <c r="G15763" s="199"/>
      <c r="I15763" s="199"/>
      <c r="K15763" s="199"/>
      <c r="M15763" s="199"/>
      <c r="N15763" s="200"/>
      <c r="P15763" s="199"/>
    </row>
    <row r="15764" spans="7:16" x14ac:dyDescent="0.2">
      <c r="G15764" s="199"/>
      <c r="I15764" s="199"/>
      <c r="K15764" s="199"/>
      <c r="M15764" s="199"/>
      <c r="N15764" s="200"/>
      <c r="P15764" s="199"/>
    </row>
    <row r="15765" spans="7:16" x14ac:dyDescent="0.2">
      <c r="G15765" s="199"/>
      <c r="I15765" s="199"/>
      <c r="K15765" s="199"/>
      <c r="M15765" s="199"/>
      <c r="N15765" s="200"/>
      <c r="P15765" s="199"/>
    </row>
    <row r="15766" spans="7:16" x14ac:dyDescent="0.2">
      <c r="G15766" s="199"/>
      <c r="I15766" s="199"/>
      <c r="K15766" s="199"/>
      <c r="M15766" s="199"/>
      <c r="N15766" s="200"/>
      <c r="P15766" s="199"/>
    </row>
    <row r="15767" spans="7:16" x14ac:dyDescent="0.2">
      <c r="G15767" s="199"/>
      <c r="I15767" s="199"/>
      <c r="K15767" s="199"/>
      <c r="M15767" s="199"/>
      <c r="N15767" s="200"/>
      <c r="P15767" s="199"/>
    </row>
    <row r="15768" spans="7:16" x14ac:dyDescent="0.2">
      <c r="G15768" s="199"/>
      <c r="I15768" s="199"/>
      <c r="K15768" s="199"/>
      <c r="M15768" s="199"/>
      <c r="N15768" s="200"/>
      <c r="P15768" s="199"/>
    </row>
    <row r="15769" spans="7:16" x14ac:dyDescent="0.2">
      <c r="G15769" s="199"/>
      <c r="I15769" s="199"/>
      <c r="K15769" s="199"/>
      <c r="M15769" s="199"/>
      <c r="N15769" s="200"/>
      <c r="P15769" s="199"/>
    </row>
    <row r="15770" spans="7:16" x14ac:dyDescent="0.2">
      <c r="G15770" s="199"/>
      <c r="I15770" s="199"/>
      <c r="K15770" s="199"/>
      <c r="M15770" s="199"/>
      <c r="N15770" s="200"/>
      <c r="P15770" s="199"/>
    </row>
    <row r="15771" spans="7:16" x14ac:dyDescent="0.2">
      <c r="G15771" s="199"/>
      <c r="I15771" s="199"/>
      <c r="K15771" s="199"/>
      <c r="M15771" s="199"/>
      <c r="N15771" s="200"/>
      <c r="P15771" s="199"/>
    </row>
    <row r="15772" spans="7:16" x14ac:dyDescent="0.2">
      <c r="G15772" s="199"/>
      <c r="I15772" s="199"/>
      <c r="K15772" s="199"/>
      <c r="M15772" s="199"/>
      <c r="N15772" s="200"/>
      <c r="P15772" s="199"/>
    </row>
    <row r="15773" spans="7:16" x14ac:dyDescent="0.2">
      <c r="G15773" s="199"/>
      <c r="I15773" s="199"/>
      <c r="K15773" s="199"/>
      <c r="M15773" s="199"/>
      <c r="N15773" s="200"/>
      <c r="P15773" s="199"/>
    </row>
    <row r="15774" spans="7:16" x14ac:dyDescent="0.2">
      <c r="G15774" s="199"/>
      <c r="I15774" s="199"/>
      <c r="K15774" s="199"/>
      <c r="M15774" s="199"/>
      <c r="N15774" s="200"/>
      <c r="P15774" s="199"/>
    </row>
    <row r="15775" spans="7:16" x14ac:dyDescent="0.2">
      <c r="G15775" s="199"/>
      <c r="I15775" s="199"/>
      <c r="K15775" s="199"/>
      <c r="M15775" s="199"/>
      <c r="N15775" s="200"/>
      <c r="P15775" s="199"/>
    </row>
    <row r="15776" spans="7:16" x14ac:dyDescent="0.2">
      <c r="G15776" s="199"/>
      <c r="I15776" s="199"/>
      <c r="K15776" s="199"/>
      <c r="M15776" s="199"/>
      <c r="N15776" s="200"/>
      <c r="P15776" s="199"/>
    </row>
    <row r="15777" spans="7:16" x14ac:dyDescent="0.2">
      <c r="G15777" s="199"/>
      <c r="I15777" s="199"/>
      <c r="K15777" s="199"/>
      <c r="M15777" s="199"/>
      <c r="N15777" s="200"/>
      <c r="P15777" s="199"/>
    </row>
    <row r="15778" spans="7:16" x14ac:dyDescent="0.2">
      <c r="G15778" s="199"/>
      <c r="I15778" s="199"/>
      <c r="K15778" s="199"/>
      <c r="M15778" s="199"/>
      <c r="N15778" s="200"/>
      <c r="P15778" s="199"/>
    </row>
    <row r="15779" spans="7:16" x14ac:dyDescent="0.2">
      <c r="G15779" s="199"/>
      <c r="I15779" s="199"/>
      <c r="K15779" s="199"/>
      <c r="M15779" s="199"/>
      <c r="N15779" s="200"/>
      <c r="P15779" s="199"/>
    </row>
    <row r="15780" spans="7:16" x14ac:dyDescent="0.2">
      <c r="G15780" s="199"/>
      <c r="I15780" s="199"/>
      <c r="K15780" s="199"/>
      <c r="M15780" s="199"/>
      <c r="N15780" s="200"/>
      <c r="P15780" s="199"/>
    </row>
    <row r="15781" spans="7:16" x14ac:dyDescent="0.2">
      <c r="G15781" s="199"/>
      <c r="I15781" s="199"/>
      <c r="K15781" s="199"/>
      <c r="M15781" s="199"/>
      <c r="N15781" s="200"/>
      <c r="P15781" s="199"/>
    </row>
    <row r="15782" spans="7:16" x14ac:dyDescent="0.2">
      <c r="G15782" s="199"/>
      <c r="I15782" s="199"/>
      <c r="K15782" s="199"/>
      <c r="M15782" s="199"/>
      <c r="N15782" s="200"/>
      <c r="P15782" s="199"/>
    </row>
    <row r="15783" spans="7:16" x14ac:dyDescent="0.2">
      <c r="G15783" s="199"/>
      <c r="I15783" s="199"/>
      <c r="K15783" s="199"/>
      <c r="M15783" s="199"/>
      <c r="N15783" s="200"/>
      <c r="P15783" s="199"/>
    </row>
    <row r="15784" spans="7:16" x14ac:dyDescent="0.2">
      <c r="G15784" s="199"/>
      <c r="I15784" s="199"/>
      <c r="K15784" s="199"/>
      <c r="M15784" s="199"/>
      <c r="N15784" s="200"/>
      <c r="P15784" s="199"/>
    </row>
    <row r="15785" spans="7:16" x14ac:dyDescent="0.2">
      <c r="G15785" s="199"/>
      <c r="I15785" s="199"/>
      <c r="K15785" s="199"/>
      <c r="M15785" s="199"/>
      <c r="N15785" s="200"/>
      <c r="P15785" s="199"/>
    </row>
    <row r="15786" spans="7:16" x14ac:dyDescent="0.2">
      <c r="G15786" s="199"/>
      <c r="I15786" s="199"/>
      <c r="K15786" s="199"/>
      <c r="M15786" s="199"/>
      <c r="N15786" s="200"/>
      <c r="P15786" s="199"/>
    </row>
    <row r="15787" spans="7:16" x14ac:dyDescent="0.2">
      <c r="G15787" s="199"/>
      <c r="I15787" s="199"/>
      <c r="K15787" s="199"/>
      <c r="M15787" s="199"/>
      <c r="N15787" s="200"/>
      <c r="P15787" s="199"/>
    </row>
    <row r="15788" spans="7:16" x14ac:dyDescent="0.2">
      <c r="G15788" s="199"/>
      <c r="I15788" s="199"/>
      <c r="K15788" s="199"/>
      <c r="M15788" s="199"/>
      <c r="N15788" s="200"/>
      <c r="P15788" s="199"/>
    </row>
    <row r="15789" spans="7:16" x14ac:dyDescent="0.2">
      <c r="G15789" s="199"/>
      <c r="I15789" s="199"/>
      <c r="K15789" s="199"/>
      <c r="M15789" s="199"/>
      <c r="N15789" s="200"/>
      <c r="P15789" s="199"/>
    </row>
    <row r="15790" spans="7:16" x14ac:dyDescent="0.2">
      <c r="G15790" s="199"/>
      <c r="I15790" s="199"/>
      <c r="K15790" s="199"/>
      <c r="M15790" s="199"/>
      <c r="N15790" s="200"/>
      <c r="P15790" s="199"/>
    </row>
    <row r="15791" spans="7:16" x14ac:dyDescent="0.2">
      <c r="G15791" s="199"/>
      <c r="I15791" s="199"/>
      <c r="K15791" s="199"/>
      <c r="M15791" s="199"/>
      <c r="N15791" s="200"/>
      <c r="P15791" s="199"/>
    </row>
    <row r="15792" spans="7:16" x14ac:dyDescent="0.2">
      <c r="G15792" s="199"/>
      <c r="I15792" s="199"/>
      <c r="K15792" s="199"/>
      <c r="M15792" s="199"/>
      <c r="N15792" s="200"/>
      <c r="P15792" s="199"/>
    </row>
    <row r="15793" spans="7:16" x14ac:dyDescent="0.2">
      <c r="G15793" s="199"/>
      <c r="I15793" s="199"/>
      <c r="K15793" s="199"/>
      <c r="M15793" s="199"/>
      <c r="N15793" s="200"/>
      <c r="P15793" s="199"/>
    </row>
    <row r="15794" spans="7:16" x14ac:dyDescent="0.2">
      <c r="G15794" s="199"/>
      <c r="I15794" s="199"/>
      <c r="K15794" s="199"/>
      <c r="M15794" s="199"/>
      <c r="N15794" s="200"/>
      <c r="P15794" s="199"/>
    </row>
    <row r="15795" spans="7:16" x14ac:dyDescent="0.2">
      <c r="G15795" s="199"/>
      <c r="I15795" s="199"/>
      <c r="K15795" s="199"/>
      <c r="M15795" s="199"/>
      <c r="N15795" s="200"/>
      <c r="P15795" s="199"/>
    </row>
    <row r="15796" spans="7:16" x14ac:dyDescent="0.2">
      <c r="G15796" s="199"/>
      <c r="I15796" s="199"/>
      <c r="K15796" s="199"/>
      <c r="M15796" s="199"/>
      <c r="N15796" s="200"/>
      <c r="P15796" s="199"/>
    </row>
    <row r="15797" spans="7:16" x14ac:dyDescent="0.2">
      <c r="G15797" s="199"/>
      <c r="I15797" s="199"/>
      <c r="K15797" s="199"/>
      <c r="M15797" s="199"/>
      <c r="N15797" s="200"/>
      <c r="P15797" s="199"/>
    </row>
    <row r="15798" spans="7:16" x14ac:dyDescent="0.2">
      <c r="G15798" s="199"/>
      <c r="I15798" s="199"/>
      <c r="K15798" s="199"/>
      <c r="M15798" s="199"/>
      <c r="N15798" s="200"/>
      <c r="P15798" s="199"/>
    </row>
    <row r="15799" spans="7:16" x14ac:dyDescent="0.2">
      <c r="G15799" s="199"/>
      <c r="I15799" s="199"/>
      <c r="K15799" s="199"/>
      <c r="M15799" s="199"/>
      <c r="N15799" s="200"/>
      <c r="P15799" s="199"/>
    </row>
    <row r="15800" spans="7:16" x14ac:dyDescent="0.2">
      <c r="G15800" s="199"/>
      <c r="I15800" s="199"/>
      <c r="K15800" s="199"/>
      <c r="M15800" s="199"/>
      <c r="N15800" s="200"/>
      <c r="P15800" s="199"/>
    </row>
    <row r="15801" spans="7:16" x14ac:dyDescent="0.2">
      <c r="G15801" s="199"/>
      <c r="I15801" s="199"/>
      <c r="K15801" s="199"/>
      <c r="M15801" s="199"/>
      <c r="N15801" s="200"/>
      <c r="P15801" s="199"/>
    </row>
    <row r="15802" spans="7:16" x14ac:dyDescent="0.2">
      <c r="G15802" s="199"/>
      <c r="I15802" s="199"/>
      <c r="K15802" s="199"/>
      <c r="M15802" s="199"/>
      <c r="N15802" s="200"/>
      <c r="P15802" s="199"/>
    </row>
    <row r="15803" spans="7:16" x14ac:dyDescent="0.2">
      <c r="G15803" s="199"/>
      <c r="I15803" s="199"/>
      <c r="K15803" s="199"/>
      <c r="M15803" s="199"/>
      <c r="N15803" s="200"/>
      <c r="P15803" s="199"/>
    </row>
    <row r="15804" spans="7:16" x14ac:dyDescent="0.2">
      <c r="G15804" s="199"/>
      <c r="I15804" s="199"/>
      <c r="K15804" s="199"/>
      <c r="M15804" s="199"/>
      <c r="N15804" s="200"/>
      <c r="P15804" s="199"/>
    </row>
    <row r="15805" spans="7:16" x14ac:dyDescent="0.2">
      <c r="G15805" s="199"/>
      <c r="I15805" s="199"/>
      <c r="K15805" s="199"/>
      <c r="M15805" s="199"/>
      <c r="N15805" s="200"/>
      <c r="P15805" s="199"/>
    </row>
    <row r="15806" spans="7:16" x14ac:dyDescent="0.2">
      <c r="G15806" s="199"/>
      <c r="I15806" s="199"/>
      <c r="K15806" s="199"/>
      <c r="M15806" s="199"/>
      <c r="N15806" s="200"/>
      <c r="P15806" s="199"/>
    </row>
    <row r="15807" spans="7:16" x14ac:dyDescent="0.2">
      <c r="G15807" s="199"/>
      <c r="I15807" s="199"/>
      <c r="K15807" s="199"/>
      <c r="M15807" s="199"/>
      <c r="N15807" s="200"/>
      <c r="P15807" s="199"/>
    </row>
    <row r="15808" spans="7:16" x14ac:dyDescent="0.2">
      <c r="G15808" s="199"/>
      <c r="I15808" s="199"/>
      <c r="K15808" s="199"/>
      <c r="M15808" s="199"/>
      <c r="N15808" s="200"/>
      <c r="P15808" s="199"/>
    </row>
    <row r="15809" spans="7:16" x14ac:dyDescent="0.2">
      <c r="G15809" s="199"/>
      <c r="I15809" s="199"/>
      <c r="K15809" s="199"/>
      <c r="M15809" s="199"/>
      <c r="N15809" s="200"/>
      <c r="P15809" s="199"/>
    </row>
    <row r="15810" spans="7:16" x14ac:dyDescent="0.2">
      <c r="G15810" s="199"/>
      <c r="I15810" s="199"/>
      <c r="K15810" s="199"/>
      <c r="M15810" s="199"/>
      <c r="N15810" s="200"/>
      <c r="P15810" s="199"/>
    </row>
    <row r="15811" spans="7:16" x14ac:dyDescent="0.2">
      <c r="G15811" s="199"/>
      <c r="I15811" s="199"/>
      <c r="K15811" s="199"/>
      <c r="M15811" s="199"/>
      <c r="N15811" s="200"/>
      <c r="P15811" s="199"/>
    </row>
    <row r="15812" spans="7:16" x14ac:dyDescent="0.2">
      <c r="G15812" s="199"/>
      <c r="I15812" s="199"/>
      <c r="K15812" s="199"/>
      <c r="M15812" s="199"/>
      <c r="N15812" s="200"/>
      <c r="P15812" s="199"/>
    </row>
    <row r="15813" spans="7:16" x14ac:dyDescent="0.2">
      <c r="G15813" s="199"/>
      <c r="I15813" s="199"/>
      <c r="K15813" s="199"/>
      <c r="M15813" s="199"/>
      <c r="N15813" s="200"/>
      <c r="P15813" s="199"/>
    </row>
    <row r="15814" spans="7:16" x14ac:dyDescent="0.2">
      <c r="G15814" s="199"/>
      <c r="I15814" s="199"/>
      <c r="K15814" s="199"/>
      <c r="M15814" s="199"/>
      <c r="N15814" s="200"/>
      <c r="P15814" s="199"/>
    </row>
    <row r="15815" spans="7:16" x14ac:dyDescent="0.2">
      <c r="G15815" s="199"/>
      <c r="I15815" s="199"/>
      <c r="K15815" s="199"/>
      <c r="M15815" s="199"/>
      <c r="N15815" s="200"/>
      <c r="P15815" s="199"/>
    </row>
    <row r="15816" spans="7:16" x14ac:dyDescent="0.2">
      <c r="G15816" s="199"/>
      <c r="I15816" s="199"/>
      <c r="K15816" s="199"/>
      <c r="M15816" s="199"/>
      <c r="N15816" s="200"/>
      <c r="P15816" s="199"/>
    </row>
    <row r="15817" spans="7:16" x14ac:dyDescent="0.2">
      <c r="G15817" s="199"/>
      <c r="I15817" s="199"/>
      <c r="K15817" s="199"/>
      <c r="M15817" s="199"/>
      <c r="N15817" s="200"/>
      <c r="P15817" s="199"/>
    </row>
    <row r="15818" spans="7:16" x14ac:dyDescent="0.2">
      <c r="G15818" s="199"/>
      <c r="I15818" s="199"/>
      <c r="K15818" s="199"/>
      <c r="M15818" s="199"/>
      <c r="N15818" s="200"/>
      <c r="P15818" s="199"/>
    </row>
    <row r="15819" spans="7:16" x14ac:dyDescent="0.2">
      <c r="G15819" s="199"/>
      <c r="I15819" s="199"/>
      <c r="K15819" s="199"/>
      <c r="M15819" s="199"/>
      <c r="N15819" s="200"/>
      <c r="P15819" s="199"/>
    </row>
    <row r="15820" spans="7:16" x14ac:dyDescent="0.2">
      <c r="G15820" s="199"/>
      <c r="I15820" s="199"/>
      <c r="K15820" s="199"/>
      <c r="M15820" s="199"/>
      <c r="N15820" s="200"/>
      <c r="P15820" s="199"/>
    </row>
    <row r="15821" spans="7:16" x14ac:dyDescent="0.2">
      <c r="G15821" s="199"/>
      <c r="I15821" s="199"/>
      <c r="K15821" s="199"/>
      <c r="M15821" s="199"/>
      <c r="N15821" s="200"/>
      <c r="P15821" s="199"/>
    </row>
    <row r="15822" spans="7:16" x14ac:dyDescent="0.2">
      <c r="G15822" s="199"/>
      <c r="I15822" s="199"/>
      <c r="K15822" s="199"/>
      <c r="M15822" s="199"/>
      <c r="N15822" s="200"/>
      <c r="P15822" s="199"/>
    </row>
    <row r="15823" spans="7:16" x14ac:dyDescent="0.2">
      <c r="G15823" s="199"/>
      <c r="I15823" s="199"/>
      <c r="K15823" s="199"/>
      <c r="M15823" s="199"/>
      <c r="N15823" s="200"/>
      <c r="P15823" s="199"/>
    </row>
    <row r="15824" spans="7:16" x14ac:dyDescent="0.2">
      <c r="G15824" s="199"/>
      <c r="I15824" s="199"/>
      <c r="K15824" s="199"/>
      <c r="M15824" s="199"/>
      <c r="N15824" s="200"/>
      <c r="P15824" s="199"/>
    </row>
    <row r="15825" spans="7:16" x14ac:dyDescent="0.2">
      <c r="G15825" s="199"/>
      <c r="I15825" s="199"/>
      <c r="K15825" s="199"/>
      <c r="M15825" s="199"/>
      <c r="N15825" s="200"/>
      <c r="P15825" s="199"/>
    </row>
    <row r="15826" spans="7:16" x14ac:dyDescent="0.2">
      <c r="G15826" s="199"/>
      <c r="I15826" s="199"/>
      <c r="K15826" s="199"/>
      <c r="M15826" s="199"/>
      <c r="N15826" s="200"/>
      <c r="P15826" s="199"/>
    </row>
    <row r="15827" spans="7:16" x14ac:dyDescent="0.2">
      <c r="G15827" s="199"/>
      <c r="I15827" s="199"/>
      <c r="K15827" s="199"/>
      <c r="M15827" s="199"/>
      <c r="N15827" s="200"/>
      <c r="P15827" s="199"/>
    </row>
    <row r="15828" spans="7:16" x14ac:dyDescent="0.2">
      <c r="G15828" s="199"/>
      <c r="I15828" s="199"/>
      <c r="K15828" s="199"/>
      <c r="M15828" s="199"/>
      <c r="N15828" s="200"/>
      <c r="P15828" s="199"/>
    </row>
    <row r="15829" spans="7:16" x14ac:dyDescent="0.2">
      <c r="G15829" s="199"/>
      <c r="I15829" s="199"/>
      <c r="K15829" s="199"/>
      <c r="M15829" s="199"/>
      <c r="N15829" s="200"/>
      <c r="P15829" s="199"/>
    </row>
    <row r="15830" spans="7:16" x14ac:dyDescent="0.2">
      <c r="G15830" s="199"/>
      <c r="I15830" s="199"/>
      <c r="K15830" s="199"/>
      <c r="M15830" s="199"/>
      <c r="N15830" s="200"/>
      <c r="P15830" s="199"/>
    </row>
    <row r="15831" spans="7:16" x14ac:dyDescent="0.2">
      <c r="G15831" s="199"/>
      <c r="I15831" s="199"/>
      <c r="K15831" s="199"/>
      <c r="M15831" s="199"/>
      <c r="N15831" s="200"/>
      <c r="P15831" s="199"/>
    </row>
    <row r="15832" spans="7:16" x14ac:dyDescent="0.2">
      <c r="G15832" s="199"/>
      <c r="I15832" s="199"/>
      <c r="K15832" s="199"/>
      <c r="M15832" s="199"/>
      <c r="N15832" s="200"/>
      <c r="P15832" s="199"/>
    </row>
    <row r="15833" spans="7:16" x14ac:dyDescent="0.2">
      <c r="G15833" s="199"/>
      <c r="I15833" s="199"/>
      <c r="K15833" s="199"/>
      <c r="M15833" s="199"/>
      <c r="N15833" s="200"/>
      <c r="P15833" s="199"/>
    </row>
    <row r="15834" spans="7:16" x14ac:dyDescent="0.2">
      <c r="G15834" s="199"/>
      <c r="I15834" s="199"/>
      <c r="K15834" s="199"/>
      <c r="M15834" s="199"/>
      <c r="N15834" s="200"/>
      <c r="P15834" s="199"/>
    </row>
    <row r="15835" spans="7:16" x14ac:dyDescent="0.2">
      <c r="G15835" s="199"/>
      <c r="I15835" s="199"/>
      <c r="K15835" s="199"/>
      <c r="M15835" s="199"/>
      <c r="N15835" s="200"/>
      <c r="P15835" s="199"/>
    </row>
    <row r="15836" spans="7:16" x14ac:dyDescent="0.2">
      <c r="G15836" s="199"/>
      <c r="I15836" s="199"/>
      <c r="K15836" s="199"/>
      <c r="M15836" s="199"/>
      <c r="N15836" s="200"/>
      <c r="P15836" s="199"/>
    </row>
    <row r="15837" spans="7:16" x14ac:dyDescent="0.2">
      <c r="G15837" s="199"/>
      <c r="I15837" s="199"/>
      <c r="K15837" s="199"/>
      <c r="M15837" s="199"/>
      <c r="N15837" s="200"/>
      <c r="P15837" s="199"/>
    </row>
    <row r="15838" spans="7:16" x14ac:dyDescent="0.2">
      <c r="G15838" s="199"/>
      <c r="I15838" s="199"/>
      <c r="K15838" s="199"/>
      <c r="M15838" s="199"/>
      <c r="N15838" s="200"/>
      <c r="P15838" s="199"/>
    </row>
    <row r="15839" spans="7:16" x14ac:dyDescent="0.2">
      <c r="G15839" s="199"/>
      <c r="I15839" s="199"/>
      <c r="K15839" s="199"/>
      <c r="M15839" s="199"/>
      <c r="N15839" s="200"/>
      <c r="P15839" s="199"/>
    </row>
    <row r="15840" spans="7:16" x14ac:dyDescent="0.2">
      <c r="G15840" s="199"/>
      <c r="I15840" s="199"/>
      <c r="K15840" s="199"/>
      <c r="M15840" s="199"/>
      <c r="N15840" s="200"/>
      <c r="P15840" s="199"/>
    </row>
    <row r="15841" spans="7:16" x14ac:dyDescent="0.2">
      <c r="G15841" s="199"/>
      <c r="I15841" s="199"/>
      <c r="K15841" s="199"/>
      <c r="M15841" s="199"/>
      <c r="N15841" s="200"/>
      <c r="P15841" s="199"/>
    </row>
    <row r="15842" spans="7:16" x14ac:dyDescent="0.2">
      <c r="G15842" s="199"/>
      <c r="I15842" s="199"/>
      <c r="K15842" s="199"/>
      <c r="M15842" s="199"/>
      <c r="N15842" s="200"/>
      <c r="P15842" s="199"/>
    </row>
    <row r="15843" spans="7:16" x14ac:dyDescent="0.2">
      <c r="G15843" s="199"/>
      <c r="I15843" s="199"/>
      <c r="K15843" s="199"/>
      <c r="M15843" s="199"/>
      <c r="N15843" s="200"/>
      <c r="P15843" s="199"/>
    </row>
    <row r="15844" spans="7:16" x14ac:dyDescent="0.2">
      <c r="G15844" s="199"/>
      <c r="I15844" s="199"/>
      <c r="K15844" s="199"/>
      <c r="M15844" s="199"/>
      <c r="N15844" s="200"/>
      <c r="P15844" s="199"/>
    </row>
    <row r="15845" spans="7:16" x14ac:dyDescent="0.2">
      <c r="G15845" s="199"/>
      <c r="I15845" s="199"/>
      <c r="K15845" s="199"/>
      <c r="M15845" s="199"/>
      <c r="N15845" s="200"/>
      <c r="P15845" s="199"/>
    </row>
    <row r="15846" spans="7:16" x14ac:dyDescent="0.2">
      <c r="G15846" s="199"/>
      <c r="I15846" s="199"/>
      <c r="K15846" s="199"/>
      <c r="M15846" s="199"/>
      <c r="N15846" s="200"/>
      <c r="P15846" s="199"/>
    </row>
    <row r="15847" spans="7:16" x14ac:dyDescent="0.2">
      <c r="G15847" s="199"/>
      <c r="I15847" s="199"/>
      <c r="K15847" s="199"/>
      <c r="M15847" s="199"/>
      <c r="N15847" s="200"/>
      <c r="P15847" s="199"/>
    </row>
    <row r="15848" spans="7:16" x14ac:dyDescent="0.2">
      <c r="G15848" s="199"/>
      <c r="I15848" s="199"/>
      <c r="K15848" s="199"/>
      <c r="M15848" s="199"/>
      <c r="N15848" s="200"/>
      <c r="P15848" s="199"/>
    </row>
    <row r="15849" spans="7:16" x14ac:dyDescent="0.2">
      <c r="G15849" s="199"/>
      <c r="I15849" s="199"/>
      <c r="K15849" s="199"/>
      <c r="M15849" s="199"/>
      <c r="N15849" s="200"/>
      <c r="P15849" s="199"/>
    </row>
    <row r="15850" spans="7:16" x14ac:dyDescent="0.2">
      <c r="G15850" s="199"/>
      <c r="I15850" s="199"/>
      <c r="K15850" s="199"/>
      <c r="M15850" s="199"/>
      <c r="N15850" s="200"/>
      <c r="P15850" s="199"/>
    </row>
    <row r="15851" spans="7:16" x14ac:dyDescent="0.2">
      <c r="G15851" s="199"/>
      <c r="I15851" s="199"/>
      <c r="K15851" s="199"/>
      <c r="M15851" s="199"/>
      <c r="N15851" s="200"/>
      <c r="P15851" s="199"/>
    </row>
    <row r="15852" spans="7:16" x14ac:dyDescent="0.2">
      <c r="G15852" s="199"/>
      <c r="I15852" s="199"/>
      <c r="K15852" s="199"/>
      <c r="M15852" s="199"/>
      <c r="N15852" s="200"/>
      <c r="P15852" s="199"/>
    </row>
    <row r="15853" spans="7:16" x14ac:dyDescent="0.2">
      <c r="G15853" s="199"/>
      <c r="I15853" s="199"/>
      <c r="K15853" s="199"/>
      <c r="M15853" s="199"/>
      <c r="N15853" s="200"/>
      <c r="P15853" s="199"/>
    </row>
    <row r="15854" spans="7:16" x14ac:dyDescent="0.2">
      <c r="G15854" s="199"/>
      <c r="I15854" s="199"/>
      <c r="K15854" s="199"/>
      <c r="M15854" s="199"/>
      <c r="N15854" s="200"/>
      <c r="P15854" s="199"/>
    </row>
    <row r="15855" spans="7:16" x14ac:dyDescent="0.2">
      <c r="G15855" s="199"/>
      <c r="I15855" s="199"/>
      <c r="K15855" s="199"/>
      <c r="M15855" s="199"/>
      <c r="N15855" s="200"/>
      <c r="P15855" s="199"/>
    </row>
    <row r="15856" spans="7:16" x14ac:dyDescent="0.2">
      <c r="G15856" s="199"/>
      <c r="I15856" s="199"/>
      <c r="K15856" s="199"/>
      <c r="M15856" s="199"/>
      <c r="N15856" s="200"/>
      <c r="P15856" s="199"/>
    </row>
    <row r="15857" spans="7:16" x14ac:dyDescent="0.2">
      <c r="G15857" s="199"/>
      <c r="I15857" s="199"/>
      <c r="K15857" s="199"/>
      <c r="M15857" s="199"/>
      <c r="N15857" s="200"/>
      <c r="P15857" s="199"/>
    </row>
    <row r="15858" spans="7:16" x14ac:dyDescent="0.2">
      <c r="G15858" s="199"/>
      <c r="I15858" s="199"/>
      <c r="K15858" s="199"/>
      <c r="M15858" s="199"/>
      <c r="N15858" s="200"/>
      <c r="P15858" s="199"/>
    </row>
    <row r="15859" spans="7:16" x14ac:dyDescent="0.2">
      <c r="G15859" s="199"/>
      <c r="I15859" s="199"/>
      <c r="K15859" s="199"/>
      <c r="M15859" s="199"/>
      <c r="N15859" s="200"/>
      <c r="P15859" s="199"/>
    </row>
    <row r="15860" spans="7:16" x14ac:dyDescent="0.2">
      <c r="G15860" s="199"/>
      <c r="I15860" s="199"/>
      <c r="K15860" s="199"/>
      <c r="M15860" s="199"/>
      <c r="N15860" s="200"/>
      <c r="P15860" s="199"/>
    </row>
    <row r="15861" spans="7:16" x14ac:dyDescent="0.2">
      <c r="G15861" s="199"/>
      <c r="I15861" s="199"/>
      <c r="K15861" s="199"/>
      <c r="M15861" s="199"/>
      <c r="N15861" s="200"/>
      <c r="P15861" s="199"/>
    </row>
    <row r="15862" spans="7:16" x14ac:dyDescent="0.2">
      <c r="G15862" s="199"/>
      <c r="I15862" s="199"/>
      <c r="K15862" s="199"/>
      <c r="M15862" s="199"/>
      <c r="N15862" s="200"/>
      <c r="P15862" s="199"/>
    </row>
    <row r="15863" spans="7:16" x14ac:dyDescent="0.2">
      <c r="G15863" s="199"/>
      <c r="I15863" s="199"/>
      <c r="K15863" s="199"/>
      <c r="M15863" s="199"/>
      <c r="N15863" s="200"/>
      <c r="P15863" s="199"/>
    </row>
    <row r="15864" spans="7:16" x14ac:dyDescent="0.2">
      <c r="G15864" s="199"/>
      <c r="I15864" s="199"/>
      <c r="K15864" s="199"/>
      <c r="M15864" s="199"/>
      <c r="N15864" s="200"/>
      <c r="P15864" s="199"/>
    </row>
    <row r="15865" spans="7:16" x14ac:dyDescent="0.2">
      <c r="G15865" s="199"/>
      <c r="I15865" s="199"/>
      <c r="K15865" s="199"/>
      <c r="M15865" s="199"/>
      <c r="N15865" s="200"/>
      <c r="P15865" s="199"/>
    </row>
    <row r="15866" spans="7:16" x14ac:dyDescent="0.2">
      <c r="G15866" s="199"/>
      <c r="I15866" s="199"/>
      <c r="K15866" s="199"/>
      <c r="M15866" s="199"/>
      <c r="N15866" s="200"/>
      <c r="P15866" s="199"/>
    </row>
    <row r="15867" spans="7:16" x14ac:dyDescent="0.2">
      <c r="G15867" s="199"/>
      <c r="I15867" s="199"/>
      <c r="K15867" s="199"/>
      <c r="M15867" s="199"/>
      <c r="N15867" s="200"/>
      <c r="P15867" s="199"/>
    </row>
    <row r="15868" spans="7:16" x14ac:dyDescent="0.2">
      <c r="G15868" s="199"/>
      <c r="I15868" s="199"/>
      <c r="K15868" s="199"/>
      <c r="M15868" s="199"/>
      <c r="N15868" s="200"/>
      <c r="P15868" s="199"/>
    </row>
    <row r="15869" spans="7:16" x14ac:dyDescent="0.2">
      <c r="G15869" s="199"/>
      <c r="I15869" s="199"/>
      <c r="K15869" s="199"/>
      <c r="M15869" s="199"/>
      <c r="N15869" s="200"/>
      <c r="P15869" s="199"/>
    </row>
    <row r="15870" spans="7:16" x14ac:dyDescent="0.2">
      <c r="G15870" s="199"/>
      <c r="I15870" s="199"/>
      <c r="K15870" s="199"/>
      <c r="M15870" s="199"/>
      <c r="N15870" s="200"/>
      <c r="P15870" s="199"/>
    </row>
    <row r="15871" spans="7:16" x14ac:dyDescent="0.2">
      <c r="G15871" s="199"/>
      <c r="I15871" s="199"/>
      <c r="K15871" s="199"/>
      <c r="M15871" s="199"/>
      <c r="N15871" s="200"/>
      <c r="P15871" s="199"/>
    </row>
    <row r="15872" spans="7:16" x14ac:dyDescent="0.2">
      <c r="G15872" s="199"/>
      <c r="I15872" s="199"/>
      <c r="K15872" s="199"/>
      <c r="M15872" s="199"/>
      <c r="N15872" s="200"/>
      <c r="P15872" s="199"/>
    </row>
    <row r="15873" spans="7:16" x14ac:dyDescent="0.2">
      <c r="G15873" s="199"/>
      <c r="I15873" s="199"/>
      <c r="K15873" s="199"/>
      <c r="M15873" s="199"/>
      <c r="N15873" s="200"/>
      <c r="P15873" s="199"/>
    </row>
    <row r="15874" spans="7:16" x14ac:dyDescent="0.2">
      <c r="G15874" s="199"/>
      <c r="I15874" s="199"/>
      <c r="K15874" s="199"/>
      <c r="M15874" s="199"/>
      <c r="N15874" s="200"/>
      <c r="P15874" s="199"/>
    </row>
    <row r="15875" spans="7:16" x14ac:dyDescent="0.2">
      <c r="G15875" s="199"/>
      <c r="I15875" s="199"/>
      <c r="K15875" s="199"/>
      <c r="M15875" s="199"/>
      <c r="N15875" s="200"/>
      <c r="P15875" s="199"/>
    </row>
    <row r="15876" spans="7:16" x14ac:dyDescent="0.2">
      <c r="G15876" s="199"/>
      <c r="I15876" s="199"/>
      <c r="K15876" s="199"/>
      <c r="M15876" s="199"/>
      <c r="N15876" s="200"/>
      <c r="P15876" s="199"/>
    </row>
    <row r="15877" spans="7:16" x14ac:dyDescent="0.2">
      <c r="G15877" s="199"/>
      <c r="I15877" s="199"/>
      <c r="K15877" s="199"/>
      <c r="M15877" s="199"/>
      <c r="N15877" s="200"/>
      <c r="P15877" s="199"/>
    </row>
    <row r="15878" spans="7:16" x14ac:dyDescent="0.2">
      <c r="G15878" s="199"/>
      <c r="I15878" s="199"/>
      <c r="K15878" s="199"/>
      <c r="M15878" s="199"/>
      <c r="N15878" s="200"/>
      <c r="P15878" s="199"/>
    </row>
    <row r="15879" spans="7:16" x14ac:dyDescent="0.2">
      <c r="G15879" s="199"/>
      <c r="I15879" s="199"/>
      <c r="K15879" s="199"/>
      <c r="M15879" s="199"/>
      <c r="N15879" s="200"/>
      <c r="P15879" s="199"/>
    </row>
    <row r="15880" spans="7:16" x14ac:dyDescent="0.2">
      <c r="G15880" s="199"/>
      <c r="I15880" s="199"/>
      <c r="K15880" s="199"/>
      <c r="M15880" s="199"/>
      <c r="N15880" s="200"/>
      <c r="P15880" s="199"/>
    </row>
    <row r="15881" spans="7:16" x14ac:dyDescent="0.2">
      <c r="G15881" s="199"/>
      <c r="I15881" s="199"/>
      <c r="K15881" s="199"/>
      <c r="M15881" s="199"/>
      <c r="N15881" s="200"/>
      <c r="P15881" s="199"/>
    </row>
    <row r="15882" spans="7:16" x14ac:dyDescent="0.2">
      <c r="G15882" s="199"/>
      <c r="I15882" s="199"/>
      <c r="K15882" s="199"/>
      <c r="M15882" s="199"/>
      <c r="N15882" s="200"/>
      <c r="P15882" s="199"/>
    </row>
    <row r="15883" spans="7:16" x14ac:dyDescent="0.2">
      <c r="G15883" s="199"/>
      <c r="I15883" s="199"/>
      <c r="K15883" s="199"/>
      <c r="M15883" s="199"/>
      <c r="N15883" s="200"/>
      <c r="P15883" s="199"/>
    </row>
    <row r="15884" spans="7:16" x14ac:dyDescent="0.2">
      <c r="G15884" s="199"/>
      <c r="I15884" s="199"/>
      <c r="K15884" s="199"/>
      <c r="M15884" s="199"/>
      <c r="N15884" s="200"/>
      <c r="P15884" s="199"/>
    </row>
    <row r="15885" spans="7:16" x14ac:dyDescent="0.2">
      <c r="G15885" s="199"/>
      <c r="I15885" s="199"/>
      <c r="K15885" s="199"/>
      <c r="M15885" s="199"/>
      <c r="N15885" s="200"/>
      <c r="P15885" s="199"/>
    </row>
    <row r="15886" spans="7:16" x14ac:dyDescent="0.2">
      <c r="G15886" s="199"/>
      <c r="I15886" s="199"/>
      <c r="K15886" s="199"/>
      <c r="M15886" s="199"/>
      <c r="N15886" s="200"/>
      <c r="P15886" s="199"/>
    </row>
    <row r="15887" spans="7:16" x14ac:dyDescent="0.2">
      <c r="G15887" s="199"/>
      <c r="I15887" s="199"/>
      <c r="K15887" s="199"/>
      <c r="M15887" s="199"/>
      <c r="N15887" s="200"/>
      <c r="P15887" s="199"/>
    </row>
    <row r="15888" spans="7:16" x14ac:dyDescent="0.2">
      <c r="G15888" s="199"/>
      <c r="I15888" s="199"/>
      <c r="K15888" s="199"/>
      <c r="M15888" s="199"/>
      <c r="N15888" s="200"/>
      <c r="P15888" s="199"/>
    </row>
    <row r="15889" spans="7:16" x14ac:dyDescent="0.2">
      <c r="G15889" s="199"/>
      <c r="I15889" s="199"/>
      <c r="K15889" s="199"/>
      <c r="M15889" s="199"/>
      <c r="N15889" s="200"/>
      <c r="P15889" s="199"/>
    </row>
    <row r="15890" spans="7:16" x14ac:dyDescent="0.2">
      <c r="G15890" s="199"/>
      <c r="I15890" s="199"/>
      <c r="K15890" s="199"/>
      <c r="M15890" s="199"/>
      <c r="N15890" s="200"/>
      <c r="P15890" s="199"/>
    </row>
    <row r="15891" spans="7:16" x14ac:dyDescent="0.2">
      <c r="G15891" s="199"/>
      <c r="I15891" s="199"/>
      <c r="K15891" s="199"/>
      <c r="M15891" s="199"/>
      <c r="N15891" s="200"/>
      <c r="P15891" s="199"/>
    </row>
    <row r="15892" spans="7:16" x14ac:dyDescent="0.2">
      <c r="G15892" s="199"/>
      <c r="I15892" s="199"/>
      <c r="K15892" s="199"/>
      <c r="M15892" s="199"/>
      <c r="N15892" s="200"/>
      <c r="P15892" s="199"/>
    </row>
    <row r="15893" spans="7:16" x14ac:dyDescent="0.2">
      <c r="G15893" s="199"/>
      <c r="I15893" s="199"/>
      <c r="K15893" s="199"/>
      <c r="M15893" s="199"/>
      <c r="N15893" s="200"/>
      <c r="P15893" s="199"/>
    </row>
    <row r="15894" spans="7:16" x14ac:dyDescent="0.2">
      <c r="G15894" s="199"/>
      <c r="I15894" s="199"/>
      <c r="K15894" s="199"/>
      <c r="M15894" s="199"/>
      <c r="N15894" s="200"/>
      <c r="P15894" s="199"/>
    </row>
    <row r="15895" spans="7:16" x14ac:dyDescent="0.2">
      <c r="G15895" s="199"/>
      <c r="I15895" s="199"/>
      <c r="K15895" s="199"/>
      <c r="M15895" s="199"/>
      <c r="N15895" s="200"/>
      <c r="P15895" s="199"/>
    </row>
    <row r="15896" spans="7:16" x14ac:dyDescent="0.2">
      <c r="G15896" s="199"/>
      <c r="I15896" s="199"/>
      <c r="K15896" s="199"/>
      <c r="M15896" s="199"/>
      <c r="N15896" s="200"/>
      <c r="P15896" s="199"/>
    </row>
    <row r="15897" spans="7:16" x14ac:dyDescent="0.2">
      <c r="G15897" s="199"/>
      <c r="I15897" s="199"/>
      <c r="K15897" s="199"/>
      <c r="M15897" s="199"/>
      <c r="N15897" s="200"/>
      <c r="P15897" s="199"/>
    </row>
    <row r="15898" spans="7:16" x14ac:dyDescent="0.2">
      <c r="G15898" s="199"/>
      <c r="I15898" s="199"/>
      <c r="K15898" s="199"/>
      <c r="M15898" s="199"/>
      <c r="N15898" s="200"/>
      <c r="P15898" s="199"/>
    </row>
    <row r="15899" spans="7:16" x14ac:dyDescent="0.2">
      <c r="G15899" s="199"/>
      <c r="I15899" s="199"/>
      <c r="K15899" s="199"/>
      <c r="M15899" s="199"/>
      <c r="N15899" s="200"/>
      <c r="P15899" s="199"/>
    </row>
    <row r="15900" spans="7:16" x14ac:dyDescent="0.2">
      <c r="G15900" s="199"/>
      <c r="I15900" s="199"/>
      <c r="K15900" s="199"/>
      <c r="M15900" s="199"/>
      <c r="N15900" s="200"/>
      <c r="P15900" s="199"/>
    </row>
    <row r="15901" spans="7:16" x14ac:dyDescent="0.2">
      <c r="G15901" s="199"/>
      <c r="I15901" s="199"/>
      <c r="K15901" s="199"/>
      <c r="M15901" s="199"/>
      <c r="N15901" s="200"/>
      <c r="P15901" s="199"/>
    </row>
    <row r="15902" spans="7:16" x14ac:dyDescent="0.2">
      <c r="G15902" s="199"/>
      <c r="I15902" s="199"/>
      <c r="K15902" s="199"/>
      <c r="M15902" s="199"/>
      <c r="N15902" s="200"/>
      <c r="P15902" s="199"/>
    </row>
    <row r="15903" spans="7:16" x14ac:dyDescent="0.2">
      <c r="G15903" s="199"/>
      <c r="I15903" s="199"/>
      <c r="K15903" s="199"/>
      <c r="M15903" s="199"/>
      <c r="N15903" s="200"/>
      <c r="P15903" s="199"/>
    </row>
    <row r="15904" spans="7:16" x14ac:dyDescent="0.2">
      <c r="G15904" s="199"/>
      <c r="I15904" s="199"/>
      <c r="K15904" s="199"/>
      <c r="M15904" s="199"/>
      <c r="N15904" s="200"/>
      <c r="P15904" s="199"/>
    </row>
    <row r="15905" spans="7:16" x14ac:dyDescent="0.2">
      <c r="G15905" s="199"/>
      <c r="I15905" s="199"/>
      <c r="K15905" s="199"/>
      <c r="M15905" s="199"/>
      <c r="N15905" s="200"/>
      <c r="P15905" s="199"/>
    </row>
    <row r="15906" spans="7:16" x14ac:dyDescent="0.2">
      <c r="G15906" s="199"/>
      <c r="I15906" s="199"/>
      <c r="K15906" s="199"/>
      <c r="M15906" s="199"/>
      <c r="N15906" s="200"/>
      <c r="P15906" s="199"/>
    </row>
    <row r="15907" spans="7:16" x14ac:dyDescent="0.2">
      <c r="G15907" s="199"/>
      <c r="I15907" s="199"/>
      <c r="K15907" s="199"/>
      <c r="M15907" s="199"/>
      <c r="N15907" s="200"/>
      <c r="P15907" s="199"/>
    </row>
    <row r="15908" spans="7:16" x14ac:dyDescent="0.2">
      <c r="G15908" s="199"/>
      <c r="I15908" s="199"/>
      <c r="K15908" s="199"/>
      <c r="M15908" s="199"/>
      <c r="N15908" s="200"/>
      <c r="P15908" s="199"/>
    </row>
    <row r="15909" spans="7:16" x14ac:dyDescent="0.2">
      <c r="G15909" s="199"/>
      <c r="I15909" s="199"/>
      <c r="K15909" s="199"/>
      <c r="M15909" s="199"/>
      <c r="N15909" s="200"/>
      <c r="P15909" s="199"/>
    </row>
    <row r="15910" spans="7:16" x14ac:dyDescent="0.2">
      <c r="G15910" s="199"/>
      <c r="I15910" s="199"/>
      <c r="K15910" s="199"/>
      <c r="M15910" s="199"/>
      <c r="N15910" s="200"/>
      <c r="P15910" s="199"/>
    </row>
    <row r="15911" spans="7:16" x14ac:dyDescent="0.2">
      <c r="G15911" s="199"/>
      <c r="I15911" s="199"/>
      <c r="K15911" s="199"/>
      <c r="M15911" s="199"/>
      <c r="N15911" s="200"/>
      <c r="P15911" s="199"/>
    </row>
    <row r="15912" spans="7:16" x14ac:dyDescent="0.2">
      <c r="G15912" s="199"/>
      <c r="I15912" s="199"/>
      <c r="K15912" s="199"/>
      <c r="M15912" s="199"/>
      <c r="N15912" s="200"/>
      <c r="P15912" s="199"/>
    </row>
    <row r="15913" spans="7:16" x14ac:dyDescent="0.2">
      <c r="G15913" s="199"/>
      <c r="I15913" s="199"/>
      <c r="K15913" s="199"/>
      <c r="M15913" s="199"/>
      <c r="N15913" s="200"/>
      <c r="P15913" s="199"/>
    </row>
    <row r="15914" spans="7:16" x14ac:dyDescent="0.2">
      <c r="G15914" s="199"/>
      <c r="I15914" s="199"/>
      <c r="K15914" s="199"/>
      <c r="M15914" s="199"/>
      <c r="N15914" s="200"/>
      <c r="P15914" s="199"/>
    </row>
    <row r="15915" spans="7:16" x14ac:dyDescent="0.2">
      <c r="G15915" s="199"/>
      <c r="I15915" s="199"/>
      <c r="K15915" s="199"/>
      <c r="M15915" s="199"/>
      <c r="N15915" s="200"/>
      <c r="P15915" s="199"/>
    </row>
    <row r="15916" spans="7:16" x14ac:dyDescent="0.2">
      <c r="G15916" s="199"/>
      <c r="I15916" s="199"/>
      <c r="K15916" s="199"/>
      <c r="M15916" s="199"/>
      <c r="N15916" s="200"/>
      <c r="P15916" s="199"/>
    </row>
    <row r="15917" spans="7:16" x14ac:dyDescent="0.2">
      <c r="G15917" s="199"/>
      <c r="I15917" s="199"/>
      <c r="K15917" s="199"/>
      <c r="M15917" s="199"/>
      <c r="N15917" s="200"/>
      <c r="P15917" s="199"/>
    </row>
    <row r="15918" spans="7:16" x14ac:dyDescent="0.2">
      <c r="G15918" s="199"/>
      <c r="I15918" s="199"/>
      <c r="K15918" s="199"/>
      <c r="M15918" s="199"/>
      <c r="N15918" s="200"/>
      <c r="P15918" s="199"/>
    </row>
    <row r="15919" spans="7:16" x14ac:dyDescent="0.2">
      <c r="G15919" s="199"/>
      <c r="I15919" s="199"/>
      <c r="K15919" s="199"/>
      <c r="M15919" s="199"/>
      <c r="N15919" s="200"/>
      <c r="P15919" s="199"/>
    </row>
    <row r="15920" spans="7:16" x14ac:dyDescent="0.2">
      <c r="G15920" s="199"/>
      <c r="I15920" s="199"/>
      <c r="K15920" s="199"/>
      <c r="M15920" s="199"/>
      <c r="N15920" s="200"/>
      <c r="P15920" s="199"/>
    </row>
    <row r="15921" spans="7:16" x14ac:dyDescent="0.2">
      <c r="G15921" s="199"/>
      <c r="I15921" s="199"/>
      <c r="K15921" s="199"/>
      <c r="M15921" s="199"/>
      <c r="N15921" s="200"/>
      <c r="P15921" s="199"/>
    </row>
    <row r="15922" spans="7:16" x14ac:dyDescent="0.2">
      <c r="G15922" s="199"/>
      <c r="I15922" s="199"/>
      <c r="K15922" s="199"/>
      <c r="M15922" s="199"/>
      <c r="N15922" s="200"/>
      <c r="P15922" s="199"/>
    </row>
    <row r="15923" spans="7:16" x14ac:dyDescent="0.2">
      <c r="G15923" s="199"/>
      <c r="I15923" s="199"/>
      <c r="K15923" s="199"/>
      <c r="M15923" s="199"/>
      <c r="N15923" s="200"/>
      <c r="P15923" s="199"/>
    </row>
    <row r="15924" spans="7:16" x14ac:dyDescent="0.2">
      <c r="G15924" s="199"/>
      <c r="I15924" s="199"/>
      <c r="K15924" s="199"/>
      <c r="M15924" s="199"/>
      <c r="N15924" s="200"/>
      <c r="P15924" s="199"/>
    </row>
    <row r="15925" spans="7:16" x14ac:dyDescent="0.2">
      <c r="G15925" s="199"/>
      <c r="I15925" s="199"/>
      <c r="K15925" s="199"/>
      <c r="M15925" s="199"/>
      <c r="N15925" s="200"/>
      <c r="P15925" s="199"/>
    </row>
    <row r="15926" spans="7:16" x14ac:dyDescent="0.2">
      <c r="G15926" s="199"/>
      <c r="I15926" s="199"/>
      <c r="K15926" s="199"/>
      <c r="M15926" s="199"/>
      <c r="N15926" s="200"/>
      <c r="P15926" s="199"/>
    </row>
    <row r="15927" spans="7:16" x14ac:dyDescent="0.2">
      <c r="G15927" s="199"/>
      <c r="I15927" s="199"/>
      <c r="K15927" s="199"/>
      <c r="M15927" s="199"/>
      <c r="N15927" s="200"/>
      <c r="P15927" s="199"/>
    </row>
    <row r="15928" spans="7:16" x14ac:dyDescent="0.2">
      <c r="G15928" s="199"/>
      <c r="I15928" s="199"/>
      <c r="K15928" s="199"/>
      <c r="M15928" s="199"/>
      <c r="N15928" s="200"/>
      <c r="P15928" s="199"/>
    </row>
    <row r="15929" spans="7:16" x14ac:dyDescent="0.2">
      <c r="G15929" s="199"/>
      <c r="I15929" s="199"/>
      <c r="K15929" s="199"/>
      <c r="M15929" s="199"/>
      <c r="N15929" s="200"/>
      <c r="P15929" s="199"/>
    </row>
    <row r="15930" spans="7:16" x14ac:dyDescent="0.2">
      <c r="G15930" s="199"/>
      <c r="I15930" s="199"/>
      <c r="K15930" s="199"/>
      <c r="M15930" s="199"/>
      <c r="N15930" s="200"/>
      <c r="P15930" s="199"/>
    </row>
    <row r="15931" spans="7:16" x14ac:dyDescent="0.2">
      <c r="G15931" s="199"/>
      <c r="I15931" s="199"/>
      <c r="K15931" s="199"/>
      <c r="M15931" s="199"/>
      <c r="N15931" s="200"/>
      <c r="P15931" s="199"/>
    </row>
    <row r="15932" spans="7:16" x14ac:dyDescent="0.2">
      <c r="G15932" s="199"/>
      <c r="I15932" s="199"/>
      <c r="K15932" s="199"/>
      <c r="M15932" s="199"/>
      <c r="N15932" s="200"/>
      <c r="P15932" s="199"/>
    </row>
    <row r="15933" spans="7:16" x14ac:dyDescent="0.2">
      <c r="G15933" s="199"/>
      <c r="I15933" s="199"/>
      <c r="K15933" s="199"/>
      <c r="M15933" s="199"/>
      <c r="N15933" s="200"/>
      <c r="P15933" s="199"/>
    </row>
    <row r="15934" spans="7:16" x14ac:dyDescent="0.2">
      <c r="G15934" s="199"/>
      <c r="I15934" s="199"/>
      <c r="K15934" s="199"/>
      <c r="M15934" s="199"/>
      <c r="N15934" s="200"/>
      <c r="P15934" s="199"/>
    </row>
    <row r="15935" spans="7:16" x14ac:dyDescent="0.2">
      <c r="G15935" s="199"/>
      <c r="I15935" s="199"/>
      <c r="K15935" s="199"/>
      <c r="M15935" s="199"/>
      <c r="N15935" s="200"/>
      <c r="P15935" s="199"/>
    </row>
    <row r="15936" spans="7:16" x14ac:dyDescent="0.2">
      <c r="G15936" s="199"/>
      <c r="I15936" s="199"/>
      <c r="K15936" s="199"/>
      <c r="M15936" s="199"/>
      <c r="N15936" s="200"/>
      <c r="P15936" s="199"/>
    </row>
    <row r="15937" spans="7:16" x14ac:dyDescent="0.2">
      <c r="G15937" s="199"/>
      <c r="I15937" s="199"/>
      <c r="K15937" s="199"/>
      <c r="M15937" s="199"/>
      <c r="N15937" s="200"/>
      <c r="P15937" s="199"/>
    </row>
    <row r="15938" spans="7:16" x14ac:dyDescent="0.2">
      <c r="G15938" s="199"/>
      <c r="I15938" s="199"/>
      <c r="K15938" s="199"/>
      <c r="M15938" s="199"/>
      <c r="N15938" s="200"/>
      <c r="P15938" s="199"/>
    </row>
    <row r="15939" spans="7:16" x14ac:dyDescent="0.2">
      <c r="G15939" s="199"/>
      <c r="I15939" s="199"/>
      <c r="K15939" s="199"/>
      <c r="M15939" s="199"/>
      <c r="N15939" s="200"/>
      <c r="P15939" s="199"/>
    </row>
    <row r="15940" spans="7:16" x14ac:dyDescent="0.2">
      <c r="G15940" s="199"/>
      <c r="I15940" s="199"/>
      <c r="K15940" s="199"/>
      <c r="M15940" s="199"/>
      <c r="N15940" s="200"/>
      <c r="P15940" s="199"/>
    </row>
    <row r="15941" spans="7:16" x14ac:dyDescent="0.2">
      <c r="G15941" s="199"/>
      <c r="I15941" s="199"/>
      <c r="K15941" s="199"/>
      <c r="M15941" s="199"/>
      <c r="N15941" s="200"/>
      <c r="P15941" s="199"/>
    </row>
    <row r="15942" spans="7:16" x14ac:dyDescent="0.2">
      <c r="G15942" s="199"/>
      <c r="I15942" s="199"/>
      <c r="K15942" s="199"/>
      <c r="M15942" s="199"/>
      <c r="N15942" s="200"/>
      <c r="P15942" s="199"/>
    </row>
    <row r="15943" spans="7:16" x14ac:dyDescent="0.2">
      <c r="G15943" s="199"/>
      <c r="I15943" s="199"/>
      <c r="K15943" s="199"/>
      <c r="M15943" s="199"/>
      <c r="N15943" s="200"/>
      <c r="P15943" s="199"/>
    </row>
    <row r="15944" spans="7:16" x14ac:dyDescent="0.2">
      <c r="G15944" s="199"/>
      <c r="I15944" s="199"/>
      <c r="K15944" s="199"/>
      <c r="M15944" s="199"/>
      <c r="N15944" s="200"/>
      <c r="P15944" s="199"/>
    </row>
    <row r="15945" spans="7:16" x14ac:dyDescent="0.2">
      <c r="G15945" s="199"/>
      <c r="I15945" s="199"/>
      <c r="K15945" s="199"/>
      <c r="M15945" s="199"/>
      <c r="N15945" s="200"/>
      <c r="P15945" s="199"/>
    </row>
    <row r="15946" spans="7:16" x14ac:dyDescent="0.2">
      <c r="G15946" s="199"/>
      <c r="I15946" s="199"/>
      <c r="K15946" s="199"/>
      <c r="M15946" s="199"/>
      <c r="N15946" s="200"/>
      <c r="P15946" s="199"/>
    </row>
    <row r="15947" spans="7:16" x14ac:dyDescent="0.2">
      <c r="G15947" s="199"/>
      <c r="I15947" s="199"/>
      <c r="K15947" s="199"/>
      <c r="M15947" s="199"/>
      <c r="N15947" s="200"/>
      <c r="P15947" s="199"/>
    </row>
    <row r="15948" spans="7:16" x14ac:dyDescent="0.2">
      <c r="G15948" s="199"/>
      <c r="I15948" s="199"/>
      <c r="K15948" s="199"/>
      <c r="M15948" s="199"/>
      <c r="N15948" s="200"/>
      <c r="P15948" s="199"/>
    </row>
    <row r="15949" spans="7:16" x14ac:dyDescent="0.2">
      <c r="G15949" s="199"/>
      <c r="I15949" s="199"/>
      <c r="K15949" s="199"/>
      <c r="M15949" s="199"/>
      <c r="N15949" s="200"/>
      <c r="P15949" s="199"/>
    </row>
    <row r="15950" spans="7:16" x14ac:dyDescent="0.2">
      <c r="G15950" s="199"/>
      <c r="I15950" s="199"/>
      <c r="K15950" s="199"/>
      <c r="M15950" s="199"/>
      <c r="N15950" s="200"/>
      <c r="P15950" s="199"/>
    </row>
    <row r="15951" spans="7:16" x14ac:dyDescent="0.2">
      <c r="G15951" s="199"/>
      <c r="I15951" s="199"/>
      <c r="K15951" s="199"/>
      <c r="M15951" s="199"/>
      <c r="N15951" s="200"/>
      <c r="P15951" s="199"/>
    </row>
    <row r="15952" spans="7:16" x14ac:dyDescent="0.2">
      <c r="G15952" s="199"/>
      <c r="I15952" s="199"/>
      <c r="K15952" s="199"/>
      <c r="M15952" s="199"/>
      <c r="N15952" s="200"/>
      <c r="P15952" s="199"/>
    </row>
    <row r="15953" spans="7:16" x14ac:dyDescent="0.2">
      <c r="G15953" s="199"/>
      <c r="I15953" s="199"/>
      <c r="K15953" s="199"/>
      <c r="M15953" s="199"/>
      <c r="N15953" s="200"/>
      <c r="P15953" s="199"/>
    </row>
    <row r="15954" spans="7:16" x14ac:dyDescent="0.2">
      <c r="G15954" s="199"/>
      <c r="I15954" s="199"/>
      <c r="K15954" s="199"/>
      <c r="M15954" s="199"/>
      <c r="N15954" s="200"/>
      <c r="P15954" s="199"/>
    </row>
    <row r="15955" spans="7:16" x14ac:dyDescent="0.2">
      <c r="G15955" s="199"/>
      <c r="I15955" s="199"/>
      <c r="K15955" s="199"/>
      <c r="M15955" s="199"/>
      <c r="N15955" s="200"/>
      <c r="P15955" s="199"/>
    </row>
    <row r="15956" spans="7:16" x14ac:dyDescent="0.2">
      <c r="G15956" s="199"/>
      <c r="I15956" s="199"/>
      <c r="K15956" s="199"/>
      <c r="M15956" s="199"/>
      <c r="N15956" s="200"/>
      <c r="P15956" s="199"/>
    </row>
    <row r="15957" spans="7:16" x14ac:dyDescent="0.2">
      <c r="G15957" s="199"/>
      <c r="I15957" s="199"/>
      <c r="K15957" s="199"/>
      <c r="M15957" s="199"/>
      <c r="N15957" s="200"/>
      <c r="P15957" s="199"/>
    </row>
    <row r="15958" spans="7:16" x14ac:dyDescent="0.2">
      <c r="G15958" s="199"/>
      <c r="I15958" s="199"/>
      <c r="K15958" s="199"/>
      <c r="M15958" s="199"/>
      <c r="N15958" s="200"/>
      <c r="P15958" s="199"/>
    </row>
    <row r="15959" spans="7:16" x14ac:dyDescent="0.2">
      <c r="G15959" s="199"/>
      <c r="I15959" s="199"/>
      <c r="K15959" s="199"/>
      <c r="M15959" s="199"/>
      <c r="N15959" s="200"/>
      <c r="P15959" s="199"/>
    </row>
    <row r="15960" spans="7:16" x14ac:dyDescent="0.2">
      <c r="G15960" s="199"/>
      <c r="I15960" s="199"/>
      <c r="K15960" s="199"/>
      <c r="M15960" s="199"/>
      <c r="N15960" s="200"/>
      <c r="P15960" s="199"/>
    </row>
    <row r="15961" spans="7:16" x14ac:dyDescent="0.2">
      <c r="G15961" s="199"/>
      <c r="I15961" s="199"/>
      <c r="K15961" s="199"/>
      <c r="M15961" s="199"/>
      <c r="N15961" s="200"/>
      <c r="P15961" s="199"/>
    </row>
    <row r="15962" spans="7:16" x14ac:dyDescent="0.2">
      <c r="G15962" s="199"/>
      <c r="I15962" s="199"/>
      <c r="K15962" s="199"/>
      <c r="M15962" s="199"/>
      <c r="N15962" s="200"/>
      <c r="P15962" s="199"/>
    </row>
    <row r="15963" spans="7:16" x14ac:dyDescent="0.2">
      <c r="G15963" s="199"/>
      <c r="I15963" s="199"/>
      <c r="K15963" s="199"/>
      <c r="M15963" s="199"/>
      <c r="N15963" s="200"/>
      <c r="P15963" s="199"/>
    </row>
    <row r="15964" spans="7:16" x14ac:dyDescent="0.2">
      <c r="G15964" s="199"/>
      <c r="I15964" s="199"/>
      <c r="K15964" s="199"/>
      <c r="M15964" s="199"/>
      <c r="N15964" s="200"/>
      <c r="P15964" s="199"/>
    </row>
    <row r="15965" spans="7:16" x14ac:dyDescent="0.2">
      <c r="G15965" s="199"/>
      <c r="I15965" s="199"/>
      <c r="K15965" s="199"/>
      <c r="M15965" s="199"/>
      <c r="N15965" s="200"/>
      <c r="P15965" s="199"/>
    </row>
    <row r="15966" spans="7:16" x14ac:dyDescent="0.2">
      <c r="G15966" s="199"/>
      <c r="I15966" s="199"/>
      <c r="K15966" s="199"/>
      <c r="M15966" s="199"/>
      <c r="N15966" s="200"/>
      <c r="P15966" s="199"/>
    </row>
    <row r="15967" spans="7:16" x14ac:dyDescent="0.2">
      <c r="G15967" s="199"/>
      <c r="I15967" s="199"/>
      <c r="K15967" s="199"/>
      <c r="M15967" s="199"/>
      <c r="N15967" s="200"/>
      <c r="P15967" s="199"/>
    </row>
    <row r="15968" spans="7:16" x14ac:dyDescent="0.2">
      <c r="G15968" s="199"/>
      <c r="I15968" s="199"/>
      <c r="K15968" s="199"/>
      <c r="M15968" s="199"/>
      <c r="N15968" s="200"/>
      <c r="P15968" s="199"/>
    </row>
    <row r="15969" spans="7:16" x14ac:dyDescent="0.2">
      <c r="G15969" s="199"/>
      <c r="I15969" s="199"/>
      <c r="K15969" s="199"/>
      <c r="M15969" s="199"/>
      <c r="N15969" s="200"/>
      <c r="P15969" s="199"/>
    </row>
    <row r="15970" spans="7:16" x14ac:dyDescent="0.2">
      <c r="G15970" s="199"/>
      <c r="I15970" s="199"/>
      <c r="K15970" s="199"/>
      <c r="M15970" s="199"/>
      <c r="N15970" s="200"/>
      <c r="P15970" s="199"/>
    </row>
    <row r="15971" spans="7:16" x14ac:dyDescent="0.2">
      <c r="G15971" s="199"/>
      <c r="I15971" s="199"/>
      <c r="K15971" s="199"/>
      <c r="M15971" s="199"/>
      <c r="N15971" s="200"/>
      <c r="P15971" s="199"/>
    </row>
    <row r="15972" spans="7:16" x14ac:dyDescent="0.2">
      <c r="G15972" s="199"/>
      <c r="I15972" s="199"/>
      <c r="K15972" s="199"/>
      <c r="M15972" s="199"/>
      <c r="N15972" s="200"/>
      <c r="P15972" s="199"/>
    </row>
    <row r="15973" spans="7:16" x14ac:dyDescent="0.2">
      <c r="G15973" s="199"/>
      <c r="I15973" s="199"/>
      <c r="K15973" s="199"/>
      <c r="M15973" s="199"/>
      <c r="N15973" s="200"/>
      <c r="P15973" s="199"/>
    </row>
    <row r="15974" spans="7:16" x14ac:dyDescent="0.2">
      <c r="G15974" s="199"/>
      <c r="I15974" s="199"/>
      <c r="K15974" s="199"/>
      <c r="M15974" s="199"/>
      <c r="N15974" s="200"/>
      <c r="P15974" s="199"/>
    </row>
    <row r="15975" spans="7:16" x14ac:dyDescent="0.2">
      <c r="G15975" s="199"/>
      <c r="I15975" s="199"/>
      <c r="K15975" s="199"/>
      <c r="M15975" s="199"/>
      <c r="N15975" s="200"/>
      <c r="P15975" s="199"/>
    </row>
    <row r="15976" spans="7:16" x14ac:dyDescent="0.2">
      <c r="G15976" s="199"/>
      <c r="I15976" s="199"/>
      <c r="K15976" s="199"/>
      <c r="M15976" s="199"/>
      <c r="N15976" s="200"/>
      <c r="P15976" s="199"/>
    </row>
    <row r="15977" spans="7:16" x14ac:dyDescent="0.2">
      <c r="G15977" s="199"/>
      <c r="I15977" s="199"/>
      <c r="K15977" s="199"/>
      <c r="M15977" s="199"/>
      <c r="N15977" s="200"/>
      <c r="P15977" s="199"/>
    </row>
    <row r="15978" spans="7:16" x14ac:dyDescent="0.2">
      <c r="G15978" s="199"/>
      <c r="I15978" s="199"/>
      <c r="K15978" s="199"/>
      <c r="M15978" s="199"/>
      <c r="N15978" s="200"/>
      <c r="P15978" s="199"/>
    </row>
    <row r="15979" spans="7:16" x14ac:dyDescent="0.2">
      <c r="G15979" s="199"/>
      <c r="I15979" s="199"/>
      <c r="K15979" s="199"/>
      <c r="M15979" s="199"/>
      <c r="N15979" s="200"/>
      <c r="P15979" s="199"/>
    </row>
    <row r="15980" spans="7:16" x14ac:dyDescent="0.2">
      <c r="G15980" s="199"/>
      <c r="I15980" s="199"/>
      <c r="K15980" s="199"/>
      <c r="M15980" s="199"/>
      <c r="N15980" s="200"/>
      <c r="P15980" s="199"/>
    </row>
    <row r="15981" spans="7:16" x14ac:dyDescent="0.2">
      <c r="G15981" s="199"/>
      <c r="I15981" s="199"/>
      <c r="K15981" s="199"/>
      <c r="M15981" s="199"/>
      <c r="N15981" s="200"/>
      <c r="P15981" s="199"/>
    </row>
    <row r="15982" spans="7:16" x14ac:dyDescent="0.2">
      <c r="G15982" s="199"/>
      <c r="I15982" s="199"/>
      <c r="K15982" s="199"/>
      <c r="M15982" s="199"/>
      <c r="N15982" s="200"/>
      <c r="P15982" s="199"/>
    </row>
    <row r="15983" spans="7:16" x14ac:dyDescent="0.2">
      <c r="G15983" s="199"/>
      <c r="I15983" s="199"/>
      <c r="K15983" s="199"/>
      <c r="M15983" s="199"/>
      <c r="N15983" s="200"/>
      <c r="P15983" s="199"/>
    </row>
    <row r="15984" spans="7:16" x14ac:dyDescent="0.2">
      <c r="G15984" s="199"/>
      <c r="I15984" s="199"/>
      <c r="K15984" s="199"/>
      <c r="M15984" s="199"/>
      <c r="N15984" s="200"/>
      <c r="P15984" s="199"/>
    </row>
    <row r="15985" spans="7:16" x14ac:dyDescent="0.2">
      <c r="G15985" s="199"/>
      <c r="I15985" s="199"/>
      <c r="K15985" s="199"/>
      <c r="M15985" s="199"/>
      <c r="N15985" s="200"/>
      <c r="P15985" s="199"/>
    </row>
    <row r="15986" spans="7:16" x14ac:dyDescent="0.2">
      <c r="G15986" s="199"/>
      <c r="I15986" s="199"/>
      <c r="K15986" s="199"/>
      <c r="M15986" s="199"/>
      <c r="N15986" s="200"/>
      <c r="P15986" s="199"/>
    </row>
    <row r="15987" spans="7:16" x14ac:dyDescent="0.2">
      <c r="G15987" s="199"/>
      <c r="I15987" s="199"/>
      <c r="K15987" s="199"/>
      <c r="M15987" s="199"/>
      <c r="N15987" s="200"/>
      <c r="P15987" s="199"/>
    </row>
    <row r="15988" spans="7:16" x14ac:dyDescent="0.2">
      <c r="G15988" s="199"/>
      <c r="I15988" s="199"/>
      <c r="K15988" s="199"/>
      <c r="M15988" s="199"/>
      <c r="N15988" s="200"/>
      <c r="P15988" s="199"/>
    </row>
    <row r="15989" spans="7:16" x14ac:dyDescent="0.2">
      <c r="G15989" s="199"/>
      <c r="I15989" s="199"/>
      <c r="K15989" s="199"/>
      <c r="M15989" s="199"/>
      <c r="N15989" s="200"/>
      <c r="P15989" s="199"/>
    </row>
    <row r="15990" spans="7:16" x14ac:dyDescent="0.2">
      <c r="G15990" s="199"/>
      <c r="I15990" s="199"/>
      <c r="K15990" s="199"/>
      <c r="M15990" s="199"/>
      <c r="N15990" s="200"/>
      <c r="P15990" s="199"/>
    </row>
    <row r="15991" spans="7:16" x14ac:dyDescent="0.2">
      <c r="G15991" s="199"/>
      <c r="I15991" s="199"/>
      <c r="K15991" s="199"/>
      <c r="M15991" s="199"/>
      <c r="N15991" s="200"/>
      <c r="P15991" s="199"/>
    </row>
    <row r="15992" spans="7:16" x14ac:dyDescent="0.2">
      <c r="G15992" s="199"/>
      <c r="I15992" s="199"/>
      <c r="K15992" s="199"/>
      <c r="M15992" s="199"/>
      <c r="N15992" s="200"/>
      <c r="P15992" s="199"/>
    </row>
    <row r="15993" spans="7:16" x14ac:dyDescent="0.2">
      <c r="G15993" s="199"/>
      <c r="I15993" s="199"/>
      <c r="K15993" s="199"/>
      <c r="M15993" s="199"/>
      <c r="N15993" s="200"/>
      <c r="P15993" s="199"/>
    </row>
    <row r="15994" spans="7:16" x14ac:dyDescent="0.2">
      <c r="G15994" s="199"/>
      <c r="I15994" s="199"/>
      <c r="K15994" s="199"/>
      <c r="M15994" s="199"/>
      <c r="N15994" s="200"/>
      <c r="P15994" s="199"/>
    </row>
    <row r="15995" spans="7:16" x14ac:dyDescent="0.2">
      <c r="G15995" s="199"/>
      <c r="I15995" s="199"/>
      <c r="K15995" s="199"/>
      <c r="M15995" s="199"/>
      <c r="N15995" s="200"/>
      <c r="P15995" s="199"/>
    </row>
    <row r="15996" spans="7:16" x14ac:dyDescent="0.2">
      <c r="G15996" s="199"/>
      <c r="I15996" s="199"/>
      <c r="K15996" s="199"/>
      <c r="M15996" s="199"/>
      <c r="N15996" s="200"/>
      <c r="P15996" s="199"/>
    </row>
    <row r="15997" spans="7:16" x14ac:dyDescent="0.2">
      <c r="G15997" s="199"/>
      <c r="I15997" s="199"/>
      <c r="K15997" s="199"/>
      <c r="M15997" s="199"/>
      <c r="N15997" s="200"/>
      <c r="P15997" s="199"/>
    </row>
    <row r="15998" spans="7:16" x14ac:dyDescent="0.2">
      <c r="G15998" s="199"/>
      <c r="I15998" s="199"/>
      <c r="K15998" s="199"/>
      <c r="M15998" s="199"/>
      <c r="N15998" s="200"/>
      <c r="P15998" s="199"/>
    </row>
    <row r="15999" spans="7:16" x14ac:dyDescent="0.2">
      <c r="G15999" s="199"/>
      <c r="I15999" s="199"/>
      <c r="K15999" s="199"/>
      <c r="M15999" s="199"/>
      <c r="N15999" s="200"/>
      <c r="P15999" s="199"/>
    </row>
    <row r="16000" spans="7:16" x14ac:dyDescent="0.2">
      <c r="G16000" s="199"/>
      <c r="I16000" s="199"/>
      <c r="K16000" s="199"/>
      <c r="M16000" s="199"/>
      <c r="N16000" s="200"/>
      <c r="P16000" s="199"/>
    </row>
    <row r="16001" spans="7:16" x14ac:dyDescent="0.2">
      <c r="G16001" s="199"/>
      <c r="I16001" s="199"/>
      <c r="K16001" s="199"/>
      <c r="M16001" s="199"/>
      <c r="N16001" s="200"/>
      <c r="P16001" s="199"/>
    </row>
    <row r="16002" spans="7:16" x14ac:dyDescent="0.2">
      <c r="G16002" s="199"/>
      <c r="I16002" s="199"/>
      <c r="K16002" s="199"/>
      <c r="M16002" s="199"/>
      <c r="N16002" s="200"/>
      <c r="P16002" s="199"/>
    </row>
    <row r="16003" spans="7:16" x14ac:dyDescent="0.2">
      <c r="G16003" s="199"/>
      <c r="I16003" s="199"/>
      <c r="K16003" s="199"/>
      <c r="M16003" s="199"/>
      <c r="N16003" s="200"/>
      <c r="P16003" s="199"/>
    </row>
    <row r="16004" spans="7:16" x14ac:dyDescent="0.2">
      <c r="G16004" s="199"/>
      <c r="I16004" s="199"/>
      <c r="K16004" s="199"/>
      <c r="M16004" s="199"/>
      <c r="N16004" s="200"/>
      <c r="P16004" s="199"/>
    </row>
    <row r="16005" spans="7:16" x14ac:dyDescent="0.2">
      <c r="G16005" s="199"/>
      <c r="I16005" s="199"/>
      <c r="K16005" s="199"/>
      <c r="M16005" s="199"/>
      <c r="N16005" s="200"/>
      <c r="P16005" s="199"/>
    </row>
    <row r="16006" spans="7:16" x14ac:dyDescent="0.2">
      <c r="G16006" s="199"/>
      <c r="I16006" s="199"/>
      <c r="K16006" s="199"/>
      <c r="M16006" s="199"/>
      <c r="N16006" s="200"/>
      <c r="P16006" s="199"/>
    </row>
    <row r="16007" spans="7:16" x14ac:dyDescent="0.2">
      <c r="G16007" s="199"/>
      <c r="I16007" s="199"/>
      <c r="K16007" s="199"/>
      <c r="M16007" s="199"/>
      <c r="N16007" s="200"/>
      <c r="P16007" s="199"/>
    </row>
    <row r="16008" spans="7:16" x14ac:dyDescent="0.2">
      <c r="G16008" s="199"/>
      <c r="I16008" s="199"/>
      <c r="K16008" s="199"/>
      <c r="M16008" s="199"/>
      <c r="N16008" s="200"/>
      <c r="P16008" s="199"/>
    </row>
    <row r="16009" spans="7:16" x14ac:dyDescent="0.2">
      <c r="G16009" s="199"/>
      <c r="I16009" s="199"/>
      <c r="K16009" s="199"/>
      <c r="M16009" s="199"/>
      <c r="N16009" s="200"/>
      <c r="P16009" s="199"/>
    </row>
    <row r="16010" spans="7:16" x14ac:dyDescent="0.2">
      <c r="G16010" s="199"/>
      <c r="I16010" s="199"/>
      <c r="K16010" s="199"/>
      <c r="M16010" s="199"/>
      <c r="N16010" s="200"/>
      <c r="P16010" s="199"/>
    </row>
    <row r="16011" spans="7:16" x14ac:dyDescent="0.2">
      <c r="G16011" s="199"/>
      <c r="I16011" s="199"/>
      <c r="K16011" s="199"/>
      <c r="M16011" s="199"/>
      <c r="N16011" s="200"/>
      <c r="P16011" s="199"/>
    </row>
    <row r="16012" spans="7:16" x14ac:dyDescent="0.2">
      <c r="G16012" s="199"/>
      <c r="I16012" s="199"/>
      <c r="K16012" s="199"/>
      <c r="M16012" s="199"/>
      <c r="N16012" s="200"/>
      <c r="P16012" s="199"/>
    </row>
    <row r="16013" spans="7:16" x14ac:dyDescent="0.2">
      <c r="G16013" s="199"/>
      <c r="I16013" s="199"/>
      <c r="K16013" s="199"/>
      <c r="M16013" s="199"/>
      <c r="N16013" s="200"/>
      <c r="P16013" s="199"/>
    </row>
    <row r="16014" spans="7:16" x14ac:dyDescent="0.2">
      <c r="G16014" s="199"/>
      <c r="I16014" s="199"/>
      <c r="K16014" s="199"/>
      <c r="M16014" s="199"/>
      <c r="N16014" s="200"/>
      <c r="P16014" s="199"/>
    </row>
    <row r="16015" spans="7:16" x14ac:dyDescent="0.2">
      <c r="G16015" s="199"/>
      <c r="I16015" s="199"/>
      <c r="K16015" s="199"/>
      <c r="M16015" s="199"/>
      <c r="N16015" s="200"/>
      <c r="P16015" s="199"/>
    </row>
    <row r="16016" spans="7:16" x14ac:dyDescent="0.2">
      <c r="G16016" s="199"/>
      <c r="I16016" s="199"/>
      <c r="K16016" s="199"/>
      <c r="M16016" s="199"/>
      <c r="N16016" s="200"/>
      <c r="P16016" s="199"/>
    </row>
    <row r="16017" spans="7:16" x14ac:dyDescent="0.2">
      <c r="G16017" s="199"/>
      <c r="I16017" s="199"/>
      <c r="K16017" s="199"/>
      <c r="M16017" s="199"/>
      <c r="N16017" s="200"/>
      <c r="P16017" s="199"/>
    </row>
    <row r="16018" spans="7:16" x14ac:dyDescent="0.2">
      <c r="G16018" s="199"/>
      <c r="I16018" s="199"/>
      <c r="K16018" s="199"/>
      <c r="M16018" s="199"/>
      <c r="N16018" s="200"/>
      <c r="P16018" s="199"/>
    </row>
    <row r="16019" spans="7:16" x14ac:dyDescent="0.2">
      <c r="G16019" s="199"/>
      <c r="I16019" s="199"/>
      <c r="K16019" s="199"/>
      <c r="M16019" s="199"/>
      <c r="N16019" s="200"/>
      <c r="P16019" s="199"/>
    </row>
    <row r="16020" spans="7:16" x14ac:dyDescent="0.2">
      <c r="G16020" s="199"/>
      <c r="I16020" s="199"/>
      <c r="K16020" s="199"/>
      <c r="M16020" s="199"/>
      <c r="N16020" s="200"/>
      <c r="P16020" s="199"/>
    </row>
    <row r="16021" spans="7:16" x14ac:dyDescent="0.2">
      <c r="G16021" s="199"/>
      <c r="I16021" s="199"/>
      <c r="K16021" s="199"/>
      <c r="M16021" s="199"/>
      <c r="N16021" s="200"/>
      <c r="P16021" s="199"/>
    </row>
    <row r="16022" spans="7:16" x14ac:dyDescent="0.2">
      <c r="G16022" s="199"/>
      <c r="I16022" s="199"/>
      <c r="K16022" s="199"/>
      <c r="M16022" s="199"/>
      <c r="N16022" s="200"/>
      <c r="P16022" s="199"/>
    </row>
    <row r="16023" spans="7:16" x14ac:dyDescent="0.2">
      <c r="G16023" s="199"/>
      <c r="I16023" s="199"/>
      <c r="K16023" s="199"/>
      <c r="M16023" s="199"/>
      <c r="N16023" s="200"/>
      <c r="P16023" s="199"/>
    </row>
    <row r="16024" spans="7:16" x14ac:dyDescent="0.2">
      <c r="G16024" s="199"/>
      <c r="I16024" s="199"/>
      <c r="K16024" s="199"/>
      <c r="M16024" s="199"/>
      <c r="N16024" s="200"/>
      <c r="P16024" s="199"/>
    </row>
    <row r="16025" spans="7:16" x14ac:dyDescent="0.2">
      <c r="G16025" s="199"/>
      <c r="I16025" s="199"/>
      <c r="K16025" s="199"/>
      <c r="M16025" s="199"/>
      <c r="N16025" s="200"/>
      <c r="P16025" s="199"/>
    </row>
    <row r="16026" spans="7:16" x14ac:dyDescent="0.2">
      <c r="G16026" s="199"/>
      <c r="I16026" s="199"/>
      <c r="K16026" s="199"/>
      <c r="M16026" s="199"/>
      <c r="N16026" s="200"/>
      <c r="P16026" s="199"/>
    </row>
    <row r="16027" spans="7:16" x14ac:dyDescent="0.2">
      <c r="G16027" s="199"/>
      <c r="I16027" s="199"/>
      <c r="K16027" s="199"/>
      <c r="M16027" s="199"/>
      <c r="N16027" s="200"/>
      <c r="P16027" s="199"/>
    </row>
    <row r="16028" spans="7:16" x14ac:dyDescent="0.2">
      <c r="G16028" s="199"/>
      <c r="I16028" s="199"/>
      <c r="K16028" s="199"/>
      <c r="M16028" s="199"/>
      <c r="N16028" s="200"/>
      <c r="P16028" s="199"/>
    </row>
    <row r="16029" spans="7:16" x14ac:dyDescent="0.2">
      <c r="G16029" s="199"/>
      <c r="I16029" s="199"/>
      <c r="K16029" s="199"/>
      <c r="M16029" s="199"/>
      <c r="N16029" s="200"/>
      <c r="P16029" s="199"/>
    </row>
    <row r="16030" spans="7:16" x14ac:dyDescent="0.2">
      <c r="G16030" s="199"/>
      <c r="I16030" s="199"/>
      <c r="K16030" s="199"/>
      <c r="M16030" s="199"/>
      <c r="N16030" s="200"/>
      <c r="P16030" s="199"/>
    </row>
    <row r="16031" spans="7:16" x14ac:dyDescent="0.2">
      <c r="G16031" s="199"/>
      <c r="I16031" s="199"/>
      <c r="K16031" s="199"/>
      <c r="M16031" s="199"/>
      <c r="N16031" s="200"/>
      <c r="P16031" s="199"/>
    </row>
    <row r="16032" spans="7:16" x14ac:dyDescent="0.2">
      <c r="G16032" s="199"/>
      <c r="I16032" s="199"/>
      <c r="K16032" s="199"/>
      <c r="M16032" s="199"/>
      <c r="N16032" s="200"/>
      <c r="P16032" s="199"/>
    </row>
    <row r="16033" spans="7:16" x14ac:dyDescent="0.2">
      <c r="G16033" s="199"/>
      <c r="I16033" s="199"/>
      <c r="K16033" s="199"/>
      <c r="M16033" s="199"/>
      <c r="N16033" s="200"/>
      <c r="P16033" s="199"/>
    </row>
    <row r="16034" spans="7:16" x14ac:dyDescent="0.2">
      <c r="G16034" s="199"/>
      <c r="I16034" s="199"/>
      <c r="K16034" s="199"/>
      <c r="M16034" s="199"/>
      <c r="N16034" s="200"/>
      <c r="P16034" s="199"/>
    </row>
    <row r="16035" spans="7:16" x14ac:dyDescent="0.2">
      <c r="G16035" s="199"/>
      <c r="I16035" s="199"/>
      <c r="K16035" s="199"/>
      <c r="M16035" s="199"/>
      <c r="N16035" s="200"/>
      <c r="P16035" s="199"/>
    </row>
    <row r="16036" spans="7:16" x14ac:dyDescent="0.2">
      <c r="G16036" s="199"/>
      <c r="I16036" s="199"/>
      <c r="K16036" s="199"/>
      <c r="M16036" s="199"/>
      <c r="N16036" s="200"/>
      <c r="P16036" s="199"/>
    </row>
    <row r="16037" spans="7:16" x14ac:dyDescent="0.2">
      <c r="G16037" s="199"/>
      <c r="I16037" s="199"/>
      <c r="K16037" s="199"/>
      <c r="M16037" s="199"/>
      <c r="N16037" s="200"/>
      <c r="P16037" s="199"/>
    </row>
    <row r="16038" spans="7:16" x14ac:dyDescent="0.2">
      <c r="G16038" s="199"/>
      <c r="I16038" s="199"/>
      <c r="K16038" s="199"/>
      <c r="M16038" s="199"/>
      <c r="N16038" s="200"/>
      <c r="P16038" s="199"/>
    </row>
    <row r="16039" spans="7:16" x14ac:dyDescent="0.2">
      <c r="G16039" s="199"/>
      <c r="I16039" s="199"/>
      <c r="K16039" s="199"/>
      <c r="M16039" s="199"/>
      <c r="N16039" s="200"/>
      <c r="P16039" s="199"/>
    </row>
    <row r="16040" spans="7:16" x14ac:dyDescent="0.2">
      <c r="G16040" s="199"/>
      <c r="I16040" s="199"/>
      <c r="K16040" s="199"/>
      <c r="M16040" s="199"/>
      <c r="N16040" s="200"/>
      <c r="P16040" s="199"/>
    </row>
    <row r="16041" spans="7:16" x14ac:dyDescent="0.2">
      <c r="G16041" s="199"/>
      <c r="I16041" s="199"/>
      <c r="K16041" s="199"/>
      <c r="M16041" s="199"/>
      <c r="N16041" s="200"/>
      <c r="P16041" s="199"/>
    </row>
    <row r="16042" spans="7:16" x14ac:dyDescent="0.2">
      <c r="G16042" s="199"/>
      <c r="I16042" s="199"/>
      <c r="K16042" s="199"/>
      <c r="M16042" s="199"/>
      <c r="N16042" s="200"/>
      <c r="P16042" s="199"/>
    </row>
    <row r="16043" spans="7:16" x14ac:dyDescent="0.2">
      <c r="G16043" s="199"/>
      <c r="I16043" s="199"/>
      <c r="K16043" s="199"/>
      <c r="M16043" s="199"/>
      <c r="N16043" s="200"/>
      <c r="P16043" s="199"/>
    </row>
    <row r="16044" spans="7:16" x14ac:dyDescent="0.2">
      <c r="G16044" s="199"/>
      <c r="I16044" s="199"/>
      <c r="K16044" s="199"/>
      <c r="M16044" s="199"/>
      <c r="N16044" s="200"/>
      <c r="P16044" s="199"/>
    </row>
    <row r="16045" spans="7:16" x14ac:dyDescent="0.2">
      <c r="G16045" s="199"/>
      <c r="I16045" s="199"/>
      <c r="K16045" s="199"/>
      <c r="M16045" s="199"/>
      <c r="N16045" s="200"/>
      <c r="P16045" s="199"/>
    </row>
    <row r="16046" spans="7:16" x14ac:dyDescent="0.2">
      <c r="G16046" s="199"/>
      <c r="I16046" s="199"/>
      <c r="K16046" s="199"/>
      <c r="M16046" s="199"/>
      <c r="N16046" s="200"/>
      <c r="P16046" s="199"/>
    </row>
    <row r="16047" spans="7:16" x14ac:dyDescent="0.2">
      <c r="G16047" s="199"/>
      <c r="I16047" s="199"/>
      <c r="K16047" s="199"/>
      <c r="M16047" s="199"/>
      <c r="N16047" s="200"/>
      <c r="P16047" s="199"/>
    </row>
    <row r="16048" spans="7:16" x14ac:dyDescent="0.2">
      <c r="G16048" s="199"/>
      <c r="I16048" s="199"/>
      <c r="K16048" s="199"/>
      <c r="M16048" s="199"/>
      <c r="N16048" s="200"/>
      <c r="P16048" s="199"/>
    </row>
    <row r="16049" spans="7:16" x14ac:dyDescent="0.2">
      <c r="G16049" s="199"/>
      <c r="I16049" s="199"/>
      <c r="K16049" s="199"/>
      <c r="M16049" s="199"/>
      <c r="N16049" s="200"/>
      <c r="P16049" s="199"/>
    </row>
    <row r="16050" spans="7:16" x14ac:dyDescent="0.2">
      <c r="G16050" s="199"/>
      <c r="I16050" s="199"/>
      <c r="K16050" s="199"/>
      <c r="M16050" s="199"/>
      <c r="N16050" s="200"/>
      <c r="P16050" s="199"/>
    </row>
    <row r="16051" spans="7:16" x14ac:dyDescent="0.2">
      <c r="G16051" s="199"/>
      <c r="I16051" s="199"/>
      <c r="K16051" s="199"/>
      <c r="M16051" s="199"/>
      <c r="N16051" s="200"/>
      <c r="P16051" s="199"/>
    </row>
    <row r="16052" spans="7:16" x14ac:dyDescent="0.2">
      <c r="G16052" s="199"/>
      <c r="I16052" s="199"/>
      <c r="K16052" s="199"/>
      <c r="M16052" s="199"/>
      <c r="N16052" s="200"/>
      <c r="P16052" s="199"/>
    </row>
    <row r="16053" spans="7:16" x14ac:dyDescent="0.2">
      <c r="G16053" s="199"/>
      <c r="I16053" s="199"/>
      <c r="K16053" s="199"/>
      <c r="M16053" s="199"/>
      <c r="N16053" s="200"/>
      <c r="P16053" s="199"/>
    </row>
    <row r="16054" spans="7:16" x14ac:dyDescent="0.2">
      <c r="G16054" s="199"/>
      <c r="I16054" s="199"/>
      <c r="K16054" s="199"/>
      <c r="M16054" s="199"/>
      <c r="N16054" s="200"/>
      <c r="P16054" s="199"/>
    </row>
    <row r="16055" spans="7:16" x14ac:dyDescent="0.2">
      <c r="G16055" s="199"/>
      <c r="I16055" s="199"/>
      <c r="K16055" s="199"/>
      <c r="M16055" s="199"/>
      <c r="N16055" s="200"/>
      <c r="P16055" s="199"/>
    </row>
    <row r="16056" spans="7:16" x14ac:dyDescent="0.2">
      <c r="G16056" s="199"/>
      <c r="I16056" s="199"/>
      <c r="K16056" s="199"/>
      <c r="M16056" s="199"/>
      <c r="N16056" s="200"/>
      <c r="P16056" s="199"/>
    </row>
    <row r="16057" spans="7:16" x14ac:dyDescent="0.2">
      <c r="G16057" s="199"/>
      <c r="I16057" s="199"/>
      <c r="K16057" s="199"/>
      <c r="M16057" s="199"/>
      <c r="N16057" s="200"/>
      <c r="P16057" s="199"/>
    </row>
    <row r="16058" spans="7:16" x14ac:dyDescent="0.2">
      <c r="G16058" s="199"/>
      <c r="I16058" s="199"/>
      <c r="K16058" s="199"/>
      <c r="M16058" s="199"/>
      <c r="N16058" s="200"/>
      <c r="P16058" s="199"/>
    </row>
    <row r="16059" spans="7:16" x14ac:dyDescent="0.2">
      <c r="G16059" s="199"/>
      <c r="I16059" s="199"/>
      <c r="K16059" s="199"/>
      <c r="M16059" s="199"/>
      <c r="N16059" s="200"/>
      <c r="P16059" s="199"/>
    </row>
    <row r="16060" spans="7:16" x14ac:dyDescent="0.2">
      <c r="G16060" s="199"/>
      <c r="I16060" s="199"/>
      <c r="K16060" s="199"/>
      <c r="M16060" s="199"/>
      <c r="N16060" s="200"/>
      <c r="P16060" s="199"/>
    </row>
    <row r="16061" spans="7:16" x14ac:dyDescent="0.2">
      <c r="G16061" s="199"/>
      <c r="I16061" s="199"/>
      <c r="K16061" s="199"/>
      <c r="M16061" s="199"/>
      <c r="N16061" s="200"/>
      <c r="P16061" s="199"/>
    </row>
    <row r="16062" spans="7:16" x14ac:dyDescent="0.2">
      <c r="G16062" s="199"/>
      <c r="I16062" s="199"/>
      <c r="K16062" s="199"/>
      <c r="M16062" s="199"/>
      <c r="N16062" s="200"/>
      <c r="P16062" s="199"/>
    </row>
    <row r="16063" spans="7:16" x14ac:dyDescent="0.2">
      <c r="G16063" s="199"/>
      <c r="I16063" s="199"/>
      <c r="K16063" s="199"/>
      <c r="M16063" s="199"/>
      <c r="N16063" s="200"/>
      <c r="P16063" s="199"/>
    </row>
    <row r="16064" spans="7:16" x14ac:dyDescent="0.2">
      <c r="G16064" s="199"/>
      <c r="I16064" s="199"/>
      <c r="K16064" s="199"/>
      <c r="M16064" s="199"/>
      <c r="N16064" s="200"/>
      <c r="P16064" s="199"/>
    </row>
    <row r="16065" spans="7:16" x14ac:dyDescent="0.2">
      <c r="G16065" s="199"/>
      <c r="I16065" s="199"/>
      <c r="K16065" s="199"/>
      <c r="M16065" s="199"/>
      <c r="N16065" s="200"/>
      <c r="P16065" s="199"/>
    </row>
    <row r="16066" spans="7:16" x14ac:dyDescent="0.2">
      <c r="G16066" s="199"/>
      <c r="I16066" s="199"/>
      <c r="K16066" s="199"/>
      <c r="M16066" s="199"/>
      <c r="N16066" s="200"/>
      <c r="P16066" s="199"/>
    </row>
    <row r="16067" spans="7:16" x14ac:dyDescent="0.2">
      <c r="G16067" s="199"/>
      <c r="I16067" s="199"/>
      <c r="K16067" s="199"/>
      <c r="M16067" s="199"/>
      <c r="N16067" s="200"/>
      <c r="P16067" s="199"/>
    </row>
    <row r="16068" spans="7:16" x14ac:dyDescent="0.2">
      <c r="G16068" s="199"/>
      <c r="I16068" s="199"/>
      <c r="K16068" s="199"/>
      <c r="M16068" s="199"/>
      <c r="N16068" s="200"/>
      <c r="P16068" s="199"/>
    </row>
    <row r="16069" spans="7:16" x14ac:dyDescent="0.2">
      <c r="G16069" s="199"/>
      <c r="I16069" s="199"/>
      <c r="K16069" s="199"/>
      <c r="M16069" s="199"/>
      <c r="N16069" s="200"/>
      <c r="P16069" s="199"/>
    </row>
    <row r="16070" spans="7:16" x14ac:dyDescent="0.2">
      <c r="G16070" s="199"/>
      <c r="I16070" s="199"/>
      <c r="K16070" s="199"/>
      <c r="M16070" s="199"/>
      <c r="N16070" s="200"/>
      <c r="P16070" s="199"/>
    </row>
    <row r="16071" spans="7:16" x14ac:dyDescent="0.2">
      <c r="G16071" s="199"/>
      <c r="I16071" s="199"/>
      <c r="K16071" s="199"/>
      <c r="M16071" s="199"/>
      <c r="N16071" s="200"/>
      <c r="P16071" s="199"/>
    </row>
    <row r="16072" spans="7:16" x14ac:dyDescent="0.2">
      <c r="G16072" s="199"/>
      <c r="I16072" s="199"/>
      <c r="K16072" s="199"/>
      <c r="M16072" s="199"/>
      <c r="N16072" s="200"/>
      <c r="P16072" s="199"/>
    </row>
    <row r="16073" spans="7:16" x14ac:dyDescent="0.2">
      <c r="G16073" s="199"/>
      <c r="I16073" s="199"/>
      <c r="K16073" s="199"/>
      <c r="M16073" s="199"/>
      <c r="N16073" s="200"/>
      <c r="P16073" s="199"/>
    </row>
    <row r="16074" spans="7:16" x14ac:dyDescent="0.2">
      <c r="G16074" s="199"/>
      <c r="I16074" s="199"/>
      <c r="K16074" s="199"/>
      <c r="M16074" s="199"/>
      <c r="N16074" s="200"/>
      <c r="P16074" s="199"/>
    </row>
    <row r="16075" spans="7:16" x14ac:dyDescent="0.2">
      <c r="G16075" s="199"/>
      <c r="I16075" s="199"/>
      <c r="K16075" s="199"/>
      <c r="M16075" s="199"/>
      <c r="N16075" s="200"/>
      <c r="P16075" s="199"/>
    </row>
    <row r="16076" spans="7:16" x14ac:dyDescent="0.2">
      <c r="G16076" s="199"/>
      <c r="I16076" s="199"/>
      <c r="K16076" s="199"/>
      <c r="M16076" s="199"/>
      <c r="N16076" s="200"/>
      <c r="P16076" s="199"/>
    </row>
    <row r="16077" spans="7:16" x14ac:dyDescent="0.2">
      <c r="G16077" s="199"/>
      <c r="I16077" s="199"/>
      <c r="K16077" s="199"/>
      <c r="M16077" s="199"/>
      <c r="N16077" s="200"/>
      <c r="P16077" s="199"/>
    </row>
    <row r="16078" spans="7:16" x14ac:dyDescent="0.2">
      <c r="G16078" s="199"/>
      <c r="I16078" s="199"/>
      <c r="K16078" s="199"/>
      <c r="M16078" s="199"/>
      <c r="N16078" s="200"/>
      <c r="P16078" s="199"/>
    </row>
    <row r="16079" spans="7:16" x14ac:dyDescent="0.2">
      <c r="G16079" s="199"/>
      <c r="I16079" s="199"/>
      <c r="K16079" s="199"/>
      <c r="M16079" s="199"/>
      <c r="N16079" s="200"/>
      <c r="P16079" s="199"/>
    </row>
    <row r="16080" spans="7:16" x14ac:dyDescent="0.2">
      <c r="G16080" s="199"/>
      <c r="I16080" s="199"/>
      <c r="K16080" s="199"/>
      <c r="M16080" s="199"/>
      <c r="N16080" s="200"/>
      <c r="P16080" s="199"/>
    </row>
    <row r="16081" spans="7:16" x14ac:dyDescent="0.2">
      <c r="G16081" s="199"/>
      <c r="I16081" s="199"/>
      <c r="K16081" s="199"/>
      <c r="M16081" s="199"/>
      <c r="N16081" s="200"/>
      <c r="P16081" s="199"/>
    </row>
    <row r="16082" spans="7:16" x14ac:dyDescent="0.2">
      <c r="G16082" s="199"/>
      <c r="I16082" s="199"/>
      <c r="K16082" s="199"/>
      <c r="M16082" s="199"/>
      <c r="N16082" s="200"/>
      <c r="P16082" s="199"/>
    </row>
    <row r="16083" spans="7:16" x14ac:dyDescent="0.2">
      <c r="G16083" s="199"/>
      <c r="I16083" s="199"/>
      <c r="K16083" s="199"/>
      <c r="M16083" s="199"/>
      <c r="N16083" s="200"/>
      <c r="P16083" s="199"/>
    </row>
    <row r="16084" spans="7:16" x14ac:dyDescent="0.2">
      <c r="G16084" s="199"/>
      <c r="I16084" s="199"/>
      <c r="K16084" s="199"/>
      <c r="M16084" s="199"/>
      <c r="N16084" s="200"/>
      <c r="P16084" s="199"/>
    </row>
    <row r="16085" spans="7:16" x14ac:dyDescent="0.2">
      <c r="G16085" s="199"/>
      <c r="I16085" s="199"/>
      <c r="K16085" s="199"/>
      <c r="M16085" s="199"/>
      <c r="N16085" s="200"/>
      <c r="P16085" s="199"/>
    </row>
    <row r="16086" spans="7:16" x14ac:dyDescent="0.2">
      <c r="G16086" s="199"/>
      <c r="I16086" s="199"/>
      <c r="K16086" s="199"/>
      <c r="M16086" s="199"/>
      <c r="N16086" s="200"/>
      <c r="P16086" s="199"/>
    </row>
    <row r="16087" spans="7:16" x14ac:dyDescent="0.2">
      <c r="G16087" s="199"/>
      <c r="I16087" s="199"/>
      <c r="K16087" s="199"/>
      <c r="M16087" s="199"/>
      <c r="N16087" s="200"/>
      <c r="P16087" s="199"/>
    </row>
    <row r="16088" spans="7:16" x14ac:dyDescent="0.2">
      <c r="G16088" s="199"/>
      <c r="I16088" s="199"/>
      <c r="K16088" s="199"/>
      <c r="M16088" s="199"/>
      <c r="N16088" s="200"/>
      <c r="P16088" s="199"/>
    </row>
    <row r="16089" spans="7:16" x14ac:dyDescent="0.2">
      <c r="G16089" s="199"/>
      <c r="I16089" s="199"/>
      <c r="K16089" s="199"/>
      <c r="M16089" s="199"/>
      <c r="N16089" s="200"/>
      <c r="P16089" s="199"/>
    </row>
    <row r="16090" spans="7:16" x14ac:dyDescent="0.2">
      <c r="G16090" s="199"/>
      <c r="I16090" s="199"/>
      <c r="K16090" s="199"/>
      <c r="M16090" s="199"/>
      <c r="N16090" s="200"/>
      <c r="P16090" s="199"/>
    </row>
    <row r="16091" spans="7:16" x14ac:dyDescent="0.2">
      <c r="G16091" s="199"/>
      <c r="I16091" s="199"/>
      <c r="K16091" s="199"/>
      <c r="M16091" s="199"/>
      <c r="N16091" s="200"/>
      <c r="P16091" s="199"/>
    </row>
    <row r="16092" spans="7:16" x14ac:dyDescent="0.2">
      <c r="G16092" s="199"/>
      <c r="I16092" s="199"/>
      <c r="K16092" s="199"/>
      <c r="M16092" s="199"/>
      <c r="N16092" s="200"/>
      <c r="P16092" s="199"/>
    </row>
    <row r="16093" spans="7:16" x14ac:dyDescent="0.2">
      <c r="G16093" s="199"/>
      <c r="I16093" s="199"/>
      <c r="K16093" s="199"/>
      <c r="M16093" s="199"/>
      <c r="N16093" s="200"/>
      <c r="P16093" s="199"/>
    </row>
    <row r="16094" spans="7:16" x14ac:dyDescent="0.2">
      <c r="G16094" s="199"/>
      <c r="I16094" s="199"/>
      <c r="K16094" s="199"/>
      <c r="M16094" s="199"/>
      <c r="N16094" s="200"/>
      <c r="P16094" s="199"/>
    </row>
    <row r="16095" spans="7:16" x14ac:dyDescent="0.2">
      <c r="G16095" s="199"/>
      <c r="I16095" s="199"/>
      <c r="K16095" s="199"/>
      <c r="M16095" s="199"/>
      <c r="N16095" s="200"/>
      <c r="P16095" s="199"/>
    </row>
    <row r="16096" spans="7:16" x14ac:dyDescent="0.2">
      <c r="G16096" s="199"/>
      <c r="I16096" s="199"/>
      <c r="K16096" s="199"/>
      <c r="M16096" s="199"/>
      <c r="N16096" s="200"/>
      <c r="P16096" s="199"/>
    </row>
    <row r="16097" spans="7:16" x14ac:dyDescent="0.2">
      <c r="G16097" s="199"/>
      <c r="I16097" s="199"/>
      <c r="K16097" s="199"/>
      <c r="M16097" s="199"/>
      <c r="N16097" s="200"/>
      <c r="P16097" s="199"/>
    </row>
    <row r="16098" spans="7:16" x14ac:dyDescent="0.2">
      <c r="G16098" s="199"/>
      <c r="I16098" s="199"/>
      <c r="K16098" s="199"/>
      <c r="M16098" s="199"/>
      <c r="N16098" s="200"/>
      <c r="P16098" s="199"/>
    </row>
    <row r="16099" spans="7:16" x14ac:dyDescent="0.2">
      <c r="G16099" s="199"/>
      <c r="I16099" s="199"/>
      <c r="K16099" s="199"/>
      <c r="M16099" s="199"/>
      <c r="N16099" s="200"/>
      <c r="P16099" s="199"/>
    </row>
    <row r="16100" spans="7:16" x14ac:dyDescent="0.2">
      <c r="G16100" s="199"/>
      <c r="I16100" s="199"/>
      <c r="K16100" s="199"/>
      <c r="M16100" s="199"/>
      <c r="N16100" s="200"/>
      <c r="P16100" s="199"/>
    </row>
    <row r="16101" spans="7:16" x14ac:dyDescent="0.2">
      <c r="G16101" s="199"/>
      <c r="I16101" s="199"/>
      <c r="K16101" s="199"/>
      <c r="M16101" s="199"/>
      <c r="N16101" s="200"/>
      <c r="P16101" s="199"/>
    </row>
    <row r="16102" spans="7:16" x14ac:dyDescent="0.2">
      <c r="G16102" s="199"/>
      <c r="I16102" s="199"/>
      <c r="K16102" s="199"/>
      <c r="M16102" s="199"/>
      <c r="N16102" s="200"/>
      <c r="P16102" s="199"/>
    </row>
    <row r="16103" spans="7:16" x14ac:dyDescent="0.2">
      <c r="G16103" s="199"/>
      <c r="I16103" s="199"/>
      <c r="K16103" s="199"/>
      <c r="M16103" s="199"/>
      <c r="N16103" s="200"/>
      <c r="P16103" s="199"/>
    </row>
    <row r="16104" spans="7:16" x14ac:dyDescent="0.2">
      <c r="G16104" s="199"/>
      <c r="I16104" s="199"/>
      <c r="K16104" s="199"/>
      <c r="M16104" s="199"/>
      <c r="N16104" s="200"/>
      <c r="P16104" s="199"/>
    </row>
    <row r="16105" spans="7:16" x14ac:dyDescent="0.2">
      <c r="G16105" s="199"/>
      <c r="I16105" s="199"/>
      <c r="K16105" s="199"/>
      <c r="M16105" s="199"/>
      <c r="N16105" s="200"/>
      <c r="P16105" s="199"/>
    </row>
    <row r="16106" spans="7:16" x14ac:dyDescent="0.2">
      <c r="G16106" s="199"/>
      <c r="I16106" s="199"/>
      <c r="K16106" s="199"/>
      <c r="M16106" s="199"/>
      <c r="N16106" s="200"/>
      <c r="P16106" s="199"/>
    </row>
    <row r="16107" spans="7:16" x14ac:dyDescent="0.2">
      <c r="G16107" s="199"/>
      <c r="I16107" s="199"/>
      <c r="K16107" s="199"/>
      <c r="M16107" s="199"/>
      <c r="N16107" s="200"/>
      <c r="P16107" s="199"/>
    </row>
    <row r="16108" spans="7:16" x14ac:dyDescent="0.2">
      <c r="G16108" s="199"/>
      <c r="I16108" s="199"/>
      <c r="K16108" s="199"/>
      <c r="M16108" s="199"/>
      <c r="N16108" s="200"/>
      <c r="P16108" s="199"/>
    </row>
    <row r="16109" spans="7:16" x14ac:dyDescent="0.2">
      <c r="G16109" s="199"/>
      <c r="I16109" s="199"/>
      <c r="K16109" s="199"/>
      <c r="M16109" s="199"/>
      <c r="N16109" s="200"/>
      <c r="P16109" s="199"/>
    </row>
    <row r="16110" spans="7:16" x14ac:dyDescent="0.2">
      <c r="G16110" s="199"/>
      <c r="I16110" s="199"/>
      <c r="K16110" s="199"/>
      <c r="M16110" s="199"/>
      <c r="N16110" s="200"/>
      <c r="P16110" s="199"/>
    </row>
    <row r="16111" spans="7:16" x14ac:dyDescent="0.2">
      <c r="G16111" s="199"/>
      <c r="I16111" s="199"/>
      <c r="K16111" s="199"/>
      <c r="M16111" s="199"/>
      <c r="N16111" s="200"/>
      <c r="P16111" s="199"/>
    </row>
    <row r="16112" spans="7:16" x14ac:dyDescent="0.2">
      <c r="G16112" s="199"/>
      <c r="I16112" s="199"/>
      <c r="K16112" s="199"/>
      <c r="M16112" s="199"/>
      <c r="N16112" s="200"/>
      <c r="P16112" s="199"/>
    </row>
    <row r="16113" spans="7:16" x14ac:dyDescent="0.2">
      <c r="G16113" s="199"/>
      <c r="I16113" s="199"/>
      <c r="K16113" s="199"/>
      <c r="M16113" s="199"/>
      <c r="N16113" s="200"/>
      <c r="P16113" s="199"/>
    </row>
    <row r="16114" spans="7:16" x14ac:dyDescent="0.2">
      <c r="G16114" s="199"/>
      <c r="I16114" s="199"/>
      <c r="K16114" s="199"/>
      <c r="M16114" s="199"/>
      <c r="N16114" s="200"/>
      <c r="P16114" s="199"/>
    </row>
    <row r="16115" spans="7:16" x14ac:dyDescent="0.2">
      <c r="G16115" s="199"/>
      <c r="I16115" s="199"/>
      <c r="K16115" s="199"/>
      <c r="M16115" s="199"/>
      <c r="N16115" s="200"/>
      <c r="P16115" s="199"/>
    </row>
    <row r="16116" spans="7:16" x14ac:dyDescent="0.2">
      <c r="G16116" s="199"/>
      <c r="I16116" s="199"/>
      <c r="K16116" s="199"/>
      <c r="M16116" s="199"/>
      <c r="N16116" s="200"/>
      <c r="P16116" s="199"/>
    </row>
    <row r="16117" spans="7:16" x14ac:dyDescent="0.2">
      <c r="G16117" s="199"/>
      <c r="I16117" s="199"/>
      <c r="K16117" s="199"/>
      <c r="M16117" s="199"/>
      <c r="N16117" s="200"/>
      <c r="P16117" s="199"/>
    </row>
    <row r="16118" spans="7:16" x14ac:dyDescent="0.2">
      <c r="G16118" s="199"/>
      <c r="I16118" s="199"/>
      <c r="K16118" s="199"/>
      <c r="M16118" s="199"/>
      <c r="N16118" s="200"/>
      <c r="P16118" s="199"/>
    </row>
    <row r="16119" spans="7:16" x14ac:dyDescent="0.2">
      <c r="G16119" s="199"/>
      <c r="I16119" s="199"/>
      <c r="K16119" s="199"/>
      <c r="M16119" s="199"/>
      <c r="N16119" s="200"/>
      <c r="P16119" s="199"/>
    </row>
    <row r="16120" spans="7:16" x14ac:dyDescent="0.2">
      <c r="G16120" s="199"/>
      <c r="I16120" s="199"/>
      <c r="K16120" s="199"/>
      <c r="M16120" s="199"/>
      <c r="N16120" s="200"/>
      <c r="P16120" s="199"/>
    </row>
    <row r="16121" spans="7:16" x14ac:dyDescent="0.2">
      <c r="G16121" s="199"/>
      <c r="I16121" s="199"/>
      <c r="K16121" s="199"/>
      <c r="M16121" s="199"/>
      <c r="N16121" s="200"/>
      <c r="P16121" s="199"/>
    </row>
    <row r="16122" spans="7:16" x14ac:dyDescent="0.2">
      <c r="G16122" s="199"/>
      <c r="I16122" s="199"/>
      <c r="K16122" s="199"/>
      <c r="M16122" s="199"/>
      <c r="N16122" s="200"/>
      <c r="P16122" s="199"/>
    </row>
    <row r="16123" spans="7:16" x14ac:dyDescent="0.2">
      <c r="G16123" s="199"/>
      <c r="I16123" s="199"/>
      <c r="K16123" s="199"/>
      <c r="M16123" s="199"/>
      <c r="N16123" s="200"/>
      <c r="P16123" s="199"/>
    </row>
    <row r="16124" spans="7:16" x14ac:dyDescent="0.2">
      <c r="G16124" s="199"/>
      <c r="I16124" s="199"/>
      <c r="K16124" s="199"/>
      <c r="M16124" s="199"/>
      <c r="N16124" s="200"/>
      <c r="P16124" s="199"/>
    </row>
    <row r="16125" spans="7:16" x14ac:dyDescent="0.2">
      <c r="G16125" s="199"/>
      <c r="I16125" s="199"/>
      <c r="K16125" s="199"/>
      <c r="M16125" s="199"/>
      <c r="N16125" s="200"/>
      <c r="P16125" s="199"/>
    </row>
    <row r="16126" spans="7:16" x14ac:dyDescent="0.2">
      <c r="G16126" s="199"/>
      <c r="I16126" s="199"/>
      <c r="K16126" s="199"/>
      <c r="M16126" s="199"/>
      <c r="N16126" s="200"/>
      <c r="P16126" s="199"/>
    </row>
    <row r="16127" spans="7:16" x14ac:dyDescent="0.2">
      <c r="G16127" s="199"/>
      <c r="I16127" s="199"/>
      <c r="K16127" s="199"/>
      <c r="M16127" s="199"/>
      <c r="N16127" s="200"/>
      <c r="P16127" s="199"/>
    </row>
    <row r="16128" spans="7:16" x14ac:dyDescent="0.2">
      <c r="G16128" s="199"/>
      <c r="I16128" s="199"/>
      <c r="K16128" s="199"/>
      <c r="M16128" s="199"/>
      <c r="N16128" s="200"/>
      <c r="P16128" s="199"/>
    </row>
    <row r="16129" spans="7:16" x14ac:dyDescent="0.2">
      <c r="G16129" s="199"/>
      <c r="I16129" s="199"/>
      <c r="K16129" s="199"/>
      <c r="M16129" s="199"/>
      <c r="N16129" s="200"/>
      <c r="P16129" s="199"/>
    </row>
    <row r="16130" spans="7:16" x14ac:dyDescent="0.2">
      <c r="G16130" s="199"/>
      <c r="I16130" s="199"/>
      <c r="K16130" s="199"/>
      <c r="M16130" s="199"/>
      <c r="N16130" s="200"/>
      <c r="P16130" s="199"/>
    </row>
    <row r="16131" spans="7:16" x14ac:dyDescent="0.2">
      <c r="G16131" s="199"/>
      <c r="I16131" s="199"/>
      <c r="K16131" s="199"/>
      <c r="M16131" s="199"/>
      <c r="N16131" s="200"/>
      <c r="P16131" s="199"/>
    </row>
    <row r="16132" spans="7:16" x14ac:dyDescent="0.2">
      <c r="G16132" s="199"/>
      <c r="I16132" s="199"/>
      <c r="K16132" s="199"/>
      <c r="M16132" s="199"/>
      <c r="N16132" s="200"/>
      <c r="P16132" s="199"/>
    </row>
    <row r="16133" spans="7:16" x14ac:dyDescent="0.2">
      <c r="G16133" s="199"/>
      <c r="I16133" s="199"/>
      <c r="K16133" s="199"/>
      <c r="M16133" s="199"/>
      <c r="N16133" s="200"/>
      <c r="P16133" s="199"/>
    </row>
    <row r="16134" spans="7:16" x14ac:dyDescent="0.2">
      <c r="G16134" s="199"/>
      <c r="I16134" s="199"/>
      <c r="K16134" s="199"/>
      <c r="M16134" s="199"/>
      <c r="N16134" s="200"/>
      <c r="P16134" s="199"/>
    </row>
    <row r="16135" spans="7:16" x14ac:dyDescent="0.2">
      <c r="G16135" s="199"/>
      <c r="I16135" s="199"/>
      <c r="K16135" s="199"/>
      <c r="M16135" s="199"/>
      <c r="N16135" s="200"/>
      <c r="P16135" s="199"/>
    </row>
    <row r="16136" spans="7:16" x14ac:dyDescent="0.2">
      <c r="G16136" s="199"/>
      <c r="I16136" s="199"/>
      <c r="K16136" s="199"/>
      <c r="M16136" s="199"/>
      <c r="N16136" s="200"/>
      <c r="P16136" s="199"/>
    </row>
    <row r="16137" spans="7:16" x14ac:dyDescent="0.2">
      <c r="G16137" s="199"/>
      <c r="I16137" s="199"/>
      <c r="K16137" s="199"/>
      <c r="M16137" s="199"/>
      <c r="N16137" s="200"/>
      <c r="P16137" s="199"/>
    </row>
    <row r="16138" spans="7:16" x14ac:dyDescent="0.2">
      <c r="G16138" s="199"/>
      <c r="I16138" s="199"/>
      <c r="K16138" s="199"/>
      <c r="M16138" s="199"/>
      <c r="N16138" s="200"/>
      <c r="P16138" s="199"/>
    </row>
    <row r="16139" spans="7:16" x14ac:dyDescent="0.2">
      <c r="G16139" s="199"/>
      <c r="I16139" s="199"/>
      <c r="K16139" s="199"/>
      <c r="M16139" s="199"/>
      <c r="N16139" s="200"/>
      <c r="P16139" s="199"/>
    </row>
    <row r="16140" spans="7:16" x14ac:dyDescent="0.2">
      <c r="G16140" s="199"/>
      <c r="I16140" s="199"/>
      <c r="K16140" s="199"/>
      <c r="M16140" s="199"/>
      <c r="N16140" s="200"/>
      <c r="P16140" s="199"/>
    </row>
    <row r="16141" spans="7:16" x14ac:dyDescent="0.2">
      <c r="G16141" s="199"/>
      <c r="I16141" s="199"/>
      <c r="K16141" s="199"/>
      <c r="M16141" s="199"/>
      <c r="N16141" s="200"/>
      <c r="P16141" s="199"/>
    </row>
    <row r="16142" spans="7:16" x14ac:dyDescent="0.2">
      <c r="G16142" s="199"/>
      <c r="I16142" s="199"/>
      <c r="K16142" s="199"/>
      <c r="M16142" s="199"/>
      <c r="N16142" s="200"/>
      <c r="P16142" s="199"/>
    </row>
    <row r="16143" spans="7:16" x14ac:dyDescent="0.2">
      <c r="G16143" s="199"/>
      <c r="I16143" s="199"/>
      <c r="K16143" s="199"/>
      <c r="M16143" s="199"/>
      <c r="N16143" s="200"/>
      <c r="P16143" s="199"/>
    </row>
    <row r="16144" spans="7:16" x14ac:dyDescent="0.2">
      <c r="G16144" s="199"/>
      <c r="I16144" s="199"/>
      <c r="K16144" s="199"/>
      <c r="M16144" s="199"/>
      <c r="N16144" s="200"/>
      <c r="P16144" s="199"/>
    </row>
    <row r="16145" spans="7:16" x14ac:dyDescent="0.2">
      <c r="G16145" s="199"/>
      <c r="I16145" s="199"/>
      <c r="K16145" s="199"/>
      <c r="M16145" s="199"/>
      <c r="N16145" s="200"/>
      <c r="P16145" s="199"/>
    </row>
    <row r="16146" spans="7:16" x14ac:dyDescent="0.2">
      <c r="G16146" s="199"/>
      <c r="I16146" s="199"/>
      <c r="K16146" s="199"/>
      <c r="M16146" s="199"/>
      <c r="N16146" s="200"/>
      <c r="P16146" s="199"/>
    </row>
    <row r="16147" spans="7:16" x14ac:dyDescent="0.2">
      <c r="G16147" s="199"/>
      <c r="I16147" s="199"/>
      <c r="K16147" s="199"/>
      <c r="M16147" s="199"/>
      <c r="N16147" s="200"/>
      <c r="P16147" s="199"/>
    </row>
    <row r="16148" spans="7:16" x14ac:dyDescent="0.2">
      <c r="G16148" s="199"/>
      <c r="I16148" s="199"/>
      <c r="K16148" s="199"/>
      <c r="M16148" s="199"/>
      <c r="N16148" s="200"/>
      <c r="P16148" s="199"/>
    </row>
    <row r="16149" spans="7:16" x14ac:dyDescent="0.2">
      <c r="G16149" s="199"/>
      <c r="I16149" s="199"/>
      <c r="K16149" s="199"/>
      <c r="M16149" s="199"/>
      <c r="N16149" s="200"/>
      <c r="P16149" s="199"/>
    </row>
    <row r="16150" spans="7:16" x14ac:dyDescent="0.2">
      <c r="G16150" s="199"/>
      <c r="I16150" s="199"/>
      <c r="K16150" s="199"/>
      <c r="M16150" s="199"/>
      <c r="N16150" s="200"/>
      <c r="P16150" s="199"/>
    </row>
    <row r="16151" spans="7:16" x14ac:dyDescent="0.2">
      <c r="G16151" s="199"/>
      <c r="I16151" s="199"/>
      <c r="K16151" s="199"/>
      <c r="M16151" s="199"/>
      <c r="N16151" s="200"/>
      <c r="P16151" s="199"/>
    </row>
    <row r="16152" spans="7:16" x14ac:dyDescent="0.2">
      <c r="G16152" s="199"/>
      <c r="I16152" s="199"/>
      <c r="K16152" s="199"/>
      <c r="M16152" s="199"/>
      <c r="N16152" s="200"/>
      <c r="P16152" s="199"/>
    </row>
    <row r="16153" spans="7:16" x14ac:dyDescent="0.2">
      <c r="G16153" s="199"/>
      <c r="I16153" s="199"/>
      <c r="K16153" s="199"/>
      <c r="M16153" s="199"/>
      <c r="N16153" s="200"/>
      <c r="P16153" s="199"/>
    </row>
    <row r="16154" spans="7:16" x14ac:dyDescent="0.2">
      <c r="G16154" s="199"/>
      <c r="I16154" s="199"/>
      <c r="K16154" s="199"/>
      <c r="M16154" s="199"/>
      <c r="N16154" s="200"/>
      <c r="P16154" s="199"/>
    </row>
    <row r="16155" spans="7:16" x14ac:dyDescent="0.2">
      <c r="G16155" s="199"/>
      <c r="I16155" s="199"/>
      <c r="K16155" s="199"/>
      <c r="M16155" s="199"/>
      <c r="N16155" s="200"/>
      <c r="P16155" s="199"/>
    </row>
    <row r="16156" spans="7:16" x14ac:dyDescent="0.2">
      <c r="G16156" s="199"/>
      <c r="I16156" s="199"/>
      <c r="K16156" s="199"/>
      <c r="M16156" s="199"/>
      <c r="N16156" s="200"/>
      <c r="P16156" s="199"/>
    </row>
    <row r="16157" spans="7:16" x14ac:dyDescent="0.2">
      <c r="G16157" s="199"/>
      <c r="I16157" s="199"/>
      <c r="K16157" s="199"/>
      <c r="M16157" s="199"/>
      <c r="N16157" s="200"/>
      <c r="P16157" s="199"/>
    </row>
    <row r="16158" spans="7:16" x14ac:dyDescent="0.2">
      <c r="G16158" s="199"/>
      <c r="I16158" s="199"/>
      <c r="K16158" s="199"/>
      <c r="M16158" s="199"/>
      <c r="N16158" s="200"/>
      <c r="P16158" s="199"/>
    </row>
    <row r="16159" spans="7:16" x14ac:dyDescent="0.2">
      <c r="G16159" s="199"/>
      <c r="I16159" s="199"/>
      <c r="K16159" s="199"/>
      <c r="M16159" s="199"/>
      <c r="N16159" s="200"/>
      <c r="P16159" s="199"/>
    </row>
    <row r="16160" spans="7:16" x14ac:dyDescent="0.2">
      <c r="G16160" s="199"/>
      <c r="I16160" s="199"/>
      <c r="K16160" s="199"/>
      <c r="M16160" s="199"/>
      <c r="N16160" s="200"/>
      <c r="P16160" s="199"/>
    </row>
    <row r="16161" spans="7:16" x14ac:dyDescent="0.2">
      <c r="G16161" s="199"/>
      <c r="I16161" s="199"/>
      <c r="K16161" s="199"/>
      <c r="M16161" s="199"/>
      <c r="N16161" s="200"/>
      <c r="P16161" s="199"/>
    </row>
    <row r="16162" spans="7:16" x14ac:dyDescent="0.2">
      <c r="G16162" s="199"/>
      <c r="I16162" s="199"/>
      <c r="K16162" s="199"/>
      <c r="M16162" s="199"/>
      <c r="N16162" s="200"/>
      <c r="P16162" s="199"/>
    </row>
    <row r="16163" spans="7:16" x14ac:dyDescent="0.2">
      <c r="G16163" s="199"/>
      <c r="I16163" s="199"/>
      <c r="K16163" s="199"/>
      <c r="M16163" s="199"/>
      <c r="N16163" s="200"/>
      <c r="P16163" s="199"/>
    </row>
    <row r="16164" spans="7:16" x14ac:dyDescent="0.2">
      <c r="G16164" s="199"/>
      <c r="I16164" s="199"/>
      <c r="K16164" s="199"/>
      <c r="M16164" s="199"/>
      <c r="N16164" s="200"/>
      <c r="P16164" s="199"/>
    </row>
    <row r="16165" spans="7:16" x14ac:dyDescent="0.2">
      <c r="G16165" s="199"/>
      <c r="I16165" s="199"/>
      <c r="K16165" s="199"/>
      <c r="M16165" s="199"/>
      <c r="N16165" s="200"/>
      <c r="P16165" s="199"/>
    </row>
    <row r="16166" spans="7:16" x14ac:dyDescent="0.2">
      <c r="G16166" s="199"/>
      <c r="I16166" s="199"/>
      <c r="K16166" s="199"/>
      <c r="M16166" s="199"/>
      <c r="N16166" s="200"/>
      <c r="P16166" s="199"/>
    </row>
    <row r="16167" spans="7:16" x14ac:dyDescent="0.2">
      <c r="G16167" s="199"/>
      <c r="I16167" s="199"/>
      <c r="K16167" s="199"/>
      <c r="M16167" s="199"/>
      <c r="N16167" s="200"/>
      <c r="P16167" s="199"/>
    </row>
    <row r="16168" spans="7:16" x14ac:dyDescent="0.2">
      <c r="G16168" s="199"/>
      <c r="I16168" s="199"/>
      <c r="K16168" s="199"/>
      <c r="M16168" s="199"/>
      <c r="N16168" s="200"/>
      <c r="P16168" s="199"/>
    </row>
    <row r="16169" spans="7:16" x14ac:dyDescent="0.2">
      <c r="G16169" s="199"/>
      <c r="I16169" s="199"/>
      <c r="K16169" s="199"/>
      <c r="M16169" s="199"/>
      <c r="N16169" s="200"/>
      <c r="P16169" s="199"/>
    </row>
    <row r="16170" spans="7:16" x14ac:dyDescent="0.2">
      <c r="G16170" s="199"/>
      <c r="I16170" s="199"/>
      <c r="K16170" s="199"/>
      <c r="M16170" s="199"/>
      <c r="N16170" s="200"/>
      <c r="P16170" s="199"/>
    </row>
    <row r="16171" spans="7:16" x14ac:dyDescent="0.2">
      <c r="G16171" s="199"/>
      <c r="I16171" s="199"/>
      <c r="K16171" s="199"/>
      <c r="M16171" s="199"/>
      <c r="N16171" s="200"/>
      <c r="P16171" s="199"/>
    </row>
    <row r="16172" spans="7:16" x14ac:dyDescent="0.2">
      <c r="G16172" s="199"/>
      <c r="I16172" s="199"/>
      <c r="K16172" s="199"/>
      <c r="M16172" s="199"/>
      <c r="N16172" s="200"/>
      <c r="P16172" s="199"/>
    </row>
    <row r="16173" spans="7:16" x14ac:dyDescent="0.2">
      <c r="G16173" s="199"/>
      <c r="I16173" s="199"/>
      <c r="K16173" s="199"/>
      <c r="M16173" s="199"/>
      <c r="N16173" s="200"/>
      <c r="P16173" s="199"/>
    </row>
    <row r="16174" spans="7:16" x14ac:dyDescent="0.2">
      <c r="G16174" s="199"/>
      <c r="I16174" s="199"/>
      <c r="K16174" s="199"/>
      <c r="M16174" s="199"/>
      <c r="N16174" s="200"/>
      <c r="P16174" s="199"/>
    </row>
    <row r="16175" spans="7:16" x14ac:dyDescent="0.2">
      <c r="G16175" s="199"/>
      <c r="I16175" s="199"/>
      <c r="K16175" s="199"/>
      <c r="M16175" s="199"/>
      <c r="N16175" s="200"/>
      <c r="P16175" s="199"/>
    </row>
    <row r="16176" spans="7:16" x14ac:dyDescent="0.2">
      <c r="G16176" s="199"/>
      <c r="I16176" s="199"/>
      <c r="K16176" s="199"/>
      <c r="M16176" s="199"/>
      <c r="N16176" s="200"/>
      <c r="P16176" s="199"/>
    </row>
    <row r="16177" spans="7:16" x14ac:dyDescent="0.2">
      <c r="G16177" s="199"/>
      <c r="I16177" s="199"/>
      <c r="K16177" s="199"/>
      <c r="M16177" s="199"/>
      <c r="N16177" s="200"/>
      <c r="P16177" s="199"/>
    </row>
    <row r="16178" spans="7:16" x14ac:dyDescent="0.2">
      <c r="G16178" s="199"/>
      <c r="I16178" s="199"/>
      <c r="K16178" s="199"/>
      <c r="M16178" s="199"/>
      <c r="N16178" s="200"/>
      <c r="P16178" s="199"/>
    </row>
    <row r="16179" spans="7:16" x14ac:dyDescent="0.2">
      <c r="G16179" s="199"/>
      <c r="I16179" s="199"/>
      <c r="K16179" s="199"/>
      <c r="M16179" s="199"/>
      <c r="N16179" s="200"/>
      <c r="P16179" s="199"/>
    </row>
    <row r="16180" spans="7:16" x14ac:dyDescent="0.2">
      <c r="G16180" s="199"/>
      <c r="I16180" s="199"/>
      <c r="K16180" s="199"/>
      <c r="M16180" s="199"/>
      <c r="N16180" s="200"/>
      <c r="P16180" s="199"/>
    </row>
    <row r="16181" spans="7:16" x14ac:dyDescent="0.2">
      <c r="G16181" s="199"/>
      <c r="I16181" s="199"/>
      <c r="K16181" s="199"/>
      <c r="M16181" s="199"/>
      <c r="N16181" s="200"/>
      <c r="P16181" s="199"/>
    </row>
    <row r="16182" spans="7:16" x14ac:dyDescent="0.2">
      <c r="G16182" s="199"/>
      <c r="I16182" s="199"/>
      <c r="K16182" s="199"/>
      <c r="M16182" s="199"/>
      <c r="N16182" s="200"/>
      <c r="P16182" s="199"/>
    </row>
    <row r="16183" spans="7:16" x14ac:dyDescent="0.2">
      <c r="G16183" s="199"/>
      <c r="I16183" s="199"/>
      <c r="K16183" s="199"/>
      <c r="M16183" s="199"/>
      <c r="N16183" s="200"/>
      <c r="P16183" s="199"/>
    </row>
    <row r="16184" spans="7:16" x14ac:dyDescent="0.2">
      <c r="G16184" s="199"/>
      <c r="I16184" s="199"/>
      <c r="K16184" s="199"/>
      <c r="M16184" s="199"/>
      <c r="N16184" s="200"/>
      <c r="P16184" s="199"/>
    </row>
    <row r="16185" spans="7:16" x14ac:dyDescent="0.2">
      <c r="G16185" s="199"/>
      <c r="I16185" s="199"/>
      <c r="K16185" s="199"/>
      <c r="M16185" s="199"/>
      <c r="N16185" s="200"/>
      <c r="P16185" s="199"/>
    </row>
    <row r="16186" spans="7:16" x14ac:dyDescent="0.2">
      <c r="G16186" s="199"/>
      <c r="I16186" s="199"/>
      <c r="K16186" s="199"/>
      <c r="M16186" s="199"/>
      <c r="N16186" s="200"/>
      <c r="P16186" s="199"/>
    </row>
    <row r="16187" spans="7:16" x14ac:dyDescent="0.2">
      <c r="G16187" s="199"/>
      <c r="I16187" s="199"/>
      <c r="K16187" s="199"/>
      <c r="M16187" s="199"/>
      <c r="N16187" s="200"/>
      <c r="P16187" s="199"/>
    </row>
    <row r="16188" spans="7:16" x14ac:dyDescent="0.2">
      <c r="G16188" s="199"/>
      <c r="I16188" s="199"/>
      <c r="K16188" s="199"/>
      <c r="M16188" s="199"/>
      <c r="N16188" s="200"/>
      <c r="P16188" s="199"/>
    </row>
    <row r="16189" spans="7:16" x14ac:dyDescent="0.2">
      <c r="G16189" s="199"/>
      <c r="I16189" s="199"/>
      <c r="K16189" s="199"/>
      <c r="M16189" s="199"/>
      <c r="N16189" s="200"/>
      <c r="P16189" s="199"/>
    </row>
    <row r="16190" spans="7:16" x14ac:dyDescent="0.2">
      <c r="G16190" s="199"/>
      <c r="I16190" s="199"/>
      <c r="K16190" s="199"/>
      <c r="M16190" s="199"/>
      <c r="N16190" s="200"/>
      <c r="P16190" s="199"/>
    </row>
    <row r="16191" spans="7:16" x14ac:dyDescent="0.2">
      <c r="G16191" s="199"/>
      <c r="I16191" s="199"/>
      <c r="K16191" s="199"/>
      <c r="M16191" s="199"/>
      <c r="N16191" s="200"/>
      <c r="P16191" s="199"/>
    </row>
    <row r="16192" spans="7:16" x14ac:dyDescent="0.2">
      <c r="G16192" s="199"/>
      <c r="I16192" s="199"/>
      <c r="K16192" s="199"/>
      <c r="M16192" s="199"/>
      <c r="N16192" s="200"/>
      <c r="P16192" s="199"/>
    </row>
    <row r="16193" spans="7:16" x14ac:dyDescent="0.2">
      <c r="G16193" s="199"/>
      <c r="I16193" s="199"/>
      <c r="K16193" s="199"/>
      <c r="M16193" s="199"/>
      <c r="N16193" s="200"/>
      <c r="P16193" s="199"/>
    </row>
    <row r="16194" spans="7:16" x14ac:dyDescent="0.2">
      <c r="G16194" s="199"/>
      <c r="I16194" s="199"/>
      <c r="K16194" s="199"/>
      <c r="M16194" s="199"/>
      <c r="N16194" s="200"/>
      <c r="P16194" s="199"/>
    </row>
    <row r="16195" spans="7:16" x14ac:dyDescent="0.2">
      <c r="G16195" s="199"/>
      <c r="I16195" s="199"/>
      <c r="K16195" s="199"/>
      <c r="M16195" s="199"/>
      <c r="N16195" s="200"/>
      <c r="P16195" s="199"/>
    </row>
    <row r="16196" spans="7:16" x14ac:dyDescent="0.2">
      <c r="G16196" s="199"/>
      <c r="I16196" s="199"/>
      <c r="K16196" s="199"/>
      <c r="M16196" s="199"/>
      <c r="N16196" s="200"/>
      <c r="P16196" s="199"/>
    </row>
    <row r="16197" spans="7:16" x14ac:dyDescent="0.2">
      <c r="G16197" s="199"/>
      <c r="I16197" s="199"/>
      <c r="K16197" s="199"/>
      <c r="M16197" s="199"/>
      <c r="N16197" s="200"/>
      <c r="P16197" s="199"/>
    </row>
    <row r="16198" spans="7:16" x14ac:dyDescent="0.2">
      <c r="G16198" s="199"/>
      <c r="I16198" s="199"/>
      <c r="K16198" s="199"/>
      <c r="M16198" s="199"/>
      <c r="N16198" s="200"/>
      <c r="P16198" s="199"/>
    </row>
    <row r="16199" spans="7:16" x14ac:dyDescent="0.2">
      <c r="G16199" s="199"/>
      <c r="I16199" s="199"/>
      <c r="K16199" s="199"/>
      <c r="M16199" s="199"/>
      <c r="N16199" s="200"/>
      <c r="P16199" s="199"/>
    </row>
    <row r="16200" spans="7:16" x14ac:dyDescent="0.2">
      <c r="G16200" s="199"/>
      <c r="I16200" s="199"/>
      <c r="K16200" s="199"/>
      <c r="M16200" s="199"/>
      <c r="N16200" s="200"/>
      <c r="P16200" s="199"/>
    </row>
    <row r="16201" spans="7:16" x14ac:dyDescent="0.2">
      <c r="G16201" s="199"/>
      <c r="I16201" s="199"/>
      <c r="K16201" s="199"/>
      <c r="M16201" s="199"/>
      <c r="N16201" s="200"/>
      <c r="P16201" s="199"/>
    </row>
    <row r="16202" spans="7:16" x14ac:dyDescent="0.2">
      <c r="G16202" s="199"/>
      <c r="I16202" s="199"/>
      <c r="K16202" s="199"/>
      <c r="M16202" s="199"/>
      <c r="N16202" s="200"/>
      <c r="P16202" s="199"/>
    </row>
    <row r="16203" spans="7:16" x14ac:dyDescent="0.2">
      <c r="G16203" s="199"/>
      <c r="I16203" s="199"/>
      <c r="K16203" s="199"/>
      <c r="M16203" s="199"/>
      <c r="N16203" s="200"/>
      <c r="P16203" s="199"/>
    </row>
    <row r="16204" spans="7:16" x14ac:dyDescent="0.2">
      <c r="G16204" s="199"/>
      <c r="I16204" s="199"/>
      <c r="K16204" s="199"/>
      <c r="M16204" s="199"/>
      <c r="N16204" s="200"/>
      <c r="P16204" s="199"/>
    </row>
    <row r="16205" spans="7:16" x14ac:dyDescent="0.2">
      <c r="G16205" s="199"/>
      <c r="I16205" s="199"/>
      <c r="K16205" s="199"/>
      <c r="M16205" s="199"/>
      <c r="N16205" s="200"/>
      <c r="P16205" s="199"/>
    </row>
    <row r="16206" spans="7:16" x14ac:dyDescent="0.2">
      <c r="G16206" s="199"/>
      <c r="I16206" s="199"/>
      <c r="K16206" s="199"/>
      <c r="M16206" s="199"/>
      <c r="N16206" s="200"/>
      <c r="P16206" s="199"/>
    </row>
    <row r="16207" spans="7:16" x14ac:dyDescent="0.2">
      <c r="G16207" s="199"/>
      <c r="I16207" s="199"/>
      <c r="K16207" s="199"/>
      <c r="M16207" s="199"/>
      <c r="N16207" s="200"/>
      <c r="P16207" s="199"/>
    </row>
    <row r="16208" spans="7:16" x14ac:dyDescent="0.2">
      <c r="G16208" s="199"/>
      <c r="I16208" s="199"/>
      <c r="K16208" s="199"/>
      <c r="M16208" s="199"/>
      <c r="N16208" s="200"/>
      <c r="P16208" s="199"/>
    </row>
    <row r="16209" spans="7:16" x14ac:dyDescent="0.2">
      <c r="G16209" s="199"/>
      <c r="I16209" s="199"/>
      <c r="K16209" s="199"/>
      <c r="M16209" s="199"/>
      <c r="N16209" s="200"/>
      <c r="P16209" s="199"/>
    </row>
    <row r="16210" spans="7:16" x14ac:dyDescent="0.2">
      <c r="G16210" s="199"/>
      <c r="I16210" s="199"/>
      <c r="K16210" s="199"/>
      <c r="M16210" s="199"/>
      <c r="N16210" s="200"/>
      <c r="P16210" s="199"/>
    </row>
    <row r="16211" spans="7:16" x14ac:dyDescent="0.2">
      <c r="G16211" s="199"/>
      <c r="I16211" s="199"/>
      <c r="K16211" s="199"/>
      <c r="M16211" s="199"/>
      <c r="N16211" s="200"/>
      <c r="P16211" s="199"/>
    </row>
    <row r="16212" spans="7:16" x14ac:dyDescent="0.2">
      <c r="G16212" s="199"/>
      <c r="I16212" s="199"/>
      <c r="K16212" s="199"/>
      <c r="M16212" s="199"/>
      <c r="N16212" s="200"/>
      <c r="P16212" s="199"/>
    </row>
    <row r="16213" spans="7:16" x14ac:dyDescent="0.2">
      <c r="G16213" s="199"/>
      <c r="I16213" s="199"/>
      <c r="K16213" s="199"/>
      <c r="M16213" s="199"/>
      <c r="N16213" s="200"/>
      <c r="P16213" s="199"/>
    </row>
    <row r="16214" spans="7:16" x14ac:dyDescent="0.2">
      <c r="G16214" s="199"/>
      <c r="I16214" s="199"/>
      <c r="K16214" s="199"/>
      <c r="M16214" s="199"/>
      <c r="N16214" s="200"/>
      <c r="P16214" s="199"/>
    </row>
    <row r="16215" spans="7:16" x14ac:dyDescent="0.2">
      <c r="G16215" s="199"/>
      <c r="I16215" s="199"/>
      <c r="K16215" s="199"/>
      <c r="M16215" s="199"/>
      <c r="N16215" s="200"/>
      <c r="P16215" s="199"/>
    </row>
    <row r="16216" spans="7:16" x14ac:dyDescent="0.2">
      <c r="G16216" s="199"/>
      <c r="I16216" s="199"/>
      <c r="K16216" s="199"/>
      <c r="M16216" s="199"/>
      <c r="N16216" s="200"/>
      <c r="P16216" s="199"/>
    </row>
    <row r="16217" spans="7:16" x14ac:dyDescent="0.2">
      <c r="G16217" s="199"/>
      <c r="I16217" s="199"/>
      <c r="K16217" s="199"/>
      <c r="M16217" s="199"/>
      <c r="N16217" s="200"/>
      <c r="P16217" s="199"/>
    </row>
    <row r="16218" spans="7:16" x14ac:dyDescent="0.2">
      <c r="G16218" s="199"/>
      <c r="I16218" s="199"/>
      <c r="K16218" s="199"/>
      <c r="M16218" s="199"/>
      <c r="N16218" s="200"/>
      <c r="P16218" s="199"/>
    </row>
    <row r="16219" spans="7:16" x14ac:dyDescent="0.2">
      <c r="G16219" s="199"/>
      <c r="I16219" s="199"/>
      <c r="K16219" s="199"/>
      <c r="M16219" s="199"/>
      <c r="N16219" s="200"/>
      <c r="P16219" s="199"/>
    </row>
    <row r="16220" spans="7:16" x14ac:dyDescent="0.2">
      <c r="G16220" s="199"/>
      <c r="I16220" s="199"/>
      <c r="K16220" s="199"/>
      <c r="M16220" s="199"/>
      <c r="N16220" s="200"/>
      <c r="P16220" s="199"/>
    </row>
    <row r="16221" spans="7:16" x14ac:dyDescent="0.2">
      <c r="G16221" s="199"/>
      <c r="I16221" s="199"/>
      <c r="K16221" s="199"/>
      <c r="M16221" s="199"/>
      <c r="N16221" s="200"/>
      <c r="P16221" s="199"/>
    </row>
    <row r="16222" spans="7:16" x14ac:dyDescent="0.2">
      <c r="G16222" s="199"/>
      <c r="I16222" s="199"/>
      <c r="K16222" s="199"/>
      <c r="M16222" s="199"/>
      <c r="N16222" s="200"/>
      <c r="P16222" s="199"/>
    </row>
    <row r="16223" spans="7:16" x14ac:dyDescent="0.2">
      <c r="G16223" s="199"/>
      <c r="I16223" s="199"/>
      <c r="K16223" s="199"/>
      <c r="M16223" s="199"/>
      <c r="N16223" s="200"/>
      <c r="P16223" s="199"/>
    </row>
    <row r="16224" spans="7:16" x14ac:dyDescent="0.2">
      <c r="G16224" s="199"/>
      <c r="I16224" s="199"/>
      <c r="K16224" s="199"/>
      <c r="M16224" s="199"/>
      <c r="N16224" s="200"/>
      <c r="P16224" s="199"/>
    </row>
    <row r="16225" spans="7:16" x14ac:dyDescent="0.2">
      <c r="G16225" s="199"/>
      <c r="I16225" s="199"/>
      <c r="K16225" s="199"/>
      <c r="M16225" s="199"/>
      <c r="N16225" s="200"/>
      <c r="P16225" s="199"/>
    </row>
    <row r="16226" spans="7:16" x14ac:dyDescent="0.2">
      <c r="G16226" s="199"/>
      <c r="I16226" s="199"/>
      <c r="K16226" s="199"/>
      <c r="M16226" s="199"/>
      <c r="N16226" s="200"/>
      <c r="P16226" s="199"/>
    </row>
    <row r="16227" spans="7:16" x14ac:dyDescent="0.2">
      <c r="G16227" s="199"/>
      <c r="I16227" s="199"/>
      <c r="K16227" s="199"/>
      <c r="M16227" s="199"/>
      <c r="N16227" s="200"/>
      <c r="P16227" s="199"/>
    </row>
    <row r="16228" spans="7:16" x14ac:dyDescent="0.2">
      <c r="G16228" s="199"/>
      <c r="I16228" s="199"/>
      <c r="K16228" s="199"/>
      <c r="M16228" s="199"/>
      <c r="N16228" s="200"/>
      <c r="P16228" s="199"/>
    </row>
    <row r="16229" spans="7:16" x14ac:dyDescent="0.2">
      <c r="G16229" s="199"/>
      <c r="I16229" s="199"/>
      <c r="K16229" s="199"/>
      <c r="M16229" s="199"/>
      <c r="N16229" s="200"/>
      <c r="P16229" s="199"/>
    </row>
    <row r="16230" spans="7:16" x14ac:dyDescent="0.2">
      <c r="G16230" s="199"/>
      <c r="I16230" s="199"/>
      <c r="K16230" s="199"/>
      <c r="M16230" s="199"/>
      <c r="N16230" s="200"/>
      <c r="P16230" s="199"/>
    </row>
    <row r="16231" spans="7:16" x14ac:dyDescent="0.2">
      <c r="G16231" s="199"/>
      <c r="I16231" s="199"/>
      <c r="K16231" s="199"/>
      <c r="M16231" s="199"/>
      <c r="N16231" s="200"/>
      <c r="P16231" s="199"/>
    </row>
    <row r="16232" spans="7:16" x14ac:dyDescent="0.2">
      <c r="G16232" s="199"/>
      <c r="I16232" s="199"/>
      <c r="K16232" s="199"/>
      <c r="M16232" s="199"/>
      <c r="N16232" s="200"/>
      <c r="P16232" s="199"/>
    </row>
    <row r="16233" spans="7:16" x14ac:dyDescent="0.2">
      <c r="G16233" s="199"/>
      <c r="I16233" s="199"/>
      <c r="K16233" s="199"/>
      <c r="M16233" s="199"/>
      <c r="N16233" s="200"/>
      <c r="P16233" s="199"/>
    </row>
    <row r="16234" spans="7:16" x14ac:dyDescent="0.2">
      <c r="G16234" s="199"/>
      <c r="I16234" s="199"/>
      <c r="K16234" s="199"/>
      <c r="M16234" s="199"/>
      <c r="N16234" s="200"/>
      <c r="P16234" s="199"/>
    </row>
    <row r="16235" spans="7:16" x14ac:dyDescent="0.2">
      <c r="G16235" s="199"/>
      <c r="I16235" s="199"/>
      <c r="K16235" s="199"/>
      <c r="M16235" s="199"/>
      <c r="N16235" s="200"/>
      <c r="P16235" s="199"/>
    </row>
    <row r="16236" spans="7:16" x14ac:dyDescent="0.2">
      <c r="G16236" s="199"/>
      <c r="I16236" s="199"/>
      <c r="K16236" s="199"/>
      <c r="M16236" s="199"/>
      <c r="N16236" s="200"/>
      <c r="P16236" s="199"/>
    </row>
    <row r="16237" spans="7:16" x14ac:dyDescent="0.2">
      <c r="G16237" s="199"/>
      <c r="I16237" s="199"/>
      <c r="K16237" s="199"/>
      <c r="M16237" s="199"/>
      <c r="N16237" s="200"/>
      <c r="P16237" s="199"/>
    </row>
    <row r="16238" spans="7:16" x14ac:dyDescent="0.2">
      <c r="G16238" s="199"/>
      <c r="I16238" s="199"/>
      <c r="K16238" s="199"/>
      <c r="M16238" s="199"/>
      <c r="N16238" s="200"/>
      <c r="P16238" s="199"/>
    </row>
    <row r="16239" spans="7:16" x14ac:dyDescent="0.2">
      <c r="G16239" s="199"/>
      <c r="I16239" s="199"/>
      <c r="K16239" s="199"/>
      <c r="M16239" s="199"/>
      <c r="N16239" s="200"/>
      <c r="P16239" s="199"/>
    </row>
    <row r="16240" spans="7:16" x14ac:dyDescent="0.2">
      <c r="G16240" s="199"/>
      <c r="I16240" s="199"/>
      <c r="K16240" s="199"/>
      <c r="M16240" s="199"/>
      <c r="N16240" s="200"/>
      <c r="P16240" s="199"/>
    </row>
    <row r="16241" spans="7:16" x14ac:dyDescent="0.2">
      <c r="G16241" s="199"/>
      <c r="I16241" s="199"/>
      <c r="K16241" s="199"/>
      <c r="M16241" s="199"/>
      <c r="N16241" s="200"/>
      <c r="P16241" s="199"/>
    </row>
    <row r="16242" spans="7:16" x14ac:dyDescent="0.2">
      <c r="G16242" s="199"/>
      <c r="I16242" s="199"/>
      <c r="K16242" s="199"/>
      <c r="M16242" s="199"/>
      <c r="N16242" s="200"/>
      <c r="P16242" s="199"/>
    </row>
    <row r="16243" spans="7:16" x14ac:dyDescent="0.2">
      <c r="G16243" s="199"/>
      <c r="I16243" s="199"/>
      <c r="K16243" s="199"/>
      <c r="M16243" s="199"/>
      <c r="N16243" s="200"/>
      <c r="P16243" s="199"/>
    </row>
    <row r="16244" spans="7:16" x14ac:dyDescent="0.2">
      <c r="G16244" s="199"/>
      <c r="I16244" s="199"/>
      <c r="K16244" s="199"/>
      <c r="M16244" s="199"/>
      <c r="N16244" s="200"/>
      <c r="P16244" s="199"/>
    </row>
    <row r="16245" spans="7:16" x14ac:dyDescent="0.2">
      <c r="G16245" s="199"/>
      <c r="I16245" s="199"/>
      <c r="K16245" s="199"/>
      <c r="M16245" s="199"/>
      <c r="N16245" s="200"/>
      <c r="P16245" s="199"/>
    </row>
    <row r="16246" spans="7:16" x14ac:dyDescent="0.2">
      <c r="G16246" s="199"/>
      <c r="I16246" s="199"/>
      <c r="K16246" s="199"/>
      <c r="M16246" s="199"/>
      <c r="N16246" s="200"/>
      <c r="P16246" s="199"/>
    </row>
    <row r="16247" spans="7:16" x14ac:dyDescent="0.2">
      <c r="G16247" s="199"/>
      <c r="I16247" s="199"/>
      <c r="K16247" s="199"/>
      <c r="M16247" s="199"/>
      <c r="N16247" s="200"/>
      <c r="P16247" s="199"/>
    </row>
    <row r="16248" spans="7:16" x14ac:dyDescent="0.2">
      <c r="G16248" s="199"/>
      <c r="I16248" s="199"/>
      <c r="K16248" s="199"/>
      <c r="M16248" s="199"/>
      <c r="N16248" s="200"/>
      <c r="P16248" s="199"/>
    </row>
    <row r="16249" spans="7:16" x14ac:dyDescent="0.2">
      <c r="G16249" s="199"/>
      <c r="I16249" s="199"/>
      <c r="K16249" s="199"/>
      <c r="M16249" s="199"/>
      <c r="N16249" s="200"/>
      <c r="P16249" s="199"/>
    </row>
    <row r="16250" spans="7:16" x14ac:dyDescent="0.2">
      <c r="G16250" s="199"/>
      <c r="I16250" s="199"/>
      <c r="K16250" s="199"/>
      <c r="M16250" s="199"/>
      <c r="N16250" s="200"/>
      <c r="P16250" s="199"/>
    </row>
    <row r="16251" spans="7:16" x14ac:dyDescent="0.2">
      <c r="G16251" s="199"/>
      <c r="I16251" s="199"/>
      <c r="K16251" s="199"/>
      <c r="M16251" s="199"/>
      <c r="N16251" s="200"/>
      <c r="P16251" s="199"/>
    </row>
    <row r="16252" spans="7:16" x14ac:dyDescent="0.2">
      <c r="G16252" s="199"/>
      <c r="I16252" s="199"/>
      <c r="K16252" s="199"/>
      <c r="M16252" s="199"/>
      <c r="N16252" s="200"/>
      <c r="P16252" s="199"/>
    </row>
    <row r="16253" spans="7:16" x14ac:dyDescent="0.2">
      <c r="G16253" s="199"/>
      <c r="I16253" s="199"/>
      <c r="K16253" s="199"/>
      <c r="M16253" s="199"/>
      <c r="N16253" s="200"/>
      <c r="P16253" s="199"/>
    </row>
    <row r="16254" spans="7:16" x14ac:dyDescent="0.2">
      <c r="G16254" s="199"/>
      <c r="I16254" s="199"/>
      <c r="K16254" s="199"/>
      <c r="M16254" s="199"/>
      <c r="N16254" s="200"/>
      <c r="P16254" s="199"/>
    </row>
    <row r="16255" spans="7:16" x14ac:dyDescent="0.2">
      <c r="G16255" s="199"/>
      <c r="I16255" s="199"/>
      <c r="K16255" s="199"/>
      <c r="M16255" s="199"/>
      <c r="N16255" s="200"/>
      <c r="P16255" s="199"/>
    </row>
    <row r="16256" spans="7:16" x14ac:dyDescent="0.2">
      <c r="G16256" s="199"/>
      <c r="I16256" s="199"/>
      <c r="K16256" s="199"/>
      <c r="M16256" s="199"/>
      <c r="N16256" s="200"/>
      <c r="P16256" s="199"/>
    </row>
    <row r="16257" spans="7:16" x14ac:dyDescent="0.2">
      <c r="G16257" s="199"/>
      <c r="I16257" s="199"/>
      <c r="K16257" s="199"/>
      <c r="M16257" s="199"/>
      <c r="N16257" s="200"/>
      <c r="P16257" s="199"/>
    </row>
    <row r="16258" spans="7:16" x14ac:dyDescent="0.2">
      <c r="G16258" s="199"/>
      <c r="I16258" s="199"/>
      <c r="K16258" s="199"/>
      <c r="M16258" s="199"/>
      <c r="N16258" s="200"/>
      <c r="P16258" s="199"/>
    </row>
    <row r="16259" spans="7:16" x14ac:dyDescent="0.2">
      <c r="G16259" s="199"/>
      <c r="I16259" s="199"/>
      <c r="K16259" s="199"/>
      <c r="M16259" s="199"/>
      <c r="N16259" s="200"/>
      <c r="P16259" s="199"/>
    </row>
    <row r="16260" spans="7:16" x14ac:dyDescent="0.2">
      <c r="G16260" s="199"/>
      <c r="I16260" s="199"/>
      <c r="K16260" s="199"/>
      <c r="M16260" s="199"/>
      <c r="N16260" s="200"/>
      <c r="P16260" s="199"/>
    </row>
    <row r="16261" spans="7:16" x14ac:dyDescent="0.2">
      <c r="G16261" s="199"/>
      <c r="I16261" s="199"/>
      <c r="K16261" s="199"/>
      <c r="M16261" s="199"/>
      <c r="N16261" s="200"/>
      <c r="P16261" s="199"/>
    </row>
    <row r="16262" spans="7:16" x14ac:dyDescent="0.2">
      <c r="G16262" s="199"/>
      <c r="I16262" s="199"/>
      <c r="K16262" s="199"/>
      <c r="M16262" s="199"/>
      <c r="N16262" s="200"/>
      <c r="P16262" s="199"/>
    </row>
    <row r="16263" spans="7:16" x14ac:dyDescent="0.2">
      <c r="G16263" s="199"/>
      <c r="I16263" s="199"/>
      <c r="K16263" s="199"/>
      <c r="M16263" s="199"/>
      <c r="N16263" s="200"/>
      <c r="P16263" s="199"/>
    </row>
    <row r="16264" spans="7:16" x14ac:dyDescent="0.2">
      <c r="G16264" s="199"/>
      <c r="I16264" s="199"/>
      <c r="K16264" s="199"/>
      <c r="M16264" s="199"/>
      <c r="N16264" s="200"/>
      <c r="P16264" s="199"/>
    </row>
    <row r="16265" spans="7:16" x14ac:dyDescent="0.2">
      <c r="G16265" s="199"/>
      <c r="I16265" s="199"/>
      <c r="K16265" s="199"/>
      <c r="M16265" s="199"/>
      <c r="N16265" s="200"/>
      <c r="P16265" s="199"/>
    </row>
    <row r="16266" spans="7:16" x14ac:dyDescent="0.2">
      <c r="G16266" s="199"/>
      <c r="I16266" s="199"/>
      <c r="K16266" s="199"/>
      <c r="M16266" s="199"/>
      <c r="N16266" s="200"/>
      <c r="P16266" s="199"/>
    </row>
    <row r="16267" spans="7:16" x14ac:dyDescent="0.2">
      <c r="G16267" s="199"/>
      <c r="I16267" s="199"/>
      <c r="K16267" s="199"/>
      <c r="M16267" s="199"/>
      <c r="N16267" s="200"/>
      <c r="P16267" s="199"/>
    </row>
    <row r="16268" spans="7:16" x14ac:dyDescent="0.2">
      <c r="G16268" s="199"/>
      <c r="I16268" s="199"/>
      <c r="K16268" s="199"/>
      <c r="M16268" s="199"/>
      <c r="N16268" s="200"/>
      <c r="P16268" s="199"/>
    </row>
    <row r="16269" spans="7:16" x14ac:dyDescent="0.2">
      <c r="G16269" s="199"/>
      <c r="I16269" s="199"/>
      <c r="K16269" s="199"/>
      <c r="M16269" s="199"/>
      <c r="N16269" s="200"/>
      <c r="P16269" s="199"/>
    </row>
    <row r="16270" spans="7:16" x14ac:dyDescent="0.2">
      <c r="G16270" s="199"/>
      <c r="I16270" s="199"/>
      <c r="K16270" s="199"/>
      <c r="M16270" s="199"/>
      <c r="N16270" s="200"/>
      <c r="P16270" s="199"/>
    </row>
    <row r="16271" spans="7:16" x14ac:dyDescent="0.2">
      <c r="G16271" s="199"/>
      <c r="I16271" s="199"/>
      <c r="K16271" s="199"/>
      <c r="M16271" s="199"/>
      <c r="N16271" s="200"/>
      <c r="P16271" s="199"/>
    </row>
    <row r="16272" spans="7:16" x14ac:dyDescent="0.2">
      <c r="G16272" s="199"/>
      <c r="I16272" s="199"/>
      <c r="K16272" s="199"/>
      <c r="M16272" s="199"/>
      <c r="N16272" s="200"/>
      <c r="P16272" s="199"/>
    </row>
    <row r="16273" spans="7:16" x14ac:dyDescent="0.2">
      <c r="G16273" s="199"/>
      <c r="I16273" s="199"/>
      <c r="K16273" s="199"/>
      <c r="M16273" s="199"/>
      <c r="N16273" s="200"/>
      <c r="P16273" s="199"/>
    </row>
    <row r="16274" spans="7:16" x14ac:dyDescent="0.2">
      <c r="G16274" s="199"/>
      <c r="I16274" s="199"/>
      <c r="K16274" s="199"/>
      <c r="M16274" s="199"/>
      <c r="N16274" s="200"/>
      <c r="P16274" s="199"/>
    </row>
    <row r="16275" spans="7:16" x14ac:dyDescent="0.2">
      <c r="G16275" s="199"/>
      <c r="I16275" s="199"/>
      <c r="K16275" s="199"/>
      <c r="M16275" s="199"/>
      <c r="N16275" s="200"/>
      <c r="P16275" s="199"/>
    </row>
    <row r="16276" spans="7:16" x14ac:dyDescent="0.2">
      <c r="G16276" s="199"/>
      <c r="I16276" s="199"/>
      <c r="K16276" s="199"/>
      <c r="M16276" s="199"/>
      <c r="N16276" s="200"/>
      <c r="P16276" s="199"/>
    </row>
    <row r="16277" spans="7:16" x14ac:dyDescent="0.2">
      <c r="G16277" s="199"/>
      <c r="I16277" s="199"/>
      <c r="K16277" s="199"/>
      <c r="M16277" s="199"/>
      <c r="N16277" s="200"/>
      <c r="P16277" s="199"/>
    </row>
    <row r="16278" spans="7:16" x14ac:dyDescent="0.2">
      <c r="G16278" s="199"/>
      <c r="I16278" s="199"/>
      <c r="K16278" s="199"/>
      <c r="M16278" s="199"/>
      <c r="N16278" s="200"/>
      <c r="P16278" s="199"/>
    </row>
    <row r="16279" spans="7:16" x14ac:dyDescent="0.2">
      <c r="G16279" s="199"/>
      <c r="I16279" s="199"/>
      <c r="K16279" s="199"/>
      <c r="M16279" s="199"/>
      <c r="N16279" s="200"/>
      <c r="P16279" s="199"/>
    </row>
    <row r="16280" spans="7:16" x14ac:dyDescent="0.2">
      <c r="G16280" s="199"/>
      <c r="I16280" s="199"/>
      <c r="K16280" s="199"/>
      <c r="M16280" s="199"/>
      <c r="N16280" s="200"/>
      <c r="P16280" s="199"/>
    </row>
    <row r="16281" spans="7:16" x14ac:dyDescent="0.2">
      <c r="G16281" s="199"/>
      <c r="I16281" s="199"/>
      <c r="K16281" s="199"/>
      <c r="M16281" s="199"/>
      <c r="N16281" s="200"/>
      <c r="P16281" s="199"/>
    </row>
    <row r="16282" spans="7:16" x14ac:dyDescent="0.2">
      <c r="G16282" s="199"/>
      <c r="I16282" s="199"/>
      <c r="K16282" s="199"/>
      <c r="M16282" s="199"/>
      <c r="N16282" s="200"/>
      <c r="P16282" s="199"/>
    </row>
    <row r="16283" spans="7:16" x14ac:dyDescent="0.2">
      <c r="G16283" s="199"/>
      <c r="I16283" s="199"/>
      <c r="K16283" s="199"/>
      <c r="M16283" s="199"/>
      <c r="N16283" s="200"/>
      <c r="P16283" s="199"/>
    </row>
    <row r="16284" spans="7:16" x14ac:dyDescent="0.2">
      <c r="G16284" s="199"/>
      <c r="I16284" s="199"/>
      <c r="K16284" s="199"/>
      <c r="M16284" s="199"/>
      <c r="N16284" s="200"/>
      <c r="P16284" s="199"/>
    </row>
    <row r="16285" spans="7:16" x14ac:dyDescent="0.2">
      <c r="G16285" s="199"/>
      <c r="I16285" s="199"/>
      <c r="K16285" s="199"/>
      <c r="M16285" s="199"/>
      <c r="N16285" s="200"/>
      <c r="P16285" s="199"/>
    </row>
    <row r="16286" spans="7:16" x14ac:dyDescent="0.2">
      <c r="G16286" s="199"/>
      <c r="I16286" s="199"/>
      <c r="K16286" s="199"/>
      <c r="M16286" s="199"/>
      <c r="N16286" s="200"/>
      <c r="P16286" s="199"/>
    </row>
    <row r="16287" spans="7:16" x14ac:dyDescent="0.2">
      <c r="G16287" s="199"/>
      <c r="I16287" s="199"/>
      <c r="K16287" s="199"/>
      <c r="M16287" s="199"/>
      <c r="N16287" s="200"/>
      <c r="P16287" s="199"/>
    </row>
    <row r="16288" spans="7:16" x14ac:dyDescent="0.2">
      <c r="G16288" s="199"/>
      <c r="I16288" s="199"/>
      <c r="K16288" s="199"/>
      <c r="M16288" s="199"/>
      <c r="N16288" s="200"/>
      <c r="P16288" s="199"/>
    </row>
    <row r="16289" spans="7:16" x14ac:dyDescent="0.2">
      <c r="G16289" s="199"/>
      <c r="I16289" s="199"/>
      <c r="K16289" s="199"/>
      <c r="M16289" s="199"/>
      <c r="N16289" s="200"/>
      <c r="P16289" s="199"/>
    </row>
    <row r="16290" spans="7:16" x14ac:dyDescent="0.2">
      <c r="G16290" s="199"/>
      <c r="I16290" s="199"/>
      <c r="K16290" s="199"/>
      <c r="M16290" s="199"/>
      <c r="N16290" s="200"/>
      <c r="P16290" s="199"/>
    </row>
    <row r="16291" spans="7:16" x14ac:dyDescent="0.2">
      <c r="G16291" s="199"/>
      <c r="I16291" s="199"/>
      <c r="K16291" s="199"/>
      <c r="M16291" s="199"/>
      <c r="N16291" s="200"/>
      <c r="P16291" s="199"/>
    </row>
    <row r="16292" spans="7:16" x14ac:dyDescent="0.2">
      <c r="G16292" s="199"/>
      <c r="I16292" s="199"/>
      <c r="K16292" s="199"/>
      <c r="M16292" s="199"/>
      <c r="N16292" s="200"/>
      <c r="P16292" s="199"/>
    </row>
    <row r="16293" spans="7:16" x14ac:dyDescent="0.2">
      <c r="G16293" s="199"/>
      <c r="I16293" s="199"/>
      <c r="K16293" s="199"/>
      <c r="M16293" s="199"/>
      <c r="N16293" s="200"/>
      <c r="P16293" s="199"/>
    </row>
    <row r="16294" spans="7:16" x14ac:dyDescent="0.2">
      <c r="G16294" s="199"/>
      <c r="I16294" s="199"/>
      <c r="K16294" s="199"/>
      <c r="M16294" s="199"/>
      <c r="N16294" s="200"/>
      <c r="P16294" s="199"/>
    </row>
    <row r="16295" spans="7:16" x14ac:dyDescent="0.2">
      <c r="G16295" s="199"/>
      <c r="I16295" s="199"/>
      <c r="K16295" s="199"/>
      <c r="M16295" s="199"/>
      <c r="N16295" s="200"/>
      <c r="P16295" s="199"/>
    </row>
    <row r="16296" spans="7:16" x14ac:dyDescent="0.2">
      <c r="G16296" s="199"/>
      <c r="I16296" s="199"/>
      <c r="K16296" s="199"/>
      <c r="M16296" s="199"/>
      <c r="N16296" s="200"/>
      <c r="P16296" s="199"/>
    </row>
    <row r="16297" spans="7:16" x14ac:dyDescent="0.2">
      <c r="G16297" s="199"/>
      <c r="I16297" s="199"/>
      <c r="K16297" s="199"/>
      <c r="M16297" s="199"/>
      <c r="N16297" s="200"/>
      <c r="P16297" s="199"/>
    </row>
    <row r="16298" spans="7:16" x14ac:dyDescent="0.2">
      <c r="G16298" s="199"/>
      <c r="I16298" s="199"/>
      <c r="K16298" s="199"/>
      <c r="M16298" s="199"/>
      <c r="N16298" s="200"/>
      <c r="P16298" s="199"/>
    </row>
    <row r="16299" spans="7:16" x14ac:dyDescent="0.2">
      <c r="G16299" s="199"/>
      <c r="I16299" s="199"/>
      <c r="K16299" s="199"/>
      <c r="M16299" s="199"/>
      <c r="N16299" s="200"/>
      <c r="P16299" s="199"/>
    </row>
    <row r="16300" spans="7:16" x14ac:dyDescent="0.2">
      <c r="G16300" s="199"/>
      <c r="I16300" s="199"/>
      <c r="K16300" s="199"/>
      <c r="M16300" s="199"/>
      <c r="N16300" s="200"/>
      <c r="P16300" s="199"/>
    </row>
    <row r="16301" spans="7:16" x14ac:dyDescent="0.2">
      <c r="G16301" s="199"/>
      <c r="I16301" s="199"/>
      <c r="K16301" s="199"/>
      <c r="M16301" s="199"/>
      <c r="N16301" s="200"/>
      <c r="P16301" s="199"/>
    </row>
    <row r="16302" spans="7:16" x14ac:dyDescent="0.2">
      <c r="G16302" s="199"/>
      <c r="I16302" s="199"/>
      <c r="K16302" s="199"/>
      <c r="M16302" s="199"/>
      <c r="N16302" s="200"/>
      <c r="P16302" s="199"/>
    </row>
    <row r="16303" spans="7:16" x14ac:dyDescent="0.2">
      <c r="G16303" s="199"/>
      <c r="I16303" s="199"/>
      <c r="K16303" s="199"/>
      <c r="M16303" s="199"/>
      <c r="N16303" s="200"/>
      <c r="P16303" s="199"/>
    </row>
    <row r="16304" spans="7:16" x14ac:dyDescent="0.2">
      <c r="G16304" s="199"/>
      <c r="I16304" s="199"/>
      <c r="K16304" s="199"/>
      <c r="M16304" s="199"/>
      <c r="N16304" s="200"/>
      <c r="P16304" s="199"/>
    </row>
    <row r="16305" spans="7:16" x14ac:dyDescent="0.2">
      <c r="G16305" s="199"/>
      <c r="I16305" s="199"/>
      <c r="K16305" s="199"/>
      <c r="M16305" s="199"/>
      <c r="N16305" s="200"/>
      <c r="P16305" s="199"/>
    </row>
    <row r="16306" spans="7:16" x14ac:dyDescent="0.2">
      <c r="G16306" s="199"/>
      <c r="I16306" s="199"/>
      <c r="K16306" s="199"/>
      <c r="M16306" s="199"/>
      <c r="N16306" s="200"/>
      <c r="P16306" s="199"/>
    </row>
    <row r="16307" spans="7:16" x14ac:dyDescent="0.2">
      <c r="G16307" s="199"/>
      <c r="I16307" s="199"/>
      <c r="K16307" s="199"/>
      <c r="M16307" s="199"/>
      <c r="N16307" s="200"/>
      <c r="P16307" s="199"/>
    </row>
    <row r="16308" spans="7:16" x14ac:dyDescent="0.2">
      <c r="G16308" s="199"/>
      <c r="I16308" s="199"/>
      <c r="K16308" s="199"/>
      <c r="M16308" s="199"/>
      <c r="N16308" s="200"/>
      <c r="P16308" s="199"/>
    </row>
    <row r="16309" spans="7:16" x14ac:dyDescent="0.2">
      <c r="G16309" s="199"/>
      <c r="I16309" s="199"/>
      <c r="K16309" s="199"/>
      <c r="M16309" s="199"/>
      <c r="N16309" s="200"/>
      <c r="P16309" s="199"/>
    </row>
    <row r="16310" spans="7:16" x14ac:dyDescent="0.2">
      <c r="G16310" s="199"/>
      <c r="I16310" s="199"/>
      <c r="K16310" s="199"/>
      <c r="M16310" s="199"/>
      <c r="N16310" s="200"/>
      <c r="P16310" s="199"/>
    </row>
    <row r="16311" spans="7:16" x14ac:dyDescent="0.2">
      <c r="G16311" s="199"/>
      <c r="I16311" s="199"/>
      <c r="K16311" s="199"/>
      <c r="M16311" s="199"/>
      <c r="N16311" s="200"/>
      <c r="P16311" s="199"/>
    </row>
    <row r="16312" spans="7:16" x14ac:dyDescent="0.2">
      <c r="G16312" s="199"/>
      <c r="I16312" s="199"/>
      <c r="K16312" s="199"/>
      <c r="M16312" s="199"/>
      <c r="N16312" s="200"/>
      <c r="P16312" s="199"/>
    </row>
    <row r="16313" spans="7:16" x14ac:dyDescent="0.2">
      <c r="G16313" s="199"/>
      <c r="I16313" s="199"/>
      <c r="K16313" s="199"/>
      <c r="M16313" s="199"/>
      <c r="N16313" s="200"/>
      <c r="P16313" s="199"/>
    </row>
    <row r="16314" spans="7:16" x14ac:dyDescent="0.2">
      <c r="G16314" s="199"/>
      <c r="I16314" s="199"/>
      <c r="K16314" s="199"/>
      <c r="M16314" s="199"/>
      <c r="N16314" s="200"/>
      <c r="P16314" s="199"/>
    </row>
    <row r="16315" spans="7:16" x14ac:dyDescent="0.2">
      <c r="G16315" s="199"/>
      <c r="I16315" s="199"/>
      <c r="K16315" s="199"/>
      <c r="M16315" s="199"/>
      <c r="N16315" s="200"/>
      <c r="P16315" s="199"/>
    </row>
    <row r="16316" spans="7:16" x14ac:dyDescent="0.2">
      <c r="G16316" s="199"/>
      <c r="I16316" s="199"/>
      <c r="K16316" s="199"/>
      <c r="M16316" s="199"/>
      <c r="N16316" s="200"/>
      <c r="P16316" s="199"/>
    </row>
    <row r="16317" spans="7:16" x14ac:dyDescent="0.2">
      <c r="G16317" s="199"/>
      <c r="I16317" s="199"/>
      <c r="K16317" s="199"/>
      <c r="M16317" s="199"/>
      <c r="N16317" s="200"/>
      <c r="P16317" s="199"/>
    </row>
    <row r="16318" spans="7:16" x14ac:dyDescent="0.2">
      <c r="G16318" s="199"/>
      <c r="I16318" s="199"/>
      <c r="K16318" s="199"/>
      <c r="M16318" s="199"/>
      <c r="N16318" s="200"/>
      <c r="P16318" s="199"/>
    </row>
    <row r="16319" spans="7:16" x14ac:dyDescent="0.2">
      <c r="G16319" s="199"/>
      <c r="I16319" s="199"/>
      <c r="K16319" s="199"/>
      <c r="M16319" s="199"/>
      <c r="N16319" s="200"/>
      <c r="P16319" s="199"/>
    </row>
    <row r="16320" spans="7:16" x14ac:dyDescent="0.2">
      <c r="G16320" s="199"/>
      <c r="I16320" s="199"/>
      <c r="K16320" s="199"/>
      <c r="M16320" s="199"/>
      <c r="N16320" s="200"/>
      <c r="P16320" s="199"/>
    </row>
    <row r="16321" spans="7:16" x14ac:dyDescent="0.2">
      <c r="G16321" s="199"/>
      <c r="I16321" s="199"/>
      <c r="K16321" s="199"/>
      <c r="M16321" s="199"/>
      <c r="N16321" s="200"/>
      <c r="P16321" s="199"/>
    </row>
    <row r="16322" spans="7:16" x14ac:dyDescent="0.2">
      <c r="G16322" s="199"/>
      <c r="I16322" s="199"/>
      <c r="K16322" s="199"/>
      <c r="M16322" s="199"/>
      <c r="N16322" s="200"/>
      <c r="P16322" s="199"/>
    </row>
    <row r="16323" spans="7:16" x14ac:dyDescent="0.2">
      <c r="G16323" s="199"/>
      <c r="I16323" s="199"/>
      <c r="K16323" s="199"/>
      <c r="M16323" s="199"/>
      <c r="N16323" s="200"/>
      <c r="P16323" s="199"/>
    </row>
    <row r="16324" spans="7:16" x14ac:dyDescent="0.2">
      <c r="G16324" s="199"/>
      <c r="I16324" s="199"/>
      <c r="K16324" s="199"/>
      <c r="M16324" s="199"/>
      <c r="N16324" s="200"/>
      <c r="P16324" s="199"/>
    </row>
    <row r="16325" spans="7:16" x14ac:dyDescent="0.2">
      <c r="G16325" s="199"/>
      <c r="I16325" s="199"/>
      <c r="K16325" s="199"/>
      <c r="M16325" s="199"/>
      <c r="N16325" s="200"/>
      <c r="P16325" s="199"/>
    </row>
    <row r="16326" spans="7:16" x14ac:dyDescent="0.2">
      <c r="G16326" s="199"/>
      <c r="I16326" s="199"/>
      <c r="K16326" s="199"/>
      <c r="M16326" s="199"/>
      <c r="N16326" s="200"/>
      <c r="P16326" s="199"/>
    </row>
    <row r="16327" spans="7:16" x14ac:dyDescent="0.2">
      <c r="G16327" s="199"/>
      <c r="I16327" s="199"/>
      <c r="K16327" s="199"/>
      <c r="M16327" s="199"/>
      <c r="N16327" s="200"/>
      <c r="P16327" s="199"/>
    </row>
    <row r="16328" spans="7:16" x14ac:dyDescent="0.2">
      <c r="G16328" s="199"/>
      <c r="I16328" s="199"/>
      <c r="K16328" s="199"/>
      <c r="M16328" s="199"/>
      <c r="N16328" s="200"/>
      <c r="P16328" s="199"/>
    </row>
    <row r="16329" spans="7:16" x14ac:dyDescent="0.2">
      <c r="G16329" s="199"/>
      <c r="I16329" s="199"/>
      <c r="K16329" s="199"/>
      <c r="M16329" s="199"/>
      <c r="N16329" s="200"/>
      <c r="P16329" s="199"/>
    </row>
    <row r="16330" spans="7:16" x14ac:dyDescent="0.2">
      <c r="G16330" s="199"/>
      <c r="I16330" s="199"/>
      <c r="K16330" s="199"/>
      <c r="M16330" s="199"/>
      <c r="N16330" s="200"/>
      <c r="P16330" s="199"/>
    </row>
    <row r="16331" spans="7:16" x14ac:dyDescent="0.2">
      <c r="G16331" s="199"/>
      <c r="I16331" s="199"/>
      <c r="K16331" s="199"/>
      <c r="M16331" s="199"/>
      <c r="N16331" s="200"/>
      <c r="P16331" s="199"/>
    </row>
    <row r="16332" spans="7:16" x14ac:dyDescent="0.2">
      <c r="G16332" s="199"/>
      <c r="I16332" s="199"/>
      <c r="K16332" s="199"/>
      <c r="M16332" s="199"/>
      <c r="N16332" s="200"/>
      <c r="P16332" s="199"/>
    </row>
    <row r="16333" spans="7:16" x14ac:dyDescent="0.2">
      <c r="G16333" s="199"/>
      <c r="I16333" s="199"/>
      <c r="K16333" s="199"/>
      <c r="M16333" s="199"/>
      <c r="N16333" s="200"/>
      <c r="P16333" s="199"/>
    </row>
    <row r="16334" spans="7:16" x14ac:dyDescent="0.2">
      <c r="G16334" s="199"/>
      <c r="I16334" s="199"/>
      <c r="K16334" s="199"/>
      <c r="M16334" s="199"/>
      <c r="N16334" s="200"/>
      <c r="P16334" s="199"/>
    </row>
    <row r="16335" spans="7:16" x14ac:dyDescent="0.2">
      <c r="G16335" s="199"/>
      <c r="I16335" s="199"/>
      <c r="K16335" s="199"/>
      <c r="M16335" s="199"/>
      <c r="N16335" s="200"/>
      <c r="P16335" s="199"/>
    </row>
    <row r="16336" spans="7:16" x14ac:dyDescent="0.2">
      <c r="G16336" s="199"/>
      <c r="I16336" s="199"/>
      <c r="K16336" s="199"/>
      <c r="M16336" s="199"/>
      <c r="N16336" s="200"/>
      <c r="P16336" s="199"/>
    </row>
    <row r="16337" spans="7:16" x14ac:dyDescent="0.2">
      <c r="G16337" s="199"/>
      <c r="I16337" s="199"/>
      <c r="K16337" s="199"/>
      <c r="M16337" s="199"/>
      <c r="N16337" s="200"/>
      <c r="P16337" s="199"/>
    </row>
    <row r="16338" spans="7:16" x14ac:dyDescent="0.2">
      <c r="G16338" s="199"/>
      <c r="I16338" s="199"/>
      <c r="K16338" s="199"/>
      <c r="M16338" s="199"/>
      <c r="N16338" s="200"/>
      <c r="P16338" s="199"/>
    </row>
    <row r="16339" spans="7:16" x14ac:dyDescent="0.2">
      <c r="G16339" s="199"/>
      <c r="I16339" s="199"/>
      <c r="K16339" s="199"/>
      <c r="M16339" s="199"/>
      <c r="N16339" s="200"/>
      <c r="P16339" s="199"/>
    </row>
    <row r="16340" spans="7:16" x14ac:dyDescent="0.2">
      <c r="G16340" s="199"/>
      <c r="I16340" s="199"/>
      <c r="K16340" s="199"/>
      <c r="M16340" s="199"/>
      <c r="N16340" s="200"/>
      <c r="P16340" s="199"/>
    </row>
    <row r="16341" spans="7:16" x14ac:dyDescent="0.2">
      <c r="G16341" s="199"/>
      <c r="I16341" s="199"/>
      <c r="K16341" s="199"/>
      <c r="M16341" s="199"/>
      <c r="N16341" s="200"/>
      <c r="P16341" s="199"/>
    </row>
    <row r="16342" spans="7:16" x14ac:dyDescent="0.2">
      <c r="G16342" s="199"/>
      <c r="I16342" s="199"/>
      <c r="K16342" s="199"/>
      <c r="M16342" s="199"/>
      <c r="N16342" s="200"/>
      <c r="P16342" s="199"/>
    </row>
    <row r="16343" spans="7:16" x14ac:dyDescent="0.2">
      <c r="G16343" s="199"/>
      <c r="I16343" s="199"/>
      <c r="K16343" s="199"/>
      <c r="M16343" s="199"/>
      <c r="N16343" s="200"/>
      <c r="P16343" s="199"/>
    </row>
    <row r="16344" spans="7:16" x14ac:dyDescent="0.2">
      <c r="G16344" s="199"/>
      <c r="I16344" s="199"/>
      <c r="K16344" s="199"/>
      <c r="M16344" s="199"/>
      <c r="N16344" s="200"/>
      <c r="P16344" s="199"/>
    </row>
    <row r="16345" spans="7:16" x14ac:dyDescent="0.2">
      <c r="G16345" s="199"/>
      <c r="I16345" s="199"/>
      <c r="K16345" s="199"/>
      <c r="M16345" s="199"/>
      <c r="N16345" s="200"/>
      <c r="P16345" s="199"/>
    </row>
    <row r="16346" spans="7:16" x14ac:dyDescent="0.2">
      <c r="G16346" s="199"/>
      <c r="I16346" s="199"/>
      <c r="K16346" s="199"/>
      <c r="M16346" s="199"/>
      <c r="N16346" s="200"/>
      <c r="P16346" s="199"/>
    </row>
    <row r="16347" spans="7:16" x14ac:dyDescent="0.2">
      <c r="G16347" s="199"/>
      <c r="I16347" s="199"/>
      <c r="K16347" s="199"/>
      <c r="M16347" s="199"/>
      <c r="N16347" s="200"/>
      <c r="P16347" s="199"/>
    </row>
    <row r="16348" spans="7:16" x14ac:dyDescent="0.2">
      <c r="G16348" s="199"/>
      <c r="I16348" s="199"/>
      <c r="K16348" s="199"/>
      <c r="M16348" s="199"/>
      <c r="N16348" s="200"/>
      <c r="P16348" s="199"/>
    </row>
    <row r="16349" spans="7:16" x14ac:dyDescent="0.2">
      <c r="G16349" s="199"/>
      <c r="I16349" s="199"/>
      <c r="K16349" s="199"/>
      <c r="M16349" s="199"/>
      <c r="N16349" s="200"/>
      <c r="P16349" s="199"/>
    </row>
    <row r="16350" spans="7:16" x14ac:dyDescent="0.2">
      <c r="G16350" s="199"/>
      <c r="I16350" s="199"/>
      <c r="K16350" s="199"/>
      <c r="M16350" s="199"/>
      <c r="N16350" s="200"/>
      <c r="P16350" s="199"/>
    </row>
    <row r="16351" spans="7:16" x14ac:dyDescent="0.2">
      <c r="G16351" s="199"/>
      <c r="I16351" s="199"/>
      <c r="K16351" s="199"/>
      <c r="M16351" s="199"/>
      <c r="N16351" s="200"/>
      <c r="P16351" s="199"/>
    </row>
    <row r="16352" spans="7:16" x14ac:dyDescent="0.2">
      <c r="G16352" s="199"/>
      <c r="I16352" s="199"/>
      <c r="K16352" s="199"/>
      <c r="M16352" s="199"/>
      <c r="N16352" s="200"/>
      <c r="P16352" s="199"/>
    </row>
    <row r="16353" spans="7:16" x14ac:dyDescent="0.2">
      <c r="G16353" s="199"/>
      <c r="I16353" s="199"/>
      <c r="K16353" s="199"/>
      <c r="M16353" s="199"/>
      <c r="N16353" s="200"/>
      <c r="P16353" s="199"/>
    </row>
    <row r="16354" spans="7:16" x14ac:dyDescent="0.2">
      <c r="G16354" s="199"/>
      <c r="I16354" s="199"/>
      <c r="K16354" s="199"/>
      <c r="M16354" s="199"/>
      <c r="N16354" s="200"/>
      <c r="P16354" s="199"/>
    </row>
    <row r="16355" spans="7:16" x14ac:dyDescent="0.2">
      <c r="G16355" s="199"/>
      <c r="I16355" s="199"/>
      <c r="K16355" s="199"/>
      <c r="M16355" s="199"/>
      <c r="N16355" s="200"/>
      <c r="P16355" s="199"/>
    </row>
    <row r="16356" spans="7:16" x14ac:dyDescent="0.2">
      <c r="G16356" s="199"/>
      <c r="I16356" s="199"/>
      <c r="K16356" s="199"/>
      <c r="M16356" s="199"/>
      <c r="N16356" s="200"/>
      <c r="P16356" s="199"/>
    </row>
    <row r="16357" spans="7:16" x14ac:dyDescent="0.2">
      <c r="G16357" s="199"/>
      <c r="I16357" s="199"/>
      <c r="K16357" s="199"/>
      <c r="M16357" s="199"/>
      <c r="N16357" s="200"/>
      <c r="P16357" s="199"/>
    </row>
    <row r="16358" spans="7:16" x14ac:dyDescent="0.2">
      <c r="G16358" s="199"/>
      <c r="I16358" s="199"/>
      <c r="K16358" s="199"/>
      <c r="M16358" s="199"/>
      <c r="N16358" s="200"/>
      <c r="P16358" s="199"/>
    </row>
    <row r="16359" spans="7:16" x14ac:dyDescent="0.2">
      <c r="G16359" s="199"/>
      <c r="I16359" s="199"/>
      <c r="K16359" s="199"/>
      <c r="M16359" s="199"/>
      <c r="N16359" s="200"/>
      <c r="P16359" s="199"/>
    </row>
    <row r="16360" spans="7:16" x14ac:dyDescent="0.2">
      <c r="G16360" s="199"/>
      <c r="I16360" s="199"/>
      <c r="K16360" s="199"/>
      <c r="M16360" s="199"/>
      <c r="N16360" s="200"/>
      <c r="P16360" s="199"/>
    </row>
    <row r="16361" spans="7:16" x14ac:dyDescent="0.2">
      <c r="G16361" s="199"/>
      <c r="I16361" s="199"/>
      <c r="K16361" s="199"/>
      <c r="M16361" s="199"/>
      <c r="N16361" s="200"/>
      <c r="P16361" s="199"/>
    </row>
    <row r="16362" spans="7:16" x14ac:dyDescent="0.2">
      <c r="G16362" s="199"/>
      <c r="I16362" s="199"/>
      <c r="K16362" s="199"/>
      <c r="M16362" s="199"/>
      <c r="N16362" s="200"/>
      <c r="P16362" s="199"/>
    </row>
    <row r="16363" spans="7:16" x14ac:dyDescent="0.2">
      <c r="G16363" s="199"/>
      <c r="I16363" s="199"/>
      <c r="K16363" s="199"/>
      <c r="M16363" s="199"/>
      <c r="N16363" s="200"/>
      <c r="P16363" s="199"/>
    </row>
    <row r="16364" spans="7:16" x14ac:dyDescent="0.2">
      <c r="G16364" s="199"/>
      <c r="I16364" s="199"/>
      <c r="K16364" s="199"/>
      <c r="M16364" s="199"/>
      <c r="N16364" s="200"/>
      <c r="P16364" s="199"/>
    </row>
    <row r="16365" spans="7:16" x14ac:dyDescent="0.2">
      <c r="G16365" s="199"/>
      <c r="I16365" s="199"/>
      <c r="K16365" s="199"/>
      <c r="M16365" s="199"/>
      <c r="N16365" s="200"/>
      <c r="P16365" s="199"/>
    </row>
    <row r="16366" spans="7:16" x14ac:dyDescent="0.2">
      <c r="G16366" s="199"/>
      <c r="I16366" s="199"/>
      <c r="K16366" s="199"/>
      <c r="M16366" s="199"/>
      <c r="N16366" s="200"/>
      <c r="P16366" s="199"/>
    </row>
    <row r="16367" spans="7:16" x14ac:dyDescent="0.2">
      <c r="G16367" s="199"/>
      <c r="I16367" s="199"/>
      <c r="K16367" s="199"/>
      <c r="M16367" s="199"/>
      <c r="N16367" s="200"/>
      <c r="P16367" s="199"/>
    </row>
    <row r="16368" spans="7:16" x14ac:dyDescent="0.2">
      <c r="G16368" s="199"/>
      <c r="I16368" s="199"/>
      <c r="K16368" s="199"/>
      <c r="M16368" s="199"/>
      <c r="N16368" s="200"/>
      <c r="P16368" s="199"/>
    </row>
    <row r="16369" spans="7:16" x14ac:dyDescent="0.2">
      <c r="G16369" s="199"/>
      <c r="I16369" s="199"/>
      <c r="K16369" s="199"/>
      <c r="M16369" s="199"/>
      <c r="N16369" s="200"/>
      <c r="P16369" s="199"/>
    </row>
    <row r="16370" spans="7:16" x14ac:dyDescent="0.2">
      <c r="G16370" s="199"/>
      <c r="I16370" s="199"/>
      <c r="K16370" s="199"/>
      <c r="M16370" s="199"/>
      <c r="N16370" s="200"/>
      <c r="P16370" s="199"/>
    </row>
    <row r="16371" spans="7:16" x14ac:dyDescent="0.2">
      <c r="G16371" s="199"/>
      <c r="I16371" s="199"/>
      <c r="K16371" s="199"/>
      <c r="M16371" s="199"/>
      <c r="N16371" s="200"/>
      <c r="P16371" s="199"/>
    </row>
    <row r="16372" spans="7:16" x14ac:dyDescent="0.2">
      <c r="G16372" s="199"/>
      <c r="I16372" s="199"/>
      <c r="K16372" s="199"/>
      <c r="M16372" s="199"/>
      <c r="N16372" s="200"/>
      <c r="P16372" s="199"/>
    </row>
    <row r="16373" spans="7:16" x14ac:dyDescent="0.2">
      <c r="G16373" s="199"/>
      <c r="I16373" s="199"/>
      <c r="K16373" s="199"/>
      <c r="M16373" s="199"/>
      <c r="N16373" s="200"/>
      <c r="P16373" s="199"/>
    </row>
    <row r="16374" spans="7:16" x14ac:dyDescent="0.2">
      <c r="G16374" s="199"/>
      <c r="I16374" s="199"/>
      <c r="K16374" s="199"/>
      <c r="M16374" s="199"/>
      <c r="N16374" s="200"/>
      <c r="P16374" s="199"/>
    </row>
    <row r="16375" spans="7:16" x14ac:dyDescent="0.2">
      <c r="G16375" s="199"/>
      <c r="I16375" s="199"/>
      <c r="K16375" s="199"/>
      <c r="M16375" s="199"/>
      <c r="N16375" s="200"/>
      <c r="P16375" s="199"/>
    </row>
    <row r="16376" spans="7:16" x14ac:dyDescent="0.2">
      <c r="G16376" s="199"/>
      <c r="I16376" s="199"/>
      <c r="K16376" s="199"/>
      <c r="M16376" s="199"/>
      <c r="N16376" s="200"/>
      <c r="P16376" s="199"/>
    </row>
    <row r="16377" spans="7:16" x14ac:dyDescent="0.2">
      <c r="G16377" s="199"/>
      <c r="I16377" s="199"/>
      <c r="K16377" s="199"/>
      <c r="M16377" s="199"/>
      <c r="N16377" s="200"/>
      <c r="P16377" s="199"/>
    </row>
    <row r="16378" spans="7:16" x14ac:dyDescent="0.2">
      <c r="G16378" s="199"/>
      <c r="I16378" s="199"/>
      <c r="K16378" s="199"/>
      <c r="M16378" s="199"/>
      <c r="N16378" s="200"/>
      <c r="P16378" s="199"/>
    </row>
    <row r="16379" spans="7:16" x14ac:dyDescent="0.2">
      <c r="G16379" s="199"/>
      <c r="I16379" s="199"/>
      <c r="K16379" s="199"/>
      <c r="M16379" s="199"/>
      <c r="N16379" s="200"/>
      <c r="P16379" s="199"/>
    </row>
    <row r="16380" spans="7:16" x14ac:dyDescent="0.2">
      <c r="G16380" s="199"/>
      <c r="I16380" s="199"/>
      <c r="K16380" s="199"/>
      <c r="M16380" s="199"/>
      <c r="N16380" s="200"/>
      <c r="P16380" s="199"/>
    </row>
    <row r="16381" spans="7:16" x14ac:dyDescent="0.2">
      <c r="G16381" s="199"/>
      <c r="I16381" s="199"/>
      <c r="K16381" s="199"/>
      <c r="M16381" s="199"/>
      <c r="N16381" s="200"/>
      <c r="P16381" s="199"/>
    </row>
    <row r="16382" spans="7:16" x14ac:dyDescent="0.2">
      <c r="G16382" s="199"/>
      <c r="I16382" s="199"/>
      <c r="K16382" s="199"/>
      <c r="M16382" s="199"/>
      <c r="N16382" s="200"/>
      <c r="P16382" s="199"/>
    </row>
    <row r="16383" spans="7:16" x14ac:dyDescent="0.2">
      <c r="G16383" s="199"/>
      <c r="I16383" s="199"/>
      <c r="K16383" s="199"/>
      <c r="M16383" s="199"/>
      <c r="N16383" s="200"/>
      <c r="P16383" s="199"/>
    </row>
    <row r="16384" spans="7:16" x14ac:dyDescent="0.2">
      <c r="G16384" s="199"/>
      <c r="I16384" s="199"/>
      <c r="K16384" s="199"/>
      <c r="M16384" s="199"/>
      <c r="N16384" s="200"/>
      <c r="P16384" s="199"/>
    </row>
    <row r="16385" spans="7:16" x14ac:dyDescent="0.2">
      <c r="G16385" s="199"/>
      <c r="I16385" s="199"/>
      <c r="K16385" s="199"/>
      <c r="M16385" s="199"/>
      <c r="N16385" s="200"/>
      <c r="P16385" s="199"/>
    </row>
    <row r="16386" spans="7:16" x14ac:dyDescent="0.2">
      <c r="G16386" s="199"/>
      <c r="I16386" s="199"/>
      <c r="K16386" s="199"/>
      <c r="M16386" s="199"/>
      <c r="N16386" s="200"/>
      <c r="P16386" s="199"/>
    </row>
    <row r="16387" spans="7:16" x14ac:dyDescent="0.2">
      <c r="G16387" s="199"/>
      <c r="I16387" s="199"/>
      <c r="K16387" s="199"/>
      <c r="M16387" s="199"/>
      <c r="N16387" s="200"/>
      <c r="P16387" s="199"/>
    </row>
    <row r="16388" spans="7:16" x14ac:dyDescent="0.2">
      <c r="G16388" s="199"/>
      <c r="I16388" s="199"/>
      <c r="K16388" s="199"/>
      <c r="M16388" s="199"/>
      <c r="N16388" s="200"/>
      <c r="P16388" s="199"/>
    </row>
    <row r="16389" spans="7:16" x14ac:dyDescent="0.2">
      <c r="G16389" s="199"/>
      <c r="I16389" s="199"/>
      <c r="K16389" s="199"/>
      <c r="M16389" s="199"/>
      <c r="N16389" s="200"/>
      <c r="P16389" s="199"/>
    </row>
    <row r="16390" spans="7:16" x14ac:dyDescent="0.2">
      <c r="G16390" s="199"/>
      <c r="I16390" s="199"/>
      <c r="K16390" s="199"/>
      <c r="M16390" s="199"/>
      <c r="N16390" s="200"/>
      <c r="P16390" s="199"/>
    </row>
    <row r="16391" spans="7:16" x14ac:dyDescent="0.2">
      <c r="G16391" s="199"/>
      <c r="I16391" s="199"/>
      <c r="K16391" s="199"/>
      <c r="M16391" s="199"/>
      <c r="N16391" s="200"/>
      <c r="P16391" s="199"/>
    </row>
    <row r="16392" spans="7:16" x14ac:dyDescent="0.2">
      <c r="G16392" s="199"/>
      <c r="I16392" s="199"/>
      <c r="K16392" s="199"/>
      <c r="M16392" s="199"/>
      <c r="N16392" s="200"/>
      <c r="P16392" s="199"/>
    </row>
    <row r="16393" spans="7:16" x14ac:dyDescent="0.2">
      <c r="G16393" s="199"/>
      <c r="I16393" s="199"/>
      <c r="K16393" s="199"/>
      <c r="M16393" s="199"/>
      <c r="N16393" s="200"/>
      <c r="P16393" s="199"/>
    </row>
    <row r="16394" spans="7:16" x14ac:dyDescent="0.2">
      <c r="G16394" s="199"/>
      <c r="I16394" s="199"/>
      <c r="K16394" s="199"/>
      <c r="M16394" s="199"/>
      <c r="N16394" s="200"/>
      <c r="P16394" s="199"/>
    </row>
    <row r="16395" spans="7:16" x14ac:dyDescent="0.2">
      <c r="G16395" s="199"/>
      <c r="I16395" s="199"/>
      <c r="K16395" s="199"/>
      <c r="M16395" s="199"/>
      <c r="N16395" s="200"/>
      <c r="P16395" s="199"/>
    </row>
    <row r="16396" spans="7:16" x14ac:dyDescent="0.2">
      <c r="G16396" s="199"/>
      <c r="I16396" s="199"/>
      <c r="K16396" s="199"/>
      <c r="M16396" s="199"/>
      <c r="N16396" s="200"/>
      <c r="P16396" s="199"/>
    </row>
    <row r="16397" spans="7:16" x14ac:dyDescent="0.2">
      <c r="G16397" s="199"/>
      <c r="I16397" s="199"/>
      <c r="K16397" s="199"/>
      <c r="M16397" s="199"/>
      <c r="N16397" s="200"/>
      <c r="P16397" s="199"/>
    </row>
    <row r="16398" spans="7:16" x14ac:dyDescent="0.2">
      <c r="G16398" s="199"/>
      <c r="I16398" s="199"/>
      <c r="K16398" s="199"/>
      <c r="M16398" s="199"/>
      <c r="N16398" s="200"/>
      <c r="P16398" s="199"/>
    </row>
    <row r="16399" spans="7:16" x14ac:dyDescent="0.2">
      <c r="G16399" s="199"/>
      <c r="I16399" s="199"/>
      <c r="K16399" s="199"/>
      <c r="M16399" s="199"/>
      <c r="N16399" s="200"/>
      <c r="P16399" s="199"/>
    </row>
    <row r="16400" spans="7:16" x14ac:dyDescent="0.2">
      <c r="G16400" s="199"/>
      <c r="I16400" s="199"/>
      <c r="K16400" s="199"/>
      <c r="M16400" s="199"/>
      <c r="N16400" s="200"/>
      <c r="P16400" s="199"/>
    </row>
    <row r="16401" spans="7:16" x14ac:dyDescent="0.2">
      <c r="G16401" s="199"/>
      <c r="I16401" s="199"/>
      <c r="K16401" s="199"/>
      <c r="M16401" s="199"/>
      <c r="N16401" s="200"/>
      <c r="P16401" s="199"/>
    </row>
    <row r="16402" spans="7:16" x14ac:dyDescent="0.2">
      <c r="G16402" s="199"/>
      <c r="I16402" s="199"/>
      <c r="K16402" s="199"/>
      <c r="M16402" s="199"/>
      <c r="N16402" s="200"/>
      <c r="P16402" s="199"/>
    </row>
    <row r="16403" spans="7:16" x14ac:dyDescent="0.2">
      <c r="G16403" s="199"/>
      <c r="I16403" s="199"/>
      <c r="K16403" s="199"/>
      <c r="M16403" s="199"/>
      <c r="N16403" s="200"/>
      <c r="P16403" s="199"/>
    </row>
    <row r="16404" spans="7:16" x14ac:dyDescent="0.2">
      <c r="G16404" s="199"/>
      <c r="I16404" s="199"/>
      <c r="K16404" s="199"/>
      <c r="M16404" s="199"/>
      <c r="N16404" s="200"/>
      <c r="P16404" s="199"/>
    </row>
    <row r="16405" spans="7:16" x14ac:dyDescent="0.2">
      <c r="G16405" s="199"/>
      <c r="I16405" s="199"/>
      <c r="K16405" s="199"/>
      <c r="M16405" s="199"/>
      <c r="N16405" s="200"/>
      <c r="P16405" s="199"/>
    </row>
    <row r="16406" spans="7:16" x14ac:dyDescent="0.2">
      <c r="G16406" s="199"/>
      <c r="I16406" s="199"/>
      <c r="K16406" s="199"/>
      <c r="M16406" s="199"/>
      <c r="N16406" s="200"/>
      <c r="P16406" s="199"/>
    </row>
    <row r="16407" spans="7:16" x14ac:dyDescent="0.2">
      <c r="G16407" s="199"/>
      <c r="I16407" s="199"/>
      <c r="K16407" s="199"/>
      <c r="M16407" s="199"/>
      <c r="N16407" s="200"/>
      <c r="P16407" s="199"/>
    </row>
    <row r="16408" spans="7:16" x14ac:dyDescent="0.2">
      <c r="G16408" s="199"/>
      <c r="I16408" s="199"/>
      <c r="K16408" s="199"/>
      <c r="M16408" s="199"/>
      <c r="N16408" s="200"/>
      <c r="P16408" s="199"/>
    </row>
    <row r="16409" spans="7:16" x14ac:dyDescent="0.2">
      <c r="G16409" s="199"/>
      <c r="I16409" s="199"/>
      <c r="K16409" s="199"/>
      <c r="M16409" s="199"/>
      <c r="N16409" s="200"/>
      <c r="P16409" s="199"/>
    </row>
    <row r="16410" spans="7:16" x14ac:dyDescent="0.2">
      <c r="G16410" s="199"/>
      <c r="I16410" s="199"/>
      <c r="K16410" s="199"/>
      <c r="M16410" s="199"/>
      <c r="N16410" s="200"/>
      <c r="P16410" s="199"/>
    </row>
    <row r="16411" spans="7:16" x14ac:dyDescent="0.2">
      <c r="G16411" s="199"/>
      <c r="I16411" s="199"/>
      <c r="K16411" s="199"/>
      <c r="M16411" s="199"/>
      <c r="N16411" s="200"/>
      <c r="P16411" s="199"/>
    </row>
    <row r="16412" spans="7:16" x14ac:dyDescent="0.2">
      <c r="G16412" s="199"/>
      <c r="I16412" s="199"/>
      <c r="K16412" s="199"/>
      <c r="M16412" s="199"/>
      <c r="N16412" s="200"/>
      <c r="P16412" s="199"/>
    </row>
    <row r="16413" spans="7:16" x14ac:dyDescent="0.2">
      <c r="G16413" s="199"/>
      <c r="I16413" s="199"/>
      <c r="K16413" s="199"/>
      <c r="M16413" s="199"/>
      <c r="N16413" s="200"/>
      <c r="P16413" s="199"/>
    </row>
    <row r="16414" spans="7:16" x14ac:dyDescent="0.2">
      <c r="G16414" s="199"/>
      <c r="I16414" s="199"/>
      <c r="K16414" s="199"/>
      <c r="M16414" s="199"/>
      <c r="N16414" s="200"/>
      <c r="P16414" s="199"/>
    </row>
    <row r="16415" spans="7:16" x14ac:dyDescent="0.2">
      <c r="G16415" s="199"/>
      <c r="I16415" s="199"/>
      <c r="K16415" s="199"/>
      <c r="M16415" s="199"/>
      <c r="N16415" s="200"/>
      <c r="P16415" s="199"/>
    </row>
    <row r="16416" spans="7:16" x14ac:dyDescent="0.2">
      <c r="G16416" s="199"/>
      <c r="I16416" s="199"/>
      <c r="K16416" s="199"/>
      <c r="M16416" s="199"/>
      <c r="N16416" s="200"/>
      <c r="P16416" s="199"/>
    </row>
    <row r="16417" spans="7:16" x14ac:dyDescent="0.2">
      <c r="G16417" s="199"/>
      <c r="I16417" s="199"/>
      <c r="K16417" s="199"/>
      <c r="M16417" s="199"/>
      <c r="N16417" s="200"/>
      <c r="P16417" s="199"/>
    </row>
    <row r="16418" spans="7:16" x14ac:dyDescent="0.2">
      <c r="G16418" s="199"/>
      <c r="I16418" s="199"/>
      <c r="K16418" s="199"/>
      <c r="M16418" s="199"/>
      <c r="N16418" s="200"/>
      <c r="P16418" s="199"/>
    </row>
  </sheetData>
  <mergeCells count="3">
    <mergeCell ref="C4:E4"/>
    <mergeCell ref="A6:A57"/>
    <mergeCell ref="A58:A10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A114-B3FD-AC41-B9AC-F1AF443A2E5D}">
  <dimension ref="A1:Y51"/>
  <sheetViews>
    <sheetView zoomScale="107" workbookViewId="0">
      <selection activeCell="I22" sqref="I22"/>
    </sheetView>
  </sheetViews>
  <sheetFormatPr baseColWidth="10" defaultRowHeight="16" x14ac:dyDescent="0.2"/>
  <cols>
    <col min="1" max="1" width="17.5" style="131" bestFit="1" customWidth="1"/>
    <col min="2" max="2" width="18.6640625" style="131" customWidth="1"/>
    <col min="3" max="3" width="10.83203125" style="131"/>
    <col min="4" max="4" width="11.83203125" style="131" bestFit="1" customWidth="1"/>
    <col min="5" max="19" width="10.83203125" style="131"/>
    <col min="20" max="20" width="12.1640625" style="131" bestFit="1" customWidth="1"/>
    <col min="21" max="16384" width="10.83203125" style="131"/>
  </cols>
  <sheetData>
    <row r="1" spans="1:25" x14ac:dyDescent="0.2">
      <c r="A1" s="131" t="s">
        <v>171</v>
      </c>
      <c r="B1" s="131" t="s">
        <v>142</v>
      </c>
      <c r="C1" s="134" t="s">
        <v>5</v>
      </c>
      <c r="D1" s="134" t="s">
        <v>0</v>
      </c>
      <c r="E1" s="134" t="s">
        <v>1</v>
      </c>
      <c r="F1" s="131" t="s">
        <v>13</v>
      </c>
      <c r="G1" s="131" t="s">
        <v>2</v>
      </c>
      <c r="H1" s="134" t="s">
        <v>3</v>
      </c>
      <c r="I1" s="134" t="s">
        <v>33</v>
      </c>
      <c r="J1" s="134" t="s">
        <v>4</v>
      </c>
      <c r="K1" s="131" t="s">
        <v>263</v>
      </c>
      <c r="L1" s="131" t="s">
        <v>10</v>
      </c>
      <c r="M1" s="131" t="s">
        <v>6</v>
      </c>
      <c r="N1" s="131" t="s">
        <v>7</v>
      </c>
      <c r="O1" s="131" t="s">
        <v>29</v>
      </c>
      <c r="P1" s="131" t="s">
        <v>264</v>
      </c>
      <c r="Q1" s="131" t="s">
        <v>265</v>
      </c>
      <c r="R1" s="131" t="s">
        <v>15</v>
      </c>
      <c r="S1" s="131" t="s">
        <v>9</v>
      </c>
      <c r="T1" s="135" t="s">
        <v>195</v>
      </c>
      <c r="U1" s="135" t="s">
        <v>196</v>
      </c>
      <c r="V1" s="135" t="s">
        <v>197</v>
      </c>
      <c r="W1" s="135" t="s">
        <v>198</v>
      </c>
      <c r="X1" s="135" t="s">
        <v>199</v>
      </c>
      <c r="Y1" s="135" t="s">
        <v>200</v>
      </c>
    </row>
    <row r="2" spans="1:25" x14ac:dyDescent="0.2">
      <c r="A2" s="131" t="s">
        <v>165</v>
      </c>
      <c r="C2" s="131">
        <v>36.5</v>
      </c>
      <c r="D2" s="131">
        <v>955</v>
      </c>
      <c r="E2" s="131">
        <v>925</v>
      </c>
      <c r="F2" s="131">
        <v>1240</v>
      </c>
      <c r="G2" s="131">
        <v>1350</v>
      </c>
      <c r="H2" s="131">
        <v>885</v>
      </c>
      <c r="I2" s="131">
        <v>1040</v>
      </c>
      <c r="J2" s="131">
        <v>1380</v>
      </c>
      <c r="K2" s="131">
        <v>1200</v>
      </c>
      <c r="L2" s="131">
        <v>1184</v>
      </c>
      <c r="M2" s="131">
        <v>1800</v>
      </c>
      <c r="N2" s="131">
        <v>1220</v>
      </c>
      <c r="O2" s="131">
        <v>1240</v>
      </c>
      <c r="P2" s="131">
        <v>1150</v>
      </c>
      <c r="Q2" s="131">
        <v>1240</v>
      </c>
      <c r="R2" s="131">
        <v>1250</v>
      </c>
      <c r="S2" s="131">
        <v>1260</v>
      </c>
      <c r="T2" s="131">
        <v>1540</v>
      </c>
      <c r="U2" s="131">
        <v>1500</v>
      </c>
      <c r="V2" s="131">
        <v>1520</v>
      </c>
      <c r="W2" s="131">
        <v>1520</v>
      </c>
      <c r="X2" s="131">
        <v>1500</v>
      </c>
      <c r="Y2" s="131">
        <v>1520</v>
      </c>
    </row>
    <row r="3" spans="1:25" x14ac:dyDescent="0.2">
      <c r="A3" s="131" t="s">
        <v>172</v>
      </c>
      <c r="B3" s="131" t="s">
        <v>176</v>
      </c>
      <c r="C3" s="136">
        <v>9.5100000000000007E-16</v>
      </c>
      <c r="D3" s="136">
        <v>3.1699999999999998E-15</v>
      </c>
      <c r="E3" s="136">
        <v>6.3399999999999997E-15</v>
      </c>
      <c r="F3" s="136">
        <v>1.01E-13</v>
      </c>
      <c r="G3" s="136">
        <v>9.5100000000000003E-15</v>
      </c>
      <c r="H3" s="136">
        <v>3.8999999999999998E-14</v>
      </c>
      <c r="I3" s="136">
        <v>9.5100000000000007E-16</v>
      </c>
      <c r="J3" s="136">
        <v>3.1700000000000002E-16</v>
      </c>
      <c r="K3" s="136">
        <v>8.0063300183616196E-15</v>
      </c>
      <c r="L3" s="136">
        <v>3.1700000000000002E-17</v>
      </c>
      <c r="M3" s="136">
        <v>3.3300000000000001E-15</v>
      </c>
      <c r="N3" s="136">
        <v>3.5699999999999999E-12</v>
      </c>
      <c r="O3" s="136">
        <v>2.8500000000000002E-15</v>
      </c>
      <c r="P3" s="136">
        <v>4.705702440682101E-13</v>
      </c>
      <c r="Q3" s="131">
        <v>4.9642264221135824E-14</v>
      </c>
      <c r="R3" s="136">
        <v>3.2099999999999999E-12</v>
      </c>
      <c r="S3" s="136">
        <v>3.7299999999999998E-13</v>
      </c>
      <c r="T3" s="131">
        <v>5.8031411026021516E-13</v>
      </c>
      <c r="U3" s="131">
        <v>1.2270739599921661E-12</v>
      </c>
      <c r="V3" s="131">
        <v>7.787712798271349E-13</v>
      </c>
      <c r="W3" s="131">
        <v>7.787712798271349E-13</v>
      </c>
      <c r="X3" s="131">
        <v>1.2652134353545296E-12</v>
      </c>
      <c r="Y3" s="131">
        <v>1.6460494187547352E-12</v>
      </c>
    </row>
    <row r="4" spans="1:25" x14ac:dyDescent="0.2">
      <c r="A4" s="131" t="s">
        <v>172</v>
      </c>
      <c r="B4" s="131" t="s">
        <v>148</v>
      </c>
      <c r="C4" s="136">
        <v>9.5100000000000007E-16</v>
      </c>
      <c r="D4" s="136">
        <v>3.1699999999999998E-15</v>
      </c>
      <c r="E4" s="136">
        <v>6.3399999999999997E-15</v>
      </c>
      <c r="F4" s="136">
        <v>1.01E-13</v>
      </c>
      <c r="G4" s="136">
        <v>9.5100000000000003E-15</v>
      </c>
      <c r="H4" s="136">
        <v>3.8999999999999998E-14</v>
      </c>
      <c r="I4" s="136">
        <v>9.5100000000000007E-16</v>
      </c>
      <c r="J4" s="136">
        <v>3.1700000000000002E-16</v>
      </c>
      <c r="K4" s="136">
        <v>8.0063300183616196E-15</v>
      </c>
      <c r="L4" s="136">
        <v>3.1700000000000002E-17</v>
      </c>
      <c r="M4" s="136">
        <v>3.3300000000000001E-15</v>
      </c>
      <c r="N4" s="136">
        <v>3.5699999999999999E-12</v>
      </c>
      <c r="O4" s="136">
        <v>2.8500000000000002E-15</v>
      </c>
      <c r="P4" s="136">
        <v>4.705702440682101E-13</v>
      </c>
      <c r="Q4" s="131">
        <v>4.9642264221135824E-14</v>
      </c>
      <c r="R4" s="136">
        <v>3.2099999999999999E-12</v>
      </c>
      <c r="S4" s="136">
        <v>3.7299999999999998E-13</v>
      </c>
      <c r="T4" s="131">
        <v>5.8031411026021516E-13</v>
      </c>
      <c r="U4" s="131">
        <v>1.2270739599921661E-12</v>
      </c>
      <c r="V4" s="131">
        <v>7.787712798271349E-13</v>
      </c>
      <c r="W4" s="131">
        <v>7.787712798271349E-13</v>
      </c>
      <c r="X4" s="131">
        <v>1.2652134353545296E-12</v>
      </c>
      <c r="Y4" s="131">
        <v>1.6460494187547352E-12</v>
      </c>
    </row>
    <row r="5" spans="1:25" x14ac:dyDescent="0.2">
      <c r="A5" s="131" t="s">
        <v>172</v>
      </c>
      <c r="B5" s="131" t="s">
        <v>158</v>
      </c>
      <c r="C5" s="136">
        <v>9.5100000000000007E-16</v>
      </c>
      <c r="D5" s="136">
        <v>3.1699999999999998E-15</v>
      </c>
      <c r="E5" s="136">
        <v>6.3399999999999997E-15</v>
      </c>
      <c r="F5" s="136">
        <v>1.01E-13</v>
      </c>
      <c r="G5" s="136">
        <v>9.5100000000000003E-15</v>
      </c>
      <c r="H5" s="136">
        <v>3.8999999999999998E-14</v>
      </c>
      <c r="I5" s="136">
        <v>9.5100000000000007E-16</v>
      </c>
      <c r="J5" s="136">
        <v>3.1700000000000002E-16</v>
      </c>
      <c r="K5" s="136">
        <v>8.0063300183616196E-15</v>
      </c>
      <c r="L5" s="136">
        <v>3.1700000000000002E-17</v>
      </c>
      <c r="M5" s="136">
        <v>3.3300000000000001E-15</v>
      </c>
      <c r="N5" s="136">
        <v>3.5699999999999999E-12</v>
      </c>
      <c r="O5" s="136">
        <v>2.8500000000000002E-15</v>
      </c>
      <c r="P5" s="136">
        <v>4.705702440682101E-13</v>
      </c>
      <c r="Q5" s="131">
        <v>4.9642264221135824E-14</v>
      </c>
      <c r="R5" s="136">
        <v>3.2099999999999999E-12</v>
      </c>
      <c r="S5" s="136">
        <v>3.7299999999999998E-13</v>
      </c>
      <c r="T5" s="131">
        <v>5.8031411026021516E-13</v>
      </c>
      <c r="U5" s="131">
        <v>1.2270739599921661E-12</v>
      </c>
      <c r="V5" s="131">
        <v>7.787712798271349E-13</v>
      </c>
      <c r="W5" s="131">
        <v>7.787712798271349E-13</v>
      </c>
      <c r="X5" s="131">
        <v>1.2652134353545296E-12</v>
      </c>
      <c r="Y5" s="131">
        <v>1.6460494187547352E-12</v>
      </c>
    </row>
    <row r="6" spans="1:25" x14ac:dyDescent="0.2">
      <c r="A6" s="131" t="s">
        <v>172</v>
      </c>
      <c r="B6" s="131" t="s">
        <v>149</v>
      </c>
      <c r="C6" s="136">
        <v>9.5100000000000007E-16</v>
      </c>
      <c r="D6" s="136">
        <v>3.1699999999999998E-15</v>
      </c>
      <c r="E6" s="136">
        <v>6.3399999999999997E-15</v>
      </c>
      <c r="F6" s="136">
        <v>1.01E-13</v>
      </c>
      <c r="G6" s="136">
        <v>9.5100000000000003E-15</v>
      </c>
      <c r="H6" s="136">
        <v>3.8999999999999998E-14</v>
      </c>
      <c r="I6" s="136">
        <v>9.5100000000000007E-16</v>
      </c>
      <c r="J6" s="136">
        <v>3.1700000000000002E-16</v>
      </c>
      <c r="K6" s="136">
        <v>8.0063300183616196E-15</v>
      </c>
      <c r="L6" s="136">
        <v>3.1700000000000002E-17</v>
      </c>
      <c r="M6" s="136">
        <v>3.3300000000000001E-15</v>
      </c>
      <c r="N6" s="136">
        <v>3.5699999999999999E-12</v>
      </c>
      <c r="O6" s="136">
        <v>2.8500000000000002E-15</v>
      </c>
      <c r="P6" s="136">
        <v>4.705702440682101E-13</v>
      </c>
      <c r="Q6" s="131">
        <v>4.9642264221135824E-14</v>
      </c>
      <c r="R6" s="136">
        <v>3.2099999999999999E-12</v>
      </c>
      <c r="S6" s="136">
        <v>3.7299999999999998E-13</v>
      </c>
      <c r="T6" s="131">
        <v>5.8031411026021516E-13</v>
      </c>
      <c r="U6" s="131">
        <v>1.2270739599921661E-12</v>
      </c>
      <c r="V6" s="131">
        <v>7.787712798271349E-13</v>
      </c>
      <c r="W6" s="131">
        <v>7.787712798271349E-13</v>
      </c>
      <c r="X6" s="131">
        <v>1.2652134353545296E-12</v>
      </c>
      <c r="Y6" s="131">
        <v>1.6460494187547352E-12</v>
      </c>
    </row>
    <row r="7" spans="1:25" x14ac:dyDescent="0.2">
      <c r="A7" s="131" t="s">
        <v>172</v>
      </c>
      <c r="B7" s="131" t="s">
        <v>173</v>
      </c>
      <c r="C7" s="136">
        <v>9.5100000000000007E-16</v>
      </c>
      <c r="D7" s="136">
        <v>3.1699999999999998E-15</v>
      </c>
      <c r="E7" s="136">
        <v>2.23E-14</v>
      </c>
      <c r="F7" s="136">
        <v>1.01E-13</v>
      </c>
      <c r="G7" s="136">
        <v>9.5100000000000003E-15</v>
      </c>
      <c r="H7" s="136">
        <v>2.8500000000000002E-15</v>
      </c>
      <c r="I7" s="136">
        <v>9.5100000000000007E-16</v>
      </c>
      <c r="J7" s="137">
        <v>3.1700000000000002E-16</v>
      </c>
      <c r="K7" s="138">
        <v>8.0063300183616196E-15</v>
      </c>
      <c r="L7" s="136">
        <v>3.1700000000000002E-17</v>
      </c>
      <c r="M7" s="136">
        <v>3.3300000000000001E-15</v>
      </c>
      <c r="N7" s="136">
        <v>1.96E-13</v>
      </c>
      <c r="O7" s="136">
        <v>3.4899999999999998E-17</v>
      </c>
      <c r="P7" s="138">
        <v>4.705702440682101E-13</v>
      </c>
      <c r="Q7" s="139">
        <v>4.9642264221135824E-14</v>
      </c>
      <c r="R7" s="136">
        <v>3.2099999999999999E-12</v>
      </c>
      <c r="S7" s="136">
        <v>3.7299999999999998E-13</v>
      </c>
      <c r="T7" s="131">
        <v>5.8031411026021516E-13</v>
      </c>
      <c r="U7" s="131">
        <v>1.2270739599921661E-12</v>
      </c>
      <c r="V7" s="131">
        <v>7.787712798271349E-13</v>
      </c>
      <c r="W7" s="131">
        <v>7.787712798271349E-13</v>
      </c>
      <c r="X7" s="131">
        <v>1.2652134353545296E-12</v>
      </c>
      <c r="Y7" s="131">
        <v>1.6460494187547352E-12</v>
      </c>
    </row>
    <row r="8" spans="1:25" x14ac:dyDescent="0.2">
      <c r="A8" s="131" t="s">
        <v>172</v>
      </c>
      <c r="B8" s="131" t="s">
        <v>174</v>
      </c>
      <c r="C8" s="136">
        <v>9.5100000000000007E-16</v>
      </c>
      <c r="D8" s="136">
        <v>3.1699999999999998E-15</v>
      </c>
      <c r="E8" s="136">
        <v>2.23E-14</v>
      </c>
      <c r="F8" s="136">
        <v>1.01E-13</v>
      </c>
      <c r="G8" s="136">
        <v>9.5100000000000003E-15</v>
      </c>
      <c r="H8" s="136">
        <v>2.8500000000000002E-15</v>
      </c>
      <c r="I8" s="136">
        <v>9.5100000000000007E-16</v>
      </c>
      <c r="J8" s="137">
        <v>3.1700000000000002E-16</v>
      </c>
      <c r="K8" s="138">
        <v>8.0063300183616196E-15</v>
      </c>
      <c r="L8" s="136">
        <v>3.1700000000000002E-17</v>
      </c>
      <c r="M8" s="136">
        <v>3.3300000000000001E-15</v>
      </c>
      <c r="N8" s="136">
        <v>1.96E-13</v>
      </c>
      <c r="O8" s="136">
        <v>3.4899999999999998E-17</v>
      </c>
      <c r="P8" s="138">
        <v>4.705702440682101E-13</v>
      </c>
      <c r="Q8" s="139">
        <v>4.9642264221135824E-14</v>
      </c>
      <c r="R8" s="136">
        <v>3.2099999999999999E-12</v>
      </c>
      <c r="S8" s="136">
        <v>3.7299999999999998E-13</v>
      </c>
      <c r="T8" s="131">
        <v>5.8031411026021516E-13</v>
      </c>
      <c r="U8" s="131">
        <v>1.2270739599921661E-12</v>
      </c>
      <c r="V8" s="131">
        <v>7.787712798271349E-13</v>
      </c>
      <c r="W8" s="131">
        <v>7.787712798271349E-13</v>
      </c>
      <c r="X8" s="131">
        <v>1.2652134353545296E-12</v>
      </c>
      <c r="Y8" s="131">
        <v>1.6460494187547352E-12</v>
      </c>
    </row>
    <row r="9" spans="1:25" x14ac:dyDescent="0.2">
      <c r="A9" s="131" t="s">
        <v>172</v>
      </c>
      <c r="B9" s="131" t="s">
        <v>175</v>
      </c>
      <c r="C9" s="136">
        <v>9.5100000000000007E-16</v>
      </c>
      <c r="D9" s="136">
        <v>3.1699999999999998E-15</v>
      </c>
      <c r="E9" s="136">
        <v>2.23E-14</v>
      </c>
      <c r="F9" s="136">
        <v>1.01E-13</v>
      </c>
      <c r="G9" s="136">
        <v>9.5100000000000003E-15</v>
      </c>
      <c r="H9" s="136">
        <v>2.8500000000000002E-15</v>
      </c>
      <c r="I9" s="136">
        <v>9.5100000000000007E-16</v>
      </c>
      <c r="J9" s="137">
        <v>3.1700000000000002E-16</v>
      </c>
      <c r="K9" s="138">
        <v>8.0063300183616196E-15</v>
      </c>
      <c r="L9" s="136">
        <v>3.1700000000000002E-17</v>
      </c>
      <c r="M9" s="136">
        <v>3.3300000000000001E-15</v>
      </c>
      <c r="N9" s="136">
        <v>1.96E-13</v>
      </c>
      <c r="O9" s="136">
        <v>3.4899999999999998E-17</v>
      </c>
      <c r="P9" s="138">
        <v>4.705702440682101E-13</v>
      </c>
      <c r="Q9" s="139">
        <v>4.9642264221135824E-14</v>
      </c>
      <c r="R9" s="136">
        <v>3.2099999999999999E-12</v>
      </c>
      <c r="S9" s="136">
        <v>3.7299999999999998E-13</v>
      </c>
      <c r="T9" s="131">
        <v>5.8031411026021516E-13</v>
      </c>
      <c r="U9" s="131">
        <v>1.2270739599921661E-12</v>
      </c>
      <c r="V9" s="131">
        <v>7.787712798271349E-13</v>
      </c>
      <c r="W9" s="131">
        <v>7.787712798271349E-13</v>
      </c>
      <c r="X9" s="131">
        <v>1.2652134353545296E-12</v>
      </c>
      <c r="Y9" s="131">
        <v>1.6460494187547352E-12</v>
      </c>
    </row>
    <row r="10" spans="1:25" x14ac:dyDescent="0.2">
      <c r="A10" s="131" t="s">
        <v>172</v>
      </c>
      <c r="B10" s="131" t="s">
        <v>150</v>
      </c>
      <c r="C10" s="136">
        <v>9.5100000000000007E-16</v>
      </c>
      <c r="D10" s="136">
        <v>3.62E-14</v>
      </c>
      <c r="E10" s="136">
        <v>4.9300000000000002E-13</v>
      </c>
      <c r="F10" s="136">
        <v>1.01E-13</v>
      </c>
      <c r="G10" s="136">
        <v>1.8799999999999999E-14</v>
      </c>
      <c r="H10" s="136">
        <v>2.2000000000000001E-14</v>
      </c>
      <c r="I10" s="136">
        <v>9.5100000000000007E-16</v>
      </c>
      <c r="J10" s="136">
        <v>3.1700000000000002E-16</v>
      </c>
      <c r="K10" s="138">
        <v>8.0063300183616196E-15</v>
      </c>
      <c r="L10" s="136">
        <v>3.1700000000000002E-17</v>
      </c>
      <c r="M10" s="136">
        <v>2.6700000000000002E-13</v>
      </c>
      <c r="N10" s="136">
        <v>3.79E-11</v>
      </c>
      <c r="O10" s="136">
        <v>3.8399999999999998E-12</v>
      </c>
      <c r="P10" s="138">
        <v>4.705702440682101E-13</v>
      </c>
      <c r="Q10" s="139">
        <v>4.9642264221135824E-14</v>
      </c>
      <c r="R10" s="136">
        <v>1.0499999999999999E-11</v>
      </c>
      <c r="S10" s="136">
        <v>1.72E-13</v>
      </c>
      <c r="T10" s="139">
        <v>1.2567358529037943E-13</v>
      </c>
      <c r="U10" s="139">
        <v>1.2567358529037943E-13</v>
      </c>
      <c r="V10" s="139">
        <v>1.2567358529037943E-13</v>
      </c>
      <c r="W10" s="139">
        <v>1.2567358529037943E-13</v>
      </c>
      <c r="X10" s="139">
        <v>1.2567358529037943E-13</v>
      </c>
      <c r="Y10" s="139">
        <v>1.2567358529037943E-13</v>
      </c>
    </row>
    <row r="11" spans="1:25" x14ac:dyDescent="0.2">
      <c r="A11" s="131" t="s">
        <v>172</v>
      </c>
      <c r="B11" s="131" t="s">
        <v>162</v>
      </c>
      <c r="C11" s="136">
        <v>9.5100000000000007E-16</v>
      </c>
      <c r="D11" s="136">
        <v>3.62E-14</v>
      </c>
      <c r="E11" s="136">
        <v>4.9300000000000002E-13</v>
      </c>
      <c r="F11" s="136">
        <v>1.01E-13</v>
      </c>
      <c r="G11" s="136">
        <v>1.8799999999999999E-14</v>
      </c>
      <c r="H11" s="136">
        <v>2.2000000000000001E-14</v>
      </c>
      <c r="I11" s="136">
        <v>9.5100000000000007E-16</v>
      </c>
      <c r="J11" s="136">
        <v>3.1700000000000002E-16</v>
      </c>
      <c r="K11" s="138">
        <v>8.0063300183616196E-15</v>
      </c>
      <c r="L11" s="136">
        <v>3.1700000000000002E-17</v>
      </c>
      <c r="M11" s="136">
        <v>2.6700000000000002E-13</v>
      </c>
      <c r="N11" s="136">
        <v>3.79E-11</v>
      </c>
      <c r="O11" s="136">
        <v>3.8399999999999998E-12</v>
      </c>
      <c r="P11" s="138">
        <v>4.705702440682101E-13</v>
      </c>
      <c r="Q11" s="139">
        <v>4.9642264221135824E-14</v>
      </c>
      <c r="R11" s="136">
        <v>1.0499999999999999E-11</v>
      </c>
      <c r="S11" s="136">
        <v>1.72E-13</v>
      </c>
      <c r="T11" s="139">
        <v>1.2567358529037943E-13</v>
      </c>
      <c r="U11" s="139">
        <v>1.2567358529037943E-13</v>
      </c>
      <c r="V11" s="139">
        <v>1.2567358529037943E-13</v>
      </c>
      <c r="W11" s="139">
        <v>1.2567358529037943E-13</v>
      </c>
      <c r="X11" s="139">
        <v>1.2567358529037943E-13</v>
      </c>
      <c r="Y11" s="139">
        <v>1.2567358529037943E-13</v>
      </c>
    </row>
    <row r="12" spans="1:25" x14ac:dyDescent="0.2">
      <c r="A12" s="131" t="s">
        <v>172</v>
      </c>
      <c r="B12" s="131" t="s">
        <v>151</v>
      </c>
      <c r="C12" s="136">
        <v>9.5100000000000007E-16</v>
      </c>
      <c r="D12" s="136">
        <v>3.62E-14</v>
      </c>
      <c r="E12" s="136">
        <v>4.9300000000000002E-13</v>
      </c>
      <c r="F12" s="136">
        <v>1.01E-13</v>
      </c>
      <c r="G12" s="136">
        <v>1.8799999999999999E-14</v>
      </c>
      <c r="H12" s="136">
        <v>2.2000000000000001E-14</v>
      </c>
      <c r="I12" s="136">
        <v>9.5100000000000007E-16</v>
      </c>
      <c r="J12" s="136">
        <v>3.1700000000000002E-16</v>
      </c>
      <c r="K12" s="138">
        <v>8.0063300183616196E-15</v>
      </c>
      <c r="L12" s="136">
        <v>3.1700000000000002E-17</v>
      </c>
      <c r="M12" s="136">
        <v>2.6700000000000002E-13</v>
      </c>
      <c r="N12" s="136">
        <v>3.79E-11</v>
      </c>
      <c r="O12" s="136">
        <v>3.8399999999999998E-12</v>
      </c>
      <c r="P12" s="138">
        <v>4.705702440682101E-13</v>
      </c>
      <c r="Q12" s="139">
        <v>4.9642264221135824E-14</v>
      </c>
      <c r="R12" s="136">
        <v>1.0499999999999999E-11</v>
      </c>
      <c r="S12" s="136">
        <v>1.72E-13</v>
      </c>
      <c r="T12" s="139">
        <v>1.2567358529037943E-13</v>
      </c>
      <c r="U12" s="139">
        <v>1.2567358529037943E-13</v>
      </c>
      <c r="V12" s="139">
        <v>1.2567358529037943E-13</v>
      </c>
      <c r="W12" s="139">
        <v>1.2567358529037943E-13</v>
      </c>
      <c r="X12" s="139">
        <v>1.2567358529037943E-13</v>
      </c>
      <c r="Y12" s="139">
        <v>1.2567358529037943E-13</v>
      </c>
    </row>
    <row r="13" spans="1:25" x14ac:dyDescent="0.2">
      <c r="A13" s="131" t="s">
        <v>166</v>
      </c>
      <c r="C13" s="131">
        <v>13</v>
      </c>
      <c r="D13" s="131">
        <v>1</v>
      </c>
      <c r="E13" s="131">
        <v>1</v>
      </c>
      <c r="F13" s="131">
        <v>1</v>
      </c>
      <c r="G13" s="131">
        <v>1</v>
      </c>
      <c r="H13" s="131">
        <v>1</v>
      </c>
      <c r="I13" s="131">
        <v>1</v>
      </c>
      <c r="J13" s="131">
        <v>1</v>
      </c>
      <c r="K13" s="131">
        <v>1</v>
      </c>
      <c r="L13" s="131">
        <v>1</v>
      </c>
      <c r="M13" s="136">
        <v>1</v>
      </c>
      <c r="N13" s="131">
        <v>1</v>
      </c>
      <c r="O13" s="131">
        <v>1</v>
      </c>
      <c r="P13" s="131">
        <v>1</v>
      </c>
      <c r="Q13" s="131">
        <v>1</v>
      </c>
      <c r="R13" s="131">
        <v>1</v>
      </c>
      <c r="S13" s="131">
        <v>1</v>
      </c>
      <c r="T13" s="131">
        <v>1</v>
      </c>
      <c r="U13" s="131">
        <v>1</v>
      </c>
      <c r="V13" s="131">
        <v>1</v>
      </c>
      <c r="W13" s="131">
        <v>1</v>
      </c>
      <c r="X13" s="131">
        <v>1</v>
      </c>
      <c r="Y13" s="131">
        <v>1</v>
      </c>
    </row>
    <row r="14" spans="1:25" x14ac:dyDescent="0.2">
      <c r="A14" s="131" t="s">
        <v>170</v>
      </c>
      <c r="C14" s="136">
        <f>'2.1. Sed_rates'!D7</f>
        <v>8.3499999999999996E-11</v>
      </c>
      <c r="D14" s="136">
        <f>'2.1. Sed_rates'!D9</f>
        <v>5.6699999999999998E-8</v>
      </c>
      <c r="E14" s="136">
        <f>'2.1. Sed_rates'!D10</f>
        <v>5.6699999999999998E-8</v>
      </c>
      <c r="F14" s="136"/>
      <c r="G14" s="136"/>
      <c r="H14" s="136">
        <f>'2.1. Sed_rates'!D8</f>
        <v>5.6699999999999998E-8</v>
      </c>
      <c r="I14" s="136"/>
      <c r="J14" s="136"/>
      <c r="K14" s="136"/>
      <c r="M14" s="136">
        <v>7.1600000000000001E-7</v>
      </c>
      <c r="N14" s="136"/>
      <c r="O14" s="136"/>
      <c r="P14" s="136"/>
      <c r="Q14" s="136"/>
    </row>
    <row r="15" spans="1:25" x14ac:dyDescent="0.2">
      <c r="A15" s="131" t="s">
        <v>301</v>
      </c>
      <c r="C15" s="136" t="s">
        <v>172</v>
      </c>
      <c r="D15" s="136" t="s">
        <v>302</v>
      </c>
      <c r="E15" s="136" t="s">
        <v>302</v>
      </c>
      <c r="F15" s="136" t="s">
        <v>172</v>
      </c>
      <c r="G15" s="136" t="s">
        <v>302</v>
      </c>
      <c r="H15" s="136" t="s">
        <v>302</v>
      </c>
      <c r="I15" s="136" t="s">
        <v>302</v>
      </c>
      <c r="J15" s="136" t="s">
        <v>172</v>
      </c>
      <c r="K15" s="136" t="s">
        <v>172</v>
      </c>
      <c r="L15" s="136" t="s">
        <v>172</v>
      </c>
      <c r="M15" s="136" t="s">
        <v>172</v>
      </c>
      <c r="N15" s="136" t="s">
        <v>172</v>
      </c>
      <c r="O15" s="136" t="s">
        <v>172</v>
      </c>
      <c r="P15" s="136" t="s">
        <v>172</v>
      </c>
      <c r="Q15" s="136" t="s">
        <v>172</v>
      </c>
      <c r="R15" s="136" t="s">
        <v>172</v>
      </c>
      <c r="S15" s="136" t="s">
        <v>172</v>
      </c>
      <c r="T15" s="136" t="s">
        <v>172</v>
      </c>
      <c r="U15" s="136" t="s">
        <v>172</v>
      </c>
      <c r="V15" s="136" t="s">
        <v>172</v>
      </c>
      <c r="W15" s="136" t="s">
        <v>172</v>
      </c>
      <c r="X15" s="136" t="s">
        <v>172</v>
      </c>
      <c r="Y15" s="136" t="s">
        <v>172</v>
      </c>
    </row>
    <row r="16" spans="1:25" x14ac:dyDescent="0.2">
      <c r="A16" s="131" t="s">
        <v>422</v>
      </c>
      <c r="C16" s="131" t="s">
        <v>261</v>
      </c>
      <c r="D16" s="140">
        <v>1.03E-2</v>
      </c>
      <c r="E16" s="140">
        <v>1.11E-2</v>
      </c>
      <c r="F16" s="131" t="s">
        <v>261</v>
      </c>
      <c r="G16" s="140">
        <v>2.43E-4</v>
      </c>
      <c r="H16" s="140">
        <v>5.4999999999999997E-3</v>
      </c>
      <c r="I16" s="140">
        <v>2.7300000000000002E-4</v>
      </c>
      <c r="J16" s="131" t="s">
        <v>261</v>
      </c>
      <c r="K16" s="131" t="s">
        <v>261</v>
      </c>
      <c r="L16" s="131" t="s">
        <v>261</v>
      </c>
      <c r="M16" s="131" t="s">
        <v>261</v>
      </c>
      <c r="N16" s="131" t="s">
        <v>261</v>
      </c>
      <c r="O16" s="131" t="s">
        <v>261</v>
      </c>
      <c r="P16" s="131" t="s">
        <v>261</v>
      </c>
      <c r="Q16" s="131" t="s">
        <v>261</v>
      </c>
      <c r="R16" s="131" t="s">
        <v>261</v>
      </c>
      <c r="S16" s="131" t="s">
        <v>261</v>
      </c>
      <c r="T16" s="131" t="s">
        <v>261</v>
      </c>
      <c r="U16" s="131" t="s">
        <v>261</v>
      </c>
      <c r="V16" s="131" t="s">
        <v>261</v>
      </c>
      <c r="W16" s="131" t="s">
        <v>261</v>
      </c>
      <c r="X16" s="131" t="s">
        <v>261</v>
      </c>
      <c r="Y16" s="131" t="s">
        <v>261</v>
      </c>
    </row>
    <row r="17" spans="1:25" x14ac:dyDescent="0.2">
      <c r="A17" s="131" t="s">
        <v>423</v>
      </c>
      <c r="C17" s="131" t="s">
        <v>261</v>
      </c>
      <c r="D17" s="140">
        <v>3.3599999999999999E-11</v>
      </c>
      <c r="E17" s="140">
        <v>4.9999999999999999E-13</v>
      </c>
      <c r="F17" s="131" t="s">
        <v>261</v>
      </c>
      <c r="G17" s="140">
        <v>0.79100000000000004</v>
      </c>
      <c r="H17" s="140">
        <v>1.37E-2</v>
      </c>
      <c r="I17" s="140">
        <v>0.24299999999999999</v>
      </c>
      <c r="J17" s="131" t="s">
        <v>261</v>
      </c>
      <c r="K17" s="131" t="s">
        <v>261</v>
      </c>
      <c r="L17" s="131" t="s">
        <v>261</v>
      </c>
      <c r="M17" s="131" t="s">
        <v>261</v>
      </c>
      <c r="N17" s="131" t="s">
        <v>261</v>
      </c>
      <c r="O17" s="131" t="s">
        <v>261</v>
      </c>
      <c r="P17" s="131" t="s">
        <v>261</v>
      </c>
      <c r="Q17" s="131" t="s">
        <v>261</v>
      </c>
      <c r="R17" s="131" t="s">
        <v>261</v>
      </c>
      <c r="S17" s="131" t="s">
        <v>261</v>
      </c>
      <c r="T17" s="131" t="s">
        <v>261</v>
      </c>
      <c r="U17" s="131" t="s">
        <v>261</v>
      </c>
      <c r="V17" s="131" t="s">
        <v>261</v>
      </c>
      <c r="W17" s="131" t="s">
        <v>261</v>
      </c>
      <c r="X17" s="131" t="s">
        <v>261</v>
      </c>
      <c r="Y17" s="131" t="s">
        <v>261</v>
      </c>
    </row>
    <row r="18" spans="1:25" x14ac:dyDescent="0.2">
      <c r="A18" s="131" t="s">
        <v>424</v>
      </c>
      <c r="C18" s="131" t="s">
        <v>261</v>
      </c>
      <c r="D18" s="140">
        <v>2.1800000000000001E-3</v>
      </c>
      <c r="E18" s="140">
        <v>1.03E-2</v>
      </c>
      <c r="F18" s="131" t="s">
        <v>261</v>
      </c>
      <c r="G18" s="140">
        <v>1.33E-5</v>
      </c>
      <c r="H18" s="140">
        <v>1.72E-2</v>
      </c>
      <c r="I18" s="140">
        <v>1.44E-2</v>
      </c>
      <c r="J18" s="131" t="s">
        <v>261</v>
      </c>
      <c r="K18" s="131" t="s">
        <v>261</v>
      </c>
      <c r="L18" s="131" t="s">
        <v>261</v>
      </c>
      <c r="M18" s="131" t="s">
        <v>261</v>
      </c>
      <c r="N18" s="131" t="s">
        <v>261</v>
      </c>
      <c r="O18" s="131" t="s">
        <v>261</v>
      </c>
      <c r="P18" s="131" t="s">
        <v>261</v>
      </c>
      <c r="Q18" s="131" t="s">
        <v>261</v>
      </c>
      <c r="R18" s="131" t="s">
        <v>261</v>
      </c>
      <c r="S18" s="131" t="s">
        <v>261</v>
      </c>
      <c r="T18" s="131" t="s">
        <v>261</v>
      </c>
      <c r="U18" s="131" t="s">
        <v>261</v>
      </c>
      <c r="V18" s="131" t="s">
        <v>261</v>
      </c>
      <c r="W18" s="131" t="s">
        <v>261</v>
      </c>
      <c r="X18" s="131" t="s">
        <v>261</v>
      </c>
      <c r="Y18" s="131" t="s">
        <v>261</v>
      </c>
    </row>
    <row r="19" spans="1:25" x14ac:dyDescent="0.2">
      <c r="A19" s="131" t="s">
        <v>425</v>
      </c>
      <c r="C19" s="131" t="s">
        <v>261</v>
      </c>
      <c r="D19" s="140">
        <v>0.29899999999999999</v>
      </c>
      <c r="E19" s="140">
        <v>4.3600000000000002E-3</v>
      </c>
      <c r="F19" s="131" t="s">
        <v>261</v>
      </c>
      <c r="G19" s="140">
        <v>1.88</v>
      </c>
      <c r="H19" s="140">
        <v>0.70499999999999996</v>
      </c>
      <c r="I19" s="140">
        <v>1.01</v>
      </c>
      <c r="J19" s="131" t="s">
        <v>261</v>
      </c>
      <c r="K19" s="131" t="s">
        <v>261</v>
      </c>
      <c r="L19" s="131" t="s">
        <v>261</v>
      </c>
      <c r="M19" s="131" t="s">
        <v>261</v>
      </c>
      <c r="N19" s="131" t="s">
        <v>261</v>
      </c>
      <c r="O19" s="131" t="s">
        <v>261</v>
      </c>
      <c r="P19" s="131" t="s">
        <v>261</v>
      </c>
      <c r="Q19" s="131" t="s">
        <v>261</v>
      </c>
      <c r="R19" s="131" t="s">
        <v>261</v>
      </c>
      <c r="S19" s="131" t="s">
        <v>261</v>
      </c>
      <c r="T19" s="131" t="s">
        <v>261</v>
      </c>
      <c r="U19" s="131" t="s">
        <v>261</v>
      </c>
      <c r="V19" s="131" t="s">
        <v>261</v>
      </c>
      <c r="W19" s="131" t="s">
        <v>261</v>
      </c>
      <c r="X19" s="131" t="s">
        <v>261</v>
      </c>
      <c r="Y19" s="131" t="s">
        <v>261</v>
      </c>
    </row>
    <row r="20" spans="1:25" x14ac:dyDescent="0.2">
      <c r="A20" s="131" t="s">
        <v>426</v>
      </c>
      <c r="C20" s="131" t="s">
        <v>261</v>
      </c>
      <c r="D20" s="140">
        <v>3.7800000000000003E-4</v>
      </c>
      <c r="E20" s="140">
        <v>1.05E-4</v>
      </c>
      <c r="F20" s="131" t="s">
        <v>261</v>
      </c>
      <c r="G20" s="140">
        <v>1.52E-2</v>
      </c>
      <c r="H20" s="140">
        <v>1.6200000000000001E-5</v>
      </c>
      <c r="I20" s="140">
        <v>6.2299999999999996E-5</v>
      </c>
      <c r="J20" s="131" t="s">
        <v>261</v>
      </c>
      <c r="K20" s="131" t="s">
        <v>261</v>
      </c>
      <c r="L20" s="131" t="s">
        <v>261</v>
      </c>
      <c r="M20" s="131" t="s">
        <v>261</v>
      </c>
      <c r="N20" s="131" t="s">
        <v>261</v>
      </c>
      <c r="O20" s="131" t="s">
        <v>261</v>
      </c>
      <c r="P20" s="131" t="s">
        <v>261</v>
      </c>
      <c r="Q20" s="131" t="s">
        <v>261</v>
      </c>
      <c r="R20" s="131" t="s">
        <v>261</v>
      </c>
      <c r="S20" s="131" t="s">
        <v>261</v>
      </c>
      <c r="T20" s="131" t="s">
        <v>261</v>
      </c>
      <c r="U20" s="131" t="s">
        <v>261</v>
      </c>
      <c r="V20" s="131" t="s">
        <v>261</v>
      </c>
      <c r="W20" s="131" t="s">
        <v>261</v>
      </c>
      <c r="X20" s="131" t="s">
        <v>261</v>
      </c>
      <c r="Y20" s="131" t="s">
        <v>261</v>
      </c>
    </row>
    <row r="21" spans="1:25" x14ac:dyDescent="0.2">
      <c r="A21" s="131" t="s">
        <v>427</v>
      </c>
      <c r="C21" s="131" t="s">
        <v>261</v>
      </c>
      <c r="D21" s="140">
        <v>0.216</v>
      </c>
      <c r="E21" s="140">
        <v>0.32400000000000001</v>
      </c>
      <c r="F21" s="131" t="s">
        <v>261</v>
      </c>
      <c r="G21" s="140">
        <v>7.85E-2</v>
      </c>
      <c r="H21" s="140">
        <v>0.442</v>
      </c>
      <c r="I21" s="140">
        <v>0.496</v>
      </c>
      <c r="J21" s="131" t="s">
        <v>261</v>
      </c>
      <c r="K21" s="131" t="s">
        <v>261</v>
      </c>
      <c r="L21" s="131" t="s">
        <v>261</v>
      </c>
      <c r="M21" s="131" t="s">
        <v>261</v>
      </c>
      <c r="N21" s="131" t="s">
        <v>261</v>
      </c>
      <c r="O21" s="131" t="s">
        <v>261</v>
      </c>
      <c r="P21" s="131" t="s">
        <v>261</v>
      </c>
      <c r="Q21" s="131" t="s">
        <v>261</v>
      </c>
      <c r="R21" s="131" t="s">
        <v>261</v>
      </c>
      <c r="S21" s="131" t="s">
        <v>261</v>
      </c>
      <c r="T21" s="131" t="s">
        <v>261</v>
      </c>
      <c r="U21" s="131" t="s">
        <v>261</v>
      </c>
      <c r="V21" s="131" t="s">
        <v>261</v>
      </c>
      <c r="W21" s="131" t="s">
        <v>261</v>
      </c>
      <c r="X21" s="131" t="s">
        <v>261</v>
      </c>
      <c r="Y21" s="131" t="s">
        <v>261</v>
      </c>
    </row>
    <row r="22" spans="1:25" x14ac:dyDescent="0.2">
      <c r="A22" s="131" t="s">
        <v>266</v>
      </c>
      <c r="C22" s="131" t="b">
        <v>0</v>
      </c>
      <c r="D22" s="131" t="b">
        <v>0</v>
      </c>
      <c r="E22" s="131" t="b">
        <v>0</v>
      </c>
      <c r="F22" s="131" t="b">
        <v>1</v>
      </c>
      <c r="G22" s="131" t="b">
        <v>1</v>
      </c>
      <c r="H22" s="131" t="b">
        <v>0</v>
      </c>
      <c r="I22" s="131" t="b">
        <v>0</v>
      </c>
      <c r="J22" s="131" t="b">
        <v>0</v>
      </c>
      <c r="K22" s="131" t="b">
        <v>1</v>
      </c>
      <c r="L22" s="131" t="b">
        <v>1</v>
      </c>
      <c r="M22" s="131" t="b">
        <v>1</v>
      </c>
      <c r="N22" s="131" t="b">
        <v>1</v>
      </c>
      <c r="O22" s="131" t="b">
        <v>1</v>
      </c>
      <c r="P22" s="131" t="b">
        <v>1</v>
      </c>
      <c r="Q22" s="131" t="b">
        <v>1</v>
      </c>
      <c r="R22" s="131" t="b">
        <v>1</v>
      </c>
      <c r="S22" s="131" t="b">
        <v>1</v>
      </c>
      <c r="T22" s="131" t="b">
        <v>1</v>
      </c>
      <c r="U22" s="131" t="b">
        <v>1</v>
      </c>
      <c r="V22" s="131" t="b">
        <v>1</v>
      </c>
      <c r="W22" s="131" t="b">
        <v>1</v>
      </c>
      <c r="X22" s="131" t="b">
        <v>1</v>
      </c>
      <c r="Y22" s="131" t="b">
        <v>1</v>
      </c>
    </row>
    <row r="25" spans="1:25" x14ac:dyDescent="0.2">
      <c r="F25" s="140"/>
      <c r="G25" s="140"/>
      <c r="H25" s="140"/>
      <c r="I25" s="140"/>
      <c r="N25" s="140"/>
      <c r="O25" s="140"/>
    </row>
    <row r="30" spans="1:25" x14ac:dyDescent="0.2">
      <c r="F30" s="140"/>
      <c r="G30" s="140"/>
      <c r="H30" s="140"/>
      <c r="I30" s="140"/>
      <c r="N30" s="140"/>
      <c r="O30" s="140"/>
    </row>
    <row r="31" spans="1:25" x14ac:dyDescent="0.2">
      <c r="F31" s="140"/>
      <c r="G31" s="140"/>
      <c r="H31" s="140"/>
      <c r="I31" s="140"/>
      <c r="N31" s="140"/>
      <c r="O31" s="140"/>
    </row>
    <row r="47" spans="9:11" ht="20" x14ac:dyDescent="0.2">
      <c r="I47" s="141"/>
      <c r="J47" s="141"/>
      <c r="K47" s="142"/>
    </row>
    <row r="48" spans="9:11" ht="20" x14ac:dyDescent="0.2">
      <c r="I48" s="141"/>
      <c r="J48" s="141"/>
      <c r="K48" s="142"/>
    </row>
    <row r="49" spans="9:11" ht="20" x14ac:dyDescent="0.2">
      <c r="I49" s="141"/>
      <c r="J49" s="141"/>
      <c r="K49" s="142"/>
    </row>
    <row r="50" spans="9:11" ht="20" x14ac:dyDescent="0.2">
      <c r="I50" s="141"/>
      <c r="J50" s="141"/>
      <c r="K50" s="142"/>
    </row>
    <row r="51" spans="9:11" ht="20" x14ac:dyDescent="0.2">
      <c r="I51" s="141"/>
      <c r="J51" s="141"/>
      <c r="K51" s="142"/>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9FC3-E16C-D845-844D-A1F21B3B2571}">
  <dimension ref="A1:V211"/>
  <sheetViews>
    <sheetView workbookViewId="0">
      <selection activeCell="L3" sqref="L3"/>
    </sheetView>
  </sheetViews>
  <sheetFormatPr baseColWidth="10" defaultRowHeight="15" x14ac:dyDescent="0.2"/>
  <cols>
    <col min="1" max="1" width="10.83203125" style="118"/>
    <col min="2" max="9" width="10.83203125" style="15"/>
    <col min="10" max="10" width="13.6640625" style="15" customWidth="1"/>
    <col min="11" max="14" width="10.83203125" style="15"/>
    <col min="15" max="15" width="36.6640625" style="15" bestFit="1" customWidth="1"/>
    <col min="16" max="16384" width="10.83203125" style="15"/>
  </cols>
  <sheetData>
    <row r="1" spans="1:22" ht="16" x14ac:dyDescent="0.2">
      <c r="A1" s="127" t="s">
        <v>421</v>
      </c>
      <c r="B1" s="406" t="s">
        <v>171</v>
      </c>
      <c r="C1" s="404" t="s">
        <v>141</v>
      </c>
      <c r="D1" s="127" t="s">
        <v>142</v>
      </c>
      <c r="E1" s="127" t="s">
        <v>320</v>
      </c>
      <c r="F1" s="128" t="s">
        <v>321</v>
      </c>
      <c r="G1" s="127" t="s">
        <v>129</v>
      </c>
      <c r="H1" s="127" t="s">
        <v>322</v>
      </c>
      <c r="I1" s="127" t="s">
        <v>323</v>
      </c>
      <c r="J1" s="396" t="s">
        <v>324</v>
      </c>
      <c r="K1" s="397"/>
      <c r="L1" s="113" t="s">
        <v>339</v>
      </c>
      <c r="M1" s="397"/>
      <c r="N1" s="397"/>
      <c r="O1" s="398"/>
      <c r="P1" s="397"/>
      <c r="Q1" s="397"/>
      <c r="R1" s="397"/>
      <c r="S1" s="399"/>
      <c r="T1" s="124"/>
      <c r="U1" s="124"/>
      <c r="V1" s="124"/>
    </row>
    <row r="2" spans="1:22" ht="16" x14ac:dyDescent="0.2">
      <c r="A2" s="114" t="s">
        <v>5</v>
      </c>
      <c r="B2" s="114" t="s">
        <v>172</v>
      </c>
      <c r="C2" s="400"/>
      <c r="D2" s="401" t="s">
        <v>176</v>
      </c>
      <c r="E2" s="400"/>
      <c r="F2" s="400" t="s">
        <v>325</v>
      </c>
      <c r="G2" s="400">
        <v>0</v>
      </c>
      <c r="H2" s="400">
        <f>_xlfn.XLOOKUP($A2,'1.1.SSDR_water'!$B$7:$B$29,'1.1.SSDR_water'!$J$7:$J$29)</f>
        <v>1.3407910091192035</v>
      </c>
      <c r="I2" s="400">
        <f>_xlfn.XLOOKUP($A2,'1.1.SSDR_water'!$B$7:$B$29,'1.1.SSDR_water'!$I$7:$I$29)</f>
        <v>-34.536028505829982</v>
      </c>
      <c r="J2" s="402"/>
      <c r="K2" s="124"/>
      <c r="L2" s="113" t="s">
        <v>340</v>
      </c>
      <c r="M2" s="131"/>
      <c r="N2" s="124"/>
      <c r="O2" s="124"/>
      <c r="P2" s="124"/>
      <c r="Q2" s="124"/>
      <c r="R2" s="124"/>
      <c r="S2" s="124"/>
      <c r="T2" s="124"/>
      <c r="U2" s="124"/>
      <c r="V2" s="124"/>
    </row>
    <row r="3" spans="1:22" ht="16" x14ac:dyDescent="0.2">
      <c r="A3" s="118" t="s">
        <v>5</v>
      </c>
      <c r="B3" s="118" t="s">
        <v>172</v>
      </c>
      <c r="C3" s="116"/>
      <c r="D3" s="131" t="s">
        <v>148</v>
      </c>
      <c r="E3" s="116"/>
      <c r="F3" s="116" t="s">
        <v>325</v>
      </c>
      <c r="G3" s="116">
        <v>0</v>
      </c>
      <c r="H3" s="116">
        <f>_xlfn.XLOOKUP($A3,'1.1.SSDR_water'!$B$7:$B$29,'1.1.SSDR_water'!$J$7:$J$29)</f>
        <v>1.3407910091192035</v>
      </c>
      <c r="I3" s="116">
        <f>_xlfn.XLOOKUP($A3,'1.1.SSDR_water'!$B$7:$B$29,'1.1.SSDR_water'!$I$7:$I$29)</f>
        <v>-34.536028505829982</v>
      </c>
      <c r="J3" s="117"/>
      <c r="K3" s="124"/>
      <c r="L3" s="113" t="s">
        <v>341</v>
      </c>
      <c r="M3" s="131"/>
      <c r="N3" s="124"/>
      <c r="O3" s="124"/>
      <c r="P3" s="124"/>
      <c r="Q3" s="124"/>
      <c r="R3" s="124"/>
      <c r="S3" s="124"/>
      <c r="T3" s="124"/>
      <c r="U3" s="124"/>
      <c r="V3" s="124"/>
    </row>
    <row r="4" spans="1:22" ht="16" x14ac:dyDescent="0.2">
      <c r="A4" s="118" t="s">
        <v>5</v>
      </c>
      <c r="B4" s="118" t="s">
        <v>172</v>
      </c>
      <c r="C4" s="116"/>
      <c r="D4" s="131" t="s">
        <v>158</v>
      </c>
      <c r="E4" s="116"/>
      <c r="F4" s="116" t="s">
        <v>325</v>
      </c>
      <c r="G4" s="116">
        <v>0</v>
      </c>
      <c r="H4" s="116">
        <f>_xlfn.XLOOKUP($A4,'1.1.SSDR_water'!$B$7:$B$29,'1.1.SSDR_water'!$J$7:$J$29)</f>
        <v>1.3407910091192035</v>
      </c>
      <c r="I4" s="116">
        <f>_xlfn.XLOOKUP($A4,'1.1.SSDR_water'!$B$7:$B$29,'1.1.SSDR_water'!$I$7:$I$29)</f>
        <v>-34.536028505829982</v>
      </c>
      <c r="J4" s="117"/>
      <c r="M4" s="131"/>
    </row>
    <row r="5" spans="1:22" ht="16" x14ac:dyDescent="0.2">
      <c r="A5" s="118" t="s">
        <v>5</v>
      </c>
      <c r="B5" s="118" t="s">
        <v>172</v>
      </c>
      <c r="C5" s="116"/>
      <c r="D5" s="131" t="s">
        <v>149</v>
      </c>
      <c r="E5" s="116"/>
      <c r="F5" s="116" t="s">
        <v>325</v>
      </c>
      <c r="G5" s="116">
        <v>0</v>
      </c>
      <c r="H5" s="116">
        <f>_xlfn.XLOOKUP($A5,'1.1.SSDR_water'!$B$7:$B$29,'1.1.SSDR_water'!$J$7:$J$29)</f>
        <v>1.3407910091192035</v>
      </c>
      <c r="I5" s="116">
        <f>_xlfn.XLOOKUP($A5,'1.1.SSDR_water'!$B$7:$B$29,'1.1.SSDR_water'!$I$7:$I$29)</f>
        <v>-34.536028505829982</v>
      </c>
      <c r="J5" s="117"/>
      <c r="L5" s="113" t="s">
        <v>428</v>
      </c>
      <c r="M5" s="131"/>
    </row>
    <row r="6" spans="1:22" ht="16" x14ac:dyDescent="0.2">
      <c r="A6" s="118" t="s">
        <v>5</v>
      </c>
      <c r="B6" s="118" t="s">
        <v>172</v>
      </c>
      <c r="C6" s="116"/>
      <c r="D6" s="131" t="s">
        <v>173</v>
      </c>
      <c r="E6" s="116"/>
      <c r="F6" s="116" t="s">
        <v>325</v>
      </c>
      <c r="G6" s="116">
        <v>0</v>
      </c>
      <c r="H6" s="116">
        <f>_xlfn.XLOOKUP($A6,'1.2.SSDR_sediment'!$B$7:$B$29,'1.2.SSDR_sediment'!$J$7:$J$29)</f>
        <v>1.3407910091192035</v>
      </c>
      <c r="I6" s="116">
        <f>_xlfn.XLOOKUP($A6,'1.2.SSDR_sediment'!$B$7:$B$29,'1.2.SSDR_sediment'!$I$7:$I$29)</f>
        <v>-34.536028505829982</v>
      </c>
      <c r="J6" s="117"/>
      <c r="M6" s="131"/>
    </row>
    <row r="7" spans="1:22" ht="16" x14ac:dyDescent="0.2">
      <c r="A7" s="118" t="s">
        <v>5</v>
      </c>
      <c r="B7" s="118" t="s">
        <v>172</v>
      </c>
      <c r="C7" s="116"/>
      <c r="D7" s="131" t="s">
        <v>174</v>
      </c>
      <c r="E7" s="116"/>
      <c r="F7" s="116" t="s">
        <v>325</v>
      </c>
      <c r="G7" s="116">
        <v>0</v>
      </c>
      <c r="H7" s="116">
        <f>_xlfn.XLOOKUP($A7,'1.2.SSDR_sediment'!$B$7:$B$29,'1.2.SSDR_sediment'!$J$7:$J$29)</f>
        <v>1.3407910091192035</v>
      </c>
      <c r="I7" s="116">
        <f>_xlfn.XLOOKUP($A7,'1.2.SSDR_sediment'!$B$7:$B$29,'1.2.SSDR_sediment'!$I$7:$I$29)</f>
        <v>-34.536028505829982</v>
      </c>
      <c r="J7" s="117"/>
      <c r="M7" s="131"/>
    </row>
    <row r="8" spans="1:22" ht="16" x14ac:dyDescent="0.2">
      <c r="A8" s="118" t="s">
        <v>5</v>
      </c>
      <c r="B8" s="118" t="s">
        <v>172</v>
      </c>
      <c r="C8" s="116"/>
      <c r="D8" s="131" t="s">
        <v>175</v>
      </c>
      <c r="E8" s="116"/>
      <c r="F8" s="116" t="s">
        <v>325</v>
      </c>
      <c r="G8" s="116">
        <v>0</v>
      </c>
      <c r="H8" s="116">
        <f>_xlfn.XLOOKUP($A8,'1.2.SSDR_sediment'!$B$7:$B$29,'1.2.SSDR_sediment'!$J$7:$J$29)</f>
        <v>1.3407910091192035</v>
      </c>
      <c r="I8" s="116">
        <f>_xlfn.XLOOKUP($A8,'1.2.SSDR_sediment'!$B$7:$B$29,'1.2.SSDR_sediment'!$I$7:$I$29)</f>
        <v>-34.536028505829982</v>
      </c>
      <c r="J8" s="117"/>
      <c r="M8" s="131"/>
    </row>
    <row r="9" spans="1:22" ht="16" x14ac:dyDescent="0.2">
      <c r="A9" s="118" t="s">
        <v>5</v>
      </c>
      <c r="B9" s="118" t="s">
        <v>172</v>
      </c>
      <c r="C9" s="116"/>
      <c r="D9" s="131" t="s">
        <v>150</v>
      </c>
      <c r="E9" s="116"/>
      <c r="F9" s="116" t="s">
        <v>325</v>
      </c>
      <c r="G9" s="116">
        <v>0</v>
      </c>
      <c r="H9" s="116">
        <f>_xlfn.XLOOKUP($A9,'1.3.SSDR_soil'!$B$7:$B$29,'1.3.SSDR_soil'!$J$7:$J$29)</f>
        <v>1.3407910091192035</v>
      </c>
      <c r="I9" s="116">
        <f>_xlfn.XLOOKUP($A9,'1.3.SSDR_soil'!$B$7:$B$29,'1.3.SSDR_soil'!$I$7:$I$29)</f>
        <v>-34.536028505829982</v>
      </c>
      <c r="J9" s="117"/>
      <c r="M9" s="131"/>
    </row>
    <row r="10" spans="1:22" ht="16" x14ac:dyDescent="0.2">
      <c r="A10" s="118" t="s">
        <v>5</v>
      </c>
      <c r="B10" s="118" t="s">
        <v>172</v>
      </c>
      <c r="C10" s="116"/>
      <c r="D10" s="131" t="s">
        <v>162</v>
      </c>
      <c r="E10" s="116"/>
      <c r="F10" s="116" t="s">
        <v>325</v>
      </c>
      <c r="G10" s="116">
        <v>0</v>
      </c>
      <c r="H10" s="116">
        <f>_xlfn.XLOOKUP($A10,'1.3.SSDR_soil'!$B$7:$B$29,'1.3.SSDR_soil'!$J$7:$J$29)</f>
        <v>1.3407910091192035</v>
      </c>
      <c r="I10" s="116">
        <f>_xlfn.XLOOKUP($A10,'1.3.SSDR_soil'!$B$7:$B$29,'1.3.SSDR_soil'!$I$7:$I$29)</f>
        <v>-34.536028505829982</v>
      </c>
      <c r="J10" s="117"/>
      <c r="M10" s="131"/>
    </row>
    <row r="11" spans="1:22" ht="16" x14ac:dyDescent="0.2">
      <c r="A11" s="119" t="s">
        <v>5</v>
      </c>
      <c r="B11" s="119" t="s">
        <v>172</v>
      </c>
      <c r="C11" s="120"/>
      <c r="D11" s="403" t="s">
        <v>151</v>
      </c>
      <c r="E11" s="120"/>
      <c r="F11" s="120" t="s">
        <v>325</v>
      </c>
      <c r="G11" s="120">
        <v>0</v>
      </c>
      <c r="H11" s="120">
        <f>_xlfn.XLOOKUP($A11,'1.3.SSDR_soil'!$B$7:$B$29,'1.3.SSDR_soil'!$J$7:$J$29)</f>
        <v>1.3407910091192035</v>
      </c>
      <c r="I11" s="116">
        <f>_xlfn.XLOOKUP($A11,'1.3.SSDR_soil'!$B$7:$B$29,'1.3.SSDR_soil'!$I$7:$I$29)</f>
        <v>-34.536028505829982</v>
      </c>
      <c r="J11" s="121"/>
      <c r="M11" s="131"/>
    </row>
    <row r="12" spans="1:22" ht="16" x14ac:dyDescent="0.2">
      <c r="A12" s="114" t="s">
        <v>0</v>
      </c>
      <c r="B12" s="407" t="s">
        <v>422</v>
      </c>
      <c r="C12" s="400"/>
      <c r="D12" s="401"/>
      <c r="E12" s="400"/>
      <c r="F12" s="400" t="s">
        <v>325</v>
      </c>
      <c r="G12" s="400">
        <v>0</v>
      </c>
      <c r="H12" s="400">
        <f>_xlfn.XLOOKUP($B12,'1.4.plasticFADE constants'!$B$8:$B$13,'1.4.plasticFADE constants'!$F$8:$F$13)</f>
        <v>8.8522568518694625E-4</v>
      </c>
      <c r="I12" s="400">
        <f>_xlfn.XLOOKUP($B12,'1.4.plasticFADE constants'!$B$8:$B$13,'1.4.plasticFADE constants'!$E$8:$E$13)</f>
        <v>-4.5792341493151865</v>
      </c>
      <c r="J12" s="402"/>
    </row>
    <row r="13" spans="1:22" ht="16" x14ac:dyDescent="0.2">
      <c r="A13" s="118" t="s">
        <v>0</v>
      </c>
      <c r="B13" s="408" t="s">
        <v>423</v>
      </c>
      <c r="C13" s="116"/>
      <c r="D13" s="131"/>
      <c r="E13" s="116"/>
      <c r="F13" s="116" t="s">
        <v>325</v>
      </c>
      <c r="G13" s="116">
        <v>0</v>
      </c>
      <c r="H13" s="116">
        <f>_xlfn.XLOOKUP($B13,'1.4.plasticFADE constants'!$B$8:$B$13,'1.4.plasticFADE constants'!$F$8:$F$13)</f>
        <v>0.18031551631660608</v>
      </c>
      <c r="I13" s="116">
        <f>_xlfn.XLOOKUP($B13,'1.4.plasticFADE constants'!$B$8:$B$13,'1.4.plasticFADE constants'!$E$8:$E$13)</f>
        <v>-24.116968942715502</v>
      </c>
      <c r="J13" s="117"/>
    </row>
    <row r="14" spans="1:22" ht="16" x14ac:dyDescent="0.2">
      <c r="A14" s="118" t="s">
        <v>0</v>
      </c>
      <c r="B14" s="408" t="s">
        <v>424</v>
      </c>
      <c r="C14" s="116"/>
      <c r="D14" s="131"/>
      <c r="E14" s="116"/>
      <c r="F14" s="116" t="s">
        <v>325</v>
      </c>
      <c r="G14" s="116">
        <v>0</v>
      </c>
      <c r="H14" s="116">
        <f>_xlfn.XLOOKUP($B14,'1.4.plasticFADE constants'!$B$8:$B$13,'1.4.plasticFADE constants'!$F$8:$F$13)</f>
        <v>4.2838610360828892E-3</v>
      </c>
      <c r="I14" s="116">
        <f>_xlfn.XLOOKUP($B14,'1.4.plasticFADE constants'!$B$8:$B$13,'1.4.plasticFADE constants'!$E$8:$E$13)</f>
        <v>-6.1272712628280415</v>
      </c>
      <c r="J14" s="117"/>
    </row>
    <row r="15" spans="1:22" ht="16" x14ac:dyDescent="0.2">
      <c r="A15" s="118" t="s">
        <v>0</v>
      </c>
      <c r="B15" s="408" t="s">
        <v>425</v>
      </c>
      <c r="C15" s="116"/>
      <c r="D15" s="131"/>
      <c r="E15" s="116"/>
      <c r="F15" s="116" t="s">
        <v>325</v>
      </c>
      <c r="G15" s="116">
        <v>0</v>
      </c>
      <c r="H15" s="116">
        <f>_xlfn.XLOOKUP($B15,'1.4.plasticFADE constants'!$B$8:$B$13,'1.4.plasticFADE constants'!$F$8:$F$13)</f>
        <v>0.56576349322207697</v>
      </c>
      <c r="I15" s="116">
        <f>_xlfn.XLOOKUP($B15,'1.4.plasticFADE constants'!$B$8:$B$13,'1.4.plasticFADE constants'!$E$8:$E$13)</f>
        <v>-1.2071490700077065</v>
      </c>
      <c r="J15" s="117"/>
    </row>
    <row r="16" spans="1:22" ht="16" x14ac:dyDescent="0.2">
      <c r="A16" s="118" t="s">
        <v>0</v>
      </c>
      <c r="B16" s="408" t="s">
        <v>426</v>
      </c>
      <c r="C16" s="116"/>
      <c r="D16" s="131"/>
      <c r="E16" s="116"/>
      <c r="F16" s="116" t="s">
        <v>325</v>
      </c>
      <c r="G16" s="116">
        <v>0</v>
      </c>
      <c r="H16" s="116">
        <f>_xlfn.XLOOKUP($B16,'1.4.plasticFADE constants'!$B$8:$B$13,'1.4.plasticFADE constants'!$F$8:$F$13)</f>
        <v>1.0821863165152337E-3</v>
      </c>
      <c r="I16" s="116">
        <f>_xlfn.XLOOKUP($B16,'1.4.plasticFADE constants'!$B$8:$B$13,'1.4.plasticFADE constants'!$E$8:$E$13)</f>
        <v>-7.8805315500541058</v>
      </c>
      <c r="J16" s="117"/>
    </row>
    <row r="17" spans="1:10" ht="16" x14ac:dyDescent="0.2">
      <c r="A17" s="119" t="s">
        <v>0</v>
      </c>
      <c r="B17" s="409" t="s">
        <v>427</v>
      </c>
      <c r="C17" s="120"/>
      <c r="D17" s="403"/>
      <c r="E17" s="120"/>
      <c r="F17" s="120" t="s">
        <v>325</v>
      </c>
      <c r="G17" s="120">
        <v>0</v>
      </c>
      <c r="H17" s="120">
        <f>_xlfn.XLOOKUP($B17,'1.4.plasticFADE constants'!$B$8:$B$13,'1.4.plasticFADE constants'!$F$8:$F$13)</f>
        <v>0.17415973531339507</v>
      </c>
      <c r="I17" s="120">
        <f>_xlfn.XLOOKUP($B17,'1.4.plasticFADE constants'!$B$8:$B$13,'1.4.plasticFADE constants'!$E$8:$E$13)</f>
        <v>-1.5302212244476034</v>
      </c>
      <c r="J17" s="121"/>
    </row>
    <row r="18" spans="1:10" ht="16" x14ac:dyDescent="0.2">
      <c r="A18" s="114" t="s">
        <v>1</v>
      </c>
      <c r="B18" s="407" t="s">
        <v>422</v>
      </c>
      <c r="C18" s="400"/>
      <c r="D18" s="401"/>
      <c r="E18" s="400"/>
      <c r="F18" s="400" t="s">
        <v>325</v>
      </c>
      <c r="G18" s="400">
        <v>0</v>
      </c>
      <c r="H18" s="400">
        <f>_xlfn.XLOOKUP($B18,'1.4.plasticFADE constants'!$B$8:$B$13,'1.4.plasticFADE constants'!$J$8:$J$13)</f>
        <v>5.7046216926572363E-3</v>
      </c>
      <c r="I18" s="400">
        <f>_xlfn.XLOOKUP($B18,'1.4.plasticFADE constants'!$B$8:$B$13,'1.4.plasticFADE constants'!$I$8:$I$13)</f>
        <v>-4.5052714656577013</v>
      </c>
      <c r="J18" s="402"/>
    </row>
    <row r="19" spans="1:10" ht="16" x14ac:dyDescent="0.2">
      <c r="A19" s="118" t="s">
        <v>1</v>
      </c>
      <c r="B19" s="408" t="s">
        <v>423</v>
      </c>
      <c r="C19" s="116"/>
      <c r="D19" s="131"/>
      <c r="E19" s="116"/>
      <c r="F19" s="116" t="s">
        <v>325</v>
      </c>
      <c r="G19" s="116">
        <v>0</v>
      </c>
      <c r="H19" s="116">
        <f>_xlfn.XLOOKUP($B19,'1.4.plasticFADE constants'!$B$8:$B$13,'1.4.plasticFADE constants'!$J$8:$J$13)</f>
        <v>0.10974721132064617</v>
      </c>
      <c r="I19" s="116">
        <f>_xlfn.XLOOKUP($B19,'1.4.plasticFADE constants'!$B$8:$B$13,'1.4.plasticFADE constants'!$I$8:$I$13)</f>
        <v>-28.324168296488498</v>
      </c>
      <c r="J19" s="117"/>
    </row>
    <row r="20" spans="1:10" ht="16" x14ac:dyDescent="0.2">
      <c r="A20" s="118" t="s">
        <v>1</v>
      </c>
      <c r="B20" s="408" t="s">
        <v>424</v>
      </c>
      <c r="C20" s="116"/>
      <c r="D20" s="131"/>
      <c r="E20" s="116"/>
      <c r="F20" s="116" t="s">
        <v>325</v>
      </c>
      <c r="G20" s="116">
        <v>0</v>
      </c>
      <c r="H20" s="116">
        <f>_xlfn.XLOOKUP($B20,'1.4.plasticFADE constants'!$B$8:$B$13,'1.4.plasticFADE constants'!$J$8:$J$13)</f>
        <v>6.1122893201501606E-3</v>
      </c>
      <c r="I20" s="116">
        <f>_xlfn.XLOOKUP($B20,'1.4.plasticFADE constants'!$B$8:$B$13,'1.4.plasticFADE constants'!$I$8:$I$13)</f>
        <v>-4.5741987776363207</v>
      </c>
      <c r="J20" s="117"/>
    </row>
    <row r="21" spans="1:10" ht="16" x14ac:dyDescent="0.2">
      <c r="A21" s="118" t="s">
        <v>1</v>
      </c>
      <c r="B21" s="408" t="s">
        <v>425</v>
      </c>
      <c r="C21" s="116"/>
      <c r="D21" s="131"/>
      <c r="E21" s="116"/>
      <c r="F21" s="116" t="s">
        <v>325</v>
      </c>
      <c r="G21" s="116">
        <v>0</v>
      </c>
      <c r="H21" s="116">
        <f>_xlfn.XLOOKUP($B21,'1.4.plasticFADE constants'!$B$8:$B$13,'1.4.plasticFADE constants'!$J$8:$J$13)</f>
        <v>3.6211086630142278E-5</v>
      </c>
      <c r="I21" s="116">
        <f>_xlfn.XLOOKUP($B21,'1.4.plasticFADE constants'!$B$8:$B$13,'1.4.plasticFADE constants'!$I$8:$I$13)</f>
        <v>-5.4348195062780258</v>
      </c>
      <c r="J21" s="117"/>
    </row>
    <row r="22" spans="1:10" ht="16" x14ac:dyDescent="0.2">
      <c r="A22" s="118" t="s">
        <v>1</v>
      </c>
      <c r="B22" s="408" t="s">
        <v>426</v>
      </c>
      <c r="C22" s="116"/>
      <c r="D22" s="116"/>
      <c r="E22" s="116"/>
      <c r="F22" s="116" t="s">
        <v>325</v>
      </c>
      <c r="G22" s="116">
        <v>0</v>
      </c>
      <c r="H22" s="116">
        <f>_xlfn.XLOOKUP($B22,'1.4.plasticFADE constants'!$B$8:$B$13,'1.4.plasticFADE constants'!$J$8:$J$13)</f>
        <v>4.4412819089122309E-4</v>
      </c>
      <c r="I22" s="116">
        <f>_xlfn.XLOOKUP($B22,'1.4.plasticFADE constants'!$B$8:$B$13,'1.4.plasticFADE constants'!$I$8:$I$13)</f>
        <v>-9.1638821866653597</v>
      </c>
      <c r="J22" s="117"/>
    </row>
    <row r="23" spans="1:10" ht="16" x14ac:dyDescent="0.2">
      <c r="A23" s="119" t="s">
        <v>1</v>
      </c>
      <c r="B23" s="409" t="s">
        <v>427</v>
      </c>
      <c r="C23" s="120"/>
      <c r="D23" s="120"/>
      <c r="E23" s="120"/>
      <c r="F23" s="120" t="s">
        <v>325</v>
      </c>
      <c r="G23" s="120">
        <v>0</v>
      </c>
      <c r="H23" s="120">
        <f>_xlfn.XLOOKUP($B23,'1.4.plasticFADE constants'!$B$8:$B$13,'1.4.plasticFADE constants'!$J$8:$J$13)</f>
        <v>0.19223313230112987</v>
      </c>
      <c r="I23" s="120">
        <f>_xlfn.XLOOKUP($B23,'1.4.plasticFADE constants'!$B$8:$B$13,'1.4.plasticFADE constants'!$I$8:$I$13)</f>
        <v>-1.1268274552867941</v>
      </c>
      <c r="J23" s="121"/>
    </row>
    <row r="24" spans="1:10" ht="16" x14ac:dyDescent="0.2">
      <c r="A24" s="118" t="s">
        <v>13</v>
      </c>
      <c r="B24" s="114" t="s">
        <v>172</v>
      </c>
      <c r="C24" s="116"/>
      <c r="D24" s="131" t="s">
        <v>176</v>
      </c>
      <c r="E24" s="116"/>
      <c r="F24" s="116" t="s">
        <v>325</v>
      </c>
      <c r="G24" s="116">
        <v>0</v>
      </c>
      <c r="H24" s="400">
        <f>_xlfn.XLOOKUP($A24,'1.1.SSDR_water'!$B$7:$B$29,'1.1.SSDR_water'!$J$7:$J$29)</f>
        <v>1.7877213454922709</v>
      </c>
      <c r="I24" s="400">
        <f>_xlfn.XLOOKUP($A24,'1.1.SSDR_water'!$B$7:$B$29,'1.1.SSDR_water'!$I$7:$I$29)</f>
        <v>-29.919000056533232</v>
      </c>
      <c r="J24" s="117"/>
    </row>
    <row r="25" spans="1:10" ht="16" x14ac:dyDescent="0.2">
      <c r="A25" s="118" t="s">
        <v>13</v>
      </c>
      <c r="B25" s="118" t="s">
        <v>172</v>
      </c>
      <c r="C25" s="116"/>
      <c r="D25" s="131" t="s">
        <v>148</v>
      </c>
      <c r="E25" s="116"/>
      <c r="F25" s="116" t="s">
        <v>325</v>
      </c>
      <c r="G25" s="116">
        <v>0</v>
      </c>
      <c r="H25" s="116">
        <f>_xlfn.XLOOKUP($A25,'1.1.SSDR_water'!$B$7:$B$29,'1.1.SSDR_water'!$J$7:$J$29)</f>
        <v>1.7877213454922709</v>
      </c>
      <c r="I25" s="116">
        <f>_xlfn.XLOOKUP($A25,'1.1.SSDR_water'!$B$7:$B$29,'1.1.SSDR_water'!$I$7:$I$29)</f>
        <v>-29.919000056533232</v>
      </c>
      <c r="J25" s="117"/>
    </row>
    <row r="26" spans="1:10" ht="16" x14ac:dyDescent="0.2">
      <c r="A26" s="118" t="s">
        <v>13</v>
      </c>
      <c r="B26" s="118" t="s">
        <v>172</v>
      </c>
      <c r="C26" s="116"/>
      <c r="D26" s="131" t="s">
        <v>158</v>
      </c>
      <c r="E26" s="116"/>
      <c r="F26" s="116" t="s">
        <v>325</v>
      </c>
      <c r="G26" s="116">
        <v>0</v>
      </c>
      <c r="H26" s="116">
        <f>_xlfn.XLOOKUP($A26,'1.1.SSDR_water'!$B$7:$B$29,'1.1.SSDR_water'!$J$7:$J$29)</f>
        <v>1.7877213454922709</v>
      </c>
      <c r="I26" s="116">
        <f>_xlfn.XLOOKUP($A26,'1.1.SSDR_water'!$B$7:$B$29,'1.1.SSDR_water'!$I$7:$I$29)</f>
        <v>-29.919000056533232</v>
      </c>
      <c r="J26" s="117"/>
    </row>
    <row r="27" spans="1:10" ht="16" x14ac:dyDescent="0.2">
      <c r="A27" s="118" t="s">
        <v>13</v>
      </c>
      <c r="B27" s="118" t="s">
        <v>172</v>
      </c>
      <c r="C27" s="116"/>
      <c r="D27" s="131" t="s">
        <v>149</v>
      </c>
      <c r="E27" s="116"/>
      <c r="F27" s="116" t="s">
        <v>325</v>
      </c>
      <c r="G27" s="116">
        <v>0</v>
      </c>
      <c r="H27" s="116">
        <f>_xlfn.XLOOKUP($A27,'1.1.SSDR_water'!$B$7:$B$29,'1.1.SSDR_water'!$J$7:$J$29)</f>
        <v>1.7877213454922709</v>
      </c>
      <c r="I27" s="116">
        <f>_xlfn.XLOOKUP($A27,'1.1.SSDR_water'!$B$7:$B$29,'1.1.SSDR_water'!$I$7:$I$29)</f>
        <v>-29.919000056533232</v>
      </c>
      <c r="J27" s="117"/>
    </row>
    <row r="28" spans="1:10" ht="16" x14ac:dyDescent="0.2">
      <c r="A28" s="118" t="s">
        <v>13</v>
      </c>
      <c r="B28" s="118" t="s">
        <v>172</v>
      </c>
      <c r="C28" s="116"/>
      <c r="D28" s="131" t="s">
        <v>173</v>
      </c>
      <c r="E28" s="116"/>
      <c r="F28" s="116" t="s">
        <v>325</v>
      </c>
      <c r="G28" s="116">
        <v>0</v>
      </c>
      <c r="H28" s="116">
        <f>_xlfn.XLOOKUP($A28,'1.2.SSDR_sediment'!$B$7:$B$29,'1.2.SSDR_sediment'!$J$7:$J$29)</f>
        <v>1.7877213454922709</v>
      </c>
      <c r="I28" s="116">
        <f>_xlfn.XLOOKUP($A28,'1.2.SSDR_sediment'!$B$7:$B$29,'1.2.SSDR_sediment'!$I$7:$I$29)</f>
        <v>-29.919000056533232</v>
      </c>
      <c r="J28" s="117"/>
    </row>
    <row r="29" spans="1:10" ht="16" x14ac:dyDescent="0.2">
      <c r="A29" s="118" t="s">
        <v>13</v>
      </c>
      <c r="B29" s="118" t="s">
        <v>172</v>
      </c>
      <c r="C29" s="116"/>
      <c r="D29" s="131" t="s">
        <v>174</v>
      </c>
      <c r="E29" s="116"/>
      <c r="F29" s="116" t="s">
        <v>325</v>
      </c>
      <c r="G29" s="116">
        <v>0</v>
      </c>
      <c r="H29" s="116">
        <f>_xlfn.XLOOKUP($A29,'1.2.SSDR_sediment'!$B$7:$B$29,'1.2.SSDR_sediment'!$J$7:$J$29)</f>
        <v>1.7877213454922709</v>
      </c>
      <c r="I29" s="116">
        <f>_xlfn.XLOOKUP($A29,'1.2.SSDR_sediment'!$B$7:$B$29,'1.2.SSDR_sediment'!$I$7:$I$29)</f>
        <v>-29.919000056533232</v>
      </c>
      <c r="J29" s="117"/>
    </row>
    <row r="30" spans="1:10" ht="16" x14ac:dyDescent="0.2">
      <c r="A30" s="118" t="s">
        <v>13</v>
      </c>
      <c r="B30" s="118" t="s">
        <v>172</v>
      </c>
      <c r="C30" s="116"/>
      <c r="D30" s="131" t="s">
        <v>175</v>
      </c>
      <c r="E30" s="116"/>
      <c r="F30" s="116" t="s">
        <v>325</v>
      </c>
      <c r="G30" s="116">
        <v>0</v>
      </c>
      <c r="H30" s="116">
        <f>_xlfn.XLOOKUP($A30,'1.2.SSDR_sediment'!$B$7:$B$29,'1.2.SSDR_sediment'!$J$7:$J$29)</f>
        <v>1.7877213454922709</v>
      </c>
      <c r="I30" s="116">
        <f>_xlfn.XLOOKUP($A30,'1.2.SSDR_sediment'!$B$7:$B$29,'1.2.SSDR_sediment'!$I$7:$I$29)</f>
        <v>-29.919000056533232</v>
      </c>
      <c r="J30" s="117"/>
    </row>
    <row r="31" spans="1:10" ht="16" x14ac:dyDescent="0.2">
      <c r="A31" s="118" t="s">
        <v>13</v>
      </c>
      <c r="B31" s="118" t="s">
        <v>172</v>
      </c>
      <c r="C31" s="116"/>
      <c r="D31" s="131" t="s">
        <v>150</v>
      </c>
      <c r="E31" s="116"/>
      <c r="F31" s="116" t="s">
        <v>325</v>
      </c>
      <c r="G31" s="116">
        <v>0</v>
      </c>
      <c r="H31" s="116">
        <f>_xlfn.XLOOKUP($A31,'1.3.SSDR_soil'!$B$7:$B$29,'1.3.SSDR_soil'!$J$7:$J$29)</f>
        <v>1.7877213454922709</v>
      </c>
      <c r="I31" s="116">
        <f>_xlfn.XLOOKUP($A31,'1.3.SSDR_soil'!$B$7:$B$29,'1.3.SSDR_soil'!$I$7:$I$29)</f>
        <v>-29.919000056533232</v>
      </c>
      <c r="J31" s="117"/>
    </row>
    <row r="32" spans="1:10" ht="16" x14ac:dyDescent="0.2">
      <c r="A32" s="118" t="s">
        <v>13</v>
      </c>
      <c r="B32" s="118" t="s">
        <v>172</v>
      </c>
      <c r="C32" s="116"/>
      <c r="D32" s="131" t="s">
        <v>162</v>
      </c>
      <c r="E32" s="116"/>
      <c r="F32" s="116" t="s">
        <v>325</v>
      </c>
      <c r="G32" s="116">
        <v>0</v>
      </c>
      <c r="H32" s="116">
        <f>_xlfn.XLOOKUP($A32,'1.3.SSDR_soil'!$B$7:$B$29,'1.3.SSDR_soil'!$J$7:$J$29)</f>
        <v>1.7877213454922709</v>
      </c>
      <c r="I32" s="116">
        <f>_xlfn.XLOOKUP($A32,'1.3.SSDR_soil'!$B$7:$B$29,'1.3.SSDR_soil'!$I$7:$I$29)</f>
        <v>-29.919000056533232</v>
      </c>
      <c r="J32" s="117"/>
    </row>
    <row r="33" spans="1:10" ht="16" x14ac:dyDescent="0.2">
      <c r="A33" s="118" t="s">
        <v>13</v>
      </c>
      <c r="B33" s="119" t="s">
        <v>172</v>
      </c>
      <c r="C33" s="116"/>
      <c r="D33" s="131" t="s">
        <v>151</v>
      </c>
      <c r="E33" s="116"/>
      <c r="F33" s="116" t="s">
        <v>325</v>
      </c>
      <c r="G33" s="116">
        <v>0</v>
      </c>
      <c r="H33" s="120">
        <f>_xlfn.XLOOKUP($A33,'1.3.SSDR_soil'!$B$7:$B$29,'1.3.SSDR_soil'!$J$7:$J$29)</f>
        <v>1.7877213454922709</v>
      </c>
      <c r="I33" s="116">
        <f>_xlfn.XLOOKUP($A33,'1.3.SSDR_soil'!$B$7:$B$29,'1.3.SSDR_soil'!$I$7:$I$29)</f>
        <v>-29.919000056533232</v>
      </c>
      <c r="J33" s="117"/>
    </row>
    <row r="34" spans="1:10" ht="16" x14ac:dyDescent="0.2">
      <c r="A34" s="114" t="s">
        <v>2</v>
      </c>
      <c r="B34" s="407" t="s">
        <v>422</v>
      </c>
      <c r="C34" s="400"/>
      <c r="D34" s="401"/>
      <c r="E34" s="400"/>
      <c r="F34" s="400" t="s">
        <v>325</v>
      </c>
      <c r="G34" s="400">
        <v>0</v>
      </c>
      <c r="H34" s="400">
        <f>_xlfn.XLOOKUP($B34,'1.4.plasticFADE constants'!$B$8:$B$13,'1.4.plasticFADE constants'!$N$8:$N$13)</f>
        <v>2.9524825547148014E-4</v>
      </c>
      <c r="I34" s="400">
        <f>_xlfn.XLOOKUP($B34,'1.4.plasticFADE constants'!$B$8:$B$13,'1.4.plasticFADE constants'!$M$8:$M$13)</f>
        <v>-8.3213128615646177</v>
      </c>
      <c r="J34" s="402"/>
    </row>
    <row r="35" spans="1:10" ht="16" x14ac:dyDescent="0.2">
      <c r="A35" s="118" t="s">
        <v>2</v>
      </c>
      <c r="B35" s="408" t="s">
        <v>423</v>
      </c>
      <c r="C35" s="116"/>
      <c r="D35" s="131"/>
      <c r="E35" s="116"/>
      <c r="F35" s="116" t="s">
        <v>325</v>
      </c>
      <c r="G35" s="116">
        <v>0</v>
      </c>
      <c r="H35" s="400">
        <f>_xlfn.XLOOKUP($B35,'1.4.plasticFADE constants'!$B$8:$B$13,'1.4.plasticFADE constants'!$N$8:$N$13)</f>
        <v>0.19332889713928206</v>
      </c>
      <c r="I35" s="400">
        <f>_xlfn.XLOOKUP($B35,'1.4.plasticFADE constants'!$B$8:$B$13,'1.4.plasticFADE constants'!$M$8:$M$13)</f>
        <v>-0.23448794254115907</v>
      </c>
      <c r="J35" s="117"/>
    </row>
    <row r="36" spans="1:10" ht="16" x14ac:dyDescent="0.2">
      <c r="A36" s="118" t="s">
        <v>2</v>
      </c>
      <c r="B36" s="408" t="s">
        <v>424</v>
      </c>
      <c r="C36" s="116"/>
      <c r="D36" s="131"/>
      <c r="E36" s="116"/>
      <c r="F36" s="116" t="s">
        <v>325</v>
      </c>
      <c r="G36" s="116">
        <v>0</v>
      </c>
      <c r="H36" s="400">
        <f>_xlfn.XLOOKUP($B36,'1.4.plasticFADE constants'!$B$8:$B$13,'1.4.plasticFADE constants'!$N$8:$N$13)</f>
        <v>2.1960388534196288E-5</v>
      </c>
      <c r="I36" s="400">
        <f>_xlfn.XLOOKUP($B36,'1.4.plasticFADE constants'!$B$8:$B$13,'1.4.plasticFADE constants'!$M$8:$M$13)</f>
        <v>-11.230611090275636</v>
      </c>
      <c r="J36" s="117"/>
    </row>
    <row r="37" spans="1:10" ht="16" x14ac:dyDescent="0.2">
      <c r="A37" s="118" t="s">
        <v>2</v>
      </c>
      <c r="B37" s="408" t="s">
        <v>425</v>
      </c>
      <c r="C37" s="116"/>
      <c r="D37" s="131"/>
      <c r="E37" s="116"/>
      <c r="F37" s="116" t="s">
        <v>325</v>
      </c>
      <c r="G37" s="116">
        <v>0</v>
      </c>
      <c r="H37" s="400">
        <f>_xlfn.XLOOKUP($B37,'1.4.plasticFADE constants'!$B$8:$B$13,'1.4.plasticFADE constants'!$N$8:$N$13)</f>
        <v>0.22318783126059411</v>
      </c>
      <c r="I37" s="400">
        <f>_xlfn.XLOOKUP($B37,'1.4.plasticFADE constants'!$B$8:$B$13,'1.4.plasticFADE constants'!$M$8:$M$13)</f>
        <v>0.62930292908874985</v>
      </c>
      <c r="J37" s="117"/>
    </row>
    <row r="38" spans="1:10" ht="16" x14ac:dyDescent="0.2">
      <c r="A38" s="118" t="s">
        <v>2</v>
      </c>
      <c r="B38" s="408" t="s">
        <v>426</v>
      </c>
      <c r="C38" s="116"/>
      <c r="D38" s="131"/>
      <c r="E38" s="116"/>
      <c r="F38" s="116" t="s">
        <v>325</v>
      </c>
      <c r="G38" s="116">
        <v>0</v>
      </c>
      <c r="H38" s="400">
        <f>_xlfn.XLOOKUP($B38,'1.4.plasticFADE constants'!$B$8:$B$13,'1.4.plasticFADE constants'!$N$8:$N$13)</f>
        <v>4.4013893320794464E-6</v>
      </c>
      <c r="I38" s="400">
        <f>_xlfn.XLOOKUP($B38,'1.4.plasticFADE constants'!$B$8:$B$13,'1.4.plasticFADE constants'!$M$8:$M$13)</f>
        <v>-4.1852835055615794</v>
      </c>
      <c r="J38" s="117"/>
    </row>
    <row r="39" spans="1:10" ht="16" x14ac:dyDescent="0.2">
      <c r="A39" s="119" t="s">
        <v>2</v>
      </c>
      <c r="B39" s="409" t="s">
        <v>427</v>
      </c>
      <c r="C39" s="120"/>
      <c r="D39" s="403"/>
      <c r="E39" s="120"/>
      <c r="F39" s="120" t="s">
        <v>325</v>
      </c>
      <c r="G39" s="120">
        <v>0</v>
      </c>
      <c r="H39" s="400">
        <f>_xlfn.XLOOKUP($B39,'1.4.plasticFADE constants'!$B$8:$B$13,'1.4.plasticFADE constants'!$N$8:$N$13)</f>
        <v>4.5684842445671371E-2</v>
      </c>
      <c r="I39" s="400">
        <f>_xlfn.XLOOKUP($B39,'1.4.plasticFADE constants'!$B$8:$B$13,'1.4.plasticFADE constants'!$M$8:$M$13)</f>
        <v>-2.5451414914347712</v>
      </c>
      <c r="J39" s="121"/>
    </row>
    <row r="40" spans="1:10" ht="16" x14ac:dyDescent="0.2">
      <c r="A40" s="114" t="s">
        <v>3</v>
      </c>
      <c r="B40" s="407" t="s">
        <v>422</v>
      </c>
      <c r="C40" s="400"/>
      <c r="D40" s="401"/>
      <c r="E40" s="400"/>
      <c r="F40" s="400" t="s">
        <v>325</v>
      </c>
      <c r="G40" s="400">
        <v>0</v>
      </c>
      <c r="H40" s="400">
        <f>_xlfn.XLOOKUP($B40,'1.4.plasticFADE constants'!$B$8:$B$13,'1.4.plasticFADE constants'!$R$8:$R$13)</f>
        <v>5.095161679579672E-3</v>
      </c>
      <c r="I40" s="400">
        <f>_xlfn.XLOOKUP($B40,'1.4.plasticFADE constants'!$B$8:$B$13,'1.4.plasticFADE constants'!$Q$8:$Q$13)</f>
        <v>-5.2033360606110612</v>
      </c>
      <c r="J40" s="402"/>
    </row>
    <row r="41" spans="1:10" ht="16" x14ac:dyDescent="0.2">
      <c r="A41" s="118" t="s">
        <v>3</v>
      </c>
      <c r="B41" s="408" t="s">
        <v>423</v>
      </c>
      <c r="C41" s="116"/>
      <c r="D41" s="131"/>
      <c r="E41" s="116"/>
      <c r="F41" s="116" t="s">
        <v>325</v>
      </c>
      <c r="G41" s="116">
        <v>0</v>
      </c>
      <c r="H41" s="400">
        <f>_xlfn.XLOOKUP($B41,'1.4.plasticFADE constants'!$B$8:$B$13,'1.4.plasticFADE constants'!$R$8:$R$13)</f>
        <v>0.11216725202724696</v>
      </c>
      <c r="I41" s="400">
        <f>_xlfn.XLOOKUP($B41,'1.4.plasticFADE constants'!$B$8:$B$13,'1.4.plasticFADE constants'!$Q$8:$Q$13)</f>
        <v>-4.2888430197046334</v>
      </c>
      <c r="J41" s="117"/>
    </row>
    <row r="42" spans="1:10" ht="16" x14ac:dyDescent="0.2">
      <c r="A42" s="118" t="s">
        <v>3</v>
      </c>
      <c r="B42" s="408" t="s">
        <v>424</v>
      </c>
      <c r="C42" s="116"/>
      <c r="D42" s="131"/>
      <c r="E42" s="116"/>
      <c r="F42" s="116" t="s">
        <v>325</v>
      </c>
      <c r="G42" s="116">
        <v>0</v>
      </c>
      <c r="H42" s="400">
        <f>_xlfn.XLOOKUP($B42,'1.4.plasticFADE constants'!$B$8:$B$13,'1.4.plasticFADE constants'!$R$8:$R$13)</f>
        <v>1.6245854917083305E-3</v>
      </c>
      <c r="I42" s="400">
        <f>_xlfn.XLOOKUP($B42,'1.4.plasticFADE constants'!$B$8:$B$13,'1.4.plasticFADE constants'!$Q$8:$Q$13)</f>
        <v>-4.0602197220386582</v>
      </c>
      <c r="J42" s="117"/>
    </row>
    <row r="43" spans="1:10" ht="16" x14ac:dyDescent="0.2">
      <c r="A43" s="118" t="s">
        <v>3</v>
      </c>
      <c r="B43" s="408" t="s">
        <v>425</v>
      </c>
      <c r="C43" s="116"/>
      <c r="D43" s="131"/>
      <c r="E43" s="116"/>
      <c r="F43" s="116" t="s">
        <v>325</v>
      </c>
      <c r="G43" s="116">
        <v>0</v>
      </c>
      <c r="H43" s="400">
        <f>_xlfn.XLOOKUP($B43,'1.4.plasticFADE constants'!$B$8:$B$13,'1.4.plasticFADE constants'!$R$8:$R$13)</f>
        <v>0.38047219974999136</v>
      </c>
      <c r="I43" s="400">
        <f>_xlfn.XLOOKUP($B43,'1.4.plasticFADE constants'!$B$8:$B$13,'1.4.plasticFADE constants'!$Q$8:$Q$13)</f>
        <v>-0.3488586863441826</v>
      </c>
      <c r="J43" s="117"/>
    </row>
    <row r="44" spans="1:10" ht="16" x14ac:dyDescent="0.2">
      <c r="A44" s="118" t="s">
        <v>3</v>
      </c>
      <c r="B44" s="408" t="s">
        <v>426</v>
      </c>
      <c r="C44" s="116"/>
      <c r="D44" s="131"/>
      <c r="E44" s="116"/>
      <c r="F44" s="116" t="s">
        <v>325</v>
      </c>
      <c r="G44" s="116">
        <v>0</v>
      </c>
      <c r="H44" s="400">
        <f>_xlfn.XLOOKUP($B44,'1.4.plasticFADE constants'!$B$8:$B$13,'1.4.plasticFADE constants'!$R$8:$R$13)</f>
        <v>3.8147496202113584E-5</v>
      </c>
      <c r="I44" s="400">
        <f>_xlfn.XLOOKUP($B44,'1.4.plasticFADE constants'!$B$8:$B$13,'1.4.plasticFADE constants'!$Q$8:$Q$13)</f>
        <v>-11.033061618954534</v>
      </c>
      <c r="J44" s="117"/>
    </row>
    <row r="45" spans="1:10" ht="16" x14ac:dyDescent="0.2">
      <c r="A45" s="119" t="s">
        <v>3</v>
      </c>
      <c r="B45" s="409" t="s">
        <v>427</v>
      </c>
      <c r="C45" s="120"/>
      <c r="D45" s="403"/>
      <c r="E45" s="120"/>
      <c r="F45" s="120" t="s">
        <v>325</v>
      </c>
      <c r="G45" s="120">
        <v>0</v>
      </c>
      <c r="H45" s="405">
        <f>_xlfn.XLOOKUP($B45,'1.4.plasticFADE constants'!$B$8:$B$13,'1.4.plasticFADE constants'!$R$8:$R$13)</f>
        <v>0.11138573469379663</v>
      </c>
      <c r="I45" s="405">
        <f>_xlfn.XLOOKUP($B45,'1.4.plasticFADE constants'!$B$8:$B$13,'1.4.plasticFADE constants'!$Q$8:$Q$13)</f>
        <v>-0.81619839913685255</v>
      </c>
      <c r="J45" s="121"/>
    </row>
    <row r="46" spans="1:10" ht="16" x14ac:dyDescent="0.2">
      <c r="A46" s="118" t="s">
        <v>33</v>
      </c>
      <c r="B46" s="407" t="s">
        <v>422</v>
      </c>
      <c r="C46" s="116"/>
      <c r="D46" s="131"/>
      <c r="E46" s="116"/>
      <c r="F46" s="15" t="s">
        <v>325</v>
      </c>
      <c r="G46" s="116"/>
      <c r="H46" s="116">
        <f>_xlfn.XLOOKUP($B46,'1.4.plasticFADE constants'!$B$8:$B$13,'1.4.plasticFADE constants'!$V$8:$V$13)</f>
        <v>2.0039698122812592E-4</v>
      </c>
      <c r="I46" s="116">
        <f>_xlfn.XLOOKUP($B46,'1.4.plasticFADE constants'!$B$8:$B$13,'1.4.plasticFADE constants'!$U$8:$U$13)</f>
        <v>-8.2051082449468797</v>
      </c>
      <c r="J46" s="117"/>
    </row>
    <row r="47" spans="1:10" ht="16" x14ac:dyDescent="0.2">
      <c r="A47" s="118" t="s">
        <v>33</v>
      </c>
      <c r="B47" s="408" t="s">
        <v>423</v>
      </c>
      <c r="C47" s="116"/>
      <c r="D47" s="131"/>
      <c r="E47" s="116"/>
      <c r="F47" s="15" t="s">
        <v>325</v>
      </c>
      <c r="G47" s="116"/>
      <c r="H47" s="400">
        <f>_xlfn.XLOOKUP($B47,'1.4.plasticFADE constants'!$B$8:$B$13,'1.4.plasticFADE constants'!$V$8:$V$13)</f>
        <v>6.755047266342272E-2</v>
      </c>
      <c r="I47" s="400">
        <f>_xlfn.XLOOKUP($B47,'1.4.plasticFADE constants'!$B$8:$B$13,'1.4.plasticFADE constants'!$U$8:$U$13)</f>
        <v>-1.4134913064196912</v>
      </c>
      <c r="J47" s="117"/>
    </row>
    <row r="48" spans="1:10" ht="16" x14ac:dyDescent="0.2">
      <c r="A48" s="118" t="s">
        <v>33</v>
      </c>
      <c r="B48" s="408" t="s">
        <v>424</v>
      </c>
      <c r="C48" s="116"/>
      <c r="D48" s="131"/>
      <c r="E48" s="116"/>
      <c r="F48" s="15" t="s">
        <v>325</v>
      </c>
      <c r="G48" s="116"/>
      <c r="H48" s="400">
        <f>_xlfn.XLOOKUP($B48,'1.4.plasticFADE constants'!$B$8:$B$13,'1.4.plasticFADE constants'!$V$8:$V$13)</f>
        <v>4.3872181235929018E-6</v>
      </c>
      <c r="I48" s="400">
        <f>_xlfn.XLOOKUP($B48,'1.4.plasticFADE constants'!$B$8:$B$13,'1.4.plasticFADE constants'!$U$8:$U$13)</f>
        <v>-4.2372718068092583</v>
      </c>
      <c r="J48" s="117"/>
    </row>
    <row r="49" spans="1:10" ht="16" x14ac:dyDescent="0.2">
      <c r="A49" s="118" t="s">
        <v>33</v>
      </c>
      <c r="B49" s="408" t="s">
        <v>425</v>
      </c>
      <c r="C49" s="116"/>
      <c r="D49" s="131"/>
      <c r="E49" s="116"/>
      <c r="F49" s="15" t="s">
        <v>325</v>
      </c>
      <c r="G49" s="116"/>
      <c r="H49" s="400">
        <f>_xlfn.XLOOKUP($B49,'1.4.plasticFADE constants'!$B$8:$B$13,'1.4.plasticFADE constants'!$V$8:$V$13)</f>
        <v>0.16004412598369772</v>
      </c>
      <c r="I49" s="400">
        <f>_xlfn.XLOOKUP($B49,'1.4.plasticFADE constants'!$B$8:$B$13,'1.4.plasticFADE constants'!$U$8:$U$13)</f>
        <v>9.0322631995621971E-3</v>
      </c>
      <c r="J49" s="117"/>
    </row>
    <row r="50" spans="1:10" ht="16" x14ac:dyDescent="0.2">
      <c r="A50" s="118" t="s">
        <v>33</v>
      </c>
      <c r="B50" s="408" t="s">
        <v>426</v>
      </c>
      <c r="C50" s="116"/>
      <c r="D50" s="116"/>
      <c r="E50" s="116"/>
      <c r="F50" s="15" t="s">
        <v>325</v>
      </c>
      <c r="G50" s="116"/>
      <c r="H50" s="400">
        <f>_xlfn.XLOOKUP($B50,'1.4.plasticFADE constants'!$B$8:$B$13,'1.4.plasticFADE constants'!$V$8:$V$13)</f>
        <v>1.7657693967440435E-4</v>
      </c>
      <c r="I50" s="400">
        <f>_xlfn.XLOOKUP($B50,'1.4.plasticFADE constants'!$B$8:$B$13,'1.4.plasticFADE constants'!$U$8:$U$13)</f>
        <v>-9.6830593400787937</v>
      </c>
      <c r="J50" s="117"/>
    </row>
    <row r="51" spans="1:10" ht="16" x14ac:dyDescent="0.2">
      <c r="A51" s="119" t="s">
        <v>33</v>
      </c>
      <c r="B51" s="409" t="s">
        <v>427</v>
      </c>
      <c r="C51" s="120"/>
      <c r="D51" s="120"/>
      <c r="E51" s="120"/>
      <c r="F51" s="15" t="s">
        <v>325</v>
      </c>
      <c r="G51" s="120"/>
      <c r="H51" s="400">
        <f>_xlfn.XLOOKUP($B51,'1.4.plasticFADE constants'!$B$8:$B$13,'1.4.plasticFADE constants'!$V$8:$V$13)</f>
        <v>0.12211789796236601</v>
      </c>
      <c r="I51" s="400">
        <f>_xlfn.XLOOKUP($B51,'1.4.plasticFADE constants'!$B$8:$B$13,'1.4.plasticFADE constants'!$U$8:$U$13)</f>
        <v>-0.70110518344601891</v>
      </c>
      <c r="J51" s="121"/>
    </row>
    <row r="52" spans="1:10" ht="16" x14ac:dyDescent="0.2">
      <c r="A52" s="118" t="s">
        <v>4</v>
      </c>
      <c r="B52" s="117" t="s">
        <v>172</v>
      </c>
      <c r="C52" s="116"/>
      <c r="D52" s="131" t="s">
        <v>176</v>
      </c>
      <c r="E52" s="116"/>
      <c r="F52" s="116" t="s">
        <v>325</v>
      </c>
      <c r="G52" s="116">
        <v>0</v>
      </c>
      <c r="H52" s="400">
        <f>_xlfn.XLOOKUP($A52,'1.1.SSDR_water'!$B$7:$B$29,'1.1.SSDR_water'!$J$7:$J$29)</f>
        <v>0.89386067274613612</v>
      </c>
      <c r="I52" s="400">
        <f>_xlfn.XLOOKUP($A52,'1.1.SSDR_water'!$B$7:$B$29,'1.1.SSDR_water'!$I$7:$I$29)</f>
        <v>-35.687321052327007</v>
      </c>
      <c r="J52" s="117"/>
    </row>
    <row r="53" spans="1:10" ht="16" x14ac:dyDescent="0.2">
      <c r="A53" s="118" t="s">
        <v>4</v>
      </c>
      <c r="B53" s="117" t="s">
        <v>172</v>
      </c>
      <c r="C53" s="116"/>
      <c r="D53" s="131" t="s">
        <v>148</v>
      </c>
      <c r="E53" s="116"/>
      <c r="F53" s="116" t="s">
        <v>325</v>
      </c>
      <c r="G53" s="116">
        <v>0</v>
      </c>
      <c r="H53" s="116">
        <f>_xlfn.XLOOKUP($A53,'1.1.SSDR_water'!$B$7:$B$29,'1.1.SSDR_water'!$J$7:$J$29)</f>
        <v>0.89386067274613612</v>
      </c>
      <c r="I53" s="116">
        <f>_xlfn.XLOOKUP($A53,'1.1.SSDR_water'!$B$7:$B$29,'1.1.SSDR_water'!$I$7:$I$29)</f>
        <v>-35.687321052327007</v>
      </c>
      <c r="J53" s="117"/>
    </row>
    <row r="54" spans="1:10" ht="16" x14ac:dyDescent="0.2">
      <c r="A54" s="118" t="s">
        <v>4</v>
      </c>
      <c r="B54" s="117" t="s">
        <v>172</v>
      </c>
      <c r="C54" s="116"/>
      <c r="D54" s="131" t="s">
        <v>158</v>
      </c>
      <c r="E54" s="116"/>
      <c r="F54" s="116" t="s">
        <v>325</v>
      </c>
      <c r="G54" s="116">
        <v>0</v>
      </c>
      <c r="H54" s="116">
        <f>_xlfn.XLOOKUP($A54,'1.1.SSDR_water'!$B$7:$B$29,'1.1.SSDR_water'!$J$7:$J$29)</f>
        <v>0.89386067274613612</v>
      </c>
      <c r="I54" s="116">
        <f>_xlfn.XLOOKUP($A54,'1.1.SSDR_water'!$B$7:$B$29,'1.1.SSDR_water'!$I$7:$I$29)</f>
        <v>-35.687321052327007</v>
      </c>
      <c r="J54" s="117"/>
    </row>
    <row r="55" spans="1:10" ht="16" x14ac:dyDescent="0.2">
      <c r="A55" s="118" t="s">
        <v>4</v>
      </c>
      <c r="B55" s="117" t="s">
        <v>172</v>
      </c>
      <c r="C55" s="116"/>
      <c r="D55" s="131" t="s">
        <v>149</v>
      </c>
      <c r="E55" s="116"/>
      <c r="F55" s="116" t="s">
        <v>325</v>
      </c>
      <c r="G55" s="116">
        <v>0</v>
      </c>
      <c r="H55" s="116">
        <f>_xlfn.XLOOKUP($A55,'1.1.SSDR_water'!$B$7:$B$29,'1.1.SSDR_water'!$J$7:$J$29)</f>
        <v>0.89386067274613612</v>
      </c>
      <c r="I55" s="116">
        <f>_xlfn.XLOOKUP($A55,'1.1.SSDR_water'!$B$7:$B$29,'1.1.SSDR_water'!$I$7:$I$29)</f>
        <v>-35.687321052327007</v>
      </c>
      <c r="J55" s="117"/>
    </row>
    <row r="56" spans="1:10" ht="16" x14ac:dyDescent="0.2">
      <c r="A56" s="118" t="s">
        <v>4</v>
      </c>
      <c r="B56" s="117" t="s">
        <v>172</v>
      </c>
      <c r="C56" s="116"/>
      <c r="D56" s="131" t="s">
        <v>173</v>
      </c>
      <c r="E56" s="116"/>
      <c r="F56" s="116" t="s">
        <v>325</v>
      </c>
      <c r="G56" s="116">
        <v>0</v>
      </c>
      <c r="H56" s="116">
        <f>_xlfn.XLOOKUP($A56,'1.2.SSDR_sediment'!$B$7:$B$29,'1.2.SSDR_sediment'!$J$7:$J$29)</f>
        <v>0.89386067274613612</v>
      </c>
      <c r="I56" s="116">
        <f>_xlfn.XLOOKUP($A56,'1.2.SSDR_sediment'!$B$7:$B$29,'1.2.SSDR_sediment'!$I$7:$I$29)</f>
        <v>-35.687321052327007</v>
      </c>
      <c r="J56" s="117"/>
    </row>
    <row r="57" spans="1:10" ht="16" x14ac:dyDescent="0.2">
      <c r="A57" s="118" t="s">
        <v>4</v>
      </c>
      <c r="B57" s="117" t="s">
        <v>172</v>
      </c>
      <c r="C57" s="116"/>
      <c r="D57" s="131" t="s">
        <v>174</v>
      </c>
      <c r="E57" s="116"/>
      <c r="F57" s="116" t="s">
        <v>325</v>
      </c>
      <c r="G57" s="116">
        <v>0</v>
      </c>
      <c r="H57" s="116">
        <f>_xlfn.XLOOKUP($A57,'1.2.SSDR_sediment'!$B$7:$B$29,'1.2.SSDR_sediment'!$J$7:$J$29)</f>
        <v>0.89386067274613612</v>
      </c>
      <c r="I57" s="116">
        <f>_xlfn.XLOOKUP($A57,'1.2.SSDR_sediment'!$B$7:$B$29,'1.2.SSDR_sediment'!$I$7:$I$29)</f>
        <v>-35.687321052327007</v>
      </c>
      <c r="J57" s="117"/>
    </row>
    <row r="58" spans="1:10" ht="16" x14ac:dyDescent="0.2">
      <c r="A58" s="118" t="s">
        <v>4</v>
      </c>
      <c r="B58" s="117" t="s">
        <v>172</v>
      </c>
      <c r="C58" s="116"/>
      <c r="D58" s="131" t="s">
        <v>175</v>
      </c>
      <c r="E58" s="116"/>
      <c r="F58" s="116" t="s">
        <v>325</v>
      </c>
      <c r="G58" s="116">
        <v>0</v>
      </c>
      <c r="H58" s="116">
        <f>_xlfn.XLOOKUP($A58,'1.2.SSDR_sediment'!$B$7:$B$29,'1.2.SSDR_sediment'!$J$7:$J$29)</f>
        <v>0.89386067274613612</v>
      </c>
      <c r="I58" s="116">
        <f>_xlfn.XLOOKUP($A58,'1.2.SSDR_sediment'!$B$7:$B$29,'1.2.SSDR_sediment'!$I$7:$I$29)</f>
        <v>-35.687321052327007</v>
      </c>
      <c r="J58" s="117"/>
    </row>
    <row r="59" spans="1:10" ht="16" x14ac:dyDescent="0.2">
      <c r="A59" s="118" t="s">
        <v>4</v>
      </c>
      <c r="B59" s="117" t="s">
        <v>172</v>
      </c>
      <c r="C59" s="116"/>
      <c r="D59" s="131" t="s">
        <v>150</v>
      </c>
      <c r="E59" s="116"/>
      <c r="F59" s="116" t="s">
        <v>325</v>
      </c>
      <c r="G59" s="116">
        <v>0</v>
      </c>
      <c r="H59" s="116">
        <f>_xlfn.XLOOKUP($A59,'1.3.SSDR_soil'!$B$7:$B$29,'1.3.SSDR_soil'!$J$7:$J$29)</f>
        <v>0.89386067274613612</v>
      </c>
      <c r="I59" s="116">
        <f>_xlfn.XLOOKUP($A59,'1.3.SSDR_soil'!$B$7:$B$29,'1.3.SSDR_soil'!$I$7:$I$29)</f>
        <v>-35.687321052327007</v>
      </c>
      <c r="J59" s="117"/>
    </row>
    <row r="60" spans="1:10" ht="16" x14ac:dyDescent="0.2">
      <c r="A60" s="118" t="s">
        <v>4</v>
      </c>
      <c r="B60" s="117" t="s">
        <v>172</v>
      </c>
      <c r="C60" s="116"/>
      <c r="D60" s="131" t="s">
        <v>162</v>
      </c>
      <c r="E60" s="116"/>
      <c r="F60" s="116" t="s">
        <v>325</v>
      </c>
      <c r="G60" s="116">
        <v>0</v>
      </c>
      <c r="H60" s="116">
        <f>_xlfn.XLOOKUP($A60,'1.3.SSDR_soil'!$B$7:$B$29,'1.3.SSDR_soil'!$J$7:$J$29)</f>
        <v>0.89386067274613612</v>
      </c>
      <c r="I60" s="116">
        <f>_xlfn.XLOOKUP($A60,'1.3.SSDR_soil'!$B$7:$B$29,'1.3.SSDR_soil'!$I$7:$I$29)</f>
        <v>-35.687321052327007</v>
      </c>
      <c r="J60" s="117"/>
    </row>
    <row r="61" spans="1:10" ht="16" x14ac:dyDescent="0.2">
      <c r="A61" s="118" t="s">
        <v>4</v>
      </c>
      <c r="B61" s="121" t="s">
        <v>172</v>
      </c>
      <c r="C61" s="120"/>
      <c r="D61" s="403" t="s">
        <v>151</v>
      </c>
      <c r="E61" s="120"/>
      <c r="F61" s="120" t="s">
        <v>325</v>
      </c>
      <c r="G61" s="120">
        <v>0</v>
      </c>
      <c r="H61" s="120">
        <f>_xlfn.XLOOKUP($A61,'1.3.SSDR_soil'!$B$7:$B$29,'1.3.SSDR_soil'!$J$7:$J$29)</f>
        <v>0.89386067274613612</v>
      </c>
      <c r="I61" s="116">
        <f>_xlfn.XLOOKUP($A61,'1.3.SSDR_soil'!$B$7:$B$29,'1.3.SSDR_soil'!$I$7:$I$29)</f>
        <v>-35.687321052327007</v>
      </c>
      <c r="J61" s="121"/>
    </row>
    <row r="62" spans="1:10" ht="16" x14ac:dyDescent="0.2">
      <c r="A62" s="118" t="s">
        <v>263</v>
      </c>
      <c r="B62" s="402" t="s">
        <v>172</v>
      </c>
      <c r="C62" s="400"/>
      <c r="D62" s="401" t="s">
        <v>176</v>
      </c>
      <c r="E62" s="400"/>
      <c r="F62" s="400" t="s">
        <v>325</v>
      </c>
      <c r="G62" s="400">
        <v>0</v>
      </c>
      <c r="H62" s="400">
        <f>_xlfn.XLOOKUP($A62,'1.1.SSDR_water'!$B$7:$B$29,'1.1.SSDR_water'!$J$7:$J$29)</f>
        <v>2.1472679470148819</v>
      </c>
      <c r="I62" s="400">
        <f>_xlfn.XLOOKUP($A62,'1.1.SSDR_water'!$B$7:$B$29,'1.1.SSDR_water'!$I$7:$I$29)</f>
        <v>-32.458543913810715</v>
      </c>
      <c r="J62" s="402"/>
    </row>
    <row r="63" spans="1:10" ht="16" x14ac:dyDescent="0.2">
      <c r="A63" s="118" t="s">
        <v>263</v>
      </c>
      <c r="B63" s="117" t="s">
        <v>172</v>
      </c>
      <c r="C63" s="116"/>
      <c r="D63" s="131" t="s">
        <v>148</v>
      </c>
      <c r="E63" s="116"/>
      <c r="F63" s="116" t="s">
        <v>325</v>
      </c>
      <c r="G63" s="116">
        <v>0</v>
      </c>
      <c r="H63" s="116">
        <f>_xlfn.XLOOKUP($A63,'1.1.SSDR_water'!$B$7:$B$29,'1.1.SSDR_water'!$J$7:$J$29)</f>
        <v>2.1472679470148819</v>
      </c>
      <c r="I63" s="116">
        <f>_xlfn.XLOOKUP($A63,'1.1.SSDR_water'!$B$7:$B$29,'1.1.SSDR_water'!$I$7:$I$29)</f>
        <v>-32.458543913810715</v>
      </c>
      <c r="J63" s="117"/>
    </row>
    <row r="64" spans="1:10" ht="16" x14ac:dyDescent="0.2">
      <c r="A64" s="118" t="s">
        <v>263</v>
      </c>
      <c r="B64" s="117" t="s">
        <v>172</v>
      </c>
      <c r="C64" s="116"/>
      <c r="D64" s="131" t="s">
        <v>158</v>
      </c>
      <c r="E64" s="116"/>
      <c r="F64" s="116" t="s">
        <v>325</v>
      </c>
      <c r="G64" s="116">
        <v>0</v>
      </c>
      <c r="H64" s="116">
        <f>_xlfn.XLOOKUP($A64,'1.1.SSDR_water'!$B$7:$B$29,'1.1.SSDR_water'!$J$7:$J$29)</f>
        <v>2.1472679470148819</v>
      </c>
      <c r="I64" s="116">
        <f>_xlfn.XLOOKUP($A64,'1.1.SSDR_water'!$B$7:$B$29,'1.1.SSDR_water'!$I$7:$I$29)</f>
        <v>-32.458543913810715</v>
      </c>
      <c r="J64" s="117"/>
    </row>
    <row r="65" spans="1:10" ht="16" x14ac:dyDescent="0.2">
      <c r="A65" s="118" t="s">
        <v>263</v>
      </c>
      <c r="B65" s="117" t="s">
        <v>172</v>
      </c>
      <c r="C65" s="116"/>
      <c r="D65" s="131" t="s">
        <v>149</v>
      </c>
      <c r="E65" s="116"/>
      <c r="F65" s="116" t="s">
        <v>325</v>
      </c>
      <c r="G65" s="116">
        <v>0</v>
      </c>
      <c r="H65" s="116">
        <f>_xlfn.XLOOKUP($A65,'1.1.SSDR_water'!$B$7:$B$29,'1.1.SSDR_water'!$J$7:$J$29)</f>
        <v>2.1472679470148819</v>
      </c>
      <c r="I65" s="116">
        <f>_xlfn.XLOOKUP($A65,'1.1.SSDR_water'!$B$7:$B$29,'1.1.SSDR_water'!$I$7:$I$29)</f>
        <v>-32.458543913810715</v>
      </c>
      <c r="J65" s="117"/>
    </row>
    <row r="66" spans="1:10" ht="16" x14ac:dyDescent="0.2">
      <c r="A66" s="118" t="s">
        <v>263</v>
      </c>
      <c r="B66" s="117" t="s">
        <v>172</v>
      </c>
      <c r="C66" s="116"/>
      <c r="D66" s="131" t="s">
        <v>173</v>
      </c>
      <c r="E66" s="116"/>
      <c r="F66" s="116" t="s">
        <v>325</v>
      </c>
      <c r="G66" s="116">
        <v>0</v>
      </c>
      <c r="H66" s="116">
        <f>_xlfn.XLOOKUP($A66,'1.2.SSDR_sediment'!$B$7:$B$29,'1.2.SSDR_sediment'!$J$7:$J$29)</f>
        <v>2.1472679470148819</v>
      </c>
      <c r="I66" s="116">
        <f>_xlfn.XLOOKUP($A66,'1.2.SSDR_sediment'!$B$7:$B$29,'1.2.SSDR_sediment'!$I$7:$I$29)</f>
        <v>-32.458543913810715</v>
      </c>
      <c r="J66" s="117"/>
    </row>
    <row r="67" spans="1:10" ht="16" x14ac:dyDescent="0.2">
      <c r="A67" s="118" t="s">
        <v>263</v>
      </c>
      <c r="B67" s="117" t="s">
        <v>172</v>
      </c>
      <c r="C67" s="116"/>
      <c r="D67" s="131" t="s">
        <v>174</v>
      </c>
      <c r="E67" s="116"/>
      <c r="F67" s="116" t="s">
        <v>325</v>
      </c>
      <c r="G67" s="116">
        <v>0</v>
      </c>
      <c r="H67" s="116">
        <f>_xlfn.XLOOKUP($A67,'1.2.SSDR_sediment'!$B$7:$B$29,'1.2.SSDR_sediment'!$J$7:$J$29)</f>
        <v>2.1472679470148819</v>
      </c>
      <c r="I67" s="116">
        <f>_xlfn.XLOOKUP($A67,'1.2.SSDR_sediment'!$B$7:$B$29,'1.2.SSDR_sediment'!$I$7:$I$29)</f>
        <v>-32.458543913810715</v>
      </c>
      <c r="J67" s="117"/>
    </row>
    <row r="68" spans="1:10" ht="16" x14ac:dyDescent="0.2">
      <c r="A68" s="118" t="s">
        <v>263</v>
      </c>
      <c r="B68" s="117" t="s">
        <v>172</v>
      </c>
      <c r="C68" s="116"/>
      <c r="D68" s="131" t="s">
        <v>175</v>
      </c>
      <c r="E68" s="116"/>
      <c r="F68" s="116" t="s">
        <v>325</v>
      </c>
      <c r="G68" s="116">
        <v>0</v>
      </c>
      <c r="H68" s="116">
        <f>_xlfn.XLOOKUP($A68,'1.2.SSDR_sediment'!$B$7:$B$29,'1.2.SSDR_sediment'!$J$7:$J$29)</f>
        <v>2.1472679470148819</v>
      </c>
      <c r="I68" s="116">
        <f>_xlfn.XLOOKUP($A68,'1.2.SSDR_sediment'!$B$7:$B$29,'1.2.SSDR_sediment'!$I$7:$I$29)</f>
        <v>-32.458543913810715</v>
      </c>
      <c r="J68" s="117"/>
    </row>
    <row r="69" spans="1:10" ht="16" x14ac:dyDescent="0.2">
      <c r="A69" s="118" t="s">
        <v>263</v>
      </c>
      <c r="B69" s="117" t="s">
        <v>172</v>
      </c>
      <c r="C69" s="116"/>
      <c r="D69" s="131" t="s">
        <v>150</v>
      </c>
      <c r="E69" s="116"/>
      <c r="F69" s="116" t="s">
        <v>325</v>
      </c>
      <c r="G69" s="116">
        <v>0</v>
      </c>
      <c r="H69" s="116">
        <f>_xlfn.XLOOKUP($A69,'1.3.SSDR_soil'!$B$7:$B$29,'1.3.SSDR_soil'!$J$7:$J$29)</f>
        <v>2.1472679470148819</v>
      </c>
      <c r="I69" s="116">
        <f>_xlfn.XLOOKUP($A69,'1.3.SSDR_soil'!$B$7:$B$29,'1.3.SSDR_soil'!$I$7:$I$29)</f>
        <v>-32.458543913810715</v>
      </c>
      <c r="J69" s="117"/>
    </row>
    <row r="70" spans="1:10" ht="16" x14ac:dyDescent="0.2">
      <c r="A70" s="118" t="s">
        <v>263</v>
      </c>
      <c r="B70" s="117" t="s">
        <v>172</v>
      </c>
      <c r="C70" s="116"/>
      <c r="D70" s="131" t="s">
        <v>162</v>
      </c>
      <c r="E70" s="116"/>
      <c r="F70" s="116" t="s">
        <v>325</v>
      </c>
      <c r="G70" s="116">
        <v>0</v>
      </c>
      <c r="H70" s="116">
        <f>_xlfn.XLOOKUP($A70,'1.3.SSDR_soil'!$B$7:$B$29,'1.3.SSDR_soil'!$J$7:$J$29)</f>
        <v>2.1472679470148819</v>
      </c>
      <c r="I70" s="116">
        <f>_xlfn.XLOOKUP($A70,'1.3.SSDR_soil'!$B$7:$B$29,'1.3.SSDR_soil'!$I$7:$I$29)</f>
        <v>-32.458543913810715</v>
      </c>
      <c r="J70" s="117"/>
    </row>
    <row r="71" spans="1:10" ht="16" x14ac:dyDescent="0.2">
      <c r="A71" s="118" t="s">
        <v>263</v>
      </c>
      <c r="B71" s="121" t="s">
        <v>172</v>
      </c>
      <c r="C71" s="120"/>
      <c r="D71" s="403" t="s">
        <v>151</v>
      </c>
      <c r="E71" s="120"/>
      <c r="F71" s="120" t="s">
        <v>325</v>
      </c>
      <c r="G71" s="120">
        <v>0</v>
      </c>
      <c r="H71" s="120">
        <f>_xlfn.XLOOKUP($A71,'1.3.SSDR_soil'!$B$7:$B$29,'1.3.SSDR_soil'!$J$7:$J$29)</f>
        <v>2.1472679470148819</v>
      </c>
      <c r="I71" s="116">
        <f>_xlfn.XLOOKUP($A71,'1.3.SSDR_soil'!$B$7:$B$29,'1.3.SSDR_soil'!$I$7:$I$29)</f>
        <v>-32.458543913810715</v>
      </c>
      <c r="J71" s="121"/>
    </row>
    <row r="72" spans="1:10" ht="16" x14ac:dyDescent="0.2">
      <c r="A72" s="118" t="s">
        <v>10</v>
      </c>
      <c r="B72" s="402" t="s">
        <v>172</v>
      </c>
      <c r="C72" s="400"/>
      <c r="D72" s="401" t="s">
        <v>176</v>
      </c>
      <c r="E72" s="400"/>
      <c r="F72" s="400" t="s">
        <v>325</v>
      </c>
      <c r="G72" s="400">
        <v>0</v>
      </c>
      <c r="H72" s="400">
        <f>_xlfn.XLOOKUP($A72,'1.1.SSDR_water'!$B$7:$B$29,'1.1.SSDR_water'!$J$7:$J$29)</f>
        <v>0.89386067274613612</v>
      </c>
      <c r="I72" s="400">
        <f>_xlfn.XLOOKUP($A72,'1.1.SSDR_water'!$B$7:$B$29,'1.1.SSDR_water'!$I$7:$I$29)</f>
        <v>-35.687321052327007</v>
      </c>
      <c r="J72" s="402"/>
    </row>
    <row r="73" spans="1:10" ht="16" x14ac:dyDescent="0.2">
      <c r="A73" s="118" t="s">
        <v>10</v>
      </c>
      <c r="B73" s="117" t="s">
        <v>172</v>
      </c>
      <c r="C73" s="116"/>
      <c r="D73" s="131" t="s">
        <v>148</v>
      </c>
      <c r="E73" s="116"/>
      <c r="F73" s="116" t="s">
        <v>325</v>
      </c>
      <c r="G73" s="116">
        <v>0</v>
      </c>
      <c r="H73" s="116">
        <f>_xlfn.XLOOKUP($A73,'1.1.SSDR_water'!$B$7:$B$29,'1.1.SSDR_water'!$J$7:$J$29)</f>
        <v>0.89386067274613612</v>
      </c>
      <c r="I73" s="116">
        <f>_xlfn.XLOOKUP($A73,'1.1.SSDR_water'!$B$7:$B$29,'1.1.SSDR_water'!$I$7:$I$29)</f>
        <v>-35.687321052327007</v>
      </c>
      <c r="J73" s="117"/>
    </row>
    <row r="74" spans="1:10" ht="16" x14ac:dyDescent="0.2">
      <c r="A74" s="118" t="s">
        <v>10</v>
      </c>
      <c r="B74" s="117" t="s">
        <v>172</v>
      </c>
      <c r="C74" s="116"/>
      <c r="D74" s="131" t="s">
        <v>158</v>
      </c>
      <c r="E74" s="116"/>
      <c r="F74" s="116" t="s">
        <v>325</v>
      </c>
      <c r="G74" s="116">
        <v>0</v>
      </c>
      <c r="H74" s="116">
        <f>_xlfn.XLOOKUP($A74,'1.1.SSDR_water'!$B$7:$B$29,'1.1.SSDR_water'!$J$7:$J$29)</f>
        <v>0.89386067274613612</v>
      </c>
      <c r="I74" s="116">
        <f>_xlfn.XLOOKUP($A74,'1.1.SSDR_water'!$B$7:$B$29,'1.1.SSDR_water'!$I$7:$I$29)</f>
        <v>-35.687321052327007</v>
      </c>
      <c r="J74" s="117"/>
    </row>
    <row r="75" spans="1:10" ht="16" x14ac:dyDescent="0.2">
      <c r="A75" s="118" t="s">
        <v>10</v>
      </c>
      <c r="B75" s="117" t="s">
        <v>172</v>
      </c>
      <c r="C75" s="116"/>
      <c r="D75" s="131" t="s">
        <v>149</v>
      </c>
      <c r="E75" s="116"/>
      <c r="F75" s="116" t="s">
        <v>325</v>
      </c>
      <c r="G75" s="116">
        <v>0</v>
      </c>
      <c r="H75" s="116">
        <f>_xlfn.XLOOKUP($A75,'1.1.SSDR_water'!$B$7:$B$29,'1.1.SSDR_water'!$J$7:$J$29)</f>
        <v>0.89386067274613612</v>
      </c>
      <c r="I75" s="116">
        <f>_xlfn.XLOOKUP($A75,'1.1.SSDR_water'!$B$7:$B$29,'1.1.SSDR_water'!$I$7:$I$29)</f>
        <v>-35.687321052327007</v>
      </c>
      <c r="J75" s="117"/>
    </row>
    <row r="76" spans="1:10" ht="16" x14ac:dyDescent="0.2">
      <c r="A76" s="118" t="s">
        <v>10</v>
      </c>
      <c r="B76" s="117" t="s">
        <v>172</v>
      </c>
      <c r="C76" s="116"/>
      <c r="D76" s="131" t="s">
        <v>173</v>
      </c>
      <c r="E76" s="116"/>
      <c r="F76" s="116" t="s">
        <v>325</v>
      </c>
      <c r="G76" s="116">
        <v>0</v>
      </c>
      <c r="H76" s="116">
        <f>_xlfn.XLOOKUP($A76,'1.2.SSDR_sediment'!$B$7:$B$29,'1.2.SSDR_sediment'!$J$7:$J$29)</f>
        <v>0.89386067274613612</v>
      </c>
      <c r="I76" s="116">
        <f>_xlfn.XLOOKUP($A76,'1.2.SSDR_sediment'!$B$7:$B$29,'1.2.SSDR_sediment'!$I$7:$I$29)</f>
        <v>-35.687321052327007</v>
      </c>
      <c r="J76" s="117"/>
    </row>
    <row r="77" spans="1:10" ht="16" x14ac:dyDescent="0.2">
      <c r="A77" s="118" t="s">
        <v>10</v>
      </c>
      <c r="B77" s="117" t="s">
        <v>172</v>
      </c>
      <c r="C77" s="116"/>
      <c r="D77" s="131" t="s">
        <v>174</v>
      </c>
      <c r="E77" s="116"/>
      <c r="F77" s="116" t="s">
        <v>325</v>
      </c>
      <c r="G77" s="116">
        <v>0</v>
      </c>
      <c r="H77" s="116">
        <f>_xlfn.XLOOKUP($A77,'1.2.SSDR_sediment'!$B$7:$B$29,'1.2.SSDR_sediment'!$J$7:$J$29)</f>
        <v>0.89386067274613612</v>
      </c>
      <c r="I77" s="116">
        <f>_xlfn.XLOOKUP($A77,'1.2.SSDR_sediment'!$B$7:$B$29,'1.2.SSDR_sediment'!$I$7:$I$29)</f>
        <v>-35.687321052327007</v>
      </c>
      <c r="J77" s="117"/>
    </row>
    <row r="78" spans="1:10" ht="16" x14ac:dyDescent="0.2">
      <c r="A78" s="118" t="s">
        <v>10</v>
      </c>
      <c r="B78" s="117" t="s">
        <v>172</v>
      </c>
      <c r="C78" s="116"/>
      <c r="D78" s="131" t="s">
        <v>175</v>
      </c>
      <c r="E78" s="116"/>
      <c r="F78" s="116" t="s">
        <v>325</v>
      </c>
      <c r="G78" s="116">
        <v>0</v>
      </c>
      <c r="H78" s="116">
        <f>_xlfn.XLOOKUP($A78,'1.2.SSDR_sediment'!$B$7:$B$29,'1.2.SSDR_sediment'!$J$7:$J$29)</f>
        <v>0.89386067274613612</v>
      </c>
      <c r="I78" s="116">
        <f>_xlfn.XLOOKUP($A78,'1.2.SSDR_sediment'!$B$7:$B$29,'1.2.SSDR_sediment'!$I$7:$I$29)</f>
        <v>-35.687321052327007</v>
      </c>
      <c r="J78" s="117"/>
    </row>
    <row r="79" spans="1:10" ht="16" x14ac:dyDescent="0.2">
      <c r="A79" s="118" t="s">
        <v>10</v>
      </c>
      <c r="B79" s="117" t="s">
        <v>172</v>
      </c>
      <c r="C79" s="116"/>
      <c r="D79" s="131" t="s">
        <v>150</v>
      </c>
      <c r="E79" s="116"/>
      <c r="F79" s="116" t="s">
        <v>325</v>
      </c>
      <c r="G79" s="116">
        <v>0</v>
      </c>
      <c r="H79" s="116">
        <f>_xlfn.XLOOKUP($A79,'1.3.SSDR_soil'!$B$7:$B$29,'1.3.SSDR_soil'!$J$7:$J$29)</f>
        <v>0.89386067274613612</v>
      </c>
      <c r="I79" s="116">
        <f>_xlfn.XLOOKUP($A79,'1.3.SSDR_soil'!$B$7:$B$29,'1.3.SSDR_soil'!$I$7:$I$29)</f>
        <v>-35.687321052327007</v>
      </c>
      <c r="J79" s="117"/>
    </row>
    <row r="80" spans="1:10" ht="16" x14ac:dyDescent="0.2">
      <c r="A80" s="118" t="s">
        <v>10</v>
      </c>
      <c r="B80" s="117" t="s">
        <v>172</v>
      </c>
      <c r="C80" s="116"/>
      <c r="D80" s="131" t="s">
        <v>162</v>
      </c>
      <c r="E80" s="116"/>
      <c r="F80" s="116" t="s">
        <v>325</v>
      </c>
      <c r="G80" s="116">
        <v>0</v>
      </c>
      <c r="H80" s="116">
        <f>_xlfn.XLOOKUP($A80,'1.3.SSDR_soil'!$B$7:$B$29,'1.3.SSDR_soil'!$J$7:$J$29)</f>
        <v>0.89386067274613612</v>
      </c>
      <c r="I80" s="116">
        <f>_xlfn.XLOOKUP($A80,'1.3.SSDR_soil'!$B$7:$B$29,'1.3.SSDR_soil'!$I$7:$I$29)</f>
        <v>-35.687321052327007</v>
      </c>
      <c r="J80" s="117"/>
    </row>
    <row r="81" spans="1:10" ht="16" x14ac:dyDescent="0.2">
      <c r="A81" s="118" t="s">
        <v>10</v>
      </c>
      <c r="B81" s="121" t="s">
        <v>172</v>
      </c>
      <c r="C81" s="120"/>
      <c r="D81" s="403" t="s">
        <v>151</v>
      </c>
      <c r="E81" s="120"/>
      <c r="F81" s="120" t="s">
        <v>325</v>
      </c>
      <c r="G81" s="120">
        <v>0</v>
      </c>
      <c r="H81" s="120">
        <f>_xlfn.XLOOKUP($A81,'1.3.SSDR_soil'!$B$7:$B$29,'1.3.SSDR_soil'!$J$7:$J$29)</f>
        <v>0.89386067274613612</v>
      </c>
      <c r="I81" s="116">
        <f>_xlfn.XLOOKUP($A81,'1.3.SSDR_soil'!$B$7:$B$29,'1.3.SSDR_soil'!$I$7:$I$29)</f>
        <v>-35.687321052327007</v>
      </c>
      <c r="J81" s="121"/>
    </row>
    <row r="82" spans="1:10" ht="16" x14ac:dyDescent="0.2">
      <c r="A82" s="118" t="s">
        <v>6</v>
      </c>
      <c r="B82" s="402" t="s">
        <v>172</v>
      </c>
      <c r="C82" s="400"/>
      <c r="D82" s="401" t="s">
        <v>176</v>
      </c>
      <c r="E82" s="400"/>
      <c r="F82" s="400" t="s">
        <v>325</v>
      </c>
      <c r="G82" s="400">
        <v>0</v>
      </c>
      <c r="H82" s="400">
        <f>_xlfn.XLOOKUP($A82,'1.1.SSDR_water'!$B$7:$B$29,'1.1.SSDR_water'!$J$7:$J$29)</f>
        <v>1.8068413843437594</v>
      </c>
      <c r="I82" s="400">
        <f>_xlfn.XLOOKUP($A82,'1.1.SSDR_water'!$B$7:$B$29,'1.1.SSDR_water'!$I$7:$I$29)</f>
        <v>-33.336167051739913</v>
      </c>
      <c r="J82" s="402"/>
    </row>
    <row r="83" spans="1:10" ht="16" x14ac:dyDescent="0.2">
      <c r="A83" s="118" t="s">
        <v>6</v>
      </c>
      <c r="B83" s="117" t="s">
        <v>172</v>
      </c>
      <c r="C83" s="116"/>
      <c r="D83" s="131" t="s">
        <v>148</v>
      </c>
      <c r="E83" s="116"/>
      <c r="F83" s="116" t="s">
        <v>325</v>
      </c>
      <c r="G83" s="116">
        <v>0</v>
      </c>
      <c r="H83" s="116">
        <f>_xlfn.XLOOKUP($A83,'1.1.SSDR_water'!$B$7:$B$29,'1.1.SSDR_water'!$J$7:$J$29)</f>
        <v>1.8068413843437594</v>
      </c>
      <c r="I83" s="116">
        <f>_xlfn.XLOOKUP($A83,'1.1.SSDR_water'!$B$7:$B$29,'1.1.SSDR_water'!$I$7:$I$29)</f>
        <v>-33.336167051739913</v>
      </c>
      <c r="J83" s="117"/>
    </row>
    <row r="84" spans="1:10" ht="16" x14ac:dyDescent="0.2">
      <c r="A84" s="118" t="s">
        <v>6</v>
      </c>
      <c r="B84" s="117" t="s">
        <v>172</v>
      </c>
      <c r="C84" s="116"/>
      <c r="D84" s="131" t="s">
        <v>158</v>
      </c>
      <c r="E84" s="116"/>
      <c r="F84" s="116" t="s">
        <v>325</v>
      </c>
      <c r="G84" s="116">
        <v>0</v>
      </c>
      <c r="H84" s="116">
        <f>_xlfn.XLOOKUP($A84,'1.1.SSDR_water'!$B$7:$B$29,'1.1.SSDR_water'!$J$7:$J$29)</f>
        <v>1.8068413843437594</v>
      </c>
      <c r="I84" s="116">
        <f>_xlfn.XLOOKUP($A84,'1.1.SSDR_water'!$B$7:$B$29,'1.1.SSDR_water'!$I$7:$I$29)</f>
        <v>-33.336167051739913</v>
      </c>
      <c r="J84" s="117"/>
    </row>
    <row r="85" spans="1:10" ht="16" x14ac:dyDescent="0.2">
      <c r="A85" s="118" t="s">
        <v>6</v>
      </c>
      <c r="B85" s="117" t="s">
        <v>172</v>
      </c>
      <c r="C85" s="116"/>
      <c r="D85" s="131" t="s">
        <v>149</v>
      </c>
      <c r="E85" s="116"/>
      <c r="F85" s="116" t="s">
        <v>325</v>
      </c>
      <c r="G85" s="116">
        <v>0</v>
      </c>
      <c r="H85" s="116">
        <f>_xlfn.XLOOKUP($A85,'1.1.SSDR_water'!$B$7:$B$29,'1.1.SSDR_water'!$J$7:$J$29)</f>
        <v>1.8068413843437594</v>
      </c>
      <c r="I85" s="116">
        <f>_xlfn.XLOOKUP($A85,'1.1.SSDR_water'!$B$7:$B$29,'1.1.SSDR_water'!$I$7:$I$29)</f>
        <v>-33.336167051739913</v>
      </c>
      <c r="J85" s="117"/>
    </row>
    <row r="86" spans="1:10" ht="16" x14ac:dyDescent="0.2">
      <c r="A86" s="118" t="s">
        <v>6</v>
      </c>
      <c r="B86" s="117" t="s">
        <v>172</v>
      </c>
      <c r="C86" s="116"/>
      <c r="D86" s="131" t="s">
        <v>173</v>
      </c>
      <c r="E86" s="116"/>
      <c r="F86" s="116" t="s">
        <v>325</v>
      </c>
      <c r="G86" s="116">
        <v>0</v>
      </c>
      <c r="H86" s="116">
        <f>_xlfn.XLOOKUP($A86,'1.2.SSDR_sediment'!$B$7:$B$29,'1.2.SSDR_sediment'!$J$7:$J$29)</f>
        <v>1.8068413843437594</v>
      </c>
      <c r="I86" s="116">
        <f>_xlfn.XLOOKUP($A86,'1.2.SSDR_sediment'!$B$7:$B$29,'1.2.SSDR_sediment'!$I$7:$I$29)</f>
        <v>-33.336167051739913</v>
      </c>
      <c r="J86" s="117"/>
    </row>
    <row r="87" spans="1:10" ht="16" x14ac:dyDescent="0.2">
      <c r="A87" s="118" t="s">
        <v>6</v>
      </c>
      <c r="B87" s="117" t="s">
        <v>172</v>
      </c>
      <c r="C87" s="116"/>
      <c r="D87" s="131" t="s">
        <v>174</v>
      </c>
      <c r="E87" s="116"/>
      <c r="F87" s="116" t="s">
        <v>325</v>
      </c>
      <c r="G87" s="116">
        <v>0</v>
      </c>
      <c r="H87" s="116">
        <f>_xlfn.XLOOKUP($A87,'1.2.SSDR_sediment'!$B$7:$B$29,'1.2.SSDR_sediment'!$J$7:$J$29)</f>
        <v>1.8068413843437594</v>
      </c>
      <c r="I87" s="116">
        <f>_xlfn.XLOOKUP($A87,'1.2.SSDR_sediment'!$B$7:$B$29,'1.2.SSDR_sediment'!$I$7:$I$29)</f>
        <v>-33.336167051739913</v>
      </c>
      <c r="J87" s="117"/>
    </row>
    <row r="88" spans="1:10" ht="16" x14ac:dyDescent="0.2">
      <c r="A88" s="118" t="s">
        <v>6</v>
      </c>
      <c r="B88" s="117" t="s">
        <v>172</v>
      </c>
      <c r="C88" s="116"/>
      <c r="D88" s="131" t="s">
        <v>175</v>
      </c>
      <c r="E88" s="116"/>
      <c r="F88" s="116" t="s">
        <v>325</v>
      </c>
      <c r="G88" s="116">
        <v>0</v>
      </c>
      <c r="H88" s="116">
        <f>_xlfn.XLOOKUP($A88,'1.2.SSDR_sediment'!$B$7:$B$29,'1.2.SSDR_sediment'!$J$7:$J$29)</f>
        <v>1.8068413843437594</v>
      </c>
      <c r="I88" s="116">
        <f>_xlfn.XLOOKUP($A88,'1.2.SSDR_sediment'!$B$7:$B$29,'1.2.SSDR_sediment'!$I$7:$I$29)</f>
        <v>-33.336167051739913</v>
      </c>
      <c r="J88" s="117"/>
    </row>
    <row r="89" spans="1:10" ht="16" x14ac:dyDescent="0.2">
      <c r="A89" s="118" t="s">
        <v>6</v>
      </c>
      <c r="B89" s="117" t="s">
        <v>172</v>
      </c>
      <c r="C89" s="116"/>
      <c r="D89" s="131" t="s">
        <v>150</v>
      </c>
      <c r="E89" s="116"/>
      <c r="F89" s="116" t="s">
        <v>325</v>
      </c>
      <c r="G89" s="116">
        <v>0</v>
      </c>
      <c r="H89" s="116">
        <f>_xlfn.XLOOKUP($A89,'1.3.SSDR_soil'!$B$7:$B$29,'1.3.SSDR_soil'!$J$7:$J$29)</f>
        <v>0.57051140451199345</v>
      </c>
      <c r="I89" s="116">
        <f>_xlfn.XLOOKUP($A89,'1.3.SSDR_soil'!$B$7:$B$29,'1.3.SSDR_soil'!$I$7:$I$29)</f>
        <v>-28.95002542223116</v>
      </c>
      <c r="J89" s="117"/>
    </row>
    <row r="90" spans="1:10" ht="16" x14ac:dyDescent="0.2">
      <c r="A90" s="118" t="s">
        <v>6</v>
      </c>
      <c r="B90" s="117" t="s">
        <v>172</v>
      </c>
      <c r="C90" s="116"/>
      <c r="D90" s="131" t="s">
        <v>162</v>
      </c>
      <c r="E90" s="116"/>
      <c r="F90" s="116" t="s">
        <v>325</v>
      </c>
      <c r="G90" s="116">
        <v>0</v>
      </c>
      <c r="H90" s="116">
        <f>_xlfn.XLOOKUP($A90,'1.3.SSDR_soil'!$B$7:$B$29,'1.3.SSDR_soil'!$J$7:$J$29)</f>
        <v>0.57051140451199345</v>
      </c>
      <c r="I90" s="116">
        <f>_xlfn.XLOOKUP($A90,'1.3.SSDR_soil'!$B$7:$B$29,'1.3.SSDR_soil'!$I$7:$I$29)</f>
        <v>-28.95002542223116</v>
      </c>
      <c r="J90" s="117"/>
    </row>
    <row r="91" spans="1:10" ht="16" x14ac:dyDescent="0.2">
      <c r="A91" s="118" t="s">
        <v>6</v>
      </c>
      <c r="B91" s="121" t="s">
        <v>172</v>
      </c>
      <c r="C91" s="120"/>
      <c r="D91" s="403" t="s">
        <v>151</v>
      </c>
      <c r="E91" s="120"/>
      <c r="F91" s="120" t="s">
        <v>325</v>
      </c>
      <c r="G91" s="120">
        <v>0</v>
      </c>
      <c r="H91" s="120">
        <f>_xlfn.XLOOKUP($A91,'1.3.SSDR_soil'!$B$7:$B$29,'1.3.SSDR_soil'!$J$7:$J$29)</f>
        <v>0.57051140451199345</v>
      </c>
      <c r="I91" s="116">
        <f>_xlfn.XLOOKUP($A91,'1.3.SSDR_soil'!$B$7:$B$29,'1.3.SSDR_soil'!$I$7:$I$29)</f>
        <v>-28.95002542223116</v>
      </c>
      <c r="J91" s="121"/>
    </row>
    <row r="92" spans="1:10" ht="16" x14ac:dyDescent="0.2">
      <c r="A92" s="118" t="s">
        <v>7</v>
      </c>
      <c r="B92" s="402" t="s">
        <v>172</v>
      </c>
      <c r="C92" s="400"/>
      <c r="D92" s="401" t="s">
        <v>176</v>
      </c>
      <c r="E92" s="400"/>
      <c r="F92" s="400" t="s">
        <v>325</v>
      </c>
      <c r="G92" s="400">
        <v>0</v>
      </c>
      <c r="H92" s="400">
        <f>_xlfn.XLOOKUP($A92,'1.1.SSDR_water'!$B$7:$B$29,'1.1.SSDR_water'!$J$7:$J$29)</f>
        <v>1.0491074357795753</v>
      </c>
      <c r="I92" s="400">
        <f>_xlfn.XLOOKUP($A92,'1.1.SSDR_water'!$B$7:$B$29,'1.1.SSDR_water'!$I$7:$I$29)</f>
        <v>-26.358102548509795</v>
      </c>
      <c r="J92" s="402"/>
    </row>
    <row r="93" spans="1:10" ht="16" x14ac:dyDescent="0.2">
      <c r="A93" s="118" t="s">
        <v>7</v>
      </c>
      <c r="B93" s="117" t="s">
        <v>172</v>
      </c>
      <c r="C93" s="116"/>
      <c r="D93" s="131" t="s">
        <v>148</v>
      </c>
      <c r="E93" s="116"/>
      <c r="F93" s="116" t="s">
        <v>325</v>
      </c>
      <c r="G93" s="116">
        <v>0</v>
      </c>
      <c r="H93" s="116">
        <f>_xlfn.XLOOKUP($A93,'1.1.SSDR_water'!$B$7:$B$29,'1.1.SSDR_water'!$J$7:$J$29)</f>
        <v>1.0491074357795753</v>
      </c>
      <c r="I93" s="116">
        <f>_xlfn.XLOOKUP($A93,'1.1.SSDR_water'!$B$7:$B$29,'1.1.SSDR_water'!$I$7:$I$29)</f>
        <v>-26.358102548509795</v>
      </c>
      <c r="J93" s="117"/>
    </row>
    <row r="94" spans="1:10" ht="16" x14ac:dyDescent="0.2">
      <c r="A94" s="118" t="s">
        <v>7</v>
      </c>
      <c r="B94" s="117" t="s">
        <v>172</v>
      </c>
      <c r="C94" s="116"/>
      <c r="D94" s="131" t="s">
        <v>158</v>
      </c>
      <c r="E94" s="116"/>
      <c r="F94" s="116" t="s">
        <v>325</v>
      </c>
      <c r="G94" s="116">
        <v>0</v>
      </c>
      <c r="H94" s="116">
        <f>_xlfn.XLOOKUP($A94,'1.1.SSDR_water'!$B$7:$B$29,'1.1.SSDR_water'!$J$7:$J$29)</f>
        <v>1.0491074357795753</v>
      </c>
      <c r="I94" s="116">
        <f>_xlfn.XLOOKUP($A94,'1.1.SSDR_water'!$B$7:$B$29,'1.1.SSDR_water'!$I$7:$I$29)</f>
        <v>-26.358102548509795</v>
      </c>
      <c r="J94" s="117"/>
    </row>
    <row r="95" spans="1:10" ht="16" x14ac:dyDescent="0.2">
      <c r="A95" s="118" t="s">
        <v>7</v>
      </c>
      <c r="B95" s="117" t="s">
        <v>172</v>
      </c>
      <c r="C95" s="116"/>
      <c r="D95" s="131" t="s">
        <v>149</v>
      </c>
      <c r="E95" s="116"/>
      <c r="F95" s="116" t="s">
        <v>325</v>
      </c>
      <c r="G95" s="116">
        <v>0</v>
      </c>
      <c r="H95" s="116">
        <f>_xlfn.XLOOKUP($A95,'1.1.SSDR_water'!$B$7:$B$29,'1.1.SSDR_water'!$J$7:$J$29)</f>
        <v>1.0491074357795753</v>
      </c>
      <c r="I95" s="116">
        <f>_xlfn.XLOOKUP($A95,'1.1.SSDR_water'!$B$7:$B$29,'1.1.SSDR_water'!$I$7:$I$29)</f>
        <v>-26.358102548509795</v>
      </c>
      <c r="J95" s="117"/>
    </row>
    <row r="96" spans="1:10" ht="16" x14ac:dyDescent="0.2">
      <c r="A96" s="118" t="s">
        <v>7</v>
      </c>
      <c r="B96" s="117" t="s">
        <v>172</v>
      </c>
      <c r="C96" s="116"/>
      <c r="D96" s="131" t="s">
        <v>173</v>
      </c>
      <c r="E96" s="116"/>
      <c r="F96" s="116" t="s">
        <v>325</v>
      </c>
      <c r="G96" s="116">
        <v>0</v>
      </c>
      <c r="H96" s="116">
        <f>_xlfn.XLOOKUP($A96,'1.2.SSDR_sediment'!$B$7:$B$29,'1.2.SSDR_sediment'!$J$7:$J$29)</f>
        <v>1.2773915843777568</v>
      </c>
      <c r="I96" s="116">
        <f>_xlfn.XLOOKUP($A96,'1.2.SSDR_sediment'!$B$7:$B$29,'1.2.SSDR_sediment'!$I$7:$I$29)</f>
        <v>-29.261266115040751</v>
      </c>
      <c r="J96" s="117"/>
    </row>
    <row r="97" spans="1:10" ht="16" x14ac:dyDescent="0.2">
      <c r="A97" s="118" t="s">
        <v>7</v>
      </c>
      <c r="B97" s="117" t="s">
        <v>172</v>
      </c>
      <c r="C97" s="116"/>
      <c r="D97" s="131" t="s">
        <v>174</v>
      </c>
      <c r="E97" s="116"/>
      <c r="F97" s="116" t="s">
        <v>325</v>
      </c>
      <c r="G97" s="116">
        <v>0</v>
      </c>
      <c r="H97" s="116">
        <f>_xlfn.XLOOKUP($A97,'1.2.SSDR_sediment'!$B$7:$B$29,'1.2.SSDR_sediment'!$J$7:$J$29)</f>
        <v>1.2773915843777568</v>
      </c>
      <c r="I97" s="116">
        <f>_xlfn.XLOOKUP($A97,'1.2.SSDR_sediment'!$B$7:$B$29,'1.2.SSDR_sediment'!$I$7:$I$29)</f>
        <v>-29.261266115040751</v>
      </c>
      <c r="J97" s="117"/>
    </row>
    <row r="98" spans="1:10" ht="16" x14ac:dyDescent="0.2">
      <c r="A98" s="118" t="s">
        <v>7</v>
      </c>
      <c r="B98" s="117" t="s">
        <v>172</v>
      </c>
      <c r="C98" s="116"/>
      <c r="D98" s="131" t="s">
        <v>175</v>
      </c>
      <c r="E98" s="116"/>
      <c r="F98" s="116" t="s">
        <v>325</v>
      </c>
      <c r="G98" s="116">
        <v>0</v>
      </c>
      <c r="H98" s="116">
        <f>_xlfn.XLOOKUP($A98,'1.2.SSDR_sediment'!$B$7:$B$29,'1.2.SSDR_sediment'!$J$7:$J$29)</f>
        <v>1.2773915843777568</v>
      </c>
      <c r="I98" s="116">
        <f>_xlfn.XLOOKUP($A98,'1.2.SSDR_sediment'!$B$7:$B$29,'1.2.SSDR_sediment'!$I$7:$I$29)</f>
        <v>-29.261266115040751</v>
      </c>
      <c r="J98" s="117"/>
    </row>
    <row r="99" spans="1:10" ht="16" x14ac:dyDescent="0.2">
      <c r="A99" s="118" t="s">
        <v>7</v>
      </c>
      <c r="B99" s="117" t="s">
        <v>172</v>
      </c>
      <c r="C99" s="116"/>
      <c r="D99" s="131" t="s">
        <v>150</v>
      </c>
      <c r="E99" s="116"/>
      <c r="F99" s="116" t="s">
        <v>325</v>
      </c>
      <c r="G99" s="116">
        <v>0</v>
      </c>
      <c r="H99" s="116">
        <f>_xlfn.XLOOKUP($A99,'1.3.SSDR_soil'!$B$7:$B$29,'1.3.SSDR_soil'!$J$7:$J$29)</f>
        <v>0.10461941779017071</v>
      </c>
      <c r="I99" s="116">
        <f>_xlfn.XLOOKUP($A99,'1.3.SSDR_soil'!$B$7:$B$29,'1.3.SSDR_soil'!$I$7:$I$29)</f>
        <v>-23.996463160654784</v>
      </c>
      <c r="J99" s="117"/>
    </row>
    <row r="100" spans="1:10" ht="16" x14ac:dyDescent="0.2">
      <c r="A100" s="118" t="s">
        <v>7</v>
      </c>
      <c r="B100" s="117" t="s">
        <v>172</v>
      </c>
      <c r="C100" s="116"/>
      <c r="D100" s="131" t="s">
        <v>162</v>
      </c>
      <c r="E100" s="116"/>
      <c r="F100" s="116" t="s">
        <v>325</v>
      </c>
      <c r="G100" s="116">
        <v>0</v>
      </c>
      <c r="H100" s="116">
        <f>_xlfn.XLOOKUP($A100,'1.3.SSDR_soil'!$B$7:$B$29,'1.3.SSDR_soil'!$J$7:$J$29)</f>
        <v>0.10461941779017071</v>
      </c>
      <c r="I100" s="116">
        <f>_xlfn.XLOOKUP($A100,'1.3.SSDR_soil'!$B$7:$B$29,'1.3.SSDR_soil'!$I$7:$I$29)</f>
        <v>-23.996463160654784</v>
      </c>
      <c r="J100" s="117"/>
    </row>
    <row r="101" spans="1:10" ht="16" x14ac:dyDescent="0.2">
      <c r="A101" s="118" t="s">
        <v>7</v>
      </c>
      <c r="B101" s="121" t="s">
        <v>172</v>
      </c>
      <c r="C101" s="120"/>
      <c r="D101" s="403" t="s">
        <v>151</v>
      </c>
      <c r="E101" s="120"/>
      <c r="F101" s="120" t="s">
        <v>325</v>
      </c>
      <c r="G101" s="120">
        <v>0</v>
      </c>
      <c r="H101" s="120">
        <f>_xlfn.XLOOKUP($A101,'1.3.SSDR_soil'!$B$7:$B$29,'1.3.SSDR_soil'!$J$7:$J$29)</f>
        <v>0.10461941779017071</v>
      </c>
      <c r="I101" s="116">
        <f>_xlfn.XLOOKUP($A101,'1.3.SSDR_soil'!$B$7:$B$29,'1.3.SSDR_soil'!$I$7:$I$29)</f>
        <v>-23.996463160654784</v>
      </c>
      <c r="J101" s="121"/>
    </row>
    <row r="102" spans="1:10" ht="16" x14ac:dyDescent="0.2">
      <c r="A102" s="118" t="s">
        <v>29</v>
      </c>
      <c r="B102" s="402" t="s">
        <v>172</v>
      </c>
      <c r="C102" s="400"/>
      <c r="D102" s="401" t="s">
        <v>176</v>
      </c>
      <c r="E102" s="400"/>
      <c r="F102" s="400" t="s">
        <v>325</v>
      </c>
      <c r="G102" s="400">
        <v>0</v>
      </c>
      <c r="H102" s="400">
        <f>_xlfn.XLOOKUP($A102,'1.1.SSDR_water'!$B$7:$B$29,'1.1.SSDR_water'!$J$7:$J$29)</f>
        <v>1.7318824339138983</v>
      </c>
      <c r="I102" s="400">
        <f>_xlfn.XLOOKUP($A102,'1.1.SSDR_water'!$B$7:$B$29,'1.1.SSDR_water'!$I$7:$I$29)</f>
        <v>-33.528576995558851</v>
      </c>
      <c r="J102" s="402"/>
    </row>
    <row r="103" spans="1:10" ht="16" x14ac:dyDescent="0.2">
      <c r="A103" s="118" t="s">
        <v>29</v>
      </c>
      <c r="B103" s="117" t="s">
        <v>172</v>
      </c>
      <c r="C103" s="116"/>
      <c r="D103" s="131" t="s">
        <v>148</v>
      </c>
      <c r="E103" s="116"/>
      <c r="F103" s="116" t="s">
        <v>325</v>
      </c>
      <c r="G103" s="116">
        <v>0</v>
      </c>
      <c r="H103" s="116">
        <f>_xlfn.XLOOKUP($A103,'1.1.SSDR_water'!$B$7:$B$29,'1.1.SSDR_water'!$J$7:$J$29)</f>
        <v>1.7318824339138983</v>
      </c>
      <c r="I103" s="116">
        <f>_xlfn.XLOOKUP($A103,'1.1.SSDR_water'!$B$7:$B$29,'1.1.SSDR_water'!$I$7:$I$29)</f>
        <v>-33.528576995558851</v>
      </c>
      <c r="J103" s="117"/>
    </row>
    <row r="104" spans="1:10" ht="16" x14ac:dyDescent="0.2">
      <c r="A104" s="118" t="s">
        <v>29</v>
      </c>
      <c r="B104" s="117" t="s">
        <v>172</v>
      </c>
      <c r="C104" s="116"/>
      <c r="D104" s="131" t="s">
        <v>158</v>
      </c>
      <c r="E104" s="116"/>
      <c r="F104" s="116" t="s">
        <v>325</v>
      </c>
      <c r="G104" s="116">
        <v>0</v>
      </c>
      <c r="H104" s="116">
        <f>_xlfn.XLOOKUP($A104,'1.1.SSDR_water'!$B$7:$B$29,'1.1.SSDR_water'!$J$7:$J$29)</f>
        <v>1.7318824339138983</v>
      </c>
      <c r="I104" s="116">
        <f>_xlfn.XLOOKUP($A104,'1.1.SSDR_water'!$B$7:$B$29,'1.1.SSDR_water'!$I$7:$I$29)</f>
        <v>-33.528576995558851</v>
      </c>
      <c r="J104" s="117"/>
    </row>
    <row r="105" spans="1:10" ht="16" x14ac:dyDescent="0.2">
      <c r="A105" s="118" t="s">
        <v>29</v>
      </c>
      <c r="B105" s="117" t="s">
        <v>172</v>
      </c>
      <c r="C105" s="116"/>
      <c r="D105" s="131" t="s">
        <v>149</v>
      </c>
      <c r="E105" s="116"/>
      <c r="F105" s="116" t="s">
        <v>325</v>
      </c>
      <c r="G105" s="116">
        <v>0</v>
      </c>
      <c r="H105" s="116">
        <f>_xlfn.XLOOKUP($A105,'1.1.SSDR_water'!$B$7:$B$29,'1.1.SSDR_water'!$J$7:$J$29)</f>
        <v>1.7318824339138983</v>
      </c>
      <c r="I105" s="116">
        <f>_xlfn.XLOOKUP($A105,'1.1.SSDR_water'!$B$7:$B$29,'1.1.SSDR_water'!$I$7:$I$29)</f>
        <v>-33.528576995558851</v>
      </c>
      <c r="J105" s="117"/>
    </row>
    <row r="106" spans="1:10" ht="16" x14ac:dyDescent="0.2">
      <c r="A106" s="118" t="s">
        <v>29</v>
      </c>
      <c r="B106" s="117" t="s">
        <v>172</v>
      </c>
      <c r="C106" s="116"/>
      <c r="D106" s="131" t="s">
        <v>173</v>
      </c>
      <c r="E106" s="116"/>
      <c r="F106" s="116" t="s">
        <v>325</v>
      </c>
      <c r="G106" s="116">
        <v>0</v>
      </c>
      <c r="H106" s="116">
        <f>_xlfn.XLOOKUP($A106,'1.2.SSDR_sediment'!$B$7:$B$29,'1.2.SSDR_sediment'!$J$7:$J$29)</f>
        <v>1.7318824339138983</v>
      </c>
      <c r="I106" s="116">
        <f>_xlfn.XLOOKUP($A106,'1.2.SSDR_sediment'!$B$7:$B$29,'1.2.SSDR_sediment'!$I$7:$I$29)</f>
        <v>-33.528576995558851</v>
      </c>
      <c r="J106" s="117"/>
    </row>
    <row r="107" spans="1:10" ht="16" x14ac:dyDescent="0.2">
      <c r="A107" s="118" t="s">
        <v>29</v>
      </c>
      <c r="B107" s="117" t="s">
        <v>172</v>
      </c>
      <c r="C107" s="116"/>
      <c r="D107" s="131" t="s">
        <v>174</v>
      </c>
      <c r="E107" s="116"/>
      <c r="F107" s="116" t="s">
        <v>325</v>
      </c>
      <c r="G107" s="116">
        <v>0</v>
      </c>
      <c r="H107" s="116">
        <f>_xlfn.XLOOKUP($A107,'1.2.SSDR_sediment'!$B$7:$B$29,'1.2.SSDR_sediment'!$J$7:$J$29)</f>
        <v>1.7318824339138983</v>
      </c>
      <c r="I107" s="116">
        <f>_xlfn.XLOOKUP($A107,'1.2.SSDR_sediment'!$B$7:$B$29,'1.2.SSDR_sediment'!$I$7:$I$29)</f>
        <v>-33.528576995558851</v>
      </c>
      <c r="J107" s="117"/>
    </row>
    <row r="108" spans="1:10" ht="16" x14ac:dyDescent="0.2">
      <c r="A108" s="118" t="s">
        <v>29</v>
      </c>
      <c r="B108" s="117" t="s">
        <v>172</v>
      </c>
      <c r="C108" s="116"/>
      <c r="D108" s="131" t="s">
        <v>175</v>
      </c>
      <c r="E108" s="116"/>
      <c r="F108" s="116" t="s">
        <v>325</v>
      </c>
      <c r="G108" s="116">
        <v>0</v>
      </c>
      <c r="H108" s="116">
        <f>_xlfn.XLOOKUP($A108,'1.2.SSDR_sediment'!$B$7:$B$29,'1.2.SSDR_sediment'!$J$7:$J$29)</f>
        <v>1.7318824339138983</v>
      </c>
      <c r="I108" s="116">
        <f>_xlfn.XLOOKUP($A108,'1.2.SSDR_sediment'!$B$7:$B$29,'1.2.SSDR_sediment'!$I$7:$I$29)</f>
        <v>-33.528576995558851</v>
      </c>
      <c r="J108" s="117"/>
    </row>
    <row r="109" spans="1:10" ht="16" x14ac:dyDescent="0.2">
      <c r="A109" s="118" t="s">
        <v>29</v>
      </c>
      <c r="B109" s="117" t="s">
        <v>172</v>
      </c>
      <c r="C109" s="116"/>
      <c r="D109" s="131" t="s">
        <v>150</v>
      </c>
      <c r="E109" s="116"/>
      <c r="F109" s="116" t="s">
        <v>325</v>
      </c>
      <c r="G109" s="116">
        <v>0</v>
      </c>
      <c r="H109" s="116">
        <f>_xlfn.XLOOKUP($A109,'1.3.SSDR_soil'!$B$7:$B$29,'1.3.SSDR_soil'!$J$7:$J$29)</f>
        <v>0.16719966768507238</v>
      </c>
      <c r="I109" s="116">
        <f>_xlfn.XLOOKUP($A109,'1.3.SSDR_soil'!$B$7:$B$29,'1.3.SSDR_soil'!$I$7:$I$29)</f>
        <v>-26.285928439835274</v>
      </c>
      <c r="J109" s="117"/>
    </row>
    <row r="110" spans="1:10" ht="16" x14ac:dyDescent="0.2">
      <c r="A110" s="118" t="s">
        <v>29</v>
      </c>
      <c r="B110" s="117" t="s">
        <v>172</v>
      </c>
      <c r="C110" s="116"/>
      <c r="D110" s="131" t="s">
        <v>162</v>
      </c>
      <c r="E110" s="116"/>
      <c r="F110" s="116" t="s">
        <v>325</v>
      </c>
      <c r="G110" s="116">
        <v>0</v>
      </c>
      <c r="H110" s="116">
        <f>_xlfn.XLOOKUP($A110,'1.3.SSDR_soil'!$B$7:$B$29,'1.3.SSDR_soil'!$J$7:$J$29)</f>
        <v>0.16719966768507238</v>
      </c>
      <c r="I110" s="116">
        <f>_xlfn.XLOOKUP($A110,'1.3.SSDR_soil'!$B$7:$B$29,'1.3.SSDR_soil'!$I$7:$I$29)</f>
        <v>-26.285928439835274</v>
      </c>
      <c r="J110" s="117"/>
    </row>
    <row r="111" spans="1:10" ht="16" x14ac:dyDescent="0.2">
      <c r="A111" s="118" t="s">
        <v>29</v>
      </c>
      <c r="B111" s="121" t="s">
        <v>172</v>
      </c>
      <c r="C111" s="120"/>
      <c r="D111" s="403" t="s">
        <v>151</v>
      </c>
      <c r="E111" s="120"/>
      <c r="F111" s="120" t="s">
        <v>325</v>
      </c>
      <c r="G111" s="120">
        <v>0</v>
      </c>
      <c r="H111" s="120">
        <f>_xlfn.XLOOKUP($A111,'1.3.SSDR_soil'!$B$7:$B$29,'1.3.SSDR_soil'!$J$7:$J$29)</f>
        <v>0.16719966768507238</v>
      </c>
      <c r="I111" s="116">
        <f>_xlfn.XLOOKUP($A111,'1.3.SSDR_soil'!$B$7:$B$29,'1.3.SSDR_soil'!$I$7:$I$29)</f>
        <v>-26.285928439835274</v>
      </c>
      <c r="J111" s="121"/>
    </row>
    <row r="112" spans="1:10" ht="16" x14ac:dyDescent="0.2">
      <c r="A112" s="118" t="s">
        <v>264</v>
      </c>
      <c r="B112" s="402" t="s">
        <v>172</v>
      </c>
      <c r="C112" s="400"/>
      <c r="D112" s="401" t="s">
        <v>176</v>
      </c>
      <c r="E112" s="400"/>
      <c r="F112" s="400" t="s">
        <v>325</v>
      </c>
      <c r="G112" s="400">
        <v>0</v>
      </c>
      <c r="H112" s="400">
        <f>_xlfn.XLOOKUP($A112,'1.1.SSDR_water'!$B$7:$B$29,'1.1.SSDR_water'!$J$7:$J$29)</f>
        <v>0.94104116370236246</v>
      </c>
      <c r="I112" s="400">
        <f>_xlfn.XLOOKUP($A112,'1.1.SSDR_water'!$B$7:$B$29,'1.1.SSDR_water'!$I$7:$I$29)</f>
        <v>-28.38483115039082</v>
      </c>
      <c r="J112" s="402"/>
    </row>
    <row r="113" spans="1:10" ht="16" x14ac:dyDescent="0.2">
      <c r="A113" s="118" t="s">
        <v>264</v>
      </c>
      <c r="B113" s="117" t="s">
        <v>172</v>
      </c>
      <c r="C113" s="116"/>
      <c r="D113" s="131" t="s">
        <v>148</v>
      </c>
      <c r="E113" s="116"/>
      <c r="F113" s="116" t="s">
        <v>325</v>
      </c>
      <c r="G113" s="116">
        <v>0</v>
      </c>
      <c r="H113" s="116">
        <f>_xlfn.XLOOKUP($A113,'1.1.SSDR_water'!$B$7:$B$29,'1.1.SSDR_water'!$J$7:$J$29)</f>
        <v>0.94104116370236246</v>
      </c>
      <c r="I113" s="116">
        <f>_xlfn.XLOOKUP($A113,'1.1.SSDR_water'!$B$7:$B$29,'1.1.SSDR_water'!$I$7:$I$29)</f>
        <v>-28.38483115039082</v>
      </c>
      <c r="J113" s="117"/>
    </row>
    <row r="114" spans="1:10" ht="16" x14ac:dyDescent="0.2">
      <c r="A114" s="118" t="s">
        <v>264</v>
      </c>
      <c r="B114" s="117" t="s">
        <v>172</v>
      </c>
      <c r="C114" s="116"/>
      <c r="D114" s="131" t="s">
        <v>158</v>
      </c>
      <c r="E114" s="116"/>
      <c r="F114" s="116" t="s">
        <v>325</v>
      </c>
      <c r="G114" s="116">
        <v>0</v>
      </c>
      <c r="H114" s="116">
        <f>_xlfn.XLOOKUP($A114,'1.1.SSDR_water'!$B$7:$B$29,'1.1.SSDR_water'!$J$7:$J$29)</f>
        <v>0.94104116370236246</v>
      </c>
      <c r="I114" s="116">
        <f>_xlfn.XLOOKUP($A114,'1.1.SSDR_water'!$B$7:$B$29,'1.1.SSDR_water'!$I$7:$I$29)</f>
        <v>-28.38483115039082</v>
      </c>
      <c r="J114" s="117"/>
    </row>
    <row r="115" spans="1:10" ht="16" x14ac:dyDescent="0.2">
      <c r="A115" s="118" t="s">
        <v>264</v>
      </c>
      <c r="B115" s="117" t="s">
        <v>172</v>
      </c>
      <c r="C115" s="116"/>
      <c r="D115" s="131" t="s">
        <v>149</v>
      </c>
      <c r="E115" s="116"/>
      <c r="F115" s="116" t="s">
        <v>325</v>
      </c>
      <c r="G115" s="116">
        <v>0</v>
      </c>
      <c r="H115" s="116">
        <f>_xlfn.XLOOKUP($A115,'1.1.SSDR_water'!$B$7:$B$29,'1.1.SSDR_water'!$J$7:$J$29)</f>
        <v>0.94104116370236246</v>
      </c>
      <c r="I115" s="116">
        <f>_xlfn.XLOOKUP($A115,'1.1.SSDR_water'!$B$7:$B$29,'1.1.SSDR_water'!$I$7:$I$29)</f>
        <v>-28.38483115039082</v>
      </c>
      <c r="J115" s="117"/>
    </row>
    <row r="116" spans="1:10" ht="16" x14ac:dyDescent="0.2">
      <c r="A116" s="118" t="s">
        <v>264</v>
      </c>
      <c r="B116" s="117" t="s">
        <v>172</v>
      </c>
      <c r="C116" s="116"/>
      <c r="D116" s="131" t="s">
        <v>173</v>
      </c>
      <c r="E116" s="116"/>
      <c r="F116" s="116" t="s">
        <v>325</v>
      </c>
      <c r="G116" s="116">
        <v>0</v>
      </c>
      <c r="H116" s="116">
        <f>_xlfn.XLOOKUP($A116,'1.2.SSDR_sediment'!$B$7:$B$29,'1.2.SSDR_sediment'!$J$7:$J$29)</f>
        <v>0.94104116370236246</v>
      </c>
      <c r="I116" s="116">
        <f>_xlfn.XLOOKUP($A116,'1.2.SSDR_sediment'!$B$7:$B$29,'1.2.SSDR_sediment'!$I$7:$I$29)</f>
        <v>-28.38483115039082</v>
      </c>
      <c r="J116" s="117"/>
    </row>
    <row r="117" spans="1:10" ht="16" x14ac:dyDescent="0.2">
      <c r="A117" s="118" t="s">
        <v>264</v>
      </c>
      <c r="B117" s="117" t="s">
        <v>172</v>
      </c>
      <c r="C117" s="116"/>
      <c r="D117" s="131" t="s">
        <v>174</v>
      </c>
      <c r="E117" s="116"/>
      <c r="F117" s="116" t="s">
        <v>325</v>
      </c>
      <c r="G117" s="116">
        <v>0</v>
      </c>
      <c r="H117" s="116">
        <f>_xlfn.XLOOKUP($A117,'1.2.SSDR_sediment'!$B$7:$B$29,'1.2.SSDR_sediment'!$J$7:$J$29)</f>
        <v>0.94104116370236246</v>
      </c>
      <c r="I117" s="116">
        <f>_xlfn.XLOOKUP($A117,'1.2.SSDR_sediment'!$B$7:$B$29,'1.2.SSDR_sediment'!$I$7:$I$29)</f>
        <v>-28.38483115039082</v>
      </c>
      <c r="J117" s="117"/>
    </row>
    <row r="118" spans="1:10" ht="16" x14ac:dyDescent="0.2">
      <c r="A118" s="118" t="s">
        <v>264</v>
      </c>
      <c r="B118" s="117" t="s">
        <v>172</v>
      </c>
      <c r="C118" s="116"/>
      <c r="D118" s="131" t="s">
        <v>175</v>
      </c>
      <c r="E118" s="116"/>
      <c r="F118" s="116" t="s">
        <v>325</v>
      </c>
      <c r="G118" s="116">
        <v>0</v>
      </c>
      <c r="H118" s="116">
        <f>_xlfn.XLOOKUP($A118,'1.2.SSDR_sediment'!$B$7:$B$29,'1.2.SSDR_sediment'!$J$7:$J$29)</f>
        <v>0.94104116370236246</v>
      </c>
      <c r="I118" s="116">
        <f>_xlfn.XLOOKUP($A118,'1.2.SSDR_sediment'!$B$7:$B$29,'1.2.SSDR_sediment'!$I$7:$I$29)</f>
        <v>-28.38483115039082</v>
      </c>
      <c r="J118" s="117"/>
    </row>
    <row r="119" spans="1:10" ht="16" x14ac:dyDescent="0.2">
      <c r="A119" s="118" t="s">
        <v>264</v>
      </c>
      <c r="B119" s="117" t="s">
        <v>172</v>
      </c>
      <c r="C119" s="116"/>
      <c r="D119" s="131" t="s">
        <v>150</v>
      </c>
      <c r="E119" s="116"/>
      <c r="F119" s="116" t="s">
        <v>325</v>
      </c>
      <c r="G119" s="116">
        <v>0</v>
      </c>
      <c r="H119" s="116">
        <f>_xlfn.XLOOKUP($A119,'1.3.SSDR_soil'!$B$7:$B$29,'1.3.SSDR_soil'!$J$7:$J$29)</f>
        <v>0.94104116370236246</v>
      </c>
      <c r="I119" s="116">
        <f>_xlfn.XLOOKUP($A119,'1.3.SSDR_soil'!$B$7:$B$29,'1.3.SSDR_soil'!$I$7:$I$29)</f>
        <v>-28.38483115039082</v>
      </c>
      <c r="J119" s="117"/>
    </row>
    <row r="120" spans="1:10" ht="16" x14ac:dyDescent="0.2">
      <c r="A120" s="118" t="s">
        <v>264</v>
      </c>
      <c r="B120" s="117" t="s">
        <v>172</v>
      </c>
      <c r="C120" s="116"/>
      <c r="D120" s="131" t="s">
        <v>162</v>
      </c>
      <c r="E120" s="116"/>
      <c r="F120" s="116" t="s">
        <v>325</v>
      </c>
      <c r="G120" s="116">
        <v>0</v>
      </c>
      <c r="H120" s="116">
        <f>_xlfn.XLOOKUP($A120,'1.3.SSDR_soil'!$B$7:$B$29,'1.3.SSDR_soil'!$J$7:$J$29)</f>
        <v>0.94104116370236246</v>
      </c>
      <c r="I120" s="116">
        <f>_xlfn.XLOOKUP($A120,'1.3.SSDR_soil'!$B$7:$B$29,'1.3.SSDR_soil'!$I$7:$I$29)</f>
        <v>-28.38483115039082</v>
      </c>
      <c r="J120" s="117"/>
    </row>
    <row r="121" spans="1:10" ht="16" x14ac:dyDescent="0.2">
      <c r="A121" s="118" t="s">
        <v>264</v>
      </c>
      <c r="B121" s="121" t="s">
        <v>172</v>
      </c>
      <c r="C121" s="120"/>
      <c r="D121" s="403" t="s">
        <v>151</v>
      </c>
      <c r="E121" s="120"/>
      <c r="F121" s="120" t="s">
        <v>325</v>
      </c>
      <c r="G121" s="120">
        <v>0</v>
      </c>
      <c r="H121" s="120">
        <f>_xlfn.XLOOKUP($A121,'1.3.SSDR_soil'!$B$7:$B$29,'1.3.SSDR_soil'!$J$7:$J$29)</f>
        <v>0.94104116370236246</v>
      </c>
      <c r="I121" s="116">
        <f>_xlfn.XLOOKUP($A121,'1.3.SSDR_soil'!$B$7:$B$29,'1.3.SSDR_soil'!$I$7:$I$29)</f>
        <v>-28.38483115039082</v>
      </c>
      <c r="J121" s="121"/>
    </row>
    <row r="122" spans="1:10" ht="16" x14ac:dyDescent="0.2">
      <c r="A122" s="118" t="s">
        <v>265</v>
      </c>
      <c r="B122" s="402" t="s">
        <v>172</v>
      </c>
      <c r="C122" s="400"/>
      <c r="D122" s="401" t="s">
        <v>176</v>
      </c>
      <c r="E122" s="400"/>
      <c r="F122" s="400" t="s">
        <v>325</v>
      </c>
      <c r="G122" s="400">
        <v>0</v>
      </c>
      <c r="H122" s="400">
        <f>_xlfn.XLOOKUP($A122,'1.1.SSDR_water'!$B$7:$B$29,'1.1.SSDR_water'!$J$7:$J$29)</f>
        <v>0.36715739152775634</v>
      </c>
      <c r="I122" s="400">
        <f>_xlfn.XLOOKUP($A122,'1.1.SSDR_water'!$B$7:$B$29,'1.1.SSDR_water'!$I$7:$I$29)</f>
        <v>-30.633933822779383</v>
      </c>
      <c r="J122" s="402"/>
    </row>
    <row r="123" spans="1:10" ht="16" x14ac:dyDescent="0.2">
      <c r="A123" s="118" t="s">
        <v>265</v>
      </c>
      <c r="B123" s="117" t="s">
        <v>172</v>
      </c>
      <c r="C123" s="116"/>
      <c r="D123" s="131" t="s">
        <v>148</v>
      </c>
      <c r="E123" s="116"/>
      <c r="F123" s="116" t="s">
        <v>325</v>
      </c>
      <c r="G123" s="116">
        <v>0</v>
      </c>
      <c r="H123" s="116">
        <f>_xlfn.XLOOKUP($A123,'1.1.SSDR_water'!$B$7:$B$29,'1.1.SSDR_water'!$J$7:$J$29)</f>
        <v>0.36715739152775634</v>
      </c>
      <c r="I123" s="116">
        <f>_xlfn.XLOOKUP($A123,'1.1.SSDR_water'!$B$7:$B$29,'1.1.SSDR_water'!$I$7:$I$29)</f>
        <v>-30.633933822779383</v>
      </c>
      <c r="J123" s="117"/>
    </row>
    <row r="124" spans="1:10" ht="16" x14ac:dyDescent="0.2">
      <c r="A124" s="118" t="s">
        <v>265</v>
      </c>
      <c r="B124" s="117" t="s">
        <v>172</v>
      </c>
      <c r="C124" s="116"/>
      <c r="D124" s="131" t="s">
        <v>158</v>
      </c>
      <c r="E124" s="116"/>
      <c r="F124" s="116" t="s">
        <v>325</v>
      </c>
      <c r="G124" s="116">
        <v>0</v>
      </c>
      <c r="H124" s="116">
        <f>_xlfn.XLOOKUP($A124,'1.1.SSDR_water'!$B$7:$B$29,'1.1.SSDR_water'!$J$7:$J$29)</f>
        <v>0.36715739152775634</v>
      </c>
      <c r="I124" s="116">
        <f>_xlfn.XLOOKUP($A124,'1.1.SSDR_water'!$B$7:$B$29,'1.1.SSDR_water'!$I$7:$I$29)</f>
        <v>-30.633933822779383</v>
      </c>
      <c r="J124" s="117"/>
    </row>
    <row r="125" spans="1:10" ht="16" x14ac:dyDescent="0.2">
      <c r="A125" s="118" t="s">
        <v>265</v>
      </c>
      <c r="B125" s="117" t="s">
        <v>172</v>
      </c>
      <c r="C125" s="116"/>
      <c r="D125" s="131" t="s">
        <v>149</v>
      </c>
      <c r="E125" s="116"/>
      <c r="F125" s="116" t="s">
        <v>325</v>
      </c>
      <c r="G125" s="116">
        <v>0</v>
      </c>
      <c r="H125" s="116">
        <f>_xlfn.XLOOKUP($A125,'1.1.SSDR_water'!$B$7:$B$29,'1.1.SSDR_water'!$J$7:$J$29)</f>
        <v>0.36715739152775634</v>
      </c>
      <c r="I125" s="116">
        <f>_xlfn.XLOOKUP($A125,'1.1.SSDR_water'!$B$7:$B$29,'1.1.SSDR_water'!$I$7:$I$29)</f>
        <v>-30.633933822779383</v>
      </c>
      <c r="J125" s="117"/>
    </row>
    <row r="126" spans="1:10" ht="16" x14ac:dyDescent="0.2">
      <c r="A126" s="118" t="s">
        <v>265</v>
      </c>
      <c r="B126" s="117" t="s">
        <v>172</v>
      </c>
      <c r="C126" s="116"/>
      <c r="D126" s="131" t="s">
        <v>173</v>
      </c>
      <c r="E126" s="116"/>
      <c r="F126" s="116" t="s">
        <v>325</v>
      </c>
      <c r="G126" s="116">
        <v>0</v>
      </c>
      <c r="H126" s="116">
        <f>_xlfn.XLOOKUP($A126,'1.2.SSDR_sediment'!$B$7:$B$29,'1.2.SSDR_sediment'!$J$7:$J$29)</f>
        <v>0.36715739152775634</v>
      </c>
      <c r="I126" s="116">
        <f>_xlfn.XLOOKUP($A126,'1.2.SSDR_sediment'!$B$7:$B$29,'1.2.SSDR_sediment'!$I$7:$I$29)</f>
        <v>-30.633933822779383</v>
      </c>
      <c r="J126" s="117"/>
    </row>
    <row r="127" spans="1:10" ht="16" x14ac:dyDescent="0.2">
      <c r="A127" s="118" t="s">
        <v>265</v>
      </c>
      <c r="B127" s="117" t="s">
        <v>172</v>
      </c>
      <c r="C127" s="116"/>
      <c r="D127" s="131" t="s">
        <v>174</v>
      </c>
      <c r="E127" s="116"/>
      <c r="F127" s="116" t="s">
        <v>325</v>
      </c>
      <c r="G127" s="116">
        <v>0</v>
      </c>
      <c r="H127" s="116">
        <f>_xlfn.XLOOKUP($A127,'1.2.SSDR_sediment'!$B$7:$B$29,'1.2.SSDR_sediment'!$J$7:$J$29)</f>
        <v>0.36715739152775634</v>
      </c>
      <c r="I127" s="116">
        <f>_xlfn.XLOOKUP($A127,'1.2.SSDR_sediment'!$B$7:$B$29,'1.2.SSDR_sediment'!$I$7:$I$29)</f>
        <v>-30.633933822779383</v>
      </c>
      <c r="J127" s="117"/>
    </row>
    <row r="128" spans="1:10" ht="16" x14ac:dyDescent="0.2">
      <c r="A128" s="118" t="s">
        <v>265</v>
      </c>
      <c r="B128" s="117" t="s">
        <v>172</v>
      </c>
      <c r="C128" s="116"/>
      <c r="D128" s="131" t="s">
        <v>175</v>
      </c>
      <c r="E128" s="116"/>
      <c r="F128" s="116" t="s">
        <v>325</v>
      </c>
      <c r="G128" s="116">
        <v>0</v>
      </c>
      <c r="H128" s="116">
        <f>_xlfn.XLOOKUP($A128,'1.2.SSDR_sediment'!$B$7:$B$29,'1.2.SSDR_sediment'!$J$7:$J$29)</f>
        <v>0.36715739152775634</v>
      </c>
      <c r="I128" s="116">
        <f>_xlfn.XLOOKUP($A128,'1.2.SSDR_sediment'!$B$7:$B$29,'1.2.SSDR_sediment'!$I$7:$I$29)</f>
        <v>-30.633933822779383</v>
      </c>
      <c r="J128" s="117"/>
    </row>
    <row r="129" spans="1:10" ht="16" x14ac:dyDescent="0.2">
      <c r="A129" s="118" t="s">
        <v>265</v>
      </c>
      <c r="B129" s="117" t="s">
        <v>172</v>
      </c>
      <c r="C129" s="116"/>
      <c r="D129" s="131" t="s">
        <v>150</v>
      </c>
      <c r="E129" s="116"/>
      <c r="F129" s="116" t="s">
        <v>325</v>
      </c>
      <c r="G129" s="116">
        <v>0</v>
      </c>
      <c r="H129" s="116">
        <f>_xlfn.XLOOKUP($A129,'1.3.SSDR_soil'!$B$7:$B$29,'1.3.SSDR_soil'!$J$7:$J$29)</f>
        <v>4.6502771284427306E-2</v>
      </c>
      <c r="I129" s="116">
        <f>_xlfn.XLOOKUP($A129,'1.3.SSDR_soil'!$B$7:$B$29,'1.3.SSDR_soil'!$I$7:$I$29)</f>
        <v>-27.28166585798273</v>
      </c>
      <c r="J129" s="117"/>
    </row>
    <row r="130" spans="1:10" ht="16" x14ac:dyDescent="0.2">
      <c r="A130" s="118" t="s">
        <v>265</v>
      </c>
      <c r="B130" s="117" t="s">
        <v>172</v>
      </c>
      <c r="C130" s="116"/>
      <c r="D130" s="131" t="s">
        <v>162</v>
      </c>
      <c r="E130" s="116"/>
      <c r="F130" s="116" t="s">
        <v>325</v>
      </c>
      <c r="G130" s="116">
        <v>0</v>
      </c>
      <c r="H130" s="116">
        <f>_xlfn.XLOOKUP($A130,'1.3.SSDR_soil'!$B$7:$B$29,'1.3.SSDR_soil'!$J$7:$J$29)</f>
        <v>4.6502771284427306E-2</v>
      </c>
      <c r="I130" s="116">
        <f>_xlfn.XLOOKUP($A130,'1.3.SSDR_soil'!$B$7:$B$29,'1.3.SSDR_soil'!$I$7:$I$29)</f>
        <v>-27.28166585798273</v>
      </c>
      <c r="J130" s="117"/>
    </row>
    <row r="131" spans="1:10" ht="16" x14ac:dyDescent="0.2">
      <c r="A131" s="118" t="s">
        <v>265</v>
      </c>
      <c r="B131" s="121" t="s">
        <v>172</v>
      </c>
      <c r="C131" s="120"/>
      <c r="D131" s="403" t="s">
        <v>151</v>
      </c>
      <c r="E131" s="120"/>
      <c r="F131" s="120" t="s">
        <v>325</v>
      </c>
      <c r="G131" s="120">
        <v>0</v>
      </c>
      <c r="H131" s="120">
        <f>_xlfn.XLOOKUP($A131,'1.3.SSDR_soil'!$B$7:$B$29,'1.3.SSDR_soil'!$J$7:$J$29)</f>
        <v>4.6502771284427306E-2</v>
      </c>
      <c r="I131" s="116">
        <f>_xlfn.XLOOKUP($A131,'1.3.SSDR_soil'!$B$7:$B$29,'1.3.SSDR_soil'!$I$7:$I$29)</f>
        <v>-27.28166585798273</v>
      </c>
      <c r="J131" s="121"/>
    </row>
    <row r="132" spans="1:10" ht="16" x14ac:dyDescent="0.2">
      <c r="A132" s="118" t="s">
        <v>15</v>
      </c>
      <c r="B132" s="402" t="s">
        <v>172</v>
      </c>
      <c r="C132" s="400"/>
      <c r="D132" s="401" t="s">
        <v>176</v>
      </c>
      <c r="E132" s="400"/>
      <c r="F132" s="400" t="s">
        <v>325</v>
      </c>
      <c r="G132" s="400">
        <v>0</v>
      </c>
      <c r="H132" s="400">
        <f>_xlfn.XLOOKUP($A132,'1.1.SSDR_water'!$B$7:$B$29,'1.1.SSDR_water'!$J$7:$J$29)</f>
        <v>0.89386067274613545</v>
      </c>
      <c r="I132" s="400">
        <f>_xlfn.XLOOKUP($A132,'1.1.SSDR_water'!$B$7:$B$29,'1.1.SSDR_water'!$I$7:$I$29)</f>
        <v>-26.464163176640206</v>
      </c>
      <c r="J132" s="402"/>
    </row>
    <row r="133" spans="1:10" ht="16" x14ac:dyDescent="0.2">
      <c r="A133" s="118" t="s">
        <v>15</v>
      </c>
      <c r="B133" s="117" t="s">
        <v>172</v>
      </c>
      <c r="C133" s="116"/>
      <c r="D133" s="131" t="s">
        <v>148</v>
      </c>
      <c r="E133" s="116"/>
      <c r="F133" s="116" t="s">
        <v>325</v>
      </c>
      <c r="G133" s="116">
        <v>0</v>
      </c>
      <c r="H133" s="116">
        <f>_xlfn.XLOOKUP($A133,'1.1.SSDR_water'!$B$7:$B$29,'1.1.SSDR_water'!$J$7:$J$29)</f>
        <v>0.89386067274613545</v>
      </c>
      <c r="I133" s="116">
        <f>_xlfn.XLOOKUP($A133,'1.1.SSDR_water'!$B$7:$B$29,'1.1.SSDR_water'!$I$7:$I$29)</f>
        <v>-26.464163176640206</v>
      </c>
      <c r="J133" s="117"/>
    </row>
    <row r="134" spans="1:10" ht="16" x14ac:dyDescent="0.2">
      <c r="A134" s="118" t="s">
        <v>15</v>
      </c>
      <c r="B134" s="117" t="s">
        <v>172</v>
      </c>
      <c r="C134" s="116"/>
      <c r="D134" s="131" t="s">
        <v>158</v>
      </c>
      <c r="E134" s="116"/>
      <c r="F134" s="116" t="s">
        <v>325</v>
      </c>
      <c r="G134" s="116">
        <v>0</v>
      </c>
      <c r="H134" s="116">
        <f>_xlfn.XLOOKUP($A134,'1.1.SSDR_water'!$B$7:$B$29,'1.1.SSDR_water'!$J$7:$J$29)</f>
        <v>0.89386067274613545</v>
      </c>
      <c r="I134" s="116">
        <f>_xlfn.XLOOKUP($A134,'1.1.SSDR_water'!$B$7:$B$29,'1.1.SSDR_water'!$I$7:$I$29)</f>
        <v>-26.464163176640206</v>
      </c>
      <c r="J134" s="117"/>
    </row>
    <row r="135" spans="1:10" ht="16" x14ac:dyDescent="0.2">
      <c r="A135" s="118" t="s">
        <v>15</v>
      </c>
      <c r="B135" s="117" t="s">
        <v>172</v>
      </c>
      <c r="C135" s="116"/>
      <c r="D135" s="131" t="s">
        <v>149</v>
      </c>
      <c r="E135" s="116"/>
      <c r="F135" s="116" t="s">
        <v>325</v>
      </c>
      <c r="G135" s="116">
        <v>0</v>
      </c>
      <c r="H135" s="116">
        <f>_xlfn.XLOOKUP($A135,'1.1.SSDR_water'!$B$7:$B$29,'1.1.SSDR_water'!$J$7:$J$29)</f>
        <v>0.89386067274613545</v>
      </c>
      <c r="I135" s="116">
        <f>_xlfn.XLOOKUP($A135,'1.1.SSDR_water'!$B$7:$B$29,'1.1.SSDR_water'!$I$7:$I$29)</f>
        <v>-26.464163176640206</v>
      </c>
      <c r="J135" s="117"/>
    </row>
    <row r="136" spans="1:10" ht="16" x14ac:dyDescent="0.2">
      <c r="A136" s="118" t="s">
        <v>15</v>
      </c>
      <c r="B136" s="117" t="s">
        <v>172</v>
      </c>
      <c r="C136" s="116"/>
      <c r="D136" s="131" t="s">
        <v>173</v>
      </c>
      <c r="E136" s="116"/>
      <c r="F136" s="116" t="s">
        <v>325</v>
      </c>
      <c r="G136" s="116">
        <v>0</v>
      </c>
      <c r="H136" s="116">
        <f>_xlfn.XLOOKUP($A136,'1.2.SSDR_sediment'!$B$7:$B$29,'1.2.SSDR_sediment'!$J$7:$J$29)</f>
        <v>0.89386067274613545</v>
      </c>
      <c r="I136" s="116">
        <f>_xlfn.XLOOKUP($A136,'1.2.SSDR_sediment'!$B$7:$B$29,'1.2.SSDR_sediment'!$I$7:$I$29)</f>
        <v>-26.464163176640206</v>
      </c>
      <c r="J136" s="117"/>
    </row>
    <row r="137" spans="1:10" ht="16" x14ac:dyDescent="0.2">
      <c r="A137" s="118" t="s">
        <v>15</v>
      </c>
      <c r="B137" s="117" t="s">
        <v>172</v>
      </c>
      <c r="C137" s="116"/>
      <c r="D137" s="131" t="s">
        <v>174</v>
      </c>
      <c r="E137" s="116"/>
      <c r="F137" s="116" t="s">
        <v>325</v>
      </c>
      <c r="G137" s="116">
        <v>0</v>
      </c>
      <c r="H137" s="116">
        <f>_xlfn.XLOOKUP($A137,'1.2.SSDR_sediment'!$B$7:$B$29,'1.2.SSDR_sediment'!$J$7:$J$29)</f>
        <v>0.89386067274613545</v>
      </c>
      <c r="I137" s="116">
        <f>_xlfn.XLOOKUP($A137,'1.2.SSDR_sediment'!$B$7:$B$29,'1.2.SSDR_sediment'!$I$7:$I$29)</f>
        <v>-26.464163176640206</v>
      </c>
      <c r="J137" s="117"/>
    </row>
    <row r="138" spans="1:10" ht="16" x14ac:dyDescent="0.2">
      <c r="A138" s="118" t="s">
        <v>15</v>
      </c>
      <c r="B138" s="117" t="s">
        <v>172</v>
      </c>
      <c r="C138" s="116"/>
      <c r="D138" s="131" t="s">
        <v>175</v>
      </c>
      <c r="E138" s="116"/>
      <c r="F138" s="116" t="s">
        <v>325</v>
      </c>
      <c r="G138" s="116">
        <v>0</v>
      </c>
      <c r="H138" s="116">
        <f>_xlfn.XLOOKUP($A138,'1.2.SSDR_sediment'!$B$7:$B$29,'1.2.SSDR_sediment'!$J$7:$J$29)</f>
        <v>0.89386067274613545</v>
      </c>
      <c r="I138" s="116">
        <f>_xlfn.XLOOKUP($A138,'1.2.SSDR_sediment'!$B$7:$B$29,'1.2.SSDR_sediment'!$I$7:$I$29)</f>
        <v>-26.464163176640206</v>
      </c>
      <c r="J138" s="117"/>
    </row>
    <row r="139" spans="1:10" ht="16" x14ac:dyDescent="0.2">
      <c r="A139" s="118" t="s">
        <v>15</v>
      </c>
      <c r="B139" s="117" t="s">
        <v>172</v>
      </c>
      <c r="C139" s="116"/>
      <c r="D139" s="131" t="s">
        <v>150</v>
      </c>
      <c r="E139" s="116"/>
      <c r="F139" s="116" t="s">
        <v>325</v>
      </c>
      <c r="G139" s="116">
        <v>0</v>
      </c>
      <c r="H139" s="116">
        <f>_xlfn.XLOOKUP($A139,'1.3.SSDR_soil'!$B$7:$B$29,'1.3.SSDR_soil'!$J$7:$J$29)</f>
        <v>0.79414122987293512</v>
      </c>
      <c r="I139" s="116">
        <f>_xlfn.XLOOKUP($A139,'1.3.SSDR_soil'!$B$7:$B$29,'1.3.SSDR_soil'!$I$7:$I$29)</f>
        <v>-25.281307808295232</v>
      </c>
      <c r="J139" s="117"/>
    </row>
    <row r="140" spans="1:10" ht="16" x14ac:dyDescent="0.2">
      <c r="A140" s="118" t="s">
        <v>15</v>
      </c>
      <c r="B140" s="117" t="s">
        <v>172</v>
      </c>
      <c r="C140" s="116"/>
      <c r="D140" s="131" t="s">
        <v>162</v>
      </c>
      <c r="E140" s="116"/>
      <c r="F140" s="116" t="s">
        <v>325</v>
      </c>
      <c r="G140" s="116">
        <v>0</v>
      </c>
      <c r="H140" s="116">
        <f>_xlfn.XLOOKUP($A140,'1.3.SSDR_soil'!$B$7:$B$29,'1.3.SSDR_soil'!$J$7:$J$29)</f>
        <v>0.79414122987293512</v>
      </c>
      <c r="I140" s="116">
        <f>_xlfn.XLOOKUP($A140,'1.3.SSDR_soil'!$B$7:$B$29,'1.3.SSDR_soil'!$I$7:$I$29)</f>
        <v>-25.281307808295232</v>
      </c>
      <c r="J140" s="117"/>
    </row>
    <row r="141" spans="1:10" ht="16" x14ac:dyDescent="0.2">
      <c r="A141" s="118" t="s">
        <v>15</v>
      </c>
      <c r="B141" s="121" t="s">
        <v>172</v>
      </c>
      <c r="C141" s="120"/>
      <c r="D141" s="403" t="s">
        <v>151</v>
      </c>
      <c r="E141" s="120"/>
      <c r="F141" s="120" t="s">
        <v>325</v>
      </c>
      <c r="G141" s="120">
        <v>0</v>
      </c>
      <c r="H141" s="120">
        <f>_xlfn.XLOOKUP($A141,'1.3.SSDR_soil'!$B$7:$B$29,'1.3.SSDR_soil'!$J$7:$J$29)</f>
        <v>0.79414122987293512</v>
      </c>
      <c r="I141" s="116">
        <f>_xlfn.XLOOKUP($A141,'1.3.SSDR_soil'!$B$7:$B$29,'1.3.SSDR_soil'!$I$7:$I$29)</f>
        <v>-25.281307808295232</v>
      </c>
      <c r="J141" s="121"/>
    </row>
    <row r="142" spans="1:10" ht="16" x14ac:dyDescent="0.2">
      <c r="A142" s="118" t="s">
        <v>9</v>
      </c>
      <c r="B142" s="402" t="s">
        <v>172</v>
      </c>
      <c r="C142" s="400"/>
      <c r="D142" s="401" t="s">
        <v>176</v>
      </c>
      <c r="E142" s="400"/>
      <c r="F142" s="400" t="s">
        <v>325</v>
      </c>
      <c r="G142" s="400">
        <v>0</v>
      </c>
      <c r="H142" s="400">
        <f>_xlfn.XLOOKUP($A142,'1.1.SSDR_water'!$B$7:$B$29,'1.1.SSDR_water'!$J$7:$J$29)</f>
        <v>5.2358711589165545E-2</v>
      </c>
      <c r="I142" s="400">
        <f>_xlfn.XLOOKUP($A142,'1.1.SSDR_water'!$B$7:$B$29,'1.1.SSDR_water'!$I$7:$I$29)</f>
        <v>-28.618047801344755</v>
      </c>
      <c r="J142" s="402"/>
    </row>
    <row r="143" spans="1:10" ht="16" x14ac:dyDescent="0.2">
      <c r="A143" s="118" t="s">
        <v>9</v>
      </c>
      <c r="B143" s="117" t="s">
        <v>172</v>
      </c>
      <c r="C143" s="116"/>
      <c r="D143" s="131" t="s">
        <v>148</v>
      </c>
      <c r="E143" s="116"/>
      <c r="F143" s="116" t="s">
        <v>325</v>
      </c>
      <c r="G143" s="116">
        <v>0</v>
      </c>
      <c r="H143" s="116">
        <f>_xlfn.XLOOKUP($A143,'1.1.SSDR_water'!$B$7:$B$29,'1.1.SSDR_water'!$J$7:$J$29)</f>
        <v>5.2358711589165545E-2</v>
      </c>
      <c r="I143" s="116">
        <f>_xlfn.XLOOKUP($A143,'1.1.SSDR_water'!$B$7:$B$29,'1.1.SSDR_water'!$I$7:$I$29)</f>
        <v>-28.618047801344755</v>
      </c>
      <c r="J143" s="117"/>
    </row>
    <row r="144" spans="1:10" ht="16" x14ac:dyDescent="0.2">
      <c r="A144" s="118" t="s">
        <v>9</v>
      </c>
      <c r="B144" s="117" t="s">
        <v>172</v>
      </c>
      <c r="C144" s="116"/>
      <c r="D144" s="131" t="s">
        <v>158</v>
      </c>
      <c r="E144" s="116"/>
      <c r="F144" s="116" t="s">
        <v>325</v>
      </c>
      <c r="G144" s="116">
        <v>0</v>
      </c>
      <c r="H144" s="116">
        <f>_xlfn.XLOOKUP($A144,'1.1.SSDR_water'!$B$7:$B$29,'1.1.SSDR_water'!$J$7:$J$29)</f>
        <v>5.2358711589165545E-2</v>
      </c>
      <c r="I144" s="116">
        <f>_xlfn.XLOOKUP($A144,'1.1.SSDR_water'!$B$7:$B$29,'1.1.SSDR_water'!$I$7:$I$29)</f>
        <v>-28.618047801344755</v>
      </c>
      <c r="J144" s="117"/>
    </row>
    <row r="145" spans="1:10" ht="16" x14ac:dyDescent="0.2">
      <c r="A145" s="118" t="s">
        <v>9</v>
      </c>
      <c r="B145" s="117" t="s">
        <v>172</v>
      </c>
      <c r="C145" s="116"/>
      <c r="D145" s="131" t="s">
        <v>149</v>
      </c>
      <c r="E145" s="116"/>
      <c r="F145" s="116" t="s">
        <v>325</v>
      </c>
      <c r="G145" s="116">
        <v>0</v>
      </c>
      <c r="H145" s="116">
        <f>_xlfn.XLOOKUP($A145,'1.1.SSDR_water'!$B$7:$B$29,'1.1.SSDR_water'!$J$7:$J$29)</f>
        <v>5.2358711589165545E-2</v>
      </c>
      <c r="I145" s="116">
        <f>_xlfn.XLOOKUP($A145,'1.1.SSDR_water'!$B$7:$B$29,'1.1.SSDR_water'!$I$7:$I$29)</f>
        <v>-28.618047801344755</v>
      </c>
      <c r="J145" s="117"/>
    </row>
    <row r="146" spans="1:10" ht="16" x14ac:dyDescent="0.2">
      <c r="A146" s="118" t="s">
        <v>9</v>
      </c>
      <c r="B146" s="117" t="s">
        <v>172</v>
      </c>
      <c r="C146" s="116"/>
      <c r="D146" s="131" t="s">
        <v>173</v>
      </c>
      <c r="E146" s="116"/>
      <c r="F146" s="116" t="s">
        <v>325</v>
      </c>
      <c r="G146" s="116">
        <v>0</v>
      </c>
      <c r="H146" s="116">
        <f>_xlfn.XLOOKUP($A146,'1.2.SSDR_sediment'!$B$7:$B$29,'1.2.SSDR_sediment'!$J$7:$J$29)</f>
        <v>5.2358711589165545E-2</v>
      </c>
      <c r="I146" s="116">
        <f>_xlfn.XLOOKUP($A146,'1.2.SSDR_sediment'!$B$7:$B$29,'1.2.SSDR_sediment'!$I$7:$I$29)</f>
        <v>-28.618047801344755</v>
      </c>
      <c r="J146" s="117"/>
    </row>
    <row r="147" spans="1:10" ht="16" x14ac:dyDescent="0.2">
      <c r="A147" s="118" t="s">
        <v>9</v>
      </c>
      <c r="B147" s="117" t="s">
        <v>172</v>
      </c>
      <c r="C147" s="116"/>
      <c r="D147" s="131" t="s">
        <v>174</v>
      </c>
      <c r="E147" s="116"/>
      <c r="F147" s="116" t="s">
        <v>325</v>
      </c>
      <c r="G147" s="116">
        <v>0</v>
      </c>
      <c r="H147" s="116">
        <f>_xlfn.XLOOKUP($A147,'1.2.SSDR_sediment'!$B$7:$B$29,'1.2.SSDR_sediment'!$J$7:$J$29)</f>
        <v>5.2358711589165545E-2</v>
      </c>
      <c r="I147" s="116">
        <f>_xlfn.XLOOKUP($A147,'1.2.SSDR_sediment'!$B$7:$B$29,'1.2.SSDR_sediment'!$I$7:$I$29)</f>
        <v>-28.618047801344755</v>
      </c>
      <c r="J147" s="117"/>
    </row>
    <row r="148" spans="1:10" ht="16" x14ac:dyDescent="0.2">
      <c r="A148" s="118" t="s">
        <v>9</v>
      </c>
      <c r="B148" s="117" t="s">
        <v>172</v>
      </c>
      <c r="C148" s="116"/>
      <c r="D148" s="131" t="s">
        <v>175</v>
      </c>
      <c r="E148" s="116"/>
      <c r="F148" s="116" t="s">
        <v>325</v>
      </c>
      <c r="G148" s="116">
        <v>0</v>
      </c>
      <c r="H148" s="116">
        <f>_xlfn.XLOOKUP($A148,'1.2.SSDR_sediment'!$B$7:$B$29,'1.2.SSDR_sediment'!$J$7:$J$29)</f>
        <v>5.2358711589165545E-2</v>
      </c>
      <c r="I148" s="116">
        <f>_xlfn.XLOOKUP($A148,'1.2.SSDR_sediment'!$B$7:$B$29,'1.2.SSDR_sediment'!$I$7:$I$29)</f>
        <v>-28.618047801344755</v>
      </c>
      <c r="J148" s="117"/>
    </row>
    <row r="149" spans="1:10" ht="16" x14ac:dyDescent="0.2">
      <c r="A149" s="118" t="s">
        <v>9</v>
      </c>
      <c r="B149" s="117" t="s">
        <v>172</v>
      </c>
      <c r="C149" s="116"/>
      <c r="D149" s="131" t="s">
        <v>150</v>
      </c>
      <c r="E149" s="116"/>
      <c r="F149" s="116" t="s">
        <v>325</v>
      </c>
      <c r="G149" s="116">
        <v>0</v>
      </c>
      <c r="H149" s="116">
        <f>_xlfn.XLOOKUP($A149,'1.3.SSDR_soil'!$B$7:$B$29,'1.3.SSDR_soil'!$J$7:$J$29)</f>
        <v>0.39501275773675909</v>
      </c>
      <c r="I149" s="116">
        <f>_xlfn.XLOOKUP($A149,'1.3.SSDR_soil'!$B$7:$B$29,'1.3.SSDR_soil'!$I$7:$I$29)</f>
        <v>-29.391653529166593</v>
      </c>
      <c r="J149" s="117"/>
    </row>
    <row r="150" spans="1:10" ht="16" x14ac:dyDescent="0.2">
      <c r="A150" s="118" t="s">
        <v>9</v>
      </c>
      <c r="B150" s="117" t="s">
        <v>172</v>
      </c>
      <c r="C150" s="116"/>
      <c r="D150" s="131" t="s">
        <v>162</v>
      </c>
      <c r="E150" s="116"/>
      <c r="F150" s="116" t="s">
        <v>325</v>
      </c>
      <c r="G150" s="116">
        <v>0</v>
      </c>
      <c r="H150" s="116">
        <f>_xlfn.XLOOKUP($A150,'1.3.SSDR_soil'!$B$7:$B$29,'1.3.SSDR_soil'!$J$7:$J$29)</f>
        <v>0.39501275773675909</v>
      </c>
      <c r="I150" s="116">
        <f>_xlfn.XLOOKUP($A150,'1.3.SSDR_soil'!$B$7:$B$29,'1.3.SSDR_soil'!$I$7:$I$29)</f>
        <v>-29.391653529166593</v>
      </c>
      <c r="J150" s="117"/>
    </row>
    <row r="151" spans="1:10" ht="16" x14ac:dyDescent="0.2">
      <c r="A151" s="118" t="s">
        <v>9</v>
      </c>
      <c r="B151" s="121" t="s">
        <v>172</v>
      </c>
      <c r="C151" s="120"/>
      <c r="D151" s="403" t="s">
        <v>151</v>
      </c>
      <c r="E151" s="120"/>
      <c r="F151" s="120" t="s">
        <v>325</v>
      </c>
      <c r="G151" s="120">
        <v>0</v>
      </c>
      <c r="H151" s="120">
        <f>_xlfn.XLOOKUP($A151,'1.3.SSDR_soil'!$B$7:$B$29,'1.3.SSDR_soil'!$J$7:$J$29)</f>
        <v>0.39501275773675909</v>
      </c>
      <c r="I151" s="116">
        <f>_xlfn.XLOOKUP($A151,'1.3.SSDR_soil'!$B$7:$B$29,'1.3.SSDR_soil'!$I$7:$I$29)</f>
        <v>-29.391653529166593</v>
      </c>
      <c r="J151" s="121"/>
    </row>
    <row r="152" spans="1:10" ht="16" x14ac:dyDescent="0.2">
      <c r="A152" s="118" t="s">
        <v>195</v>
      </c>
      <c r="B152" s="402" t="s">
        <v>172</v>
      </c>
      <c r="C152" s="400"/>
      <c r="D152" s="401" t="s">
        <v>176</v>
      </c>
      <c r="E152" s="400"/>
      <c r="F152" s="400" t="s">
        <v>325</v>
      </c>
      <c r="G152" s="400">
        <v>0</v>
      </c>
      <c r="H152" s="400">
        <f>_xlfn.XLOOKUP($A152,'1.1.SSDR_water'!$B$7:$B$29,'1.1.SSDR_water'!$J$7:$J$29)</f>
        <v>0.43309544095908975</v>
      </c>
      <c r="I152" s="400">
        <f>_xlfn.XLOOKUP($A152,'1.1.SSDR_water'!$B$7:$B$29,'1.1.SSDR_water'!$I$7:$I$29)</f>
        <v>-28.175206868551847</v>
      </c>
      <c r="J152" s="402"/>
    </row>
    <row r="153" spans="1:10" ht="16" x14ac:dyDescent="0.2">
      <c r="A153" s="118" t="s">
        <v>195</v>
      </c>
      <c r="B153" s="117" t="s">
        <v>172</v>
      </c>
      <c r="C153" s="116"/>
      <c r="D153" s="131" t="s">
        <v>148</v>
      </c>
      <c r="E153" s="116"/>
      <c r="F153" s="116" t="s">
        <v>325</v>
      </c>
      <c r="G153" s="116">
        <v>0</v>
      </c>
      <c r="H153" s="116">
        <f>_xlfn.XLOOKUP($A153,'1.1.SSDR_water'!$B$7:$B$29,'1.1.SSDR_water'!$J$7:$J$29)</f>
        <v>0.43309544095908975</v>
      </c>
      <c r="I153" s="116">
        <f>_xlfn.XLOOKUP($A153,'1.1.SSDR_water'!$B$7:$B$29,'1.1.SSDR_water'!$I$7:$I$29)</f>
        <v>-28.175206868551847</v>
      </c>
      <c r="J153" s="117"/>
    </row>
    <row r="154" spans="1:10" ht="16" x14ac:dyDescent="0.2">
      <c r="A154" s="118" t="s">
        <v>195</v>
      </c>
      <c r="B154" s="117" t="s">
        <v>172</v>
      </c>
      <c r="C154" s="116"/>
      <c r="D154" s="131" t="s">
        <v>158</v>
      </c>
      <c r="E154" s="116"/>
      <c r="F154" s="116" t="s">
        <v>325</v>
      </c>
      <c r="G154" s="116">
        <v>0</v>
      </c>
      <c r="H154" s="116">
        <f>_xlfn.XLOOKUP($A154,'1.1.SSDR_water'!$B$7:$B$29,'1.1.SSDR_water'!$J$7:$J$29)</f>
        <v>0.43309544095908975</v>
      </c>
      <c r="I154" s="116">
        <f>_xlfn.XLOOKUP($A154,'1.1.SSDR_water'!$B$7:$B$29,'1.1.SSDR_water'!$I$7:$I$29)</f>
        <v>-28.175206868551847</v>
      </c>
      <c r="J154" s="117"/>
    </row>
    <row r="155" spans="1:10" ht="16" x14ac:dyDescent="0.2">
      <c r="A155" s="118" t="s">
        <v>195</v>
      </c>
      <c r="B155" s="117" t="s">
        <v>172</v>
      </c>
      <c r="C155" s="116"/>
      <c r="D155" s="131" t="s">
        <v>149</v>
      </c>
      <c r="E155" s="116"/>
      <c r="F155" s="116" t="s">
        <v>325</v>
      </c>
      <c r="G155" s="116">
        <v>0</v>
      </c>
      <c r="H155" s="116">
        <f>_xlfn.XLOOKUP($A155,'1.1.SSDR_water'!$B$7:$B$29,'1.1.SSDR_water'!$J$7:$J$29)</f>
        <v>0.43309544095908975</v>
      </c>
      <c r="I155" s="116">
        <f>_xlfn.XLOOKUP($A155,'1.1.SSDR_water'!$B$7:$B$29,'1.1.SSDR_water'!$I$7:$I$29)</f>
        <v>-28.175206868551847</v>
      </c>
      <c r="J155" s="117"/>
    </row>
    <row r="156" spans="1:10" ht="16" x14ac:dyDescent="0.2">
      <c r="A156" s="118" t="s">
        <v>195</v>
      </c>
      <c r="B156" s="117" t="s">
        <v>172</v>
      </c>
      <c r="C156" s="116"/>
      <c r="D156" s="131" t="s">
        <v>173</v>
      </c>
      <c r="E156" s="116"/>
      <c r="F156" s="116" t="s">
        <v>325</v>
      </c>
      <c r="G156" s="116">
        <v>0</v>
      </c>
      <c r="H156" s="116">
        <f>_xlfn.XLOOKUP($A156,'1.2.SSDR_sediment'!$B$7:$B$29,'1.2.SSDR_sediment'!$J$7:$J$29)</f>
        <v>0.43309544095908975</v>
      </c>
      <c r="I156" s="116">
        <f>_xlfn.XLOOKUP($A156,'1.2.SSDR_sediment'!$B$7:$B$29,'1.2.SSDR_sediment'!$I$7:$I$29)</f>
        <v>-28.175206868551847</v>
      </c>
      <c r="J156" s="117"/>
    </row>
    <row r="157" spans="1:10" ht="16" x14ac:dyDescent="0.2">
      <c r="A157" s="118" t="s">
        <v>195</v>
      </c>
      <c r="B157" s="117" t="s">
        <v>172</v>
      </c>
      <c r="C157" s="116"/>
      <c r="D157" s="131" t="s">
        <v>174</v>
      </c>
      <c r="E157" s="116"/>
      <c r="F157" s="116" t="s">
        <v>325</v>
      </c>
      <c r="G157" s="116">
        <v>0</v>
      </c>
      <c r="H157" s="116">
        <f>_xlfn.XLOOKUP($A157,'1.2.SSDR_sediment'!$B$7:$B$29,'1.2.SSDR_sediment'!$J$7:$J$29)</f>
        <v>0.43309544095908975</v>
      </c>
      <c r="I157" s="116">
        <f>_xlfn.XLOOKUP($A157,'1.2.SSDR_sediment'!$B$7:$B$29,'1.2.SSDR_sediment'!$I$7:$I$29)</f>
        <v>-28.175206868551847</v>
      </c>
      <c r="J157" s="117"/>
    </row>
    <row r="158" spans="1:10" ht="16" x14ac:dyDescent="0.2">
      <c r="A158" s="118" t="s">
        <v>195</v>
      </c>
      <c r="B158" s="117" t="s">
        <v>172</v>
      </c>
      <c r="C158" s="116"/>
      <c r="D158" s="131" t="s">
        <v>175</v>
      </c>
      <c r="E158" s="116"/>
      <c r="F158" s="116" t="s">
        <v>325</v>
      </c>
      <c r="G158" s="116">
        <v>0</v>
      </c>
      <c r="H158" s="116">
        <f>_xlfn.XLOOKUP($A158,'1.2.SSDR_sediment'!$B$7:$B$29,'1.2.SSDR_sediment'!$J$7:$J$29)</f>
        <v>0.43309544095908975</v>
      </c>
      <c r="I158" s="116">
        <f>_xlfn.XLOOKUP($A158,'1.2.SSDR_sediment'!$B$7:$B$29,'1.2.SSDR_sediment'!$I$7:$I$29)</f>
        <v>-28.175206868551847</v>
      </c>
      <c r="J158" s="117"/>
    </row>
    <row r="159" spans="1:10" ht="16" x14ac:dyDescent="0.2">
      <c r="A159" s="118" t="s">
        <v>195</v>
      </c>
      <c r="B159" s="117" t="s">
        <v>172</v>
      </c>
      <c r="C159" s="116"/>
      <c r="D159" s="131" t="s">
        <v>150</v>
      </c>
      <c r="E159" s="116"/>
      <c r="F159" s="116" t="s">
        <v>325</v>
      </c>
      <c r="G159" s="116">
        <v>0</v>
      </c>
      <c r="H159" s="116">
        <f>_xlfn.XLOOKUP($A159,'1.3.SSDR_soil'!$B$7:$B$29,'1.3.SSDR_soil'!$J$7:$J$29)</f>
        <v>0.29020538965003162</v>
      </c>
      <c r="I159" s="116">
        <f>_xlfn.XLOOKUP($A159,'1.3.SSDR_soil'!$B$7:$B$29,'1.3.SSDR_soil'!$I$7:$I$29)</f>
        <v>-29.705088442285167</v>
      </c>
      <c r="J159" s="117"/>
    </row>
    <row r="160" spans="1:10" ht="16" x14ac:dyDescent="0.2">
      <c r="A160" s="118" t="s">
        <v>195</v>
      </c>
      <c r="B160" s="117" t="s">
        <v>172</v>
      </c>
      <c r="C160" s="116"/>
      <c r="D160" s="131" t="s">
        <v>162</v>
      </c>
      <c r="E160" s="116"/>
      <c r="F160" s="116" t="s">
        <v>325</v>
      </c>
      <c r="G160" s="116">
        <v>0</v>
      </c>
      <c r="H160" s="116">
        <f>_xlfn.XLOOKUP($A160,'1.3.SSDR_soil'!$B$7:$B$29,'1.3.SSDR_soil'!$J$7:$J$29)</f>
        <v>0.29020538965003162</v>
      </c>
      <c r="I160" s="116">
        <f>_xlfn.XLOOKUP($A160,'1.3.SSDR_soil'!$B$7:$B$29,'1.3.SSDR_soil'!$I$7:$I$29)</f>
        <v>-29.705088442285167</v>
      </c>
      <c r="J160" s="117"/>
    </row>
    <row r="161" spans="1:10" ht="16" x14ac:dyDescent="0.2">
      <c r="A161" s="118" t="s">
        <v>195</v>
      </c>
      <c r="B161" s="121" t="s">
        <v>172</v>
      </c>
      <c r="C161" s="120"/>
      <c r="D161" s="403" t="s">
        <v>151</v>
      </c>
      <c r="E161" s="120"/>
      <c r="F161" s="120" t="s">
        <v>325</v>
      </c>
      <c r="G161" s="120">
        <v>0</v>
      </c>
      <c r="H161" s="120">
        <f>_xlfn.XLOOKUP($A161,'1.3.SSDR_soil'!$B$7:$B$29,'1.3.SSDR_soil'!$J$7:$J$29)</f>
        <v>0.29020538965003162</v>
      </c>
      <c r="I161" s="116">
        <f>_xlfn.XLOOKUP($A161,'1.3.SSDR_soil'!$B$7:$B$29,'1.3.SSDR_soil'!$I$7:$I$29)</f>
        <v>-29.705088442285167</v>
      </c>
      <c r="J161" s="121"/>
    </row>
    <row r="162" spans="1:10" ht="16" x14ac:dyDescent="0.2">
      <c r="A162" s="118" t="s">
        <v>196</v>
      </c>
      <c r="B162" s="402" t="s">
        <v>172</v>
      </c>
      <c r="C162" s="400"/>
      <c r="D162" s="401" t="s">
        <v>176</v>
      </c>
      <c r="E162" s="400"/>
      <c r="F162" s="400" t="s">
        <v>325</v>
      </c>
      <c r="G162" s="400">
        <v>0</v>
      </c>
      <c r="H162" s="400">
        <f>_xlfn.XLOOKUP($A162,'1.1.SSDR_water'!$B$7:$B$29,'1.1.SSDR_water'!$J$7:$J$29)</f>
        <v>0.1583510654359134</v>
      </c>
      <c r="I162" s="400">
        <f>_xlfn.XLOOKUP($A162,'1.1.SSDR_water'!$B$7:$B$29,'1.1.SSDR_water'!$I$7:$I$29)</f>
        <v>-27.595084640082938</v>
      </c>
      <c r="J162" s="402"/>
    </row>
    <row r="163" spans="1:10" ht="16" x14ac:dyDescent="0.2">
      <c r="A163" s="118" t="s">
        <v>196</v>
      </c>
      <c r="B163" s="117" t="s">
        <v>172</v>
      </c>
      <c r="C163" s="116"/>
      <c r="D163" s="131" t="s">
        <v>148</v>
      </c>
      <c r="E163" s="116"/>
      <c r="F163" s="116" t="s">
        <v>325</v>
      </c>
      <c r="G163" s="116">
        <v>0</v>
      </c>
      <c r="H163" s="116">
        <f>_xlfn.XLOOKUP($A163,'1.1.SSDR_water'!$B$7:$B$29,'1.1.SSDR_water'!$J$7:$J$29)</f>
        <v>0.1583510654359134</v>
      </c>
      <c r="I163" s="116">
        <f>_xlfn.XLOOKUP($A163,'1.1.SSDR_water'!$B$7:$B$29,'1.1.SSDR_water'!$I$7:$I$29)</f>
        <v>-27.595084640082938</v>
      </c>
      <c r="J163" s="117"/>
    </row>
    <row r="164" spans="1:10" ht="16" x14ac:dyDescent="0.2">
      <c r="A164" s="118" t="s">
        <v>196</v>
      </c>
      <c r="B164" s="117" t="s">
        <v>172</v>
      </c>
      <c r="C164" s="116"/>
      <c r="D164" s="131" t="s">
        <v>158</v>
      </c>
      <c r="E164" s="116"/>
      <c r="F164" s="116" t="s">
        <v>325</v>
      </c>
      <c r="G164" s="116">
        <v>0</v>
      </c>
      <c r="H164" s="116">
        <f>_xlfn.XLOOKUP($A164,'1.1.SSDR_water'!$B$7:$B$29,'1.1.SSDR_water'!$J$7:$J$29)</f>
        <v>0.1583510654359134</v>
      </c>
      <c r="I164" s="116">
        <f>_xlfn.XLOOKUP($A164,'1.1.SSDR_water'!$B$7:$B$29,'1.1.SSDR_water'!$I$7:$I$29)</f>
        <v>-27.595084640082938</v>
      </c>
      <c r="J164" s="117"/>
    </row>
    <row r="165" spans="1:10" ht="16" x14ac:dyDescent="0.2">
      <c r="A165" s="118" t="s">
        <v>196</v>
      </c>
      <c r="B165" s="117" t="s">
        <v>172</v>
      </c>
      <c r="C165" s="116"/>
      <c r="D165" s="131" t="s">
        <v>149</v>
      </c>
      <c r="E165" s="116"/>
      <c r="F165" s="116" t="s">
        <v>325</v>
      </c>
      <c r="G165" s="116">
        <v>0</v>
      </c>
      <c r="H165" s="116">
        <f>_xlfn.XLOOKUP($A165,'1.1.SSDR_water'!$B$7:$B$29,'1.1.SSDR_water'!$J$7:$J$29)</f>
        <v>0.1583510654359134</v>
      </c>
      <c r="I165" s="116">
        <f>_xlfn.XLOOKUP($A165,'1.1.SSDR_water'!$B$7:$B$29,'1.1.SSDR_water'!$I$7:$I$29)</f>
        <v>-27.595084640082938</v>
      </c>
      <c r="J165" s="117"/>
    </row>
    <row r="166" spans="1:10" ht="16" x14ac:dyDescent="0.2">
      <c r="A166" s="118" t="s">
        <v>196</v>
      </c>
      <c r="B166" s="117" t="s">
        <v>172</v>
      </c>
      <c r="C166" s="116"/>
      <c r="D166" s="131" t="s">
        <v>173</v>
      </c>
      <c r="E166" s="116"/>
      <c r="F166" s="116" t="s">
        <v>325</v>
      </c>
      <c r="G166" s="116">
        <v>0</v>
      </c>
      <c r="H166" s="116">
        <f>_xlfn.XLOOKUP($A166,'1.2.SSDR_sediment'!$B$7:$B$29,'1.2.SSDR_sediment'!$J$7:$J$29)</f>
        <v>0.1583510654359134</v>
      </c>
      <c r="I166" s="116">
        <f>_xlfn.XLOOKUP($A166,'1.2.SSDR_sediment'!$B$7:$B$29,'1.2.SSDR_sediment'!$I$7:$I$29)</f>
        <v>-27.595084640082938</v>
      </c>
      <c r="J166" s="117"/>
    </row>
    <row r="167" spans="1:10" ht="16" x14ac:dyDescent="0.2">
      <c r="A167" s="118" t="s">
        <v>196</v>
      </c>
      <c r="B167" s="117" t="s">
        <v>172</v>
      </c>
      <c r="C167" s="116"/>
      <c r="D167" s="131" t="s">
        <v>174</v>
      </c>
      <c r="E167" s="116"/>
      <c r="F167" s="116" t="s">
        <v>325</v>
      </c>
      <c r="G167" s="116">
        <v>0</v>
      </c>
      <c r="H167" s="116">
        <f>_xlfn.XLOOKUP($A167,'1.2.SSDR_sediment'!$B$7:$B$29,'1.2.SSDR_sediment'!$J$7:$J$29)</f>
        <v>0.1583510654359134</v>
      </c>
      <c r="I167" s="116">
        <f>_xlfn.XLOOKUP($A167,'1.2.SSDR_sediment'!$B$7:$B$29,'1.2.SSDR_sediment'!$I$7:$I$29)</f>
        <v>-27.595084640082938</v>
      </c>
      <c r="J167" s="117"/>
    </row>
    <row r="168" spans="1:10" ht="16" x14ac:dyDescent="0.2">
      <c r="A168" s="118" t="s">
        <v>196</v>
      </c>
      <c r="B168" s="117" t="s">
        <v>172</v>
      </c>
      <c r="C168" s="116"/>
      <c r="D168" s="131" t="s">
        <v>175</v>
      </c>
      <c r="E168" s="116"/>
      <c r="F168" s="116" t="s">
        <v>325</v>
      </c>
      <c r="G168" s="116">
        <v>0</v>
      </c>
      <c r="H168" s="116">
        <f>_xlfn.XLOOKUP($A168,'1.2.SSDR_sediment'!$B$7:$B$29,'1.2.SSDR_sediment'!$J$7:$J$29)</f>
        <v>0.1583510654359134</v>
      </c>
      <c r="I168" s="116">
        <f>_xlfn.XLOOKUP($A168,'1.2.SSDR_sediment'!$B$7:$B$29,'1.2.SSDR_sediment'!$I$7:$I$29)</f>
        <v>-27.595084640082938</v>
      </c>
      <c r="J168" s="117"/>
    </row>
    <row r="169" spans="1:10" ht="16" x14ac:dyDescent="0.2">
      <c r="A169" s="118" t="s">
        <v>196</v>
      </c>
      <c r="B169" s="117" t="s">
        <v>172</v>
      </c>
      <c r="C169" s="116"/>
      <c r="D169" s="131" t="s">
        <v>150</v>
      </c>
      <c r="E169" s="116"/>
      <c r="F169" s="116" t="s">
        <v>325</v>
      </c>
      <c r="G169" s="116">
        <v>0</v>
      </c>
      <c r="H169" s="116">
        <f>_xlfn.XLOOKUP($A169,'1.3.SSDR_soil'!$B$7:$B$29,'1.3.SSDR_soil'!$J$7:$J$29)</f>
        <v>0.29020538965003162</v>
      </c>
      <c r="I169" s="116">
        <f>_xlfn.XLOOKUP($A169,'1.3.SSDR_soil'!$B$7:$B$29,'1.3.SSDR_soil'!$I$7:$I$29)</f>
        <v>-29.705088442285167</v>
      </c>
      <c r="J169" s="117"/>
    </row>
    <row r="170" spans="1:10" ht="16" x14ac:dyDescent="0.2">
      <c r="A170" s="118" t="s">
        <v>196</v>
      </c>
      <c r="B170" s="117" t="s">
        <v>172</v>
      </c>
      <c r="C170" s="116"/>
      <c r="D170" s="131" t="s">
        <v>162</v>
      </c>
      <c r="E170" s="116"/>
      <c r="F170" s="116" t="s">
        <v>325</v>
      </c>
      <c r="G170" s="116">
        <v>0</v>
      </c>
      <c r="H170" s="116">
        <f>_xlfn.XLOOKUP($A170,'1.3.SSDR_soil'!$B$7:$B$29,'1.3.SSDR_soil'!$J$7:$J$29)</f>
        <v>0.29020538965003162</v>
      </c>
      <c r="I170" s="116">
        <f>_xlfn.XLOOKUP($A170,'1.3.SSDR_soil'!$B$7:$B$29,'1.3.SSDR_soil'!$I$7:$I$29)</f>
        <v>-29.705088442285167</v>
      </c>
      <c r="J170" s="117"/>
    </row>
    <row r="171" spans="1:10" ht="16" x14ac:dyDescent="0.2">
      <c r="A171" s="118" t="s">
        <v>196</v>
      </c>
      <c r="B171" s="121" t="s">
        <v>172</v>
      </c>
      <c r="C171" s="120"/>
      <c r="D171" s="403" t="s">
        <v>151</v>
      </c>
      <c r="E171" s="120"/>
      <c r="F171" s="120" t="s">
        <v>325</v>
      </c>
      <c r="G171" s="120">
        <v>0</v>
      </c>
      <c r="H171" s="120">
        <f>_xlfn.XLOOKUP($A171,'1.3.SSDR_soil'!$B$7:$B$29,'1.3.SSDR_soil'!$J$7:$J$29)</f>
        <v>0.29020538965003162</v>
      </c>
      <c r="I171" s="116">
        <f>_xlfn.XLOOKUP($A171,'1.3.SSDR_soil'!$B$7:$B$29,'1.3.SSDR_soil'!$I$7:$I$29)</f>
        <v>-29.705088442285167</v>
      </c>
      <c r="J171" s="121"/>
    </row>
    <row r="172" spans="1:10" ht="16" x14ac:dyDescent="0.2">
      <c r="A172" s="118" t="s">
        <v>197</v>
      </c>
      <c r="B172" s="402" t="s">
        <v>172</v>
      </c>
      <c r="C172" s="400"/>
      <c r="D172" s="401" t="s">
        <v>176</v>
      </c>
      <c r="E172" s="400"/>
      <c r="F172" s="400" t="s">
        <v>325</v>
      </c>
      <c r="G172" s="400">
        <v>0</v>
      </c>
      <c r="H172" s="400">
        <f>_xlfn.XLOOKUP($A172,'1.1.SSDR_water'!$B$7:$B$29,'1.1.SSDR_water'!$J$7:$J$29)</f>
        <v>4.4094154096165475E-2</v>
      </c>
      <c r="I172" s="400">
        <f>_xlfn.XLOOKUP($A172,'1.1.SSDR_water'!$B$7:$B$29,'1.1.SSDR_water'!$I$7:$I$29)</f>
        <v>-27.881058999561642</v>
      </c>
      <c r="J172" s="402"/>
    </row>
    <row r="173" spans="1:10" ht="16" x14ac:dyDescent="0.2">
      <c r="A173" s="118" t="s">
        <v>197</v>
      </c>
      <c r="B173" s="117" t="s">
        <v>172</v>
      </c>
      <c r="C173" s="116"/>
      <c r="D173" s="131" t="s">
        <v>148</v>
      </c>
      <c r="E173" s="116"/>
      <c r="F173" s="116" t="s">
        <v>325</v>
      </c>
      <c r="G173" s="116">
        <v>0</v>
      </c>
      <c r="H173" s="116">
        <f>_xlfn.XLOOKUP($A173,'1.1.SSDR_water'!$B$7:$B$29,'1.1.SSDR_water'!$J$7:$J$29)</f>
        <v>4.4094154096165475E-2</v>
      </c>
      <c r="I173" s="116">
        <f>_xlfn.XLOOKUP($A173,'1.1.SSDR_water'!$B$7:$B$29,'1.1.SSDR_water'!$I$7:$I$29)</f>
        <v>-27.881058999561642</v>
      </c>
      <c r="J173" s="117"/>
    </row>
    <row r="174" spans="1:10" ht="16" x14ac:dyDescent="0.2">
      <c r="A174" s="118" t="s">
        <v>197</v>
      </c>
      <c r="B174" s="117" t="s">
        <v>172</v>
      </c>
      <c r="C174" s="116"/>
      <c r="D174" s="131" t="s">
        <v>158</v>
      </c>
      <c r="E174" s="116"/>
      <c r="F174" s="116" t="s">
        <v>325</v>
      </c>
      <c r="G174" s="116">
        <v>0</v>
      </c>
      <c r="H174" s="116">
        <f>_xlfn.XLOOKUP($A174,'1.1.SSDR_water'!$B$7:$B$29,'1.1.SSDR_water'!$J$7:$J$29)</f>
        <v>4.4094154096165475E-2</v>
      </c>
      <c r="I174" s="116">
        <f>_xlfn.XLOOKUP($A174,'1.1.SSDR_water'!$B$7:$B$29,'1.1.SSDR_water'!$I$7:$I$29)</f>
        <v>-27.881058999561642</v>
      </c>
      <c r="J174" s="117"/>
    </row>
    <row r="175" spans="1:10" ht="16" x14ac:dyDescent="0.2">
      <c r="A175" s="118" t="s">
        <v>197</v>
      </c>
      <c r="B175" s="117" t="s">
        <v>172</v>
      </c>
      <c r="C175" s="116"/>
      <c r="D175" s="131" t="s">
        <v>149</v>
      </c>
      <c r="E175" s="116"/>
      <c r="F175" s="116" t="s">
        <v>325</v>
      </c>
      <c r="G175" s="116">
        <v>0</v>
      </c>
      <c r="H175" s="116">
        <f>_xlfn.XLOOKUP($A175,'1.1.SSDR_water'!$B$7:$B$29,'1.1.SSDR_water'!$J$7:$J$29)</f>
        <v>4.4094154096165475E-2</v>
      </c>
      <c r="I175" s="116">
        <f>_xlfn.XLOOKUP($A175,'1.1.SSDR_water'!$B$7:$B$29,'1.1.SSDR_water'!$I$7:$I$29)</f>
        <v>-27.881058999561642</v>
      </c>
      <c r="J175" s="117"/>
    </row>
    <row r="176" spans="1:10" ht="16" x14ac:dyDescent="0.2">
      <c r="A176" s="118" t="s">
        <v>197</v>
      </c>
      <c r="B176" s="117" t="s">
        <v>172</v>
      </c>
      <c r="C176" s="116"/>
      <c r="D176" s="131" t="s">
        <v>173</v>
      </c>
      <c r="E176" s="116"/>
      <c r="F176" s="116" t="s">
        <v>325</v>
      </c>
      <c r="G176" s="116">
        <v>0</v>
      </c>
      <c r="H176" s="116">
        <f>_xlfn.XLOOKUP($A176,'1.2.SSDR_sediment'!$B$7:$B$29,'1.2.SSDR_sediment'!$J$7:$J$29)</f>
        <v>4.4094154096165475E-2</v>
      </c>
      <c r="I176" s="116">
        <f>_xlfn.XLOOKUP($A176,'1.2.SSDR_sediment'!$B$7:$B$29,'1.2.SSDR_sediment'!$I$7:$I$29)</f>
        <v>-27.881058999561642</v>
      </c>
      <c r="J176" s="117"/>
    </row>
    <row r="177" spans="1:10" ht="16" x14ac:dyDescent="0.2">
      <c r="A177" s="118" t="s">
        <v>197</v>
      </c>
      <c r="B177" s="117" t="s">
        <v>172</v>
      </c>
      <c r="C177" s="116"/>
      <c r="D177" s="131" t="s">
        <v>174</v>
      </c>
      <c r="E177" s="116"/>
      <c r="F177" s="116" t="s">
        <v>325</v>
      </c>
      <c r="G177" s="116">
        <v>0</v>
      </c>
      <c r="H177" s="116">
        <f>_xlfn.XLOOKUP($A177,'1.2.SSDR_sediment'!$B$7:$B$29,'1.2.SSDR_sediment'!$J$7:$J$29)</f>
        <v>4.4094154096165475E-2</v>
      </c>
      <c r="I177" s="116">
        <f>_xlfn.XLOOKUP($A177,'1.2.SSDR_sediment'!$B$7:$B$29,'1.2.SSDR_sediment'!$I$7:$I$29)</f>
        <v>-27.881058999561642</v>
      </c>
      <c r="J177" s="117"/>
    </row>
    <row r="178" spans="1:10" ht="16" x14ac:dyDescent="0.2">
      <c r="A178" s="118" t="s">
        <v>197</v>
      </c>
      <c r="B178" s="117" t="s">
        <v>172</v>
      </c>
      <c r="C178" s="116"/>
      <c r="D178" s="131" t="s">
        <v>175</v>
      </c>
      <c r="E178" s="116"/>
      <c r="F178" s="116" t="s">
        <v>325</v>
      </c>
      <c r="G178" s="116">
        <v>0</v>
      </c>
      <c r="H178" s="116">
        <f>_xlfn.XLOOKUP($A178,'1.2.SSDR_sediment'!$B$7:$B$29,'1.2.SSDR_sediment'!$J$7:$J$29)</f>
        <v>4.4094154096165475E-2</v>
      </c>
      <c r="I178" s="116">
        <f>_xlfn.XLOOKUP($A178,'1.2.SSDR_sediment'!$B$7:$B$29,'1.2.SSDR_sediment'!$I$7:$I$29)</f>
        <v>-27.881058999561642</v>
      </c>
      <c r="J178" s="117"/>
    </row>
    <row r="179" spans="1:10" ht="16" x14ac:dyDescent="0.2">
      <c r="A179" s="118" t="s">
        <v>197</v>
      </c>
      <c r="B179" s="117" t="s">
        <v>172</v>
      </c>
      <c r="C179" s="116"/>
      <c r="D179" s="131" t="s">
        <v>150</v>
      </c>
      <c r="E179" s="116"/>
      <c r="F179" s="116" t="s">
        <v>325</v>
      </c>
      <c r="G179" s="116">
        <v>0</v>
      </c>
      <c r="H179" s="116">
        <f>_xlfn.XLOOKUP($A179,'1.3.SSDR_soil'!$B$7:$B$29,'1.3.SSDR_soil'!$J$7:$J$29)</f>
        <v>0.29020538965003162</v>
      </c>
      <c r="I179" s="116">
        <f>_xlfn.XLOOKUP($A179,'1.3.SSDR_soil'!$B$7:$B$29,'1.3.SSDR_soil'!$I$7:$I$29)</f>
        <v>-29.705088442285167</v>
      </c>
      <c r="J179" s="117"/>
    </row>
    <row r="180" spans="1:10" ht="16" x14ac:dyDescent="0.2">
      <c r="A180" s="118" t="s">
        <v>197</v>
      </c>
      <c r="B180" s="117" t="s">
        <v>172</v>
      </c>
      <c r="C180" s="116"/>
      <c r="D180" s="131" t="s">
        <v>162</v>
      </c>
      <c r="E180" s="116"/>
      <c r="F180" s="116" t="s">
        <v>325</v>
      </c>
      <c r="G180" s="116">
        <v>0</v>
      </c>
      <c r="H180" s="116">
        <f>_xlfn.XLOOKUP($A180,'1.3.SSDR_soil'!$B$7:$B$29,'1.3.SSDR_soil'!$J$7:$J$29)</f>
        <v>0.29020538965003162</v>
      </c>
      <c r="I180" s="116">
        <f>_xlfn.XLOOKUP($A180,'1.3.SSDR_soil'!$B$7:$B$29,'1.3.SSDR_soil'!$I$7:$I$29)</f>
        <v>-29.705088442285167</v>
      </c>
      <c r="J180" s="117"/>
    </row>
    <row r="181" spans="1:10" ht="16" x14ac:dyDescent="0.2">
      <c r="A181" s="118" t="s">
        <v>197</v>
      </c>
      <c r="B181" s="121" t="s">
        <v>172</v>
      </c>
      <c r="C181" s="120"/>
      <c r="D181" s="403" t="s">
        <v>151</v>
      </c>
      <c r="E181" s="120"/>
      <c r="F181" s="120" t="s">
        <v>325</v>
      </c>
      <c r="G181" s="120">
        <v>0</v>
      </c>
      <c r="H181" s="120">
        <f>_xlfn.XLOOKUP($A181,'1.3.SSDR_soil'!$B$7:$B$29,'1.3.SSDR_soil'!$J$7:$J$29)</f>
        <v>0.29020538965003162</v>
      </c>
      <c r="I181" s="116">
        <f>_xlfn.XLOOKUP($A181,'1.3.SSDR_soil'!$B$7:$B$29,'1.3.SSDR_soil'!$I$7:$I$29)</f>
        <v>-29.705088442285167</v>
      </c>
      <c r="J181" s="121"/>
    </row>
    <row r="182" spans="1:10" ht="16" x14ac:dyDescent="0.2">
      <c r="A182" s="118" t="s">
        <v>198</v>
      </c>
      <c r="B182" s="402" t="s">
        <v>172</v>
      </c>
      <c r="C182" s="400"/>
      <c r="D182" s="401" t="s">
        <v>176</v>
      </c>
      <c r="E182" s="400"/>
      <c r="F182" s="400" t="s">
        <v>325</v>
      </c>
      <c r="G182" s="400">
        <v>0</v>
      </c>
      <c r="H182" s="400">
        <f>_xlfn.XLOOKUP($A182,'1.1.SSDR_water'!$B$7:$B$29,'1.1.SSDR_water'!$J$7:$J$29)</f>
        <v>4.4094154096165475E-2</v>
      </c>
      <c r="I182" s="400">
        <f>_xlfn.XLOOKUP($A182,'1.1.SSDR_water'!$B$7:$B$29,'1.1.SSDR_water'!$I$7:$I$29)</f>
        <v>-27.881058999561642</v>
      </c>
      <c r="J182" s="402"/>
    </row>
    <row r="183" spans="1:10" ht="16" x14ac:dyDescent="0.2">
      <c r="A183" s="118" t="s">
        <v>198</v>
      </c>
      <c r="B183" s="117" t="s">
        <v>172</v>
      </c>
      <c r="C183" s="116"/>
      <c r="D183" s="131" t="s">
        <v>148</v>
      </c>
      <c r="E183" s="116"/>
      <c r="F183" s="116" t="s">
        <v>325</v>
      </c>
      <c r="G183" s="116">
        <v>0</v>
      </c>
      <c r="H183" s="116">
        <f>_xlfn.XLOOKUP($A183,'1.1.SSDR_water'!$B$7:$B$29,'1.1.SSDR_water'!$J$7:$J$29)</f>
        <v>4.4094154096165475E-2</v>
      </c>
      <c r="I183" s="116">
        <f>_xlfn.XLOOKUP($A183,'1.1.SSDR_water'!$B$7:$B$29,'1.1.SSDR_water'!$I$7:$I$29)</f>
        <v>-27.881058999561642</v>
      </c>
      <c r="J183" s="117"/>
    </row>
    <row r="184" spans="1:10" ht="16" x14ac:dyDescent="0.2">
      <c r="A184" s="118" t="s">
        <v>198</v>
      </c>
      <c r="B184" s="117" t="s">
        <v>172</v>
      </c>
      <c r="C184" s="116"/>
      <c r="D184" s="131" t="s">
        <v>158</v>
      </c>
      <c r="E184" s="116"/>
      <c r="F184" s="116" t="s">
        <v>325</v>
      </c>
      <c r="G184" s="116">
        <v>0</v>
      </c>
      <c r="H184" s="116">
        <f>_xlfn.XLOOKUP($A184,'1.1.SSDR_water'!$B$7:$B$29,'1.1.SSDR_water'!$J$7:$J$29)</f>
        <v>4.4094154096165475E-2</v>
      </c>
      <c r="I184" s="116">
        <f>_xlfn.XLOOKUP($A184,'1.1.SSDR_water'!$B$7:$B$29,'1.1.SSDR_water'!$I$7:$I$29)</f>
        <v>-27.881058999561642</v>
      </c>
      <c r="J184" s="117"/>
    </row>
    <row r="185" spans="1:10" ht="16" x14ac:dyDescent="0.2">
      <c r="A185" s="118" t="s">
        <v>198</v>
      </c>
      <c r="B185" s="117" t="s">
        <v>172</v>
      </c>
      <c r="C185" s="116"/>
      <c r="D185" s="131" t="s">
        <v>149</v>
      </c>
      <c r="E185" s="116"/>
      <c r="F185" s="116" t="s">
        <v>325</v>
      </c>
      <c r="G185" s="116">
        <v>0</v>
      </c>
      <c r="H185" s="116">
        <f>_xlfn.XLOOKUP($A185,'1.1.SSDR_water'!$B$7:$B$29,'1.1.SSDR_water'!$J$7:$J$29)</f>
        <v>4.4094154096165475E-2</v>
      </c>
      <c r="I185" s="116">
        <f>_xlfn.XLOOKUP($A185,'1.1.SSDR_water'!$B$7:$B$29,'1.1.SSDR_water'!$I$7:$I$29)</f>
        <v>-27.881058999561642</v>
      </c>
      <c r="J185" s="117"/>
    </row>
    <row r="186" spans="1:10" ht="16" x14ac:dyDescent="0.2">
      <c r="A186" s="118" t="s">
        <v>198</v>
      </c>
      <c r="B186" s="117" t="s">
        <v>172</v>
      </c>
      <c r="C186" s="116"/>
      <c r="D186" s="131" t="s">
        <v>173</v>
      </c>
      <c r="E186" s="116"/>
      <c r="F186" s="116" t="s">
        <v>325</v>
      </c>
      <c r="G186" s="116">
        <v>0</v>
      </c>
      <c r="H186" s="116">
        <f>_xlfn.XLOOKUP($A186,'1.2.SSDR_sediment'!$B$7:$B$29,'1.2.SSDR_sediment'!$J$7:$J$29)</f>
        <v>4.4094154096165475E-2</v>
      </c>
      <c r="I186" s="116">
        <f>_xlfn.XLOOKUP($A186,'1.2.SSDR_sediment'!$B$7:$B$29,'1.2.SSDR_sediment'!$I$7:$I$29)</f>
        <v>-27.881058999561642</v>
      </c>
      <c r="J186" s="117"/>
    </row>
    <row r="187" spans="1:10" ht="16" x14ac:dyDescent="0.2">
      <c r="A187" s="118" t="s">
        <v>198</v>
      </c>
      <c r="B187" s="117" t="s">
        <v>172</v>
      </c>
      <c r="C187" s="116"/>
      <c r="D187" s="131" t="s">
        <v>174</v>
      </c>
      <c r="E187" s="116"/>
      <c r="F187" s="116" t="s">
        <v>325</v>
      </c>
      <c r="G187" s="116">
        <v>0</v>
      </c>
      <c r="H187" s="116">
        <f>_xlfn.XLOOKUP($A187,'1.2.SSDR_sediment'!$B$7:$B$29,'1.2.SSDR_sediment'!$J$7:$J$29)</f>
        <v>4.4094154096165475E-2</v>
      </c>
      <c r="I187" s="116">
        <f>_xlfn.XLOOKUP($A187,'1.2.SSDR_sediment'!$B$7:$B$29,'1.2.SSDR_sediment'!$I$7:$I$29)</f>
        <v>-27.881058999561642</v>
      </c>
      <c r="J187" s="117"/>
    </row>
    <row r="188" spans="1:10" ht="16" x14ac:dyDescent="0.2">
      <c r="A188" s="118" t="s">
        <v>198</v>
      </c>
      <c r="B188" s="117" t="s">
        <v>172</v>
      </c>
      <c r="C188" s="116"/>
      <c r="D188" s="131" t="s">
        <v>175</v>
      </c>
      <c r="E188" s="116"/>
      <c r="F188" s="116" t="s">
        <v>325</v>
      </c>
      <c r="G188" s="116">
        <v>0</v>
      </c>
      <c r="H188" s="116">
        <f>_xlfn.XLOOKUP($A188,'1.2.SSDR_sediment'!$B$7:$B$29,'1.2.SSDR_sediment'!$J$7:$J$29)</f>
        <v>4.4094154096165475E-2</v>
      </c>
      <c r="I188" s="116">
        <f>_xlfn.XLOOKUP($A188,'1.2.SSDR_sediment'!$B$7:$B$29,'1.2.SSDR_sediment'!$I$7:$I$29)</f>
        <v>-27.881058999561642</v>
      </c>
      <c r="J188" s="117"/>
    </row>
    <row r="189" spans="1:10" ht="16" x14ac:dyDescent="0.2">
      <c r="A189" s="118" t="s">
        <v>198</v>
      </c>
      <c r="B189" s="117" t="s">
        <v>172</v>
      </c>
      <c r="C189" s="116"/>
      <c r="D189" s="131" t="s">
        <v>150</v>
      </c>
      <c r="E189" s="116"/>
      <c r="F189" s="116" t="s">
        <v>325</v>
      </c>
      <c r="G189" s="116">
        <v>0</v>
      </c>
      <c r="H189" s="116">
        <f>_xlfn.XLOOKUP($A189,'1.3.SSDR_soil'!$B$7:$B$29,'1.3.SSDR_soil'!$J$7:$J$29)</f>
        <v>0.29020538965003162</v>
      </c>
      <c r="I189" s="116">
        <f>_xlfn.XLOOKUP($A189,'1.3.SSDR_soil'!$B$7:$B$29,'1.3.SSDR_soil'!$I$7:$I$29)</f>
        <v>-29.705088442285167</v>
      </c>
      <c r="J189" s="117"/>
    </row>
    <row r="190" spans="1:10" ht="16" x14ac:dyDescent="0.2">
      <c r="A190" s="118" t="s">
        <v>198</v>
      </c>
      <c r="B190" s="117" t="s">
        <v>172</v>
      </c>
      <c r="C190" s="116"/>
      <c r="D190" s="131" t="s">
        <v>162</v>
      </c>
      <c r="E190" s="116"/>
      <c r="F190" s="116" t="s">
        <v>325</v>
      </c>
      <c r="G190" s="116">
        <v>0</v>
      </c>
      <c r="H190" s="116">
        <f>_xlfn.XLOOKUP($A190,'1.3.SSDR_soil'!$B$7:$B$29,'1.3.SSDR_soil'!$J$7:$J$29)</f>
        <v>0.29020538965003162</v>
      </c>
      <c r="I190" s="116">
        <f>_xlfn.XLOOKUP($A190,'1.3.SSDR_soil'!$B$7:$B$29,'1.3.SSDR_soil'!$I$7:$I$29)</f>
        <v>-29.705088442285167</v>
      </c>
      <c r="J190" s="117"/>
    </row>
    <row r="191" spans="1:10" ht="16" x14ac:dyDescent="0.2">
      <c r="A191" s="118" t="s">
        <v>198</v>
      </c>
      <c r="B191" s="121" t="s">
        <v>172</v>
      </c>
      <c r="C191" s="120"/>
      <c r="D191" s="403" t="s">
        <v>151</v>
      </c>
      <c r="E191" s="120"/>
      <c r="F191" s="120" t="s">
        <v>325</v>
      </c>
      <c r="G191" s="120">
        <v>0</v>
      </c>
      <c r="H191" s="120">
        <f>_xlfn.XLOOKUP($A191,'1.3.SSDR_soil'!$B$7:$B$29,'1.3.SSDR_soil'!$J$7:$J$29)</f>
        <v>0.29020538965003162</v>
      </c>
      <c r="I191" s="116">
        <f>_xlfn.XLOOKUP($A191,'1.3.SSDR_soil'!$B$7:$B$29,'1.3.SSDR_soil'!$I$7:$I$29)</f>
        <v>-29.705088442285167</v>
      </c>
      <c r="J191" s="121"/>
    </row>
    <row r="192" spans="1:10" ht="16" x14ac:dyDescent="0.2">
      <c r="A192" s="118" t="s">
        <v>199</v>
      </c>
      <c r="B192" s="402" t="s">
        <v>172</v>
      </c>
      <c r="C192" s="400"/>
      <c r="D192" s="401" t="s">
        <v>176</v>
      </c>
      <c r="E192" s="400"/>
      <c r="F192" s="400" t="s">
        <v>325</v>
      </c>
      <c r="G192" s="400">
        <v>0</v>
      </c>
      <c r="H192" s="400">
        <f>_xlfn.XLOOKUP($A192,'1.1.SSDR_water'!$B$7:$B$29,'1.1.SSDR_water'!$J$7:$J$29)</f>
        <v>2.0993104294683172E-2</v>
      </c>
      <c r="I192" s="400">
        <f>_xlfn.XLOOKUP($A192,'1.1.SSDR_water'!$B$7:$B$29,'1.1.SSDR_water'!$I$7:$I$29)</f>
        <v>-27.395780284380873</v>
      </c>
      <c r="J192" s="402"/>
    </row>
    <row r="193" spans="1:10" ht="16" x14ac:dyDescent="0.2">
      <c r="A193" s="118" t="s">
        <v>199</v>
      </c>
      <c r="B193" s="117" t="s">
        <v>172</v>
      </c>
      <c r="C193" s="116"/>
      <c r="D193" s="131" t="s">
        <v>148</v>
      </c>
      <c r="E193" s="116"/>
      <c r="F193" s="116" t="s">
        <v>325</v>
      </c>
      <c r="G193" s="116">
        <v>0</v>
      </c>
      <c r="H193" s="116">
        <f>_xlfn.XLOOKUP($A193,'1.1.SSDR_water'!$B$7:$B$29,'1.1.SSDR_water'!$J$7:$J$29)</f>
        <v>2.0993104294683172E-2</v>
      </c>
      <c r="I193" s="116">
        <f>_xlfn.XLOOKUP($A193,'1.1.SSDR_water'!$B$7:$B$29,'1.1.SSDR_water'!$I$7:$I$29)</f>
        <v>-27.395780284380873</v>
      </c>
      <c r="J193" s="117"/>
    </row>
    <row r="194" spans="1:10" ht="16" x14ac:dyDescent="0.2">
      <c r="A194" s="118" t="s">
        <v>199</v>
      </c>
      <c r="B194" s="117" t="s">
        <v>172</v>
      </c>
      <c r="C194" s="116"/>
      <c r="D194" s="131" t="s">
        <v>158</v>
      </c>
      <c r="E194" s="116"/>
      <c r="F194" s="116" t="s">
        <v>325</v>
      </c>
      <c r="G194" s="116">
        <v>0</v>
      </c>
      <c r="H194" s="116">
        <f>_xlfn.XLOOKUP($A194,'1.1.SSDR_water'!$B$7:$B$29,'1.1.SSDR_water'!$J$7:$J$29)</f>
        <v>2.0993104294683172E-2</v>
      </c>
      <c r="I194" s="116">
        <f>_xlfn.XLOOKUP($A194,'1.1.SSDR_water'!$B$7:$B$29,'1.1.SSDR_water'!$I$7:$I$29)</f>
        <v>-27.395780284380873</v>
      </c>
      <c r="J194" s="117"/>
    </row>
    <row r="195" spans="1:10" ht="16" x14ac:dyDescent="0.2">
      <c r="A195" s="118" t="s">
        <v>199</v>
      </c>
      <c r="B195" s="117" t="s">
        <v>172</v>
      </c>
      <c r="C195" s="116"/>
      <c r="D195" s="131" t="s">
        <v>149</v>
      </c>
      <c r="E195" s="116"/>
      <c r="F195" s="116" t="s">
        <v>325</v>
      </c>
      <c r="G195" s="116">
        <v>0</v>
      </c>
      <c r="H195" s="116">
        <f>_xlfn.XLOOKUP($A195,'1.1.SSDR_water'!$B$7:$B$29,'1.1.SSDR_water'!$J$7:$J$29)</f>
        <v>2.0993104294683172E-2</v>
      </c>
      <c r="I195" s="116">
        <f>_xlfn.XLOOKUP($A195,'1.1.SSDR_water'!$B$7:$B$29,'1.1.SSDR_water'!$I$7:$I$29)</f>
        <v>-27.395780284380873</v>
      </c>
      <c r="J195" s="117"/>
    </row>
    <row r="196" spans="1:10" ht="16" x14ac:dyDescent="0.2">
      <c r="A196" s="118" t="s">
        <v>199</v>
      </c>
      <c r="B196" s="117" t="s">
        <v>172</v>
      </c>
      <c r="C196" s="116"/>
      <c r="D196" s="131" t="s">
        <v>173</v>
      </c>
      <c r="E196" s="116"/>
      <c r="F196" s="116" t="s">
        <v>325</v>
      </c>
      <c r="G196" s="116">
        <v>0</v>
      </c>
      <c r="H196" s="116">
        <f>_xlfn.XLOOKUP($A196,'1.2.SSDR_sediment'!$B$7:$B$29,'1.2.SSDR_sediment'!$J$7:$J$29)</f>
        <v>2.0993104294683172E-2</v>
      </c>
      <c r="I196" s="116">
        <f>_xlfn.XLOOKUP($A196,'1.2.SSDR_sediment'!$B$7:$B$29,'1.2.SSDR_sediment'!$I$7:$I$29)</f>
        <v>-27.395780284380873</v>
      </c>
      <c r="J196" s="117"/>
    </row>
    <row r="197" spans="1:10" ht="16" x14ac:dyDescent="0.2">
      <c r="A197" s="118" t="s">
        <v>199</v>
      </c>
      <c r="B197" s="117" t="s">
        <v>172</v>
      </c>
      <c r="C197" s="116"/>
      <c r="D197" s="131" t="s">
        <v>174</v>
      </c>
      <c r="E197" s="116"/>
      <c r="F197" s="116" t="s">
        <v>325</v>
      </c>
      <c r="G197" s="116">
        <v>0</v>
      </c>
      <c r="H197" s="116">
        <f>_xlfn.XLOOKUP($A197,'1.2.SSDR_sediment'!$B$7:$B$29,'1.2.SSDR_sediment'!$J$7:$J$29)</f>
        <v>2.0993104294683172E-2</v>
      </c>
      <c r="I197" s="116">
        <f>_xlfn.XLOOKUP($A197,'1.2.SSDR_sediment'!$B$7:$B$29,'1.2.SSDR_sediment'!$I$7:$I$29)</f>
        <v>-27.395780284380873</v>
      </c>
      <c r="J197" s="117"/>
    </row>
    <row r="198" spans="1:10" ht="16" x14ac:dyDescent="0.2">
      <c r="A198" s="118" t="s">
        <v>199</v>
      </c>
      <c r="B198" s="117" t="s">
        <v>172</v>
      </c>
      <c r="C198" s="116"/>
      <c r="D198" s="131" t="s">
        <v>175</v>
      </c>
      <c r="E198" s="116"/>
      <c r="F198" s="116" t="s">
        <v>325</v>
      </c>
      <c r="G198" s="116">
        <v>0</v>
      </c>
      <c r="H198" s="116">
        <f>_xlfn.XLOOKUP($A198,'1.2.SSDR_sediment'!$B$7:$B$29,'1.2.SSDR_sediment'!$J$7:$J$29)</f>
        <v>2.0993104294683172E-2</v>
      </c>
      <c r="I198" s="116">
        <f>_xlfn.XLOOKUP($A198,'1.2.SSDR_sediment'!$B$7:$B$29,'1.2.SSDR_sediment'!$I$7:$I$29)</f>
        <v>-27.395780284380873</v>
      </c>
      <c r="J198" s="117"/>
    </row>
    <row r="199" spans="1:10" ht="16" x14ac:dyDescent="0.2">
      <c r="A199" s="118" t="s">
        <v>199</v>
      </c>
      <c r="B199" s="117" t="s">
        <v>172</v>
      </c>
      <c r="C199" s="116"/>
      <c r="D199" s="131" t="s">
        <v>150</v>
      </c>
      <c r="E199" s="116"/>
      <c r="F199" s="116" t="s">
        <v>325</v>
      </c>
      <c r="G199" s="116">
        <v>0</v>
      </c>
      <c r="H199" s="116">
        <f>_xlfn.XLOOKUP($A199,'1.3.SSDR_soil'!$B$7:$B$29,'1.3.SSDR_soil'!$J$7:$J$29)</f>
        <v>0.29020538965003162</v>
      </c>
      <c r="I199" s="116">
        <f>_xlfn.XLOOKUP($A199,'1.3.SSDR_soil'!$B$7:$B$29,'1.3.SSDR_soil'!$I$7:$I$29)</f>
        <v>-29.705088442285167</v>
      </c>
      <c r="J199" s="117"/>
    </row>
    <row r="200" spans="1:10" ht="16" x14ac:dyDescent="0.2">
      <c r="A200" s="118" t="s">
        <v>199</v>
      </c>
      <c r="B200" s="117" t="s">
        <v>172</v>
      </c>
      <c r="C200" s="116"/>
      <c r="D200" s="131" t="s">
        <v>162</v>
      </c>
      <c r="E200" s="116"/>
      <c r="F200" s="116" t="s">
        <v>325</v>
      </c>
      <c r="G200" s="116">
        <v>0</v>
      </c>
      <c r="H200" s="116">
        <f>_xlfn.XLOOKUP($A200,'1.3.SSDR_soil'!$B$7:$B$29,'1.3.SSDR_soil'!$J$7:$J$29)</f>
        <v>0.29020538965003162</v>
      </c>
      <c r="I200" s="116">
        <f>_xlfn.XLOOKUP($A200,'1.3.SSDR_soil'!$B$7:$B$29,'1.3.SSDR_soil'!$I$7:$I$29)</f>
        <v>-29.705088442285167</v>
      </c>
      <c r="J200" s="117"/>
    </row>
    <row r="201" spans="1:10" ht="16" x14ac:dyDescent="0.2">
      <c r="A201" s="118" t="s">
        <v>199</v>
      </c>
      <c r="B201" s="121" t="s">
        <v>172</v>
      </c>
      <c r="C201" s="120"/>
      <c r="D201" s="403" t="s">
        <v>151</v>
      </c>
      <c r="E201" s="120"/>
      <c r="F201" s="120" t="s">
        <v>325</v>
      </c>
      <c r="G201" s="120">
        <v>0</v>
      </c>
      <c r="H201" s="120">
        <f>_xlfn.XLOOKUP($A201,'1.3.SSDR_soil'!$B$7:$B$29,'1.3.SSDR_soil'!$J$7:$J$29)</f>
        <v>0.29020538965003162</v>
      </c>
      <c r="I201" s="116">
        <f>_xlfn.XLOOKUP($A201,'1.3.SSDR_soil'!$B$7:$B$29,'1.3.SSDR_soil'!$I$7:$I$29)</f>
        <v>-29.705088442285167</v>
      </c>
      <c r="J201" s="121"/>
    </row>
    <row r="202" spans="1:10" ht="16" x14ac:dyDescent="0.2">
      <c r="A202" s="118" t="s">
        <v>200</v>
      </c>
      <c r="B202" s="402" t="s">
        <v>172</v>
      </c>
      <c r="C202" s="400"/>
      <c r="D202" s="401" t="s">
        <v>176</v>
      </c>
      <c r="E202" s="400"/>
      <c r="F202" s="400" t="s">
        <v>325</v>
      </c>
      <c r="G202" s="400">
        <v>0</v>
      </c>
      <c r="H202" s="400">
        <f>_xlfn.XLOOKUP($A202,'1.1.SSDR_water'!$B$7:$B$29,'1.1.SSDR_water'!$J$7:$J$29)</f>
        <v>1.5841304569453384E-2</v>
      </c>
      <c r="I202" s="400">
        <f>_xlfn.XLOOKUP($A202,'1.1.SSDR_water'!$B$7:$B$29,'1.1.SSDR_water'!$I$7:$I$29)</f>
        <v>-27.132642990579573</v>
      </c>
      <c r="J202" s="402"/>
    </row>
    <row r="203" spans="1:10" ht="16" x14ac:dyDescent="0.2">
      <c r="A203" s="118" t="s">
        <v>200</v>
      </c>
      <c r="B203" s="117" t="s">
        <v>172</v>
      </c>
      <c r="C203" s="116"/>
      <c r="D203" s="131" t="s">
        <v>148</v>
      </c>
      <c r="E203" s="116"/>
      <c r="F203" s="116" t="s">
        <v>325</v>
      </c>
      <c r="G203" s="116">
        <v>0</v>
      </c>
      <c r="H203" s="116">
        <f>_xlfn.XLOOKUP($A203,'1.1.SSDR_water'!$B$7:$B$29,'1.1.SSDR_water'!$J$7:$J$29)</f>
        <v>1.5841304569453384E-2</v>
      </c>
      <c r="I203" s="116">
        <f>_xlfn.XLOOKUP($A203,'1.1.SSDR_water'!$B$7:$B$29,'1.1.SSDR_water'!$I$7:$I$29)</f>
        <v>-27.132642990579573</v>
      </c>
      <c r="J203" s="117"/>
    </row>
    <row r="204" spans="1:10" ht="16" x14ac:dyDescent="0.2">
      <c r="A204" s="118" t="s">
        <v>200</v>
      </c>
      <c r="B204" s="117" t="s">
        <v>172</v>
      </c>
      <c r="C204" s="116"/>
      <c r="D204" s="131" t="s">
        <v>158</v>
      </c>
      <c r="E204" s="116"/>
      <c r="F204" s="116" t="s">
        <v>325</v>
      </c>
      <c r="G204" s="116">
        <v>0</v>
      </c>
      <c r="H204" s="116">
        <f>_xlfn.XLOOKUP($A204,'1.1.SSDR_water'!$B$7:$B$29,'1.1.SSDR_water'!$J$7:$J$29)</f>
        <v>1.5841304569453384E-2</v>
      </c>
      <c r="I204" s="116">
        <f>_xlfn.XLOOKUP($A204,'1.1.SSDR_water'!$B$7:$B$29,'1.1.SSDR_water'!$I$7:$I$29)</f>
        <v>-27.132642990579573</v>
      </c>
      <c r="J204" s="117"/>
    </row>
    <row r="205" spans="1:10" ht="16" x14ac:dyDescent="0.2">
      <c r="A205" s="118" t="s">
        <v>200</v>
      </c>
      <c r="B205" s="117" t="s">
        <v>172</v>
      </c>
      <c r="C205" s="116"/>
      <c r="D205" s="131" t="s">
        <v>149</v>
      </c>
      <c r="E205" s="116"/>
      <c r="F205" s="116" t="s">
        <v>325</v>
      </c>
      <c r="G205" s="116">
        <v>0</v>
      </c>
      <c r="H205" s="116">
        <f>_xlfn.XLOOKUP($A205,'1.1.SSDR_water'!$B$7:$B$29,'1.1.SSDR_water'!$J$7:$J$29)</f>
        <v>1.5841304569453384E-2</v>
      </c>
      <c r="I205" s="116">
        <f>_xlfn.XLOOKUP($A205,'1.1.SSDR_water'!$B$7:$B$29,'1.1.SSDR_water'!$I$7:$I$29)</f>
        <v>-27.132642990579573</v>
      </c>
      <c r="J205" s="117"/>
    </row>
    <row r="206" spans="1:10" ht="16" x14ac:dyDescent="0.2">
      <c r="A206" s="118" t="s">
        <v>200</v>
      </c>
      <c r="B206" s="117" t="s">
        <v>172</v>
      </c>
      <c r="C206" s="116"/>
      <c r="D206" s="131" t="s">
        <v>173</v>
      </c>
      <c r="E206" s="116"/>
      <c r="F206" s="116" t="s">
        <v>325</v>
      </c>
      <c r="G206" s="116">
        <v>0</v>
      </c>
      <c r="H206" s="116">
        <f>_xlfn.XLOOKUP($A206,'1.2.SSDR_sediment'!$B$7:$B$29,'1.2.SSDR_sediment'!$J$7:$J$29)</f>
        <v>1.5841304569453384E-2</v>
      </c>
      <c r="I206" s="116">
        <f>_xlfn.XLOOKUP($A206,'1.2.SSDR_sediment'!$B$7:$B$29,'1.2.SSDR_sediment'!$I$7:$I$29)</f>
        <v>-27.132642990579573</v>
      </c>
      <c r="J206" s="117"/>
    </row>
    <row r="207" spans="1:10" ht="16" x14ac:dyDescent="0.2">
      <c r="A207" s="118" t="s">
        <v>200</v>
      </c>
      <c r="B207" s="117" t="s">
        <v>172</v>
      </c>
      <c r="C207" s="116"/>
      <c r="D207" s="131" t="s">
        <v>174</v>
      </c>
      <c r="E207" s="116"/>
      <c r="F207" s="116" t="s">
        <v>325</v>
      </c>
      <c r="G207" s="116">
        <v>0</v>
      </c>
      <c r="H207" s="116">
        <f>_xlfn.XLOOKUP($A207,'1.2.SSDR_sediment'!$B$7:$B$29,'1.2.SSDR_sediment'!$J$7:$J$29)</f>
        <v>1.5841304569453384E-2</v>
      </c>
      <c r="I207" s="116">
        <f>_xlfn.XLOOKUP($A207,'1.2.SSDR_sediment'!$B$7:$B$29,'1.2.SSDR_sediment'!$I$7:$I$29)</f>
        <v>-27.132642990579573</v>
      </c>
      <c r="J207" s="117"/>
    </row>
    <row r="208" spans="1:10" ht="16" x14ac:dyDescent="0.2">
      <c r="A208" s="118" t="s">
        <v>200</v>
      </c>
      <c r="B208" s="117" t="s">
        <v>172</v>
      </c>
      <c r="C208" s="116"/>
      <c r="D208" s="131" t="s">
        <v>175</v>
      </c>
      <c r="E208" s="116"/>
      <c r="F208" s="116" t="s">
        <v>325</v>
      </c>
      <c r="G208" s="116">
        <v>0</v>
      </c>
      <c r="H208" s="116">
        <f>_xlfn.XLOOKUP($A208,'1.2.SSDR_sediment'!$B$7:$B$29,'1.2.SSDR_sediment'!$J$7:$J$29)</f>
        <v>1.5841304569453384E-2</v>
      </c>
      <c r="I208" s="116">
        <f>_xlfn.XLOOKUP($A208,'1.2.SSDR_sediment'!$B$7:$B$29,'1.2.SSDR_sediment'!$I$7:$I$29)</f>
        <v>-27.132642990579573</v>
      </c>
      <c r="J208" s="117"/>
    </row>
    <row r="209" spans="1:10" ht="16" x14ac:dyDescent="0.2">
      <c r="A209" s="118" t="s">
        <v>200</v>
      </c>
      <c r="B209" s="117" t="s">
        <v>172</v>
      </c>
      <c r="C209" s="116"/>
      <c r="D209" s="131" t="s">
        <v>150</v>
      </c>
      <c r="E209" s="116"/>
      <c r="F209" s="116" t="s">
        <v>325</v>
      </c>
      <c r="G209" s="116">
        <v>0</v>
      </c>
      <c r="H209" s="116">
        <f>_xlfn.XLOOKUP($A209,'1.3.SSDR_soil'!$B$7:$B$29,'1.3.SSDR_soil'!$J$7:$J$29)</f>
        <v>0.29020538965003162</v>
      </c>
      <c r="I209" s="116">
        <f>_xlfn.XLOOKUP($A209,'1.3.SSDR_soil'!$B$7:$B$29,'1.3.SSDR_soil'!$I$7:$I$29)</f>
        <v>-29.705088442285167</v>
      </c>
      <c r="J209" s="117"/>
    </row>
    <row r="210" spans="1:10" ht="16" x14ac:dyDescent="0.2">
      <c r="A210" s="118" t="s">
        <v>200</v>
      </c>
      <c r="B210" s="117" t="s">
        <v>172</v>
      </c>
      <c r="C210" s="116"/>
      <c r="D210" s="131" t="s">
        <v>162</v>
      </c>
      <c r="E210" s="116"/>
      <c r="F210" s="116" t="s">
        <v>325</v>
      </c>
      <c r="G210" s="116">
        <v>0</v>
      </c>
      <c r="H210" s="116">
        <f>_xlfn.XLOOKUP($A210,'1.3.SSDR_soil'!$B$7:$B$29,'1.3.SSDR_soil'!$J$7:$J$29)</f>
        <v>0.29020538965003162</v>
      </c>
      <c r="I210" s="116">
        <f>_xlfn.XLOOKUP($A210,'1.3.SSDR_soil'!$B$7:$B$29,'1.3.SSDR_soil'!$I$7:$I$29)</f>
        <v>-29.705088442285167</v>
      </c>
      <c r="J210" s="117"/>
    </row>
    <row r="211" spans="1:10" ht="16" x14ac:dyDescent="0.2">
      <c r="A211" s="119" t="s">
        <v>200</v>
      </c>
      <c r="B211" s="121" t="s">
        <v>172</v>
      </c>
      <c r="C211" s="120"/>
      <c r="D211" s="403" t="s">
        <v>151</v>
      </c>
      <c r="E211" s="120"/>
      <c r="F211" s="120" t="s">
        <v>325</v>
      </c>
      <c r="G211" s="120">
        <v>0</v>
      </c>
      <c r="H211" s="120">
        <f>_xlfn.XLOOKUP($A211,'1.3.SSDR_soil'!$B$7:$B$29,'1.3.SSDR_soil'!$J$7:$J$29)</f>
        <v>0.29020538965003162</v>
      </c>
      <c r="I211" s="116">
        <f>_xlfn.XLOOKUP($A211,'1.3.SSDR_soil'!$B$7:$B$29,'1.3.SSDR_soil'!$I$7:$I$29)</f>
        <v>-29.705088442285167</v>
      </c>
      <c r="J211" s="1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672B-A687-D147-A1E7-6AD5313DFA85}">
  <dimension ref="A1:U47"/>
  <sheetViews>
    <sheetView topLeftCell="I1" zoomScale="110" workbookViewId="0">
      <selection activeCell="M3" sqref="M3:U14"/>
    </sheetView>
  </sheetViews>
  <sheetFormatPr baseColWidth="10" defaultColWidth="15.83203125" defaultRowHeight="20" customHeight="1" x14ac:dyDescent="0.2"/>
  <cols>
    <col min="1" max="1" width="21" style="143" bestFit="1" customWidth="1"/>
    <col min="2" max="2" width="19.5" style="143" bestFit="1" customWidth="1"/>
    <col min="3" max="3" width="10.5" style="143" bestFit="1" customWidth="1"/>
    <col min="4" max="4" width="11.1640625" style="143" bestFit="1" customWidth="1"/>
    <col min="5" max="5" width="21" style="143" bestFit="1" customWidth="1"/>
    <col min="6" max="6" width="16.33203125" style="143" bestFit="1" customWidth="1"/>
    <col min="7" max="7" width="17.33203125" style="143" bestFit="1" customWidth="1"/>
    <col min="8" max="8" width="15.83203125" style="143" customWidth="1"/>
    <col min="9" max="9" width="30.33203125" style="143" bestFit="1" customWidth="1"/>
    <col min="10" max="10" width="30.33203125" style="143" customWidth="1"/>
    <col min="11" max="11" width="20.5" style="143" bestFit="1" customWidth="1"/>
    <col min="12" max="12" width="25.5" style="143" bestFit="1" customWidth="1"/>
    <col min="13" max="16384" width="15.83203125" style="143"/>
  </cols>
  <sheetData>
    <row r="1" spans="1:21" ht="20" customHeight="1" x14ac:dyDescent="0.2">
      <c r="A1" s="438" t="s">
        <v>358</v>
      </c>
      <c r="B1" s="438"/>
      <c r="C1" s="438"/>
      <c r="D1" s="438"/>
      <c r="E1" s="438"/>
      <c r="G1" s="438" t="s">
        <v>359</v>
      </c>
      <c r="H1" s="438"/>
      <c r="K1" s="438" t="s">
        <v>402</v>
      </c>
      <c r="L1" s="438"/>
      <c r="M1" s="438"/>
      <c r="N1" s="438"/>
      <c r="O1" s="438"/>
      <c r="P1" s="438"/>
      <c r="Q1" s="438"/>
      <c r="R1" s="438"/>
      <c r="S1" s="438"/>
      <c r="T1" s="438"/>
    </row>
    <row r="2" spans="1:21" ht="20" customHeight="1" x14ac:dyDescent="0.2">
      <c r="A2" s="144" t="s">
        <v>44</v>
      </c>
      <c r="B2" s="144" t="s">
        <v>360</v>
      </c>
      <c r="C2" s="440" t="s">
        <v>361</v>
      </c>
      <c r="D2" s="440"/>
      <c r="E2" s="144" t="s">
        <v>362</v>
      </c>
      <c r="G2" s="144" t="s">
        <v>44</v>
      </c>
      <c r="H2" s="144" t="s">
        <v>412</v>
      </c>
      <c r="I2" s="144" t="s">
        <v>311</v>
      </c>
      <c r="J2" s="144"/>
      <c r="K2" s="144" t="s">
        <v>371</v>
      </c>
      <c r="L2" s="144" t="s">
        <v>416</v>
      </c>
      <c r="M2" s="144" t="s">
        <v>124</v>
      </c>
      <c r="N2" s="144" t="s">
        <v>47</v>
      </c>
      <c r="O2" s="144" t="s">
        <v>30</v>
      </c>
      <c r="P2" s="144" t="s">
        <v>125</v>
      </c>
      <c r="Q2" s="144" t="s">
        <v>49</v>
      </c>
      <c r="R2" s="144" t="s">
        <v>50</v>
      </c>
      <c r="S2" s="144" t="s">
        <v>51</v>
      </c>
      <c r="T2" s="144" t="s">
        <v>31</v>
      </c>
      <c r="U2" s="144" t="s">
        <v>415</v>
      </c>
    </row>
    <row r="3" spans="1:21" ht="20" customHeight="1" x14ac:dyDescent="0.2">
      <c r="A3" s="143" t="s">
        <v>124</v>
      </c>
      <c r="B3" s="143" t="s">
        <v>363</v>
      </c>
      <c r="C3" s="439" t="s">
        <v>364</v>
      </c>
      <c r="D3" s="439"/>
      <c r="E3" s="143">
        <v>0.80200000000000005</v>
      </c>
      <c r="G3" s="143" t="s">
        <v>365</v>
      </c>
      <c r="H3" s="143">
        <v>10</v>
      </c>
      <c r="I3" s="143" t="s">
        <v>366</v>
      </c>
      <c r="K3" s="144" t="s">
        <v>389</v>
      </c>
      <c r="L3" s="126" t="s">
        <v>130</v>
      </c>
      <c r="M3" s="410">
        <f>UVintensity!$H$3*UVintensity!$E$3*UVintensity!E14</f>
        <v>8.02</v>
      </c>
      <c r="N3" s="410">
        <f>UVintensity!$H$3*UVintensity!$E$4*UVintensity!E14</f>
        <v>11.78</v>
      </c>
      <c r="O3" s="410">
        <f>UVintensity!$H$3*UVintensity!$E$5*UVintensity!E14</f>
        <v>5.23</v>
      </c>
      <c r="P3" s="410">
        <f>UVintensity!$H$3*UVintensity!$E$6*UVintensity!E14</f>
        <v>13.819999999999999</v>
      </c>
      <c r="Q3" s="410">
        <f>UVintensity!$H$3*UVintensity!$E$7*UVintensity!E14</f>
        <v>5.629999999999999</v>
      </c>
      <c r="R3" s="410">
        <f>UVintensity!$H$3*UVintensity!$E$8*UVintensity!E14</f>
        <v>13.65</v>
      </c>
      <c r="S3" s="410">
        <f>UVintensity!$H$3*UVintensity!$E$9*UVintensity!E14</f>
        <v>3.6399999999999997</v>
      </c>
      <c r="T3" s="410">
        <f>UVintensity!$H$3*UVintensity!$E$10*UVintensity!E14</f>
        <v>11.850000000000001</v>
      </c>
      <c r="U3" s="411">
        <f>H3</f>
        <v>10</v>
      </c>
    </row>
    <row r="4" spans="1:21" ht="20" customHeight="1" x14ac:dyDescent="0.2">
      <c r="A4" s="143" t="s">
        <v>47</v>
      </c>
      <c r="B4" s="143" t="s">
        <v>367</v>
      </c>
      <c r="C4" s="439" t="s">
        <v>368</v>
      </c>
      <c r="D4" s="439"/>
      <c r="E4" s="143">
        <v>1.1779999999999999</v>
      </c>
      <c r="K4" s="144" t="s">
        <v>391</v>
      </c>
      <c r="L4" s="126" t="s">
        <v>151</v>
      </c>
      <c r="M4" s="410">
        <f>UVintensity!$H$3*UVintensity!$E$3*UVintensity!E15</f>
        <v>0</v>
      </c>
      <c r="N4" s="410">
        <f>UVintensity!$H$3*UVintensity!$E$4*UVintensity!E15</f>
        <v>0</v>
      </c>
      <c r="O4" s="410">
        <f>UVintensity!$H$3*UVintensity!$E$5*UVintensity!E15</f>
        <v>0</v>
      </c>
      <c r="P4" s="410">
        <f>UVintensity!$H$3*UVintensity!$E$6*UVintensity!E15</f>
        <v>0</v>
      </c>
      <c r="Q4" s="410">
        <f>UVintensity!$H$3*UVintensity!$E$7*UVintensity!E15</f>
        <v>0</v>
      </c>
      <c r="R4" s="410">
        <f>UVintensity!$H$3*UVintensity!$E$8*UVintensity!E15</f>
        <v>0</v>
      </c>
      <c r="S4" s="410">
        <f>UVintensity!$H$3*UVintensity!$E$9*UVintensity!E15</f>
        <v>0</v>
      </c>
      <c r="T4" s="410">
        <f>UVintensity!$H$3*UVintensity!$E$10*UVintensity!E15</f>
        <v>0</v>
      </c>
      <c r="U4" s="411">
        <f t="shared" ref="U4:U14" si="0">AVERAGE(M4:T4)</f>
        <v>0</v>
      </c>
    </row>
    <row r="5" spans="1:21" ht="20" customHeight="1" x14ac:dyDescent="0.2">
      <c r="A5" s="143" t="s">
        <v>30</v>
      </c>
      <c r="B5" s="143" t="s">
        <v>369</v>
      </c>
      <c r="C5" s="439" t="s">
        <v>370</v>
      </c>
      <c r="D5" s="439"/>
      <c r="E5" s="143">
        <v>0.52300000000000002</v>
      </c>
      <c r="G5" s="144" t="s">
        <v>371</v>
      </c>
      <c r="H5" s="144" t="s">
        <v>413</v>
      </c>
      <c r="I5" s="144" t="s">
        <v>311</v>
      </c>
      <c r="K5" s="144" t="s">
        <v>392</v>
      </c>
      <c r="L5" s="126" t="s">
        <v>150</v>
      </c>
      <c r="M5" s="410">
        <f>UVintensity!$H$3*UVintensity!$E$3*UVintensity!E16</f>
        <v>0</v>
      </c>
      <c r="N5" s="410">
        <f>UVintensity!$H$3*UVintensity!$E$4*UVintensity!E16</f>
        <v>0</v>
      </c>
      <c r="O5" s="410">
        <f>UVintensity!$H$3*UVintensity!$E$5*UVintensity!E16</f>
        <v>0</v>
      </c>
      <c r="P5" s="410">
        <f>UVintensity!$H$3*UVintensity!$E$6*UVintensity!E16</f>
        <v>0</v>
      </c>
      <c r="Q5" s="410">
        <f>UVintensity!$H$3*UVintensity!$E$7*UVintensity!E16</f>
        <v>0</v>
      </c>
      <c r="R5" s="410">
        <f>UVintensity!$H$3*UVintensity!$E$8*UVintensity!E16</f>
        <v>0</v>
      </c>
      <c r="S5" s="410">
        <f>UVintensity!$H$3*UVintensity!$E$9*UVintensity!E16</f>
        <v>0</v>
      </c>
      <c r="T5" s="410">
        <f>UVintensity!$H$3*UVintensity!$E$10*UVintensity!E16</f>
        <v>0</v>
      </c>
      <c r="U5" s="411">
        <f t="shared" si="0"/>
        <v>0</v>
      </c>
    </row>
    <row r="6" spans="1:21" ht="20" customHeight="1" x14ac:dyDescent="0.2">
      <c r="A6" s="143" t="s">
        <v>125</v>
      </c>
      <c r="B6" s="143" t="s">
        <v>372</v>
      </c>
      <c r="C6" s="439" t="s">
        <v>373</v>
      </c>
      <c r="D6" s="439"/>
      <c r="E6" s="143">
        <v>1.3819999999999999</v>
      </c>
      <c r="G6" s="143" t="s">
        <v>374</v>
      </c>
      <c r="H6" s="146">
        <v>10</v>
      </c>
      <c r="I6" s="143" t="s">
        <v>375</v>
      </c>
      <c r="K6" s="144" t="s">
        <v>393</v>
      </c>
      <c r="L6" s="126" t="s">
        <v>162</v>
      </c>
      <c r="M6" s="410">
        <f>UVintensity!$H$3*UVintensity!$E$3*UVintensity!E17</f>
        <v>0</v>
      </c>
      <c r="N6" s="410">
        <f>UVintensity!$H$3*UVintensity!$E$4*UVintensity!E17</f>
        <v>0</v>
      </c>
      <c r="O6" s="410">
        <f>UVintensity!$H$3*UVintensity!$E$5*UVintensity!E17</f>
        <v>0</v>
      </c>
      <c r="P6" s="410">
        <f>UVintensity!$H$3*UVintensity!$E$6*UVintensity!E17</f>
        <v>0</v>
      </c>
      <c r="Q6" s="410">
        <f>UVintensity!$H$3*UVintensity!$E$7*UVintensity!E17</f>
        <v>0</v>
      </c>
      <c r="R6" s="410">
        <f>UVintensity!$H$3*UVintensity!$E$8*UVintensity!E17</f>
        <v>0</v>
      </c>
      <c r="S6" s="410">
        <f>UVintensity!$H$3*UVintensity!$E$9*UVintensity!E17</f>
        <v>0</v>
      </c>
      <c r="T6" s="410">
        <f>UVintensity!$H$3*UVintensity!$E$10*UVintensity!E17</f>
        <v>0</v>
      </c>
      <c r="U6" s="411">
        <f t="shared" si="0"/>
        <v>0</v>
      </c>
    </row>
    <row r="7" spans="1:21" ht="20" customHeight="1" x14ac:dyDescent="0.2">
      <c r="A7" s="143" t="s">
        <v>49</v>
      </c>
      <c r="B7" s="143" t="s">
        <v>369</v>
      </c>
      <c r="C7" s="439" t="s">
        <v>370</v>
      </c>
      <c r="D7" s="439"/>
      <c r="E7" s="143">
        <v>0.56299999999999994</v>
      </c>
      <c r="G7" s="143" t="s">
        <v>376</v>
      </c>
      <c r="H7" s="146">
        <v>4</v>
      </c>
      <c r="I7" s="143" t="s">
        <v>377</v>
      </c>
      <c r="K7" s="144" t="s">
        <v>394</v>
      </c>
      <c r="L7" s="126" t="s">
        <v>213</v>
      </c>
      <c r="M7" s="410">
        <f>UVintensity!$H$3*UVintensity!$E$3*UVintensity!E18</f>
        <v>8.02</v>
      </c>
      <c r="N7" s="410">
        <f>UVintensity!$H$3*UVintensity!$E$4*UVintensity!E18</f>
        <v>11.78</v>
      </c>
      <c r="O7" s="410">
        <f>UVintensity!$H$3*UVintensity!$E$5*UVintensity!E18</f>
        <v>5.23</v>
      </c>
      <c r="P7" s="410">
        <f>UVintensity!$H$3*UVintensity!$E$6*UVintensity!E18</f>
        <v>13.819999999999999</v>
      </c>
      <c r="Q7" s="410">
        <f>UVintensity!$H$3*UVintensity!$E$7*UVintensity!E18</f>
        <v>5.629999999999999</v>
      </c>
      <c r="R7" s="410">
        <f>UVintensity!$H$3*UVintensity!$E$8*UVintensity!E18</f>
        <v>13.65</v>
      </c>
      <c r="S7" s="410">
        <f>UVintensity!$H$3*UVintensity!$E$9*UVintensity!E18</f>
        <v>3.6399999999999997</v>
      </c>
      <c r="T7" s="410">
        <f>UVintensity!$H$3*UVintensity!$E$10*UVintensity!E18</f>
        <v>11.850000000000001</v>
      </c>
      <c r="U7" s="411">
        <f>H3</f>
        <v>10</v>
      </c>
    </row>
    <row r="8" spans="1:21" ht="20" customHeight="1" x14ac:dyDescent="0.2">
      <c r="A8" s="143" t="s">
        <v>50</v>
      </c>
      <c r="B8" s="143" t="s">
        <v>378</v>
      </c>
      <c r="C8" s="439" t="s">
        <v>379</v>
      </c>
      <c r="D8" s="439"/>
      <c r="E8" s="143">
        <v>1.365</v>
      </c>
      <c r="G8" s="143" t="s">
        <v>380</v>
      </c>
      <c r="H8" s="146">
        <v>0.2</v>
      </c>
      <c r="I8" s="143" t="s">
        <v>381</v>
      </c>
      <c r="K8" s="144" t="s">
        <v>395</v>
      </c>
      <c r="L8" s="126" t="s">
        <v>148</v>
      </c>
      <c r="M8" s="410">
        <f>UVintensity!$H$3*UVintensity!E3*UVintensity!E19</f>
        <v>0.33416666665405143</v>
      </c>
      <c r="N8" s="410">
        <f>UVintensity!$H$3*UVintensity!E4*UVintensity!E20</f>
        <v>0.2677272727272727</v>
      </c>
      <c r="O8" s="410">
        <f>UVintensity!$H$3*UVintensity!E5*UVintensity!E21</f>
        <v>0.27526315635249343</v>
      </c>
      <c r="P8" s="410">
        <f>UVintensity!$H$3*UVintensity!E6*UVintensity!E22</f>
        <v>0.55279999999232277</v>
      </c>
      <c r="Q8" s="410">
        <f>UVintensity!$H$3*UVintensity!E7*UVintensity!E23</f>
        <v>0.25590909083770585</v>
      </c>
      <c r="R8" s="410">
        <f>UVintensity!$H$3*UVintensity!E8*UVintensity!E24</f>
        <v>0.41363636363636169</v>
      </c>
      <c r="S8" s="410">
        <f>UVintensity!$H$3*UVintensity!E9*UVintensity!E25</f>
        <v>0.12551724137927842</v>
      </c>
      <c r="T8" s="410">
        <f>UVintensity!$H$3*UVintensity!E10*UVintensity!E26</f>
        <v>1.1849462010832317</v>
      </c>
      <c r="U8" s="411">
        <f t="shared" si="0"/>
        <v>0.42624574908283974</v>
      </c>
    </row>
    <row r="9" spans="1:21" ht="20" customHeight="1" x14ac:dyDescent="0.2">
      <c r="A9" s="143" t="s">
        <v>51</v>
      </c>
      <c r="B9" s="143" t="s">
        <v>382</v>
      </c>
      <c r="C9" s="439" t="s">
        <v>383</v>
      </c>
      <c r="D9" s="439"/>
      <c r="E9" s="143">
        <v>0.36399999999999999</v>
      </c>
      <c r="K9" s="144" t="s">
        <v>396</v>
      </c>
      <c r="L9" s="126" t="s">
        <v>174</v>
      </c>
      <c r="M9" s="410">
        <f>UVintensity!$H$3*UVintensity!$E$3*UVintensity!E27</f>
        <v>0</v>
      </c>
      <c r="N9" s="410">
        <f>UVintensity!$H$3*UVintensity!$E$4*UVintensity!E27</f>
        <v>0</v>
      </c>
      <c r="O9" s="410">
        <f>UVintensity!$H$3*UVintensity!$E$5*UVintensity!E27</f>
        <v>0</v>
      </c>
      <c r="P9" s="410">
        <f>UVintensity!$H$3*UVintensity!$E$6*UVintensity!E27</f>
        <v>0</v>
      </c>
      <c r="Q9" s="410">
        <f>UVintensity!$H$3*UVintensity!$E$7*UVintensity!E27</f>
        <v>0</v>
      </c>
      <c r="R9" s="410">
        <f>UVintensity!$H$3*UVintensity!$E$8*UVintensity!E27</f>
        <v>0</v>
      </c>
      <c r="S9" s="410">
        <f>UVintensity!$H$3*UVintensity!$E$9*UVintensity!E27</f>
        <v>0</v>
      </c>
      <c r="T9" s="410">
        <f>UVintensity!$H$3*UVintensity!$E$10*UVintensity!E27</f>
        <v>0</v>
      </c>
      <c r="U9" s="411">
        <f t="shared" si="0"/>
        <v>0</v>
      </c>
    </row>
    <row r="10" spans="1:21" ht="20" customHeight="1" x14ac:dyDescent="0.2">
      <c r="A10" s="143" t="s">
        <v>31</v>
      </c>
      <c r="B10" s="143" t="s">
        <v>384</v>
      </c>
      <c r="C10" s="439" t="s">
        <v>385</v>
      </c>
      <c r="D10" s="439"/>
      <c r="E10" s="143">
        <v>1.1850000000000001</v>
      </c>
      <c r="K10" s="144" t="s">
        <v>376</v>
      </c>
      <c r="L10" s="126" t="s">
        <v>149</v>
      </c>
      <c r="M10" s="410">
        <f>UVintensity!$H$3*UVintensity!E3*UVintensity!E28</f>
        <v>6.7966101694915251E-2</v>
      </c>
      <c r="N10" s="410">
        <f>UVintensity!$H$3*UVintensity!E4*UVintensity!E29</f>
        <v>0.11459143968871595</v>
      </c>
      <c r="O10" s="410">
        <f>UVintensity!$H$3*UVintensity!E5*UVintensity!E30</f>
        <v>4.860594795539034E-2</v>
      </c>
      <c r="P10" s="410">
        <f>UVintensity!$H$3*UVintensity!E6*UVintensity!E31</f>
        <v>2.9810181190681618E-2</v>
      </c>
      <c r="Q10" s="410">
        <f>UVintensity!$H$3*UVintensity!E7*UVintensity!E32</f>
        <v>4.2522658610271893E-2</v>
      </c>
      <c r="R10" s="410">
        <f>UVintensity!$H$3*UVintensity!E8*UVintensity!E33</f>
        <v>0.19612068965517243</v>
      </c>
      <c r="S10" s="410">
        <f>UVintensity!$H$3*UVintensity!E9*UVintensity!E34</f>
        <v>6.8991660348749042E-3</v>
      </c>
      <c r="T10" s="410">
        <f>UVintensity!$H$3*UVintensity!E10*UVintensity!E35</f>
        <v>0.33664772727272707</v>
      </c>
      <c r="U10" s="411">
        <f t="shared" si="0"/>
        <v>0.10539548901284368</v>
      </c>
    </row>
    <row r="11" spans="1:21" ht="20" customHeight="1" x14ac:dyDescent="0.2">
      <c r="K11" s="144" t="s">
        <v>397</v>
      </c>
      <c r="L11" s="149" t="s">
        <v>175</v>
      </c>
      <c r="M11" s="410">
        <f>UVintensity!$H$3*UVintensity!$E$3*UVintensity!E36</f>
        <v>0</v>
      </c>
      <c r="N11" s="410">
        <f>UVintensity!$H$3*UVintensity!$E$4*UVintensity!E36</f>
        <v>0</v>
      </c>
      <c r="O11" s="410">
        <f>UVintensity!$H$3*UVintensity!$E$5*UVintensity!E36</f>
        <v>0</v>
      </c>
      <c r="P11" s="410">
        <f>UVintensity!$H$3*UVintensity!$E$6*UVintensity!E36</f>
        <v>0</v>
      </c>
      <c r="Q11" s="410">
        <f>UVintensity!$H$3*UVintensity!$E$7*UVintensity!E36</f>
        <v>0</v>
      </c>
      <c r="R11" s="410">
        <f>UVintensity!$H$3*UVintensity!$E$8*UVintensity!E36</f>
        <v>0</v>
      </c>
      <c r="S11" s="410">
        <f>UVintensity!$H$3*UVintensity!$E$9*UVintensity!E36</f>
        <v>0</v>
      </c>
      <c r="T11" s="410">
        <f>UVintensity!$H$3*UVintensity!$E$10*UVintensity!E36</f>
        <v>0</v>
      </c>
      <c r="U11" s="411">
        <f t="shared" si="0"/>
        <v>0</v>
      </c>
    </row>
    <row r="12" spans="1:21" ht="20" customHeight="1" x14ac:dyDescent="0.2">
      <c r="A12" s="438" t="s">
        <v>386</v>
      </c>
      <c r="B12" s="438"/>
      <c r="C12" s="438"/>
      <c r="D12" s="438"/>
      <c r="E12" s="438"/>
      <c r="K12" s="144" t="s">
        <v>380</v>
      </c>
      <c r="L12" s="149" t="s">
        <v>158</v>
      </c>
      <c r="M12" s="410">
        <f>UVintensity!$H$3*UVintensity!E3*UVintensity!E37</f>
        <v>3.467305514221183</v>
      </c>
      <c r="N12" s="410">
        <f>UVintensity!$H$3*UVintensity!E4*UVintensity!E38</f>
        <v>5.0928751817363507</v>
      </c>
      <c r="O12" s="410">
        <f>UVintensity!$H$3*UVintensity!E5*UVintensity!E39</f>
        <v>2.261098234336258</v>
      </c>
      <c r="P12" s="410">
        <f>UVintensity!$H$3*UVintensity!E6*UVintensity!E40</f>
        <v>5.974833192835006</v>
      </c>
      <c r="Q12" s="410">
        <f>UVintensity!$H$3*UVintensity!E7*UVintensity!E41</f>
        <v>2.4340311776889347</v>
      </c>
      <c r="R12" s="410">
        <f>UVintensity!$H$3*UVintensity!E8*UVintensity!E42</f>
        <v>5.9013366919101182</v>
      </c>
      <c r="S12" s="410">
        <f>UVintensity!$H$3*UVintensity!E9*UVintensity!E43</f>
        <v>1.5736897845093647</v>
      </c>
      <c r="T12" s="410">
        <f>UVintensity!$H$3*UVintensity!E10*UVintensity!E44</f>
        <v>5.1231384468230701</v>
      </c>
      <c r="U12" s="411">
        <f t="shared" si="0"/>
        <v>3.9785385280075354</v>
      </c>
    </row>
    <row r="13" spans="1:21" ht="20" customHeight="1" x14ac:dyDescent="0.2">
      <c r="A13" s="147" t="s">
        <v>371</v>
      </c>
      <c r="B13" s="147" t="s">
        <v>44</v>
      </c>
      <c r="C13" s="147" t="s">
        <v>387</v>
      </c>
      <c r="D13" s="147" t="s">
        <v>414</v>
      </c>
      <c r="E13" s="147" t="s">
        <v>388</v>
      </c>
      <c r="K13" s="144" t="s">
        <v>399</v>
      </c>
      <c r="L13" s="149" t="s">
        <v>176</v>
      </c>
      <c r="M13" s="410">
        <f>UVintensity!$H$3*UVintensity!$E$3*UVintensity!E45</f>
        <v>0</v>
      </c>
      <c r="N13" s="410">
        <f>UVintensity!$H$3*UVintensity!$E$4*UVintensity!E45</f>
        <v>0</v>
      </c>
      <c r="O13" s="410">
        <f>UVintensity!$H$3*UVintensity!$E$5*UVintensity!E45</f>
        <v>0</v>
      </c>
      <c r="P13" s="410">
        <f>UVintensity!$H$3*UVintensity!$E$6*UVintensity!E45</f>
        <v>0</v>
      </c>
      <c r="Q13" s="410">
        <f>UVintensity!$H$3*UVintensity!$E$7*UVintensity!E45</f>
        <v>0</v>
      </c>
      <c r="R13" s="410">
        <f>UVintensity!$H$3*UVintensity!$E$8*UVintensity!E45</f>
        <v>0</v>
      </c>
      <c r="S13" s="410">
        <f>UVintensity!$H$3*UVintensity!$E$9*UVintensity!E45</f>
        <v>0</v>
      </c>
      <c r="T13" s="410">
        <f>UVintensity!$H$3*UVintensity!$E$10*UVintensity!E45</f>
        <v>0</v>
      </c>
      <c r="U13" s="411">
        <f t="shared" si="0"/>
        <v>0</v>
      </c>
    </row>
    <row r="14" spans="1:21" ht="20" customHeight="1" x14ac:dyDescent="0.2">
      <c r="A14" s="145" t="s">
        <v>389</v>
      </c>
      <c r="B14" s="145" t="s">
        <v>390</v>
      </c>
      <c r="C14" s="145" t="s">
        <v>390</v>
      </c>
      <c r="D14" s="145" t="s">
        <v>390</v>
      </c>
      <c r="E14" s="148">
        <v>1</v>
      </c>
      <c r="K14" s="144" t="s">
        <v>400</v>
      </c>
      <c r="L14" s="149" t="s">
        <v>173</v>
      </c>
      <c r="M14" s="410">
        <f>UVintensity!$H$3*UVintensity!$E$3*UVintensity!E46</f>
        <v>0</v>
      </c>
      <c r="N14" s="410">
        <f>UVintensity!$H$3*UVintensity!$E$4*UVintensity!E46</f>
        <v>0</v>
      </c>
      <c r="O14" s="410">
        <f>UVintensity!$H$3*UVintensity!$E$5*UVintensity!E46</f>
        <v>0</v>
      </c>
      <c r="P14" s="410">
        <f>UVintensity!$H$3*UVintensity!$E$6*UVintensity!E46</f>
        <v>0</v>
      </c>
      <c r="Q14" s="410">
        <f>UVintensity!$H$3*UVintensity!$E$7*UVintensity!E46</f>
        <v>0</v>
      </c>
      <c r="R14" s="410">
        <f>UVintensity!$H$3*UVintensity!$E$8*UVintensity!E46</f>
        <v>0</v>
      </c>
      <c r="S14" s="410">
        <f>UVintensity!$H$3*UVintensity!$E$9*UVintensity!E46</f>
        <v>0</v>
      </c>
      <c r="T14" s="410">
        <f>UVintensity!$H$3*UVintensity!$E$10*UVintensity!E46</f>
        <v>0</v>
      </c>
      <c r="U14" s="411">
        <f t="shared" si="0"/>
        <v>0</v>
      </c>
    </row>
    <row r="15" spans="1:21" ht="20" customHeight="1" x14ac:dyDescent="0.2">
      <c r="A15" s="145" t="s">
        <v>391</v>
      </c>
      <c r="B15" s="145" t="s">
        <v>390</v>
      </c>
      <c r="C15" s="145" t="s">
        <v>390</v>
      </c>
      <c r="D15" s="145" t="s">
        <v>390</v>
      </c>
      <c r="E15" s="148">
        <v>0</v>
      </c>
      <c r="U15" s="126"/>
    </row>
    <row r="16" spans="1:21" ht="20" customHeight="1" x14ac:dyDescent="0.2">
      <c r="A16" s="145" t="s">
        <v>392</v>
      </c>
      <c r="B16" s="145" t="s">
        <v>390</v>
      </c>
      <c r="C16" s="145" t="s">
        <v>390</v>
      </c>
      <c r="D16" s="145" t="s">
        <v>390</v>
      </c>
      <c r="E16" s="148">
        <v>0</v>
      </c>
    </row>
    <row r="17" spans="1:6" ht="20" customHeight="1" x14ac:dyDescent="0.2">
      <c r="A17" s="145" t="s">
        <v>393</v>
      </c>
      <c r="B17" s="145" t="s">
        <v>390</v>
      </c>
      <c r="C17" s="145" t="s">
        <v>390</v>
      </c>
      <c r="D17" s="145" t="s">
        <v>390</v>
      </c>
      <c r="E17" s="148">
        <v>0</v>
      </c>
    </row>
    <row r="18" spans="1:6" ht="20" customHeight="1" x14ac:dyDescent="0.2">
      <c r="A18" s="145" t="s">
        <v>394</v>
      </c>
      <c r="B18" s="145" t="s">
        <v>390</v>
      </c>
      <c r="C18" s="145" t="s">
        <v>390</v>
      </c>
      <c r="D18" s="145" t="s">
        <v>390</v>
      </c>
      <c r="E18" s="148">
        <v>1</v>
      </c>
      <c r="F18" s="150"/>
    </row>
    <row r="19" spans="1:6" ht="20" customHeight="1" x14ac:dyDescent="0.2">
      <c r="A19" s="437" t="s">
        <v>395</v>
      </c>
      <c r="B19" s="145" t="s">
        <v>124</v>
      </c>
      <c r="C19" s="145">
        <v>2.4</v>
      </c>
      <c r="D19" s="151">
        <f>$H$6</f>
        <v>10</v>
      </c>
      <c r="E19" s="152">
        <f>(1-EXP(-D19*C19))/(D19*C19)</f>
        <v>4.1666666665093693E-2</v>
      </c>
      <c r="F19" s="150"/>
    </row>
    <row r="20" spans="1:6" ht="20" customHeight="1" x14ac:dyDescent="0.2">
      <c r="A20" s="437"/>
      <c r="B20" s="145" t="s">
        <v>47</v>
      </c>
      <c r="C20" s="145">
        <v>4.4000000000000004</v>
      </c>
      <c r="D20" s="151">
        <f t="shared" ref="D20:D26" si="1">$H$6</f>
        <v>10</v>
      </c>
      <c r="E20" s="152">
        <f t="shared" ref="E20:E26" si="2">(1-EXP(-D20*C20))/(D20*C20)</f>
        <v>2.2727272727272728E-2</v>
      </c>
      <c r="F20" s="150"/>
    </row>
    <row r="21" spans="1:6" ht="20" customHeight="1" x14ac:dyDescent="0.2">
      <c r="A21" s="437"/>
      <c r="B21" s="145" t="s">
        <v>30</v>
      </c>
      <c r="C21" s="145">
        <v>1.9</v>
      </c>
      <c r="D21" s="151">
        <f t="shared" si="1"/>
        <v>10</v>
      </c>
      <c r="E21" s="152">
        <f t="shared" si="2"/>
        <v>5.2631578652484398E-2</v>
      </c>
      <c r="F21" s="150"/>
    </row>
    <row r="22" spans="1:6" ht="20" customHeight="1" x14ac:dyDescent="0.2">
      <c r="A22" s="437"/>
      <c r="B22" s="145" t="s">
        <v>125</v>
      </c>
      <c r="C22" s="145">
        <v>2.5</v>
      </c>
      <c r="D22" s="151">
        <f t="shared" si="1"/>
        <v>10</v>
      </c>
      <c r="E22" s="152">
        <f t="shared" si="2"/>
        <v>3.9999999999444487E-2</v>
      </c>
      <c r="F22" s="150"/>
    </row>
    <row r="23" spans="1:6" ht="20" customHeight="1" x14ac:dyDescent="0.2">
      <c r="A23" s="437"/>
      <c r="B23" s="145" t="s">
        <v>49</v>
      </c>
      <c r="C23" s="145">
        <v>2.2000000000000002</v>
      </c>
      <c r="D23" s="151">
        <f t="shared" si="1"/>
        <v>10</v>
      </c>
      <c r="E23" s="152">
        <f t="shared" si="2"/>
        <v>4.5454545441866057E-2</v>
      </c>
      <c r="F23" s="150"/>
    </row>
    <row r="24" spans="1:6" ht="20" customHeight="1" x14ac:dyDescent="0.2">
      <c r="A24" s="437"/>
      <c r="B24" s="145" t="s">
        <v>50</v>
      </c>
      <c r="C24" s="145">
        <v>3.3</v>
      </c>
      <c r="D24" s="151">
        <f t="shared" si="1"/>
        <v>10</v>
      </c>
      <c r="E24" s="152">
        <f t="shared" si="2"/>
        <v>3.0303030303030162E-2</v>
      </c>
      <c r="F24" s="150"/>
    </row>
    <row r="25" spans="1:6" ht="20" customHeight="1" x14ac:dyDescent="0.2">
      <c r="A25" s="437"/>
      <c r="B25" s="145" t="s">
        <v>51</v>
      </c>
      <c r="C25" s="145">
        <v>2.9</v>
      </c>
      <c r="D25" s="151">
        <f t="shared" si="1"/>
        <v>10</v>
      </c>
      <c r="E25" s="152">
        <f t="shared" si="2"/>
        <v>3.4482758620680884E-2</v>
      </c>
      <c r="F25" s="150"/>
    </row>
    <row r="26" spans="1:6" ht="20" customHeight="1" x14ac:dyDescent="0.2">
      <c r="A26" s="437"/>
      <c r="B26" s="145" t="s">
        <v>31</v>
      </c>
      <c r="C26" s="151">
        <v>1</v>
      </c>
      <c r="D26" s="151">
        <f t="shared" si="1"/>
        <v>10</v>
      </c>
      <c r="E26" s="152">
        <f t="shared" si="2"/>
        <v>9.9995460007023751E-2</v>
      </c>
      <c r="F26" s="150"/>
    </row>
    <row r="27" spans="1:6" ht="20" customHeight="1" x14ac:dyDescent="0.2">
      <c r="A27" s="145" t="s">
        <v>396</v>
      </c>
      <c r="B27" s="145" t="s">
        <v>390</v>
      </c>
      <c r="C27" s="145" t="s">
        <v>390</v>
      </c>
      <c r="D27" s="145" t="s">
        <v>390</v>
      </c>
      <c r="E27" s="148">
        <v>0</v>
      </c>
    </row>
    <row r="28" spans="1:6" ht="20" customHeight="1" x14ac:dyDescent="0.2">
      <c r="A28" s="437" t="s">
        <v>376</v>
      </c>
      <c r="B28" s="145" t="s">
        <v>124</v>
      </c>
      <c r="C28" s="145">
        <v>29.5</v>
      </c>
      <c r="D28" s="151">
        <f>$H$7</f>
        <v>4</v>
      </c>
      <c r="E28" s="152">
        <f>(1-EXP(-D28*C28))/(D28*C28)</f>
        <v>8.4745762711864406E-3</v>
      </c>
    </row>
    <row r="29" spans="1:6" ht="20" customHeight="1" x14ac:dyDescent="0.2">
      <c r="A29" s="437"/>
      <c r="B29" s="145" t="s">
        <v>47</v>
      </c>
      <c r="C29" s="145">
        <v>25.7</v>
      </c>
      <c r="D29" s="151">
        <f t="shared" ref="D29:D35" si="3">$H$7</f>
        <v>4</v>
      </c>
      <c r="E29" s="152">
        <f t="shared" ref="E29:E35" si="4">(1-EXP(-D29*C29))/(D29*C29)</f>
        <v>9.727626459143969E-3</v>
      </c>
    </row>
    <row r="30" spans="1:6" ht="20" customHeight="1" x14ac:dyDescent="0.2">
      <c r="A30" s="437"/>
      <c r="B30" s="145" t="s">
        <v>30</v>
      </c>
      <c r="C30" s="145">
        <v>26.9</v>
      </c>
      <c r="D30" s="151">
        <f t="shared" si="3"/>
        <v>4</v>
      </c>
      <c r="E30" s="152">
        <f t="shared" si="4"/>
        <v>9.2936802973977699E-3</v>
      </c>
    </row>
    <row r="31" spans="1:6" ht="20" customHeight="1" x14ac:dyDescent="0.2">
      <c r="A31" s="437"/>
      <c r="B31" s="145" t="s">
        <v>125</v>
      </c>
      <c r="C31" s="145">
        <v>115.9</v>
      </c>
      <c r="D31" s="151">
        <f t="shared" si="3"/>
        <v>4</v>
      </c>
      <c r="E31" s="152">
        <f t="shared" si="4"/>
        <v>2.1570319240724763E-3</v>
      </c>
    </row>
    <row r="32" spans="1:6" ht="20" customHeight="1" x14ac:dyDescent="0.2">
      <c r="A32" s="437"/>
      <c r="B32" s="145" t="s">
        <v>49</v>
      </c>
      <c r="C32" s="145">
        <v>33.1</v>
      </c>
      <c r="D32" s="151">
        <f t="shared" si="3"/>
        <v>4</v>
      </c>
      <c r="E32" s="152">
        <f t="shared" si="4"/>
        <v>7.5528700906344406E-3</v>
      </c>
    </row>
    <row r="33" spans="1:6" ht="20" customHeight="1" x14ac:dyDescent="0.2">
      <c r="A33" s="437"/>
      <c r="B33" s="145" t="s">
        <v>50</v>
      </c>
      <c r="C33" s="145">
        <v>17.399999999999999</v>
      </c>
      <c r="D33" s="151">
        <f t="shared" si="3"/>
        <v>4</v>
      </c>
      <c r="E33" s="152">
        <f t="shared" si="4"/>
        <v>1.4367816091954025E-2</v>
      </c>
    </row>
    <row r="34" spans="1:6" ht="20" customHeight="1" x14ac:dyDescent="0.2">
      <c r="A34" s="437"/>
      <c r="B34" s="145" t="s">
        <v>51</v>
      </c>
      <c r="C34" s="145">
        <v>131.9</v>
      </c>
      <c r="D34" s="151">
        <f t="shared" si="3"/>
        <v>4</v>
      </c>
      <c r="E34" s="152">
        <f t="shared" si="4"/>
        <v>1.8953752843062926E-3</v>
      </c>
    </row>
    <row r="35" spans="1:6" ht="20" customHeight="1" x14ac:dyDescent="0.2">
      <c r="A35" s="437"/>
      <c r="B35" s="145" t="s">
        <v>31</v>
      </c>
      <c r="C35" s="145">
        <v>8.8000000000000007</v>
      </c>
      <c r="D35" s="151">
        <f t="shared" si="3"/>
        <v>4</v>
      </c>
      <c r="E35" s="152">
        <f t="shared" si="4"/>
        <v>2.8409090909090891E-2</v>
      </c>
    </row>
    <row r="36" spans="1:6" ht="20" customHeight="1" x14ac:dyDescent="0.2">
      <c r="A36" s="145" t="s">
        <v>397</v>
      </c>
      <c r="B36" s="145" t="s">
        <v>390</v>
      </c>
      <c r="C36" s="145" t="s">
        <v>390</v>
      </c>
      <c r="D36" s="145" t="s">
        <v>390</v>
      </c>
      <c r="E36" s="148">
        <v>0</v>
      </c>
    </row>
    <row r="37" spans="1:6" ht="20" customHeight="1" x14ac:dyDescent="0.2">
      <c r="A37" s="437" t="s">
        <v>380</v>
      </c>
      <c r="B37" s="145" t="s">
        <v>124</v>
      </c>
      <c r="C37" s="145">
        <v>10</v>
      </c>
      <c r="D37" s="151">
        <f>$H$8</f>
        <v>0.2</v>
      </c>
      <c r="E37" s="152">
        <f>(1-EXP(-D37*C37))/(D37*C37)</f>
        <v>0.43233235838169365</v>
      </c>
      <c r="F37" s="153" t="s">
        <v>398</v>
      </c>
    </row>
    <row r="38" spans="1:6" ht="20" customHeight="1" x14ac:dyDescent="0.2">
      <c r="A38" s="437"/>
      <c r="B38" s="145" t="s">
        <v>47</v>
      </c>
      <c r="C38" s="145">
        <v>10</v>
      </c>
      <c r="D38" s="151">
        <f t="shared" ref="D38:D44" si="5">$H$8</f>
        <v>0.2</v>
      </c>
      <c r="E38" s="152">
        <f t="shared" ref="E38:E44" si="6">(1-EXP(-D38*C38))/(D38*C38)</f>
        <v>0.43233235838169365</v>
      </c>
      <c r="F38" s="153" t="s">
        <v>398</v>
      </c>
    </row>
    <row r="39" spans="1:6" ht="20" customHeight="1" x14ac:dyDescent="0.2">
      <c r="A39" s="437"/>
      <c r="B39" s="145" t="s">
        <v>30</v>
      </c>
      <c r="C39" s="145">
        <v>10</v>
      </c>
      <c r="D39" s="151">
        <f t="shared" si="5"/>
        <v>0.2</v>
      </c>
      <c r="E39" s="152">
        <f t="shared" si="6"/>
        <v>0.43233235838169365</v>
      </c>
      <c r="F39" s="153" t="s">
        <v>398</v>
      </c>
    </row>
    <row r="40" spans="1:6" ht="20" customHeight="1" x14ac:dyDescent="0.2">
      <c r="A40" s="437"/>
      <c r="B40" s="145" t="s">
        <v>125</v>
      </c>
      <c r="C40" s="145">
        <v>10</v>
      </c>
      <c r="D40" s="151">
        <f t="shared" si="5"/>
        <v>0.2</v>
      </c>
      <c r="E40" s="152">
        <f t="shared" si="6"/>
        <v>0.43233235838169365</v>
      </c>
      <c r="F40" s="153" t="s">
        <v>398</v>
      </c>
    </row>
    <row r="41" spans="1:6" ht="20" customHeight="1" x14ac:dyDescent="0.2">
      <c r="A41" s="437"/>
      <c r="B41" s="145" t="s">
        <v>49</v>
      </c>
      <c r="C41" s="145">
        <v>10</v>
      </c>
      <c r="D41" s="151">
        <f t="shared" si="5"/>
        <v>0.2</v>
      </c>
      <c r="E41" s="152">
        <f t="shared" si="6"/>
        <v>0.43233235838169365</v>
      </c>
      <c r="F41" s="153" t="s">
        <v>398</v>
      </c>
    </row>
    <row r="42" spans="1:6" ht="20" customHeight="1" x14ac:dyDescent="0.2">
      <c r="A42" s="437"/>
      <c r="B42" s="145" t="s">
        <v>50</v>
      </c>
      <c r="C42" s="145">
        <v>10</v>
      </c>
      <c r="D42" s="151">
        <f t="shared" si="5"/>
        <v>0.2</v>
      </c>
      <c r="E42" s="152">
        <f t="shared" si="6"/>
        <v>0.43233235838169365</v>
      </c>
      <c r="F42" s="153" t="s">
        <v>398</v>
      </c>
    </row>
    <row r="43" spans="1:6" ht="20" customHeight="1" x14ac:dyDescent="0.2">
      <c r="A43" s="437"/>
      <c r="B43" s="145" t="s">
        <v>51</v>
      </c>
      <c r="C43" s="145">
        <v>10</v>
      </c>
      <c r="D43" s="151">
        <f t="shared" si="5"/>
        <v>0.2</v>
      </c>
      <c r="E43" s="152">
        <f t="shared" si="6"/>
        <v>0.43233235838169365</v>
      </c>
      <c r="F43" s="153" t="s">
        <v>398</v>
      </c>
    </row>
    <row r="44" spans="1:6" ht="20" customHeight="1" x14ac:dyDescent="0.2">
      <c r="A44" s="437"/>
      <c r="B44" s="145" t="s">
        <v>31</v>
      </c>
      <c r="C44" s="145">
        <v>10</v>
      </c>
      <c r="D44" s="151">
        <f t="shared" si="5"/>
        <v>0.2</v>
      </c>
      <c r="E44" s="152">
        <f t="shared" si="6"/>
        <v>0.43233235838169365</v>
      </c>
      <c r="F44" s="153" t="s">
        <v>398</v>
      </c>
    </row>
    <row r="45" spans="1:6" ht="20" customHeight="1" x14ac:dyDescent="0.2">
      <c r="A45" s="145" t="s">
        <v>399</v>
      </c>
      <c r="B45" s="145" t="s">
        <v>390</v>
      </c>
      <c r="C45" s="145" t="s">
        <v>390</v>
      </c>
      <c r="D45" s="145" t="s">
        <v>390</v>
      </c>
      <c r="E45" s="148">
        <v>0</v>
      </c>
    </row>
    <row r="46" spans="1:6" ht="20" customHeight="1" x14ac:dyDescent="0.2">
      <c r="A46" s="145" t="s">
        <v>400</v>
      </c>
      <c r="B46" s="145" t="s">
        <v>390</v>
      </c>
      <c r="C46" s="145" t="s">
        <v>390</v>
      </c>
      <c r="D46" s="145" t="s">
        <v>390</v>
      </c>
      <c r="E46" s="148">
        <v>0</v>
      </c>
    </row>
    <row r="47" spans="1:6" ht="20" customHeight="1" x14ac:dyDescent="0.2">
      <c r="A47" s="153" t="s">
        <v>401</v>
      </c>
    </row>
  </sheetData>
  <mergeCells count="16">
    <mergeCell ref="A19:A26"/>
    <mergeCell ref="A28:A35"/>
    <mergeCell ref="A37:A44"/>
    <mergeCell ref="K1:T1"/>
    <mergeCell ref="C6:D6"/>
    <mergeCell ref="C7:D7"/>
    <mergeCell ref="C8:D8"/>
    <mergeCell ref="C9:D9"/>
    <mergeCell ref="C10:D10"/>
    <mergeCell ref="A12:E12"/>
    <mergeCell ref="A1:E1"/>
    <mergeCell ref="G1:H1"/>
    <mergeCell ref="C2:D2"/>
    <mergeCell ref="C3:D3"/>
    <mergeCell ref="C4:D4"/>
    <mergeCell ref="C5:D5"/>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A9E9-10AC-C642-84B7-715D2DB5BA6E}">
  <dimension ref="A1:N11"/>
  <sheetViews>
    <sheetView workbookViewId="0">
      <selection activeCell="K17" sqref="K17"/>
    </sheetView>
  </sheetViews>
  <sheetFormatPr baseColWidth="10" defaultRowHeight="15" x14ac:dyDescent="0.2"/>
  <cols>
    <col min="1" max="8" width="10.83203125" style="15"/>
    <col min="9" max="9" width="21.83203125" style="15" bestFit="1" customWidth="1"/>
    <col min="10" max="10" width="10.83203125" style="15"/>
    <col min="11" max="11" width="17.33203125" style="15" bestFit="1" customWidth="1"/>
    <col min="12" max="12" width="13.6640625" style="15" bestFit="1" customWidth="1"/>
    <col min="13" max="13" width="14.6640625" style="15" bestFit="1" customWidth="1"/>
    <col min="14" max="14" width="36.6640625" style="15" bestFit="1" customWidth="1"/>
    <col min="15" max="16384" width="10.83203125" style="15"/>
  </cols>
  <sheetData>
    <row r="1" spans="1:14" ht="16" x14ac:dyDescent="0.2">
      <c r="A1" s="127" t="s">
        <v>171</v>
      </c>
      <c r="B1" s="127" t="s">
        <v>141</v>
      </c>
      <c r="C1" s="127" t="s">
        <v>142</v>
      </c>
      <c r="D1" s="127" t="s">
        <v>320</v>
      </c>
      <c r="E1" s="128" t="s">
        <v>321</v>
      </c>
      <c r="F1" s="127" t="s">
        <v>129</v>
      </c>
      <c r="G1" s="127" t="s">
        <v>322</v>
      </c>
      <c r="H1" s="127" t="s">
        <v>323</v>
      </c>
      <c r="I1" s="129" t="s">
        <v>324</v>
      </c>
      <c r="K1" s="130" t="s">
        <v>335</v>
      </c>
      <c r="L1" s="130" t="s">
        <v>333</v>
      </c>
      <c r="M1" s="130" t="s">
        <v>334</v>
      </c>
      <c r="N1" s="130" t="s">
        <v>192</v>
      </c>
    </row>
    <row r="2" spans="1:14" ht="16" x14ac:dyDescent="0.2">
      <c r="A2" s="15" t="s">
        <v>327</v>
      </c>
      <c r="C2" s="131"/>
      <c r="E2" s="15" t="s">
        <v>325</v>
      </c>
      <c r="F2" s="15">
        <v>0</v>
      </c>
      <c r="G2" s="15">
        <f>LN(K2)</f>
        <v>6.9730810612061047</v>
      </c>
      <c r="H2" s="15">
        <f>(LN(M2)-LN(L2))/(2*1.96)</f>
        <v>0.55726717491001576</v>
      </c>
      <c r="I2" s="15" t="s">
        <v>330</v>
      </c>
      <c r="K2" s="132">
        <v>1067.5067424615929</v>
      </c>
      <c r="L2" s="132">
        <v>358.10899607848938</v>
      </c>
      <c r="M2" s="132">
        <v>3182.1893827855502</v>
      </c>
      <c r="N2" s="133" t="s">
        <v>337</v>
      </c>
    </row>
    <row r="3" spans="1:14" ht="16" x14ac:dyDescent="0.2">
      <c r="A3" s="15" t="s">
        <v>328</v>
      </c>
      <c r="C3" s="131"/>
      <c r="E3" s="15" t="s">
        <v>325</v>
      </c>
      <c r="F3" s="15">
        <v>0</v>
      </c>
      <c r="G3" s="15">
        <f t="shared" ref="G3" si="0">LN(K3)</f>
        <v>2.7833431851376411</v>
      </c>
      <c r="H3" s="15">
        <f>(LN(M3)-LN(L3))/(2*1.96)</f>
        <v>1.1462822280226725</v>
      </c>
      <c r="I3" s="15" t="s">
        <v>331</v>
      </c>
      <c r="K3" s="132">
        <v>16.172999999999998</v>
      </c>
      <c r="L3" s="132">
        <v>1.7102619253088662</v>
      </c>
      <c r="M3" s="132">
        <v>152.94415661588968</v>
      </c>
      <c r="N3" s="133" t="s">
        <v>337</v>
      </c>
    </row>
    <row r="4" spans="1:14" ht="16" x14ac:dyDescent="0.2">
      <c r="A4" s="15" t="s">
        <v>329</v>
      </c>
      <c r="C4" s="131"/>
      <c r="E4" s="15" t="s">
        <v>325</v>
      </c>
      <c r="F4" s="15">
        <v>0</v>
      </c>
      <c r="G4" s="15">
        <f>LN(GEOMEAN(L4:M4))</f>
        <v>-0.50343693846229121</v>
      </c>
      <c r="H4" s="15">
        <f>(LN(M4)-LN(L4))/(2*0.674)</f>
        <v>0.5973772097037473</v>
      </c>
      <c r="I4" s="15" t="s">
        <v>332</v>
      </c>
      <c r="K4" s="132">
        <f>0.79/1.46</f>
        <v>0.54109589041095896</v>
      </c>
      <c r="L4" s="132">
        <f>0.59/1.46</f>
        <v>0.4041095890410959</v>
      </c>
      <c r="M4" s="132">
        <f>1.32/1.46</f>
        <v>0.90410958904109595</v>
      </c>
      <c r="N4" s="15" t="s">
        <v>338</v>
      </c>
    </row>
    <row r="5" spans="1:14" ht="16" x14ac:dyDescent="0.2">
      <c r="C5" s="131"/>
    </row>
    <row r="6" spans="1:14" ht="16" x14ac:dyDescent="0.2">
      <c r="C6" s="131"/>
    </row>
    <row r="7" spans="1:14" ht="16" x14ac:dyDescent="0.2">
      <c r="C7" s="131"/>
    </row>
    <row r="8" spans="1:14" ht="16" x14ac:dyDescent="0.2">
      <c r="C8" s="131"/>
    </row>
    <row r="9" spans="1:14" ht="16" x14ac:dyDescent="0.2">
      <c r="C9" s="131"/>
    </row>
    <row r="10" spans="1:14" ht="16" x14ac:dyDescent="0.2">
      <c r="C10" s="131"/>
    </row>
    <row r="11" spans="1:14" ht="16" x14ac:dyDescent="0.2">
      <c r="C11" s="1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32DDA-1CFC-764E-BBBA-0B4F876B3359}">
  <dimension ref="A1:U81"/>
  <sheetViews>
    <sheetView topLeftCell="F1" zoomScale="125" workbookViewId="0">
      <selection activeCell="D27" sqref="D27"/>
    </sheetView>
  </sheetViews>
  <sheetFormatPr baseColWidth="10" defaultRowHeight="15" x14ac:dyDescent="0.2"/>
  <cols>
    <col min="1" max="5" width="10.83203125" style="126"/>
    <col min="6" max="9" width="10.83203125" style="15"/>
    <col min="10" max="14" width="10.83203125" style="126"/>
    <col min="15" max="15" width="17" style="126" customWidth="1"/>
    <col min="16" max="17" width="10.83203125" style="15"/>
    <col min="18" max="19" width="10.83203125" style="126"/>
    <col min="20" max="20" width="17.33203125" style="126" customWidth="1"/>
    <col min="21" max="16384" width="10.83203125" style="126"/>
  </cols>
  <sheetData>
    <row r="1" spans="1:21" x14ac:dyDescent="0.2">
      <c r="F1" s="126"/>
      <c r="G1" s="126"/>
      <c r="H1" s="126"/>
      <c r="I1" s="126"/>
      <c r="J1" s="126" t="s">
        <v>215</v>
      </c>
      <c r="N1" s="126" t="s">
        <v>214</v>
      </c>
      <c r="Q1" s="126" t="s">
        <v>255</v>
      </c>
    </row>
    <row r="2" spans="1:21" x14ac:dyDescent="0.2">
      <c r="A2" s="25" t="s">
        <v>157</v>
      </c>
      <c r="B2" s="126" t="s">
        <v>212</v>
      </c>
      <c r="C2" s="126" t="s">
        <v>130</v>
      </c>
      <c r="D2" s="126">
        <v>1000</v>
      </c>
      <c r="E2" s="126" t="s">
        <v>218</v>
      </c>
      <c r="F2" s="126" t="s">
        <v>219</v>
      </c>
      <c r="G2" s="126"/>
      <c r="H2" s="126"/>
      <c r="I2" s="126"/>
      <c r="K2" s="126" t="s">
        <v>210</v>
      </c>
      <c r="L2" s="126" t="s">
        <v>212</v>
      </c>
      <c r="M2" s="126" t="s">
        <v>130</v>
      </c>
      <c r="N2" s="126">
        <v>0</v>
      </c>
      <c r="O2" s="126" t="str">
        <f>CONCATENATE(K2,".",F2)</f>
        <v>UVintensity.aA</v>
      </c>
      <c r="P2" s="126" t="s">
        <v>256</v>
      </c>
      <c r="Q2" s="25" t="str">
        <f>CONCATENATE(K2,",",L2,",",M2,",",N2,",",O2,",",P2)</f>
        <v>UVintensity,Arctic,air,0,UVintensity.aA,W.m-2</v>
      </c>
      <c r="U2" s="25"/>
    </row>
    <row r="3" spans="1:21" x14ac:dyDescent="0.2">
      <c r="A3" s="25" t="s">
        <v>157</v>
      </c>
      <c r="B3" s="126" t="s">
        <v>212</v>
      </c>
      <c r="C3" s="126" t="s">
        <v>213</v>
      </c>
      <c r="D3" s="126">
        <v>1000</v>
      </c>
      <c r="E3" s="126" t="s">
        <v>218</v>
      </c>
      <c r="F3" s="126" t="s">
        <v>219</v>
      </c>
      <c r="G3" s="126"/>
      <c r="H3" s="126"/>
      <c r="I3" s="126"/>
      <c r="K3" s="126" t="s">
        <v>210</v>
      </c>
      <c r="L3" s="126" t="s">
        <v>212</v>
      </c>
      <c r="M3" s="126" t="s">
        <v>213</v>
      </c>
      <c r="N3" s="126">
        <v>0</v>
      </c>
      <c r="O3" s="126" t="str">
        <f t="shared" ref="O3:O66" si="0">CONCATENATE(K3,".",F3)</f>
        <v>UVintensity.aA</v>
      </c>
      <c r="P3" s="126" t="s">
        <v>256</v>
      </c>
      <c r="Q3" s="25" t="str">
        <f t="shared" ref="Q3:Q66" si="1">CONCATENATE(K3,",",L3,",",M3,",",N3,",",O3,",",P3)</f>
        <v>UVintensity,Arctic,cloudwater,0,UVintensity.aA,W.m-2</v>
      </c>
      <c r="U3" s="25"/>
    </row>
    <row r="4" spans="1:21" x14ac:dyDescent="0.2">
      <c r="A4" s="25" t="s">
        <v>157</v>
      </c>
      <c r="B4" s="126" t="s">
        <v>212</v>
      </c>
      <c r="C4" s="126" t="s">
        <v>176</v>
      </c>
      <c r="D4" s="126">
        <v>3000</v>
      </c>
      <c r="E4" s="126" t="s">
        <v>220</v>
      </c>
      <c r="F4" s="126" t="s">
        <v>221</v>
      </c>
      <c r="G4" s="126"/>
      <c r="H4" s="126"/>
      <c r="I4" s="126"/>
      <c r="K4" s="126" t="s">
        <v>210</v>
      </c>
      <c r="L4" s="126" t="s">
        <v>212</v>
      </c>
      <c r="M4" s="126" t="s">
        <v>176</v>
      </c>
      <c r="N4" s="126">
        <v>0</v>
      </c>
      <c r="O4" s="126" t="str">
        <f t="shared" si="0"/>
        <v>UVintensity.w3A</v>
      </c>
      <c r="P4" s="126" t="s">
        <v>256</v>
      </c>
      <c r="Q4" s="25" t="str">
        <f t="shared" si="1"/>
        <v>UVintensity,Arctic,deepocean,0,UVintensity.w3A,W.m-2</v>
      </c>
      <c r="U4" s="25"/>
    </row>
    <row r="5" spans="1:21" x14ac:dyDescent="0.2">
      <c r="A5" s="25" t="s">
        <v>157</v>
      </c>
      <c r="B5" s="126" t="s">
        <v>212</v>
      </c>
      <c r="C5" s="126" t="s">
        <v>173</v>
      </c>
      <c r="D5" s="126">
        <v>0.03</v>
      </c>
      <c r="E5" s="126" t="s">
        <v>220</v>
      </c>
      <c r="F5" s="126" t="s">
        <v>222</v>
      </c>
      <c r="G5" s="126"/>
      <c r="H5" s="126"/>
      <c r="I5" s="126"/>
      <c r="K5" s="126" t="s">
        <v>210</v>
      </c>
      <c r="L5" s="126" t="s">
        <v>212</v>
      </c>
      <c r="M5" s="126" t="s">
        <v>173</v>
      </c>
      <c r="N5" s="126">
        <v>0</v>
      </c>
      <c r="O5" s="126" t="str">
        <f t="shared" si="0"/>
        <v>UVintensity.sdA</v>
      </c>
      <c r="P5" s="126" t="s">
        <v>256</v>
      </c>
      <c r="Q5" s="25" t="str">
        <f t="shared" si="1"/>
        <v>UVintensity,Arctic,marinesediment,0,UVintensity.sdA,W.m-2</v>
      </c>
      <c r="U5" s="25"/>
    </row>
    <row r="6" spans="1:21" x14ac:dyDescent="0.2">
      <c r="A6" s="25" t="s">
        <v>157</v>
      </c>
      <c r="B6" s="126" t="s">
        <v>212</v>
      </c>
      <c r="C6" s="126" t="s">
        <v>150</v>
      </c>
      <c r="D6" s="126">
        <v>0.05</v>
      </c>
      <c r="E6" s="126" t="s">
        <v>220</v>
      </c>
      <c r="F6" s="126" t="s">
        <v>223</v>
      </c>
      <c r="G6" s="126"/>
      <c r="H6" s="126"/>
      <c r="I6" s="126"/>
      <c r="K6" s="126" t="s">
        <v>210</v>
      </c>
      <c r="L6" s="126" t="s">
        <v>212</v>
      </c>
      <c r="M6" s="126" t="s">
        <v>150</v>
      </c>
      <c r="N6" s="126">
        <v>0</v>
      </c>
      <c r="O6" s="126" t="str">
        <f t="shared" si="0"/>
        <v>UVintensity.sA</v>
      </c>
      <c r="P6" s="126" t="s">
        <v>256</v>
      </c>
      <c r="Q6" s="25" t="str">
        <f t="shared" si="1"/>
        <v>UVintensity,Arctic,naturalsoil,0,UVintensity.sA,W.m-2</v>
      </c>
      <c r="U6" s="25"/>
    </row>
    <row r="7" spans="1:21" x14ac:dyDescent="0.2">
      <c r="A7" s="25" t="s">
        <v>157</v>
      </c>
      <c r="B7" s="126" t="s">
        <v>212</v>
      </c>
      <c r="C7" s="126" t="s">
        <v>158</v>
      </c>
      <c r="D7" s="126">
        <v>100</v>
      </c>
      <c r="E7" s="126" t="s">
        <v>220</v>
      </c>
      <c r="F7" s="126" t="s">
        <v>224</v>
      </c>
      <c r="G7" s="126"/>
      <c r="H7" s="126"/>
      <c r="I7" s="126"/>
      <c r="K7" s="126" t="s">
        <v>210</v>
      </c>
      <c r="L7" s="126" t="s">
        <v>212</v>
      </c>
      <c r="M7" s="126" t="s">
        <v>158</v>
      </c>
      <c r="N7" s="126">
        <v>0</v>
      </c>
      <c r="O7" s="126" t="str">
        <f t="shared" si="0"/>
        <v>UVintensity.w2A</v>
      </c>
      <c r="P7" s="126" t="s">
        <v>256</v>
      </c>
      <c r="Q7" s="25" t="str">
        <f t="shared" si="1"/>
        <v>UVintensity,Arctic,sea,0,UVintensity.w2A,W.m-2</v>
      </c>
      <c r="U7" s="25"/>
    </row>
    <row r="8" spans="1:21" x14ac:dyDescent="0.2">
      <c r="A8" s="25" t="s">
        <v>157</v>
      </c>
      <c r="B8" s="126" t="s">
        <v>144</v>
      </c>
      <c r="C8" s="126" t="s">
        <v>151</v>
      </c>
      <c r="D8" s="126">
        <v>0.2</v>
      </c>
      <c r="E8" s="126" t="s">
        <v>220</v>
      </c>
      <c r="F8" s="126" t="s">
        <v>225</v>
      </c>
      <c r="G8" s="126"/>
      <c r="H8" s="126"/>
      <c r="I8" s="126"/>
      <c r="K8" s="126" t="s">
        <v>210</v>
      </c>
      <c r="L8" s="126" t="s">
        <v>144</v>
      </c>
      <c r="M8" s="126" t="s">
        <v>151</v>
      </c>
      <c r="N8" s="126">
        <v>0</v>
      </c>
      <c r="O8" s="126" t="str">
        <f t="shared" si="0"/>
        <v>UVintensity.s2C</v>
      </c>
      <c r="P8" s="126" t="s">
        <v>256</v>
      </c>
      <c r="Q8" s="25" t="str">
        <f t="shared" si="1"/>
        <v>UVintensity,Continental,agriculturalsoil,0,UVintensity.s2C,W.m-2</v>
      </c>
      <c r="U8" s="25"/>
    </row>
    <row r="9" spans="1:21" x14ac:dyDescent="0.2">
      <c r="A9" s="25" t="s">
        <v>157</v>
      </c>
      <c r="B9" s="126" t="s">
        <v>144</v>
      </c>
      <c r="C9" s="126" t="s">
        <v>130</v>
      </c>
      <c r="D9" s="126">
        <v>1000</v>
      </c>
      <c r="E9" s="126" t="s">
        <v>218</v>
      </c>
      <c r="F9" s="126" t="s">
        <v>226</v>
      </c>
      <c r="G9" s="126"/>
      <c r="H9" s="126"/>
      <c r="I9" s="126"/>
      <c r="K9" s="126" t="s">
        <v>210</v>
      </c>
      <c r="L9" s="126" t="s">
        <v>144</v>
      </c>
      <c r="M9" s="126" t="s">
        <v>130</v>
      </c>
      <c r="N9" s="126">
        <v>10</v>
      </c>
      <c r="O9" s="126" t="str">
        <f t="shared" si="0"/>
        <v>UVintensity.aC</v>
      </c>
      <c r="P9" s="126" t="s">
        <v>256</v>
      </c>
      <c r="Q9" s="25" t="str">
        <f t="shared" si="1"/>
        <v>UVintensity,Continental,air,10,UVintensity.aC,W.m-2</v>
      </c>
      <c r="U9" s="25"/>
    </row>
    <row r="10" spans="1:21" x14ac:dyDescent="0.2">
      <c r="A10" s="25" t="s">
        <v>157</v>
      </c>
      <c r="B10" s="126" t="s">
        <v>144</v>
      </c>
      <c r="C10" s="126" t="s">
        <v>213</v>
      </c>
      <c r="D10" s="126">
        <v>1000</v>
      </c>
      <c r="E10" s="126" t="s">
        <v>218</v>
      </c>
      <c r="F10" s="126" t="s">
        <v>226</v>
      </c>
      <c r="G10" s="126"/>
      <c r="H10" s="126"/>
      <c r="I10" s="126"/>
      <c r="K10" s="126" t="s">
        <v>210</v>
      </c>
      <c r="L10" s="126" t="s">
        <v>144</v>
      </c>
      <c r="M10" s="126" t="s">
        <v>213</v>
      </c>
      <c r="N10" s="126">
        <v>10</v>
      </c>
      <c r="O10" s="126" t="str">
        <f t="shared" si="0"/>
        <v>UVintensity.aC</v>
      </c>
      <c r="P10" s="126" t="s">
        <v>256</v>
      </c>
      <c r="Q10" s="25" t="str">
        <f t="shared" si="1"/>
        <v>UVintensity,Continental,cloudwater,10,UVintensity.aC,W.m-2</v>
      </c>
      <c r="U10" s="25"/>
    </row>
    <row r="11" spans="1:21" x14ac:dyDescent="0.2">
      <c r="A11" s="25" t="s">
        <v>157</v>
      </c>
      <c r="B11" s="126" t="s">
        <v>144</v>
      </c>
      <c r="C11" s="126" t="s">
        <v>174</v>
      </c>
      <c r="D11" s="126">
        <v>0.03</v>
      </c>
      <c r="E11" s="126" t="s">
        <v>220</v>
      </c>
      <c r="F11" s="126" t="s">
        <v>227</v>
      </c>
      <c r="G11" s="126"/>
      <c r="H11" s="126"/>
      <c r="I11" s="126"/>
      <c r="K11" s="126" t="s">
        <v>210</v>
      </c>
      <c r="L11" s="126" t="s">
        <v>144</v>
      </c>
      <c r="M11" s="126" t="s">
        <v>174</v>
      </c>
      <c r="N11" s="126">
        <v>0</v>
      </c>
      <c r="O11" s="126" t="str">
        <f t="shared" si="0"/>
        <v>UVintensity.sd1C</v>
      </c>
      <c r="P11" s="126" t="s">
        <v>256</v>
      </c>
      <c r="Q11" s="25" t="str">
        <f t="shared" si="1"/>
        <v>UVintensity,Continental,freshwatersediment,0,UVintensity.sd1C,W.m-2</v>
      </c>
      <c r="U11" s="25"/>
    </row>
    <row r="12" spans="1:21" x14ac:dyDescent="0.2">
      <c r="A12" s="25" t="s">
        <v>157</v>
      </c>
      <c r="B12" s="126" t="s">
        <v>144</v>
      </c>
      <c r="C12" s="126" t="s">
        <v>149</v>
      </c>
      <c r="D12" s="126">
        <v>100</v>
      </c>
      <c r="E12" s="126" t="s">
        <v>220</v>
      </c>
      <c r="F12" s="126" t="s">
        <v>228</v>
      </c>
      <c r="G12" s="126"/>
      <c r="H12" s="126"/>
      <c r="I12" s="126"/>
      <c r="K12" s="126" t="s">
        <v>210</v>
      </c>
      <c r="L12" s="126" t="s">
        <v>144</v>
      </c>
      <c r="M12" s="126" t="s">
        <v>149</v>
      </c>
      <c r="N12" s="126">
        <v>10</v>
      </c>
      <c r="O12" s="126" t="str">
        <f t="shared" si="0"/>
        <v>UVintensity.w0C</v>
      </c>
      <c r="P12" s="126" t="s">
        <v>256</v>
      </c>
      <c r="Q12" s="25" t="str">
        <f t="shared" si="1"/>
        <v>UVintensity,Continental,lake,10,UVintensity.w0C,W.m-2</v>
      </c>
      <c r="U12" s="25"/>
    </row>
    <row r="13" spans="1:21" x14ac:dyDescent="0.2">
      <c r="A13" s="25" t="s">
        <v>157</v>
      </c>
      <c r="B13" s="126" t="s">
        <v>144</v>
      </c>
      <c r="C13" s="126" t="s">
        <v>175</v>
      </c>
      <c r="D13" s="126">
        <v>0.03</v>
      </c>
      <c r="E13" s="126" t="s">
        <v>220</v>
      </c>
      <c r="F13" s="126" t="s">
        <v>229</v>
      </c>
      <c r="G13" s="126"/>
      <c r="H13" s="126"/>
      <c r="I13" s="126"/>
      <c r="K13" s="126" t="s">
        <v>210</v>
      </c>
      <c r="L13" s="126" t="s">
        <v>144</v>
      </c>
      <c r="M13" s="126" t="s">
        <v>175</v>
      </c>
      <c r="N13" s="126">
        <v>0</v>
      </c>
      <c r="O13" s="126" t="str">
        <f t="shared" si="0"/>
        <v>UVintensity.sd0C</v>
      </c>
      <c r="P13" s="126" t="s">
        <v>256</v>
      </c>
      <c r="Q13" s="25" t="str">
        <f t="shared" si="1"/>
        <v>UVintensity,Continental,lakesediment,0,UVintensity.sd0C,W.m-2</v>
      </c>
      <c r="U13" s="25"/>
    </row>
    <row r="14" spans="1:21" x14ac:dyDescent="0.2">
      <c r="A14" s="25" t="s">
        <v>157</v>
      </c>
      <c r="B14" s="126" t="s">
        <v>144</v>
      </c>
      <c r="C14" s="126" t="s">
        <v>173</v>
      </c>
      <c r="D14" s="126">
        <v>0.03</v>
      </c>
      <c r="E14" s="126" t="s">
        <v>220</v>
      </c>
      <c r="F14" s="126" t="s">
        <v>230</v>
      </c>
      <c r="G14" s="126"/>
      <c r="H14" s="126"/>
      <c r="I14" s="126"/>
      <c r="K14" s="126" t="s">
        <v>210</v>
      </c>
      <c r="L14" s="126" t="s">
        <v>144</v>
      </c>
      <c r="M14" s="126" t="s">
        <v>173</v>
      </c>
      <c r="N14" s="126">
        <v>0</v>
      </c>
      <c r="O14" s="126" t="str">
        <f t="shared" si="0"/>
        <v>UVintensity.sd2C</v>
      </c>
      <c r="P14" s="126" t="s">
        <v>256</v>
      </c>
      <c r="Q14" s="25" t="str">
        <f t="shared" si="1"/>
        <v>UVintensity,Continental,marinesediment,0,UVintensity.sd2C,W.m-2</v>
      </c>
      <c r="U14" s="25"/>
    </row>
    <row r="15" spans="1:21" x14ac:dyDescent="0.2">
      <c r="A15" s="25" t="s">
        <v>157</v>
      </c>
      <c r="B15" s="126" t="s">
        <v>144</v>
      </c>
      <c r="C15" s="126" t="s">
        <v>150</v>
      </c>
      <c r="D15" s="126">
        <v>0.05</v>
      </c>
      <c r="E15" s="126" t="s">
        <v>220</v>
      </c>
      <c r="F15" s="126" t="s">
        <v>231</v>
      </c>
      <c r="G15" s="126"/>
      <c r="H15" s="126"/>
      <c r="I15" s="126"/>
      <c r="K15" s="126" t="s">
        <v>210</v>
      </c>
      <c r="L15" s="126" t="s">
        <v>144</v>
      </c>
      <c r="M15" s="126" t="s">
        <v>150</v>
      </c>
      <c r="N15" s="126">
        <v>0</v>
      </c>
      <c r="O15" s="126" t="str">
        <f t="shared" si="0"/>
        <v>UVintensity.s1C</v>
      </c>
      <c r="P15" s="126" t="s">
        <v>256</v>
      </c>
      <c r="Q15" s="25" t="str">
        <f t="shared" si="1"/>
        <v>UVintensity,Continental,naturalsoil,0,UVintensity.s1C,W.m-2</v>
      </c>
      <c r="U15" s="25"/>
    </row>
    <row r="16" spans="1:21" x14ac:dyDescent="0.2">
      <c r="A16" s="25" t="s">
        <v>157</v>
      </c>
      <c r="B16" s="126" t="s">
        <v>144</v>
      </c>
      <c r="C16" s="126" t="s">
        <v>162</v>
      </c>
      <c r="D16" s="126">
        <v>0.05</v>
      </c>
      <c r="E16" s="126" t="s">
        <v>220</v>
      </c>
      <c r="F16" s="126" t="s">
        <v>232</v>
      </c>
      <c r="G16" s="126"/>
      <c r="H16" s="126"/>
      <c r="I16" s="126"/>
      <c r="K16" s="126" t="s">
        <v>210</v>
      </c>
      <c r="L16" s="126" t="s">
        <v>144</v>
      </c>
      <c r="M16" s="126" t="s">
        <v>162</v>
      </c>
      <c r="N16" s="126">
        <v>0</v>
      </c>
      <c r="O16" s="126" t="str">
        <f t="shared" si="0"/>
        <v>UVintensity.s3C</v>
      </c>
      <c r="P16" s="126" t="s">
        <v>256</v>
      </c>
      <c r="Q16" s="25" t="str">
        <f t="shared" si="1"/>
        <v>UVintensity,Continental,othersoil,0,UVintensity.s3C,W.m-2</v>
      </c>
      <c r="U16" s="25"/>
    </row>
    <row r="17" spans="1:21" x14ac:dyDescent="0.2">
      <c r="A17" s="25" t="s">
        <v>157</v>
      </c>
      <c r="B17" s="126" t="s">
        <v>144</v>
      </c>
      <c r="C17" s="126" t="s">
        <v>148</v>
      </c>
      <c r="D17" s="126">
        <v>3</v>
      </c>
      <c r="E17" s="126" t="s">
        <v>220</v>
      </c>
      <c r="F17" s="126" t="s">
        <v>233</v>
      </c>
      <c r="G17" s="126"/>
      <c r="H17" s="126"/>
      <c r="I17" s="126"/>
      <c r="K17" s="126" t="s">
        <v>210</v>
      </c>
      <c r="L17" s="126" t="s">
        <v>144</v>
      </c>
      <c r="M17" s="126" t="s">
        <v>148</v>
      </c>
      <c r="N17" s="126">
        <v>10</v>
      </c>
      <c r="O17" s="126" t="str">
        <f t="shared" si="0"/>
        <v>UVintensity.w1C</v>
      </c>
      <c r="P17" s="126" t="s">
        <v>256</v>
      </c>
      <c r="Q17" s="25" t="str">
        <f t="shared" si="1"/>
        <v>UVintensity,Continental,river,10,UVintensity.w1C,W.m-2</v>
      </c>
      <c r="U17" s="25"/>
    </row>
    <row r="18" spans="1:21" x14ac:dyDescent="0.2">
      <c r="A18" s="25" t="s">
        <v>157</v>
      </c>
      <c r="B18" s="126" t="s">
        <v>144</v>
      </c>
      <c r="C18" s="126" t="s">
        <v>158</v>
      </c>
      <c r="D18" s="126">
        <v>200</v>
      </c>
      <c r="E18" s="126" t="s">
        <v>220</v>
      </c>
      <c r="F18" s="126" t="s">
        <v>234</v>
      </c>
      <c r="G18" s="126"/>
      <c r="H18" s="126"/>
      <c r="I18" s="126"/>
      <c r="K18" s="126" t="s">
        <v>210</v>
      </c>
      <c r="L18" s="126" t="s">
        <v>144</v>
      </c>
      <c r="M18" s="126" t="s">
        <v>158</v>
      </c>
      <c r="N18" s="126">
        <v>10</v>
      </c>
      <c r="O18" s="126" t="str">
        <f t="shared" si="0"/>
        <v>UVintensity.w2C</v>
      </c>
      <c r="P18" s="126" t="s">
        <v>256</v>
      </c>
      <c r="Q18" s="25" t="str">
        <f t="shared" si="1"/>
        <v>UVintensity,Continental,sea,10,UVintensity.w2C,W.m-2</v>
      </c>
      <c r="U18" s="25"/>
    </row>
    <row r="19" spans="1:21" x14ac:dyDescent="0.2">
      <c r="A19" s="25" t="s">
        <v>157</v>
      </c>
      <c r="B19" s="126" t="s">
        <v>216</v>
      </c>
      <c r="C19" s="126" t="s">
        <v>130</v>
      </c>
      <c r="D19" s="126">
        <v>1000</v>
      </c>
      <c r="E19" s="126" t="s">
        <v>218</v>
      </c>
      <c r="F19" s="126" t="s">
        <v>235</v>
      </c>
      <c r="G19" s="126"/>
      <c r="H19" s="126"/>
      <c r="I19" s="126"/>
      <c r="K19" s="126" t="s">
        <v>210</v>
      </c>
      <c r="L19" s="126" t="s">
        <v>216</v>
      </c>
      <c r="M19" s="126" t="s">
        <v>130</v>
      </c>
      <c r="N19" s="126">
        <v>0</v>
      </c>
      <c r="O19" s="126" t="str">
        <f t="shared" si="0"/>
        <v>UVintensity.aM</v>
      </c>
      <c r="P19" s="126" t="s">
        <v>256</v>
      </c>
      <c r="Q19" s="25" t="str">
        <f t="shared" si="1"/>
        <v>UVintensity,Moderate,air,0,UVintensity.aM,W.m-2</v>
      </c>
      <c r="U19" s="25"/>
    </row>
    <row r="20" spans="1:21" x14ac:dyDescent="0.2">
      <c r="A20" s="25" t="s">
        <v>157</v>
      </c>
      <c r="B20" s="126" t="s">
        <v>216</v>
      </c>
      <c r="C20" s="126" t="s">
        <v>213</v>
      </c>
      <c r="D20" s="126">
        <v>1000</v>
      </c>
      <c r="E20" s="126" t="s">
        <v>218</v>
      </c>
      <c r="F20" s="126" t="s">
        <v>235</v>
      </c>
      <c r="G20" s="126"/>
      <c r="H20" s="126"/>
      <c r="I20" s="126"/>
      <c r="K20" s="126" t="s">
        <v>210</v>
      </c>
      <c r="L20" s="126" t="s">
        <v>216</v>
      </c>
      <c r="M20" s="126" t="s">
        <v>213</v>
      </c>
      <c r="N20" s="126">
        <v>0</v>
      </c>
      <c r="O20" s="126" t="str">
        <f t="shared" si="0"/>
        <v>UVintensity.aM</v>
      </c>
      <c r="P20" s="126" t="s">
        <v>256</v>
      </c>
      <c r="Q20" s="25" t="str">
        <f t="shared" si="1"/>
        <v>UVintensity,Moderate,cloudwater,0,UVintensity.aM,W.m-2</v>
      </c>
      <c r="U20" s="25"/>
    </row>
    <row r="21" spans="1:21" x14ac:dyDescent="0.2">
      <c r="A21" s="25" t="s">
        <v>157</v>
      </c>
      <c r="B21" s="126" t="s">
        <v>216</v>
      </c>
      <c r="C21" s="126" t="s">
        <v>176</v>
      </c>
      <c r="D21" s="126">
        <v>3000</v>
      </c>
      <c r="E21" s="126" t="s">
        <v>220</v>
      </c>
      <c r="F21" s="126" t="s">
        <v>236</v>
      </c>
      <c r="G21" s="126"/>
      <c r="H21" s="126"/>
      <c r="I21" s="126"/>
      <c r="K21" s="126" t="s">
        <v>210</v>
      </c>
      <c r="L21" s="126" t="s">
        <v>216</v>
      </c>
      <c r="M21" s="126" t="s">
        <v>176</v>
      </c>
      <c r="N21" s="126">
        <v>0</v>
      </c>
      <c r="O21" s="126" t="str">
        <f t="shared" si="0"/>
        <v>UVintensity.w3M</v>
      </c>
      <c r="P21" s="126" t="s">
        <v>256</v>
      </c>
      <c r="Q21" s="25" t="str">
        <f t="shared" si="1"/>
        <v>UVintensity,Moderate,deepocean,0,UVintensity.w3M,W.m-2</v>
      </c>
      <c r="U21" s="25"/>
    </row>
    <row r="22" spans="1:21" x14ac:dyDescent="0.2">
      <c r="A22" s="25" t="s">
        <v>157</v>
      </c>
      <c r="B22" s="126" t="s">
        <v>216</v>
      </c>
      <c r="C22" s="126" t="s">
        <v>173</v>
      </c>
      <c r="D22" s="126">
        <v>0.03</v>
      </c>
      <c r="E22" s="126" t="s">
        <v>220</v>
      </c>
      <c r="F22" s="126" t="s">
        <v>237</v>
      </c>
      <c r="G22" s="126"/>
      <c r="H22" s="126"/>
      <c r="I22" s="126"/>
      <c r="K22" s="126" t="s">
        <v>210</v>
      </c>
      <c r="L22" s="126" t="s">
        <v>216</v>
      </c>
      <c r="M22" s="126" t="s">
        <v>173</v>
      </c>
      <c r="N22" s="126">
        <v>0</v>
      </c>
      <c r="O22" s="126" t="str">
        <f t="shared" si="0"/>
        <v>UVintensity.sdM</v>
      </c>
      <c r="P22" s="126" t="s">
        <v>256</v>
      </c>
      <c r="Q22" s="25" t="str">
        <f t="shared" si="1"/>
        <v>UVintensity,Moderate,marinesediment,0,UVintensity.sdM,W.m-2</v>
      </c>
      <c r="U22" s="25"/>
    </row>
    <row r="23" spans="1:21" x14ac:dyDescent="0.2">
      <c r="A23" s="25" t="s">
        <v>157</v>
      </c>
      <c r="B23" s="126" t="s">
        <v>216</v>
      </c>
      <c r="C23" s="126" t="s">
        <v>150</v>
      </c>
      <c r="D23" s="126">
        <v>0.05</v>
      </c>
      <c r="E23" s="126" t="s">
        <v>220</v>
      </c>
      <c r="F23" s="126" t="s">
        <v>238</v>
      </c>
      <c r="G23" s="126"/>
      <c r="H23" s="126"/>
      <c r="I23" s="126"/>
      <c r="K23" s="126" t="s">
        <v>210</v>
      </c>
      <c r="L23" s="126" t="s">
        <v>216</v>
      </c>
      <c r="M23" s="126" t="s">
        <v>150</v>
      </c>
      <c r="N23" s="126">
        <v>0</v>
      </c>
      <c r="O23" s="126" t="str">
        <f t="shared" si="0"/>
        <v>UVintensity.sM</v>
      </c>
      <c r="P23" s="126" t="s">
        <v>256</v>
      </c>
      <c r="Q23" s="25" t="str">
        <f t="shared" si="1"/>
        <v>UVintensity,Moderate,naturalsoil,0,UVintensity.sM,W.m-2</v>
      </c>
      <c r="U23" s="25"/>
    </row>
    <row r="24" spans="1:21" x14ac:dyDescent="0.2">
      <c r="A24" s="25" t="s">
        <v>157</v>
      </c>
      <c r="B24" s="126" t="s">
        <v>216</v>
      </c>
      <c r="C24" s="126" t="s">
        <v>158</v>
      </c>
      <c r="D24" s="126">
        <v>100</v>
      </c>
      <c r="E24" s="126" t="s">
        <v>220</v>
      </c>
      <c r="F24" s="126" t="s">
        <v>239</v>
      </c>
      <c r="G24" s="126"/>
      <c r="H24" s="126"/>
      <c r="I24" s="126"/>
      <c r="K24" s="126" t="s">
        <v>210</v>
      </c>
      <c r="L24" s="126" t="s">
        <v>216</v>
      </c>
      <c r="M24" s="126" t="s">
        <v>158</v>
      </c>
      <c r="N24" s="126">
        <v>0</v>
      </c>
      <c r="O24" s="126" t="str">
        <f t="shared" si="0"/>
        <v>UVintensity.w2M</v>
      </c>
      <c r="P24" s="126" t="s">
        <v>256</v>
      </c>
      <c r="Q24" s="25" t="str">
        <f t="shared" si="1"/>
        <v>UVintensity,Moderate,sea,0,UVintensity.w2M,W.m-2</v>
      </c>
      <c r="U24" s="25"/>
    </row>
    <row r="25" spans="1:21" x14ac:dyDescent="0.2">
      <c r="A25" s="25" t="s">
        <v>157</v>
      </c>
      <c r="B25" s="126" t="s">
        <v>143</v>
      </c>
      <c r="C25" s="126" t="s">
        <v>151</v>
      </c>
      <c r="D25" s="126">
        <v>0.2</v>
      </c>
      <c r="E25" s="126" t="s">
        <v>220</v>
      </c>
      <c r="F25" s="126" t="s">
        <v>240</v>
      </c>
      <c r="G25" s="126"/>
      <c r="H25" s="126"/>
      <c r="I25" s="126"/>
      <c r="K25" s="126" t="s">
        <v>210</v>
      </c>
      <c r="L25" s="126" t="s">
        <v>143</v>
      </c>
      <c r="M25" s="126" t="s">
        <v>151</v>
      </c>
      <c r="N25" s="126">
        <v>0</v>
      </c>
      <c r="O25" s="126" t="str">
        <f t="shared" si="0"/>
        <v>UVintensity.s2R</v>
      </c>
      <c r="P25" s="126" t="s">
        <v>256</v>
      </c>
      <c r="Q25" s="25" t="str">
        <f t="shared" si="1"/>
        <v>UVintensity,Regional,agriculturalsoil,0,UVintensity.s2R,W.m-2</v>
      </c>
      <c r="U25" s="25"/>
    </row>
    <row r="26" spans="1:21" x14ac:dyDescent="0.2">
      <c r="A26" s="25" t="s">
        <v>157</v>
      </c>
      <c r="B26" s="126" t="s">
        <v>143</v>
      </c>
      <c r="C26" s="126" t="s">
        <v>130</v>
      </c>
      <c r="D26" s="126">
        <v>1000</v>
      </c>
      <c r="E26" s="126" t="s">
        <v>218</v>
      </c>
      <c r="F26" s="126" t="s">
        <v>241</v>
      </c>
      <c r="G26" s="126"/>
      <c r="H26" s="126"/>
      <c r="I26" s="126"/>
      <c r="K26" s="126" t="s">
        <v>210</v>
      </c>
      <c r="L26" s="126" t="s">
        <v>143</v>
      </c>
      <c r="M26" s="126" t="s">
        <v>130</v>
      </c>
      <c r="N26" s="126">
        <v>10</v>
      </c>
      <c r="O26" s="126" t="str">
        <f t="shared" si="0"/>
        <v>UVintensity.aR</v>
      </c>
      <c r="P26" s="126" t="s">
        <v>256</v>
      </c>
      <c r="Q26" s="25" t="str">
        <f t="shared" si="1"/>
        <v>UVintensity,Regional,air,10,UVintensity.aR,W.m-2</v>
      </c>
      <c r="U26" s="25"/>
    </row>
    <row r="27" spans="1:21" x14ac:dyDescent="0.2">
      <c r="A27" s="25" t="s">
        <v>157</v>
      </c>
      <c r="B27" s="126" t="s">
        <v>143</v>
      </c>
      <c r="C27" s="126" t="s">
        <v>213</v>
      </c>
      <c r="D27" s="126">
        <v>1000</v>
      </c>
      <c r="E27" s="126" t="s">
        <v>218</v>
      </c>
      <c r="F27" s="126" t="s">
        <v>241</v>
      </c>
      <c r="G27" s="126"/>
      <c r="H27" s="126"/>
      <c r="I27" s="126"/>
      <c r="K27" s="126" t="s">
        <v>210</v>
      </c>
      <c r="L27" s="126" t="s">
        <v>143</v>
      </c>
      <c r="M27" s="126" t="s">
        <v>213</v>
      </c>
      <c r="N27" s="126">
        <v>10</v>
      </c>
      <c r="O27" s="126" t="str">
        <f t="shared" si="0"/>
        <v>UVintensity.aR</v>
      </c>
      <c r="P27" s="126" t="s">
        <v>256</v>
      </c>
      <c r="Q27" s="25" t="str">
        <f t="shared" si="1"/>
        <v>UVintensity,Regional,cloudwater,10,UVintensity.aR,W.m-2</v>
      </c>
      <c r="U27" s="25"/>
    </row>
    <row r="28" spans="1:21" x14ac:dyDescent="0.2">
      <c r="A28" s="25" t="s">
        <v>157</v>
      </c>
      <c r="B28" s="126" t="s">
        <v>143</v>
      </c>
      <c r="C28" s="126" t="s">
        <v>174</v>
      </c>
      <c r="D28" s="126">
        <v>0.03</v>
      </c>
      <c r="E28" s="126" t="s">
        <v>220</v>
      </c>
      <c r="F28" s="126" t="s">
        <v>242</v>
      </c>
      <c r="G28" s="126"/>
      <c r="H28" s="126"/>
      <c r="I28" s="126"/>
      <c r="K28" s="126" t="s">
        <v>210</v>
      </c>
      <c r="L28" s="126" t="s">
        <v>143</v>
      </c>
      <c r="M28" s="126" t="s">
        <v>174</v>
      </c>
      <c r="N28" s="126">
        <v>0</v>
      </c>
      <c r="O28" s="126" t="str">
        <f t="shared" si="0"/>
        <v>UVintensity.sd1R</v>
      </c>
      <c r="P28" s="126" t="s">
        <v>256</v>
      </c>
      <c r="Q28" s="25" t="str">
        <f t="shared" si="1"/>
        <v>UVintensity,Regional,freshwatersediment,0,UVintensity.sd1R,W.m-2</v>
      </c>
      <c r="U28" s="25"/>
    </row>
    <row r="29" spans="1:21" x14ac:dyDescent="0.2">
      <c r="A29" s="25" t="s">
        <v>157</v>
      </c>
      <c r="B29" s="126" t="s">
        <v>143</v>
      </c>
      <c r="C29" s="126" t="s">
        <v>149</v>
      </c>
      <c r="D29" s="126">
        <v>100</v>
      </c>
      <c r="E29" s="126" t="s">
        <v>220</v>
      </c>
      <c r="F29" s="126" t="s">
        <v>243</v>
      </c>
      <c r="G29" s="126"/>
      <c r="H29" s="126"/>
      <c r="I29" s="126"/>
      <c r="K29" s="126" t="s">
        <v>210</v>
      </c>
      <c r="L29" s="126" t="s">
        <v>143</v>
      </c>
      <c r="M29" s="126" t="s">
        <v>149</v>
      </c>
      <c r="N29" s="126">
        <v>10</v>
      </c>
      <c r="O29" s="126" t="str">
        <f t="shared" si="0"/>
        <v>UVintensity.w0R</v>
      </c>
      <c r="P29" s="126" t="s">
        <v>256</v>
      </c>
      <c r="Q29" s="25" t="str">
        <f t="shared" si="1"/>
        <v>UVintensity,Regional,lake,10,UVintensity.w0R,W.m-2</v>
      </c>
      <c r="U29" s="25"/>
    </row>
    <row r="30" spans="1:21" x14ac:dyDescent="0.2">
      <c r="A30" s="25" t="s">
        <v>157</v>
      </c>
      <c r="B30" s="126" t="s">
        <v>143</v>
      </c>
      <c r="C30" s="126" t="s">
        <v>175</v>
      </c>
      <c r="D30" s="126">
        <v>0.03</v>
      </c>
      <c r="E30" s="126" t="s">
        <v>220</v>
      </c>
      <c r="F30" s="126" t="s">
        <v>244</v>
      </c>
      <c r="G30" s="126"/>
      <c r="H30" s="126"/>
      <c r="I30" s="126"/>
      <c r="K30" s="126" t="s">
        <v>210</v>
      </c>
      <c r="L30" s="126" t="s">
        <v>143</v>
      </c>
      <c r="M30" s="126" t="s">
        <v>175</v>
      </c>
      <c r="N30" s="126">
        <v>0</v>
      </c>
      <c r="O30" s="126" t="str">
        <f t="shared" si="0"/>
        <v>UVintensity.sd0R</v>
      </c>
      <c r="P30" s="126" t="s">
        <v>256</v>
      </c>
      <c r="Q30" s="25" t="str">
        <f t="shared" si="1"/>
        <v>UVintensity,Regional,lakesediment,0,UVintensity.sd0R,W.m-2</v>
      </c>
      <c r="U30" s="25"/>
    </row>
    <row r="31" spans="1:21" x14ac:dyDescent="0.2">
      <c r="A31" s="25" t="s">
        <v>157</v>
      </c>
      <c r="B31" s="126" t="s">
        <v>143</v>
      </c>
      <c r="C31" s="126" t="s">
        <v>173</v>
      </c>
      <c r="D31" s="126">
        <v>0.03</v>
      </c>
      <c r="E31" s="126" t="s">
        <v>220</v>
      </c>
      <c r="F31" s="126" t="s">
        <v>245</v>
      </c>
      <c r="G31" s="126"/>
      <c r="H31" s="126"/>
      <c r="I31" s="126"/>
      <c r="K31" s="126" t="s">
        <v>210</v>
      </c>
      <c r="L31" s="126" t="s">
        <v>143</v>
      </c>
      <c r="M31" s="126" t="s">
        <v>173</v>
      </c>
      <c r="N31" s="126">
        <v>0</v>
      </c>
      <c r="O31" s="126" t="str">
        <f t="shared" si="0"/>
        <v>UVintensity.sd2R</v>
      </c>
      <c r="P31" s="126" t="s">
        <v>256</v>
      </c>
      <c r="Q31" s="25" t="str">
        <f t="shared" si="1"/>
        <v>UVintensity,Regional,marinesediment,0,UVintensity.sd2R,W.m-2</v>
      </c>
      <c r="U31" s="25"/>
    </row>
    <row r="32" spans="1:21" x14ac:dyDescent="0.2">
      <c r="A32" s="25" t="s">
        <v>157</v>
      </c>
      <c r="B32" s="126" t="s">
        <v>143</v>
      </c>
      <c r="C32" s="126" t="s">
        <v>150</v>
      </c>
      <c r="D32" s="126">
        <v>0.05</v>
      </c>
      <c r="E32" s="126" t="s">
        <v>220</v>
      </c>
      <c r="F32" s="126" t="s">
        <v>246</v>
      </c>
      <c r="G32" s="126"/>
      <c r="H32" s="126"/>
      <c r="I32" s="126"/>
      <c r="K32" s="126" t="s">
        <v>210</v>
      </c>
      <c r="L32" s="126" t="s">
        <v>143</v>
      </c>
      <c r="M32" s="126" t="s">
        <v>150</v>
      </c>
      <c r="N32" s="126">
        <v>0</v>
      </c>
      <c r="O32" s="126" t="str">
        <f t="shared" si="0"/>
        <v>UVintensity.s1R</v>
      </c>
      <c r="P32" s="126" t="s">
        <v>256</v>
      </c>
      <c r="Q32" s="25" t="str">
        <f t="shared" si="1"/>
        <v>UVintensity,Regional,naturalsoil,0,UVintensity.s1R,W.m-2</v>
      </c>
      <c r="U32" s="25"/>
    </row>
    <row r="33" spans="1:21" x14ac:dyDescent="0.2">
      <c r="A33" s="25" t="s">
        <v>157</v>
      </c>
      <c r="B33" s="126" t="s">
        <v>143</v>
      </c>
      <c r="C33" s="126" t="s">
        <v>162</v>
      </c>
      <c r="D33" s="126">
        <v>0.05</v>
      </c>
      <c r="E33" s="126" t="s">
        <v>220</v>
      </c>
      <c r="F33" s="126" t="s">
        <v>247</v>
      </c>
      <c r="G33" s="126"/>
      <c r="H33" s="126"/>
      <c r="I33" s="126"/>
      <c r="K33" s="126" t="s">
        <v>210</v>
      </c>
      <c r="L33" s="126" t="s">
        <v>143</v>
      </c>
      <c r="M33" s="126" t="s">
        <v>162</v>
      </c>
      <c r="N33" s="126">
        <v>0</v>
      </c>
      <c r="O33" s="126" t="str">
        <f t="shared" si="0"/>
        <v>UVintensity.s3R</v>
      </c>
      <c r="P33" s="126" t="s">
        <v>256</v>
      </c>
      <c r="Q33" s="25" t="str">
        <f t="shared" si="1"/>
        <v>UVintensity,Regional,othersoil,0,UVintensity.s3R,W.m-2</v>
      </c>
      <c r="U33" s="25"/>
    </row>
    <row r="34" spans="1:21" x14ac:dyDescent="0.2">
      <c r="A34" s="25" t="s">
        <v>157</v>
      </c>
      <c r="B34" s="126" t="s">
        <v>143</v>
      </c>
      <c r="C34" s="126" t="s">
        <v>148</v>
      </c>
      <c r="D34" s="126">
        <v>3</v>
      </c>
      <c r="E34" s="126" t="s">
        <v>220</v>
      </c>
      <c r="F34" s="126" t="s">
        <v>248</v>
      </c>
      <c r="G34" s="126"/>
      <c r="H34" s="126"/>
      <c r="I34" s="126"/>
      <c r="K34" s="126" t="s">
        <v>210</v>
      </c>
      <c r="L34" s="126" t="s">
        <v>143</v>
      </c>
      <c r="M34" s="126" t="s">
        <v>148</v>
      </c>
      <c r="N34" s="126">
        <v>10</v>
      </c>
      <c r="O34" s="126" t="str">
        <f t="shared" si="0"/>
        <v>UVintensity.w1R</v>
      </c>
      <c r="P34" s="126" t="s">
        <v>256</v>
      </c>
      <c r="Q34" s="25" t="str">
        <f t="shared" si="1"/>
        <v>UVintensity,Regional,river,10,UVintensity.w1R,W.m-2</v>
      </c>
      <c r="U34" s="25"/>
    </row>
    <row r="35" spans="1:21" x14ac:dyDescent="0.2">
      <c r="A35" s="25" t="s">
        <v>157</v>
      </c>
      <c r="B35" s="126" t="s">
        <v>143</v>
      </c>
      <c r="C35" s="126" t="s">
        <v>158</v>
      </c>
      <c r="D35" s="126">
        <v>10</v>
      </c>
      <c r="E35" s="126" t="s">
        <v>220</v>
      </c>
      <c r="F35" s="126" t="s">
        <v>249</v>
      </c>
      <c r="G35" s="126"/>
      <c r="H35" s="126"/>
      <c r="I35" s="126"/>
      <c r="K35" s="126" t="s">
        <v>210</v>
      </c>
      <c r="L35" s="126" t="s">
        <v>143</v>
      </c>
      <c r="M35" s="126" t="s">
        <v>158</v>
      </c>
      <c r="N35" s="126">
        <v>10</v>
      </c>
      <c r="O35" s="126" t="str">
        <f t="shared" si="0"/>
        <v>UVintensity.w2R</v>
      </c>
      <c r="P35" s="126" t="s">
        <v>256</v>
      </c>
      <c r="Q35" s="25" t="str">
        <f t="shared" si="1"/>
        <v>UVintensity,Regional,sea,10,UVintensity.w2R,W.m-2</v>
      </c>
      <c r="U35" s="25"/>
    </row>
    <row r="36" spans="1:21" x14ac:dyDescent="0.2">
      <c r="A36" s="25" t="s">
        <v>157</v>
      </c>
      <c r="B36" s="126" t="s">
        <v>217</v>
      </c>
      <c r="C36" s="126" t="s">
        <v>130</v>
      </c>
      <c r="D36" s="126">
        <v>1000</v>
      </c>
      <c r="E36" s="126" t="s">
        <v>218</v>
      </c>
      <c r="F36" s="126" t="s">
        <v>250</v>
      </c>
      <c r="G36" s="126"/>
      <c r="H36" s="126"/>
      <c r="I36" s="126"/>
      <c r="K36" s="126" t="s">
        <v>210</v>
      </c>
      <c r="L36" s="126" t="s">
        <v>217</v>
      </c>
      <c r="M36" s="126" t="s">
        <v>130</v>
      </c>
      <c r="N36" s="126">
        <v>0</v>
      </c>
      <c r="O36" s="126" t="str">
        <f t="shared" si="0"/>
        <v>UVintensity.aT</v>
      </c>
      <c r="P36" s="126" t="s">
        <v>256</v>
      </c>
      <c r="Q36" s="25" t="str">
        <f t="shared" si="1"/>
        <v>UVintensity,Tropic,air,0,UVintensity.aT,W.m-2</v>
      </c>
      <c r="U36" s="25"/>
    </row>
    <row r="37" spans="1:21" x14ac:dyDescent="0.2">
      <c r="A37" s="25" t="s">
        <v>157</v>
      </c>
      <c r="B37" s="126" t="s">
        <v>217</v>
      </c>
      <c r="C37" s="126" t="s">
        <v>213</v>
      </c>
      <c r="D37" s="126">
        <v>1000</v>
      </c>
      <c r="E37" s="126" t="s">
        <v>218</v>
      </c>
      <c r="F37" s="126" t="s">
        <v>250</v>
      </c>
      <c r="G37" s="126"/>
      <c r="H37" s="126"/>
      <c r="I37" s="126"/>
      <c r="K37" s="126" t="s">
        <v>210</v>
      </c>
      <c r="L37" s="126" t="s">
        <v>217</v>
      </c>
      <c r="M37" s="126" t="s">
        <v>213</v>
      </c>
      <c r="N37" s="126">
        <v>0</v>
      </c>
      <c r="O37" s="126" t="str">
        <f t="shared" si="0"/>
        <v>UVintensity.aT</v>
      </c>
      <c r="P37" s="126" t="s">
        <v>256</v>
      </c>
      <c r="Q37" s="25" t="str">
        <f t="shared" si="1"/>
        <v>UVintensity,Tropic,cloudwater,0,UVintensity.aT,W.m-2</v>
      </c>
      <c r="U37" s="25"/>
    </row>
    <row r="38" spans="1:21" x14ac:dyDescent="0.2">
      <c r="A38" s="25" t="s">
        <v>157</v>
      </c>
      <c r="B38" s="126" t="s">
        <v>217</v>
      </c>
      <c r="C38" s="126" t="s">
        <v>176</v>
      </c>
      <c r="D38" s="126">
        <v>3000</v>
      </c>
      <c r="E38" s="126" t="s">
        <v>220</v>
      </c>
      <c r="F38" s="126" t="s">
        <v>251</v>
      </c>
      <c r="G38" s="126"/>
      <c r="H38" s="126"/>
      <c r="I38" s="126"/>
      <c r="K38" s="126" t="s">
        <v>210</v>
      </c>
      <c r="L38" s="126" t="s">
        <v>217</v>
      </c>
      <c r="M38" s="126" t="s">
        <v>176</v>
      </c>
      <c r="N38" s="126">
        <v>0</v>
      </c>
      <c r="O38" s="126" t="str">
        <f t="shared" si="0"/>
        <v>UVintensity.w3T</v>
      </c>
      <c r="P38" s="126" t="s">
        <v>256</v>
      </c>
      <c r="Q38" s="25" t="str">
        <f t="shared" si="1"/>
        <v>UVintensity,Tropic,deepocean,0,UVintensity.w3T,W.m-2</v>
      </c>
      <c r="U38" s="25"/>
    </row>
    <row r="39" spans="1:21" x14ac:dyDescent="0.2">
      <c r="A39" s="25" t="s">
        <v>157</v>
      </c>
      <c r="B39" s="126" t="s">
        <v>217</v>
      </c>
      <c r="C39" s="126" t="s">
        <v>173</v>
      </c>
      <c r="D39" s="126">
        <v>0.03</v>
      </c>
      <c r="E39" s="126" t="s">
        <v>220</v>
      </c>
      <c r="F39" s="126" t="s">
        <v>252</v>
      </c>
      <c r="G39" s="126"/>
      <c r="H39" s="126"/>
      <c r="I39" s="126"/>
      <c r="K39" s="126" t="s">
        <v>210</v>
      </c>
      <c r="L39" s="126" t="s">
        <v>217</v>
      </c>
      <c r="M39" s="126" t="s">
        <v>173</v>
      </c>
      <c r="N39" s="126">
        <v>0</v>
      </c>
      <c r="O39" s="126" t="str">
        <f t="shared" si="0"/>
        <v>UVintensity.sdT</v>
      </c>
      <c r="P39" s="126" t="s">
        <v>256</v>
      </c>
      <c r="Q39" s="25" t="str">
        <f t="shared" si="1"/>
        <v>UVintensity,Tropic,marinesediment,0,UVintensity.sdT,W.m-2</v>
      </c>
      <c r="U39" s="25"/>
    </row>
    <row r="40" spans="1:21" x14ac:dyDescent="0.2">
      <c r="A40" s="25" t="s">
        <v>157</v>
      </c>
      <c r="B40" s="126" t="s">
        <v>217</v>
      </c>
      <c r="C40" s="126" t="s">
        <v>150</v>
      </c>
      <c r="D40" s="126">
        <v>0.05</v>
      </c>
      <c r="E40" s="126" t="s">
        <v>220</v>
      </c>
      <c r="F40" s="126" t="s">
        <v>253</v>
      </c>
      <c r="G40" s="126"/>
      <c r="H40" s="126"/>
      <c r="I40" s="126"/>
      <c r="K40" s="126" t="s">
        <v>210</v>
      </c>
      <c r="L40" s="126" t="s">
        <v>217</v>
      </c>
      <c r="M40" s="126" t="s">
        <v>150</v>
      </c>
      <c r="N40" s="126">
        <v>0</v>
      </c>
      <c r="O40" s="126" t="str">
        <f t="shared" si="0"/>
        <v>UVintensity.sT</v>
      </c>
      <c r="P40" s="126" t="s">
        <v>256</v>
      </c>
      <c r="Q40" s="25" t="str">
        <f t="shared" si="1"/>
        <v>UVintensity,Tropic,naturalsoil,0,UVintensity.sT,W.m-2</v>
      </c>
      <c r="U40" s="25"/>
    </row>
    <row r="41" spans="1:21" x14ac:dyDescent="0.2">
      <c r="A41" s="25" t="s">
        <v>157</v>
      </c>
      <c r="B41" s="126" t="s">
        <v>217</v>
      </c>
      <c r="C41" s="126" t="s">
        <v>158</v>
      </c>
      <c r="D41" s="126">
        <v>100</v>
      </c>
      <c r="E41" s="126" t="s">
        <v>220</v>
      </c>
      <c r="F41" s="126" t="s">
        <v>254</v>
      </c>
      <c r="G41" s="126"/>
      <c r="H41" s="126"/>
      <c r="I41" s="126"/>
      <c r="K41" s="126" t="s">
        <v>210</v>
      </c>
      <c r="L41" s="126" t="s">
        <v>217</v>
      </c>
      <c r="M41" s="126" t="s">
        <v>158</v>
      </c>
      <c r="N41" s="126">
        <v>0</v>
      </c>
      <c r="O41" s="126" t="str">
        <f t="shared" si="0"/>
        <v>UVintensity.w2T</v>
      </c>
      <c r="P41" s="126" t="s">
        <v>256</v>
      </c>
      <c r="Q41" s="25" t="str">
        <f t="shared" si="1"/>
        <v>UVintensity,Tropic,sea,0,UVintensity.w2T,W.m-2</v>
      </c>
      <c r="U41" s="25"/>
    </row>
    <row r="42" spans="1:21" x14ac:dyDescent="0.2">
      <c r="F42" s="126" t="s">
        <v>219</v>
      </c>
      <c r="G42" s="126"/>
      <c r="H42" s="126"/>
      <c r="I42" s="126"/>
      <c r="K42" s="126" t="s">
        <v>211</v>
      </c>
      <c r="L42" s="126" t="s">
        <v>212</v>
      </c>
      <c r="M42" s="126" t="s">
        <v>130</v>
      </c>
      <c r="N42" s="126">
        <v>0</v>
      </c>
      <c r="O42" s="126" t="str">
        <f t="shared" si="0"/>
        <v>MICROBconc.aA</v>
      </c>
      <c r="P42" s="126" t="s">
        <v>259</v>
      </c>
      <c r="Q42" s="25" t="str">
        <f t="shared" si="1"/>
        <v>MICROBconc,Arctic,air,0,MICROBconc.aA,CFU.mL-1</v>
      </c>
    </row>
    <row r="43" spans="1:21" x14ac:dyDescent="0.2">
      <c r="F43" s="126" t="s">
        <v>219</v>
      </c>
      <c r="K43" s="126" t="s">
        <v>211</v>
      </c>
      <c r="L43" s="126" t="s">
        <v>212</v>
      </c>
      <c r="M43" s="126" t="s">
        <v>213</v>
      </c>
      <c r="N43" s="126">
        <v>0</v>
      </c>
      <c r="O43" s="126" t="str">
        <f t="shared" si="0"/>
        <v>MICROBconc.aA</v>
      </c>
      <c r="P43" s="126" t="s">
        <v>259</v>
      </c>
      <c r="Q43" s="25" t="str">
        <f t="shared" si="1"/>
        <v>MICROBconc,Arctic,cloudwater,0,MICROBconc.aA,CFU.mL-1</v>
      </c>
    </row>
    <row r="44" spans="1:21" x14ac:dyDescent="0.2">
      <c r="F44" s="126" t="s">
        <v>221</v>
      </c>
      <c r="K44" s="126" t="s">
        <v>211</v>
      </c>
      <c r="L44" s="126" t="s">
        <v>212</v>
      </c>
      <c r="M44" s="126" t="s">
        <v>176</v>
      </c>
      <c r="N44" s="126">
        <v>0</v>
      </c>
      <c r="O44" s="126" t="str">
        <f t="shared" si="0"/>
        <v>MICROBconc.w3A</v>
      </c>
      <c r="P44" s="126" t="s">
        <v>259</v>
      </c>
      <c r="Q44" s="25" t="str">
        <f t="shared" si="1"/>
        <v>MICROBconc,Arctic,deepocean,0,MICROBconc.w3A,CFU.mL-1</v>
      </c>
    </row>
    <row r="45" spans="1:21" x14ac:dyDescent="0.2">
      <c r="F45" s="126" t="s">
        <v>222</v>
      </c>
      <c r="K45" s="126" t="s">
        <v>211</v>
      </c>
      <c r="L45" s="126" t="s">
        <v>212</v>
      </c>
      <c r="M45" s="126" t="s">
        <v>173</v>
      </c>
      <c r="N45" s="126">
        <v>0</v>
      </c>
      <c r="O45" s="126" t="str">
        <f t="shared" si="0"/>
        <v>MICROBconc.sdA</v>
      </c>
      <c r="P45" s="126" t="s">
        <v>259</v>
      </c>
      <c r="Q45" s="25" t="str">
        <f t="shared" si="1"/>
        <v>MICROBconc,Arctic,marinesediment,0,MICROBconc.sdA,CFU.mL-1</v>
      </c>
    </row>
    <row r="46" spans="1:21" x14ac:dyDescent="0.2">
      <c r="F46" s="126" t="s">
        <v>223</v>
      </c>
      <c r="K46" s="126" t="s">
        <v>211</v>
      </c>
      <c r="L46" s="126" t="s">
        <v>212</v>
      </c>
      <c r="M46" s="126" t="s">
        <v>150</v>
      </c>
      <c r="N46" s="126">
        <v>0</v>
      </c>
      <c r="O46" s="126" t="str">
        <f t="shared" si="0"/>
        <v>MICROBconc.sA</v>
      </c>
      <c r="P46" s="126" t="s">
        <v>259</v>
      </c>
      <c r="Q46" s="25" t="str">
        <f t="shared" si="1"/>
        <v>MICROBconc,Arctic,naturalsoil,0,MICROBconc.sA,CFU.mL-1</v>
      </c>
    </row>
    <row r="47" spans="1:21" x14ac:dyDescent="0.2">
      <c r="F47" s="126" t="s">
        <v>224</v>
      </c>
      <c r="K47" s="126" t="s">
        <v>211</v>
      </c>
      <c r="L47" s="126" t="s">
        <v>212</v>
      </c>
      <c r="M47" s="126" t="s">
        <v>158</v>
      </c>
      <c r="N47" s="126">
        <v>0</v>
      </c>
      <c r="O47" s="126" t="str">
        <f t="shared" si="0"/>
        <v>MICROBconc.w2A</v>
      </c>
      <c r="P47" s="126" t="s">
        <v>259</v>
      </c>
      <c r="Q47" s="25" t="str">
        <f t="shared" si="1"/>
        <v>MICROBconc,Arctic,sea,0,MICROBconc.w2A,CFU.mL-1</v>
      </c>
    </row>
    <row r="48" spans="1:21" x14ac:dyDescent="0.2">
      <c r="F48" s="126" t="s">
        <v>225</v>
      </c>
      <c r="K48" s="126" t="s">
        <v>211</v>
      </c>
      <c r="L48" s="126" t="s">
        <v>144</v>
      </c>
      <c r="M48" s="126" t="s">
        <v>151</v>
      </c>
      <c r="N48" s="126">
        <v>121000000</v>
      </c>
      <c r="O48" s="126" t="str">
        <f t="shared" si="0"/>
        <v>MICROBconc.s2C</v>
      </c>
      <c r="P48" s="126" t="s">
        <v>259</v>
      </c>
      <c r="Q48" s="25" t="str">
        <f t="shared" si="1"/>
        <v>MICROBconc,Continental,agriculturalsoil,121000000,MICROBconc.s2C,CFU.mL-1</v>
      </c>
    </row>
    <row r="49" spans="6:17" x14ac:dyDescent="0.2">
      <c r="F49" s="126" t="s">
        <v>226</v>
      </c>
      <c r="K49" s="126" t="s">
        <v>211</v>
      </c>
      <c r="L49" s="126" t="s">
        <v>144</v>
      </c>
      <c r="M49" s="126" t="s">
        <v>130</v>
      </c>
      <c r="N49" s="126">
        <v>0.5</v>
      </c>
      <c r="O49" s="126" t="str">
        <f t="shared" si="0"/>
        <v>MICROBconc.aC</v>
      </c>
      <c r="P49" s="126" t="s">
        <v>259</v>
      </c>
      <c r="Q49" s="25" t="str">
        <f t="shared" si="1"/>
        <v>MICROBconc,Continental,air,0.5,MICROBconc.aC,CFU.mL-1</v>
      </c>
    </row>
    <row r="50" spans="6:17" x14ac:dyDescent="0.2">
      <c r="F50" s="126" t="s">
        <v>226</v>
      </c>
      <c r="K50" s="126" t="s">
        <v>211</v>
      </c>
      <c r="L50" s="126" t="s">
        <v>144</v>
      </c>
      <c r="M50" s="126" t="s">
        <v>213</v>
      </c>
      <c r="N50" s="126">
        <v>0.5</v>
      </c>
      <c r="O50" s="126" t="str">
        <f t="shared" si="0"/>
        <v>MICROBconc.aC</v>
      </c>
      <c r="P50" s="126" t="s">
        <v>259</v>
      </c>
      <c r="Q50" s="25" t="str">
        <f t="shared" si="1"/>
        <v>MICROBconc,Continental,cloudwater,0.5,MICROBconc.aC,CFU.mL-1</v>
      </c>
    </row>
    <row r="51" spans="6:17" x14ac:dyDescent="0.2">
      <c r="F51" s="126" t="s">
        <v>227</v>
      </c>
      <c r="K51" s="126" t="s">
        <v>211</v>
      </c>
      <c r="L51" s="126" t="s">
        <v>144</v>
      </c>
      <c r="M51" s="126" t="s">
        <v>174</v>
      </c>
      <c r="N51" s="126">
        <v>482000</v>
      </c>
      <c r="O51" s="126" t="str">
        <f t="shared" si="0"/>
        <v>MICROBconc.sd1C</v>
      </c>
      <c r="P51" s="126" t="s">
        <v>259</v>
      </c>
      <c r="Q51" s="25" t="str">
        <f t="shared" si="1"/>
        <v>MICROBconc,Continental,freshwatersediment,482000,MICROBconc.sd1C,CFU.mL-1</v>
      </c>
    </row>
    <row r="52" spans="6:17" x14ac:dyDescent="0.2">
      <c r="F52" s="126" t="s">
        <v>228</v>
      </c>
      <c r="K52" s="126" t="s">
        <v>211</v>
      </c>
      <c r="L52" s="126" t="s">
        <v>144</v>
      </c>
      <c r="M52" s="126" t="s">
        <v>149</v>
      </c>
      <c r="N52" s="126">
        <v>250000</v>
      </c>
      <c r="O52" s="126" t="str">
        <f t="shared" si="0"/>
        <v>MICROBconc.w0C</v>
      </c>
      <c r="P52" s="126" t="s">
        <v>259</v>
      </c>
      <c r="Q52" s="25" t="str">
        <f t="shared" si="1"/>
        <v>MICROBconc,Continental,lake,250000,MICROBconc.w0C,CFU.mL-1</v>
      </c>
    </row>
    <row r="53" spans="6:17" x14ac:dyDescent="0.2">
      <c r="F53" s="126" t="s">
        <v>229</v>
      </c>
      <c r="K53" s="126" t="s">
        <v>211</v>
      </c>
      <c r="L53" s="126" t="s">
        <v>144</v>
      </c>
      <c r="M53" s="126" t="s">
        <v>175</v>
      </c>
      <c r="N53" s="126">
        <v>482000</v>
      </c>
      <c r="O53" s="126" t="str">
        <f t="shared" si="0"/>
        <v>MICROBconc.sd0C</v>
      </c>
      <c r="P53" s="126" t="s">
        <v>259</v>
      </c>
      <c r="Q53" s="25" t="str">
        <f t="shared" si="1"/>
        <v>MICROBconc,Continental,lakesediment,482000,MICROBconc.sd0C,CFU.mL-1</v>
      </c>
    </row>
    <row r="54" spans="6:17" x14ac:dyDescent="0.2">
      <c r="F54" s="126" t="s">
        <v>230</v>
      </c>
      <c r="K54" s="126" t="s">
        <v>211</v>
      </c>
      <c r="L54" s="126" t="s">
        <v>144</v>
      </c>
      <c r="M54" s="126" t="s">
        <v>173</v>
      </c>
      <c r="N54" s="126">
        <v>482000</v>
      </c>
      <c r="O54" s="126" t="str">
        <f t="shared" si="0"/>
        <v>MICROBconc.sd2C</v>
      </c>
      <c r="P54" s="126" t="s">
        <v>259</v>
      </c>
      <c r="Q54" s="25" t="str">
        <f t="shared" si="1"/>
        <v>MICROBconc,Continental,marinesediment,482000,MICROBconc.sd2C,CFU.mL-1</v>
      </c>
    </row>
    <row r="55" spans="6:17" x14ac:dyDescent="0.2">
      <c r="F55" s="126" t="s">
        <v>231</v>
      </c>
      <c r="K55" s="126" t="s">
        <v>211</v>
      </c>
      <c r="L55" s="126" t="s">
        <v>144</v>
      </c>
      <c r="M55" s="126" t="s">
        <v>150</v>
      </c>
      <c r="N55" s="126">
        <v>121000000</v>
      </c>
      <c r="O55" s="126" t="str">
        <f t="shared" si="0"/>
        <v>MICROBconc.s1C</v>
      </c>
      <c r="P55" s="126" t="s">
        <v>259</v>
      </c>
      <c r="Q55" s="25" t="str">
        <f t="shared" si="1"/>
        <v>MICROBconc,Continental,naturalsoil,121000000,MICROBconc.s1C,CFU.mL-1</v>
      </c>
    </row>
    <row r="56" spans="6:17" x14ac:dyDescent="0.2">
      <c r="F56" s="126" t="s">
        <v>232</v>
      </c>
      <c r="K56" s="126" t="s">
        <v>211</v>
      </c>
      <c r="L56" s="126" t="s">
        <v>144</v>
      </c>
      <c r="M56" s="126" t="s">
        <v>162</v>
      </c>
      <c r="N56" s="126">
        <v>121000000</v>
      </c>
      <c r="O56" s="126" t="str">
        <f t="shared" si="0"/>
        <v>MICROBconc.s3C</v>
      </c>
      <c r="P56" s="126" t="s">
        <v>259</v>
      </c>
      <c r="Q56" s="25" t="str">
        <f t="shared" si="1"/>
        <v>MICROBconc,Continental,othersoil,121000000,MICROBconc.s3C,CFU.mL-1</v>
      </c>
    </row>
    <row r="57" spans="6:17" x14ac:dyDescent="0.2">
      <c r="F57" s="126" t="s">
        <v>233</v>
      </c>
      <c r="K57" s="126" t="s">
        <v>211</v>
      </c>
      <c r="L57" s="126" t="s">
        <v>144</v>
      </c>
      <c r="M57" s="126" t="s">
        <v>148</v>
      </c>
      <c r="N57" s="126">
        <v>250000</v>
      </c>
      <c r="O57" s="126" t="str">
        <f t="shared" si="0"/>
        <v>MICROBconc.w1C</v>
      </c>
      <c r="P57" s="126" t="s">
        <v>259</v>
      </c>
      <c r="Q57" s="25" t="str">
        <f t="shared" si="1"/>
        <v>MICROBconc,Continental,river,250000,MICROBconc.w1C,CFU.mL-1</v>
      </c>
    </row>
    <row r="58" spans="6:17" x14ac:dyDescent="0.2">
      <c r="F58" s="126" t="s">
        <v>234</v>
      </c>
      <c r="K58" s="126" t="s">
        <v>211</v>
      </c>
      <c r="L58" s="126" t="s">
        <v>144</v>
      </c>
      <c r="M58" s="126" t="s">
        <v>158</v>
      </c>
      <c r="N58" s="126">
        <v>250000</v>
      </c>
      <c r="O58" s="126" t="str">
        <f t="shared" si="0"/>
        <v>MICROBconc.w2C</v>
      </c>
      <c r="P58" s="126" t="s">
        <v>259</v>
      </c>
      <c r="Q58" s="25" t="str">
        <f t="shared" si="1"/>
        <v>MICROBconc,Continental,sea,250000,MICROBconc.w2C,CFU.mL-1</v>
      </c>
    </row>
    <row r="59" spans="6:17" x14ac:dyDescent="0.2">
      <c r="F59" s="126" t="s">
        <v>235</v>
      </c>
      <c r="K59" s="126" t="s">
        <v>211</v>
      </c>
      <c r="L59" s="126" t="s">
        <v>216</v>
      </c>
      <c r="M59" s="126" t="s">
        <v>130</v>
      </c>
      <c r="N59" s="126">
        <v>0</v>
      </c>
      <c r="O59" s="126" t="str">
        <f t="shared" si="0"/>
        <v>MICROBconc.aM</v>
      </c>
      <c r="P59" s="126" t="s">
        <v>259</v>
      </c>
      <c r="Q59" s="25" t="str">
        <f t="shared" si="1"/>
        <v>MICROBconc,Moderate,air,0,MICROBconc.aM,CFU.mL-1</v>
      </c>
    </row>
    <row r="60" spans="6:17" x14ac:dyDescent="0.2">
      <c r="F60" s="126" t="s">
        <v>235</v>
      </c>
      <c r="K60" s="126" t="s">
        <v>211</v>
      </c>
      <c r="L60" s="126" t="s">
        <v>216</v>
      </c>
      <c r="M60" s="126" t="s">
        <v>213</v>
      </c>
      <c r="N60" s="126">
        <v>0</v>
      </c>
      <c r="O60" s="126" t="str">
        <f t="shared" si="0"/>
        <v>MICROBconc.aM</v>
      </c>
      <c r="P60" s="126" t="s">
        <v>259</v>
      </c>
      <c r="Q60" s="25" t="str">
        <f t="shared" si="1"/>
        <v>MICROBconc,Moderate,cloudwater,0,MICROBconc.aM,CFU.mL-1</v>
      </c>
    </row>
    <row r="61" spans="6:17" x14ac:dyDescent="0.2">
      <c r="F61" s="126" t="s">
        <v>236</v>
      </c>
      <c r="K61" s="126" t="s">
        <v>211</v>
      </c>
      <c r="L61" s="126" t="s">
        <v>216</v>
      </c>
      <c r="M61" s="126" t="s">
        <v>176</v>
      </c>
      <c r="N61" s="126">
        <v>0</v>
      </c>
      <c r="O61" s="126" t="str">
        <f t="shared" si="0"/>
        <v>MICROBconc.w3M</v>
      </c>
      <c r="P61" s="126" t="s">
        <v>259</v>
      </c>
      <c r="Q61" s="25" t="str">
        <f t="shared" si="1"/>
        <v>MICROBconc,Moderate,deepocean,0,MICROBconc.w3M,CFU.mL-1</v>
      </c>
    </row>
    <row r="62" spans="6:17" x14ac:dyDescent="0.2">
      <c r="F62" s="126" t="s">
        <v>237</v>
      </c>
      <c r="K62" s="126" t="s">
        <v>211</v>
      </c>
      <c r="L62" s="126" t="s">
        <v>216</v>
      </c>
      <c r="M62" s="126" t="s">
        <v>173</v>
      </c>
      <c r="N62" s="126">
        <v>0</v>
      </c>
      <c r="O62" s="126" t="str">
        <f t="shared" si="0"/>
        <v>MICROBconc.sdM</v>
      </c>
      <c r="P62" s="126" t="s">
        <v>259</v>
      </c>
      <c r="Q62" s="25" t="str">
        <f t="shared" si="1"/>
        <v>MICROBconc,Moderate,marinesediment,0,MICROBconc.sdM,CFU.mL-1</v>
      </c>
    </row>
    <row r="63" spans="6:17" x14ac:dyDescent="0.2">
      <c r="F63" s="126" t="s">
        <v>238</v>
      </c>
      <c r="K63" s="126" t="s">
        <v>211</v>
      </c>
      <c r="L63" s="126" t="s">
        <v>216</v>
      </c>
      <c r="M63" s="126" t="s">
        <v>150</v>
      </c>
      <c r="N63" s="126">
        <v>0</v>
      </c>
      <c r="O63" s="126" t="str">
        <f t="shared" si="0"/>
        <v>MICROBconc.sM</v>
      </c>
      <c r="P63" s="126" t="s">
        <v>259</v>
      </c>
      <c r="Q63" s="25" t="str">
        <f t="shared" si="1"/>
        <v>MICROBconc,Moderate,naturalsoil,0,MICROBconc.sM,CFU.mL-1</v>
      </c>
    </row>
    <row r="64" spans="6:17" x14ac:dyDescent="0.2">
      <c r="F64" s="126" t="s">
        <v>239</v>
      </c>
      <c r="K64" s="126" t="s">
        <v>211</v>
      </c>
      <c r="L64" s="126" t="s">
        <v>216</v>
      </c>
      <c r="M64" s="126" t="s">
        <v>158</v>
      </c>
      <c r="N64" s="126">
        <v>0</v>
      </c>
      <c r="O64" s="126" t="str">
        <f t="shared" si="0"/>
        <v>MICROBconc.w2M</v>
      </c>
      <c r="P64" s="126" t="s">
        <v>259</v>
      </c>
      <c r="Q64" s="25" t="str">
        <f t="shared" si="1"/>
        <v>MICROBconc,Moderate,sea,0,MICROBconc.w2M,CFU.mL-1</v>
      </c>
    </row>
    <row r="65" spans="6:17" x14ac:dyDescent="0.2">
      <c r="F65" s="126" t="s">
        <v>240</v>
      </c>
      <c r="K65" s="126" t="s">
        <v>211</v>
      </c>
      <c r="L65" s="126" t="s">
        <v>143</v>
      </c>
      <c r="M65" s="126" t="s">
        <v>151</v>
      </c>
      <c r="N65" s="126">
        <v>121000000</v>
      </c>
      <c r="O65" s="126" t="str">
        <f t="shared" si="0"/>
        <v>MICROBconc.s2R</v>
      </c>
      <c r="P65" s="126" t="s">
        <v>259</v>
      </c>
      <c r="Q65" s="25" t="str">
        <f t="shared" si="1"/>
        <v>MICROBconc,Regional,agriculturalsoil,121000000,MICROBconc.s2R,CFU.mL-1</v>
      </c>
    </row>
    <row r="66" spans="6:17" x14ac:dyDescent="0.2">
      <c r="F66" s="126" t="s">
        <v>241</v>
      </c>
      <c r="K66" s="126" t="s">
        <v>211</v>
      </c>
      <c r="L66" s="126" t="s">
        <v>143</v>
      </c>
      <c r="M66" s="126" t="s">
        <v>130</v>
      </c>
      <c r="N66" s="126">
        <v>0.5</v>
      </c>
      <c r="O66" s="126" t="str">
        <f t="shared" si="0"/>
        <v>MICROBconc.aR</v>
      </c>
      <c r="P66" s="126" t="s">
        <v>259</v>
      </c>
      <c r="Q66" s="25" t="str">
        <f t="shared" si="1"/>
        <v>MICROBconc,Regional,air,0.5,MICROBconc.aR,CFU.mL-1</v>
      </c>
    </row>
    <row r="67" spans="6:17" x14ac:dyDescent="0.2">
      <c r="F67" s="126" t="s">
        <v>241</v>
      </c>
      <c r="K67" s="126" t="s">
        <v>211</v>
      </c>
      <c r="L67" s="126" t="s">
        <v>143</v>
      </c>
      <c r="M67" s="126" t="s">
        <v>213</v>
      </c>
      <c r="N67" s="126">
        <v>0.5</v>
      </c>
      <c r="O67" s="126" t="str">
        <f t="shared" ref="O67:O69" si="2">CONCATENATE(K67,".",F67)</f>
        <v>MICROBconc.aR</v>
      </c>
      <c r="P67" s="126" t="s">
        <v>259</v>
      </c>
      <c r="Q67" s="25" t="str">
        <f t="shared" ref="Q67:Q81" si="3">CONCATENATE(K67,",",L67,",",M67,",",N67,",",O67,",",P67)</f>
        <v>MICROBconc,Regional,cloudwater,0.5,MICROBconc.aR,CFU.mL-1</v>
      </c>
    </row>
    <row r="68" spans="6:17" x14ac:dyDescent="0.2">
      <c r="F68" s="126" t="s">
        <v>242</v>
      </c>
      <c r="K68" s="126" t="s">
        <v>211</v>
      </c>
      <c r="L68" s="126" t="s">
        <v>143</v>
      </c>
      <c r="M68" s="126" t="s">
        <v>174</v>
      </c>
      <c r="N68" s="126">
        <v>482000</v>
      </c>
      <c r="O68" s="126" t="str">
        <f t="shared" si="2"/>
        <v>MICROBconc.sd1R</v>
      </c>
      <c r="P68" s="126" t="s">
        <v>259</v>
      </c>
      <c r="Q68" s="25" t="str">
        <f t="shared" si="3"/>
        <v>MICROBconc,Regional,freshwatersediment,482000,MICROBconc.sd1R,CFU.mL-1</v>
      </c>
    </row>
    <row r="69" spans="6:17" x14ac:dyDescent="0.2">
      <c r="F69" s="126" t="s">
        <v>243</v>
      </c>
      <c r="K69" s="126" t="s">
        <v>211</v>
      </c>
      <c r="L69" s="126" t="s">
        <v>143</v>
      </c>
      <c r="M69" s="126" t="s">
        <v>149</v>
      </c>
      <c r="N69" s="126">
        <v>250000</v>
      </c>
      <c r="O69" s="126" t="str">
        <f t="shared" si="2"/>
        <v>MICROBconc.w0R</v>
      </c>
      <c r="P69" s="126" t="s">
        <v>259</v>
      </c>
      <c r="Q69" s="25" t="str">
        <f t="shared" si="3"/>
        <v>MICROBconc,Regional,lake,250000,MICROBconc.w0R,CFU.mL-1</v>
      </c>
    </row>
    <row r="70" spans="6:17" x14ac:dyDescent="0.2">
      <c r="F70" s="126" t="s">
        <v>244</v>
      </c>
      <c r="K70" s="126" t="s">
        <v>211</v>
      </c>
      <c r="L70" s="126" t="s">
        <v>143</v>
      </c>
      <c r="M70" s="126" t="s">
        <v>175</v>
      </c>
      <c r="N70" s="126">
        <v>482000</v>
      </c>
      <c r="O70" s="126" t="str">
        <f>CONCATENATE(K70,".",F70)</f>
        <v>MICROBconc.sd0R</v>
      </c>
      <c r="P70" s="126" t="s">
        <v>259</v>
      </c>
      <c r="Q70" s="25" t="str">
        <f t="shared" si="3"/>
        <v>MICROBconc,Regional,lakesediment,482000,MICROBconc.sd0R,CFU.mL-1</v>
      </c>
    </row>
    <row r="71" spans="6:17" x14ac:dyDescent="0.2">
      <c r="F71" s="126" t="s">
        <v>245</v>
      </c>
      <c r="K71" s="126" t="s">
        <v>211</v>
      </c>
      <c r="L71" s="126" t="s">
        <v>143</v>
      </c>
      <c r="M71" s="126" t="s">
        <v>173</v>
      </c>
      <c r="N71" s="126">
        <v>482000</v>
      </c>
      <c r="O71" s="126" t="str">
        <f t="shared" ref="O71:O81" si="4">CONCATENATE(K71,".",F71)</f>
        <v>MICROBconc.sd2R</v>
      </c>
      <c r="P71" s="126" t="s">
        <v>259</v>
      </c>
      <c r="Q71" s="25" t="str">
        <f t="shared" si="3"/>
        <v>MICROBconc,Regional,marinesediment,482000,MICROBconc.sd2R,CFU.mL-1</v>
      </c>
    </row>
    <row r="72" spans="6:17" x14ac:dyDescent="0.2">
      <c r="F72" s="126" t="s">
        <v>246</v>
      </c>
      <c r="K72" s="126" t="s">
        <v>211</v>
      </c>
      <c r="L72" s="126" t="s">
        <v>143</v>
      </c>
      <c r="M72" s="126" t="s">
        <v>150</v>
      </c>
      <c r="N72" s="126">
        <v>121000000</v>
      </c>
      <c r="O72" s="126" t="str">
        <f t="shared" si="4"/>
        <v>MICROBconc.s1R</v>
      </c>
      <c r="P72" s="126" t="s">
        <v>259</v>
      </c>
      <c r="Q72" s="25" t="str">
        <f t="shared" si="3"/>
        <v>MICROBconc,Regional,naturalsoil,121000000,MICROBconc.s1R,CFU.mL-1</v>
      </c>
    </row>
    <row r="73" spans="6:17" x14ac:dyDescent="0.2">
      <c r="F73" s="126" t="s">
        <v>247</v>
      </c>
      <c r="K73" s="126" t="s">
        <v>211</v>
      </c>
      <c r="L73" s="126" t="s">
        <v>143</v>
      </c>
      <c r="M73" s="126" t="s">
        <v>162</v>
      </c>
      <c r="N73" s="126">
        <v>121000000</v>
      </c>
      <c r="O73" s="126" t="str">
        <f t="shared" si="4"/>
        <v>MICROBconc.s3R</v>
      </c>
      <c r="P73" s="126" t="s">
        <v>259</v>
      </c>
      <c r="Q73" s="25" t="str">
        <f t="shared" si="3"/>
        <v>MICROBconc,Regional,othersoil,121000000,MICROBconc.s3R,CFU.mL-1</v>
      </c>
    </row>
    <row r="74" spans="6:17" x14ac:dyDescent="0.2">
      <c r="F74" s="126" t="s">
        <v>248</v>
      </c>
      <c r="K74" s="126" t="s">
        <v>211</v>
      </c>
      <c r="L74" s="126" t="s">
        <v>143</v>
      </c>
      <c r="M74" s="126" t="s">
        <v>148</v>
      </c>
      <c r="N74" s="126">
        <v>250000</v>
      </c>
      <c r="O74" s="126" t="str">
        <f t="shared" si="4"/>
        <v>MICROBconc.w1R</v>
      </c>
      <c r="P74" s="126" t="s">
        <v>259</v>
      </c>
      <c r="Q74" s="25" t="str">
        <f t="shared" si="3"/>
        <v>MICROBconc,Regional,river,250000,MICROBconc.w1R,CFU.mL-1</v>
      </c>
    </row>
    <row r="75" spans="6:17" x14ac:dyDescent="0.2">
      <c r="F75" s="126" t="s">
        <v>249</v>
      </c>
      <c r="K75" s="126" t="s">
        <v>211</v>
      </c>
      <c r="L75" s="126" t="s">
        <v>143</v>
      </c>
      <c r="M75" s="126" t="s">
        <v>158</v>
      </c>
      <c r="N75" s="126">
        <v>250000</v>
      </c>
      <c r="O75" s="126" t="str">
        <f t="shared" si="4"/>
        <v>MICROBconc.w2R</v>
      </c>
      <c r="P75" s="126" t="s">
        <v>259</v>
      </c>
      <c r="Q75" s="25" t="str">
        <f t="shared" si="3"/>
        <v>MICROBconc,Regional,sea,250000,MICROBconc.w2R,CFU.mL-1</v>
      </c>
    </row>
    <row r="76" spans="6:17" x14ac:dyDescent="0.2">
      <c r="F76" s="126" t="s">
        <v>250</v>
      </c>
      <c r="K76" s="126" t="s">
        <v>211</v>
      </c>
      <c r="L76" s="126" t="s">
        <v>217</v>
      </c>
      <c r="M76" s="126" t="s">
        <v>130</v>
      </c>
      <c r="N76" s="126">
        <v>0</v>
      </c>
      <c r="O76" s="126" t="str">
        <f t="shared" si="4"/>
        <v>MICROBconc.aT</v>
      </c>
      <c r="P76" s="126" t="s">
        <v>259</v>
      </c>
      <c r="Q76" s="25" t="str">
        <f t="shared" si="3"/>
        <v>MICROBconc,Tropic,air,0,MICROBconc.aT,CFU.mL-1</v>
      </c>
    </row>
    <row r="77" spans="6:17" x14ac:dyDescent="0.2">
      <c r="F77" s="126" t="s">
        <v>250</v>
      </c>
      <c r="K77" s="126" t="s">
        <v>211</v>
      </c>
      <c r="L77" s="126" t="s">
        <v>217</v>
      </c>
      <c r="M77" s="126" t="s">
        <v>213</v>
      </c>
      <c r="N77" s="126">
        <v>0</v>
      </c>
      <c r="O77" s="126" t="str">
        <f t="shared" si="4"/>
        <v>MICROBconc.aT</v>
      </c>
      <c r="P77" s="126" t="s">
        <v>259</v>
      </c>
      <c r="Q77" s="25" t="str">
        <f t="shared" si="3"/>
        <v>MICROBconc,Tropic,cloudwater,0,MICROBconc.aT,CFU.mL-1</v>
      </c>
    </row>
    <row r="78" spans="6:17" x14ac:dyDescent="0.2">
      <c r="F78" s="126" t="s">
        <v>251</v>
      </c>
      <c r="K78" s="126" t="s">
        <v>211</v>
      </c>
      <c r="L78" s="126" t="s">
        <v>217</v>
      </c>
      <c r="M78" s="126" t="s">
        <v>176</v>
      </c>
      <c r="N78" s="126">
        <v>0</v>
      </c>
      <c r="O78" s="126" t="str">
        <f t="shared" si="4"/>
        <v>MICROBconc.w3T</v>
      </c>
      <c r="P78" s="126" t="s">
        <v>259</v>
      </c>
      <c r="Q78" s="25" t="str">
        <f t="shared" si="3"/>
        <v>MICROBconc,Tropic,deepocean,0,MICROBconc.w3T,CFU.mL-1</v>
      </c>
    </row>
    <row r="79" spans="6:17" x14ac:dyDescent="0.2">
      <c r="F79" s="126" t="s">
        <v>252</v>
      </c>
      <c r="K79" s="126" t="s">
        <v>211</v>
      </c>
      <c r="L79" s="126" t="s">
        <v>217</v>
      </c>
      <c r="M79" s="126" t="s">
        <v>173</v>
      </c>
      <c r="N79" s="126">
        <v>0</v>
      </c>
      <c r="O79" s="126" t="str">
        <f t="shared" si="4"/>
        <v>MICROBconc.sdT</v>
      </c>
      <c r="P79" s="126" t="s">
        <v>259</v>
      </c>
      <c r="Q79" s="25" t="str">
        <f t="shared" si="3"/>
        <v>MICROBconc,Tropic,marinesediment,0,MICROBconc.sdT,CFU.mL-1</v>
      </c>
    </row>
    <row r="80" spans="6:17" x14ac:dyDescent="0.2">
      <c r="F80" s="126" t="s">
        <v>253</v>
      </c>
      <c r="K80" s="126" t="s">
        <v>211</v>
      </c>
      <c r="L80" s="126" t="s">
        <v>217</v>
      </c>
      <c r="M80" s="126" t="s">
        <v>150</v>
      </c>
      <c r="N80" s="126">
        <v>0</v>
      </c>
      <c r="O80" s="126" t="str">
        <f t="shared" si="4"/>
        <v>MICROBconc.sT</v>
      </c>
      <c r="P80" s="126" t="s">
        <v>259</v>
      </c>
      <c r="Q80" s="25" t="str">
        <f t="shared" si="3"/>
        <v>MICROBconc,Tropic,naturalsoil,0,MICROBconc.sT,CFU.mL-1</v>
      </c>
    </row>
    <row r="81" spans="6:17" x14ac:dyDescent="0.2">
      <c r="F81" s="126" t="s">
        <v>254</v>
      </c>
      <c r="K81" s="126" t="s">
        <v>211</v>
      </c>
      <c r="L81" s="126" t="s">
        <v>217</v>
      </c>
      <c r="M81" s="126" t="s">
        <v>158</v>
      </c>
      <c r="N81" s="126">
        <v>0</v>
      </c>
      <c r="O81" s="126" t="str">
        <f t="shared" si="4"/>
        <v>MICROBconc.w2T</v>
      </c>
      <c r="P81" s="126" t="s">
        <v>259</v>
      </c>
      <c r="Q81" s="25" t="str">
        <f t="shared" si="3"/>
        <v>MICROBconc,Tropic,sea,0,MICROBconc.w2T,CFU.mL-1</v>
      </c>
    </row>
  </sheetData>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76B1-D299-524E-A585-022AD9FA45F3}">
  <dimension ref="A1:F18"/>
  <sheetViews>
    <sheetView zoomScale="125" zoomScaleNormal="125" workbookViewId="0">
      <selection activeCell="D27" sqref="D27"/>
    </sheetView>
  </sheetViews>
  <sheetFormatPr baseColWidth="10" defaultRowHeight="15" x14ac:dyDescent="0.2"/>
  <cols>
    <col min="1" max="1" width="10.83203125" style="15"/>
    <col min="2" max="3" width="19" style="15" bestFit="1" customWidth="1"/>
    <col min="4" max="4" width="22" style="15" customWidth="1"/>
    <col min="5" max="6" width="19" style="15" bestFit="1" customWidth="1"/>
    <col min="7" max="16384" width="10.83203125" style="15"/>
  </cols>
  <sheetData>
    <row r="1" spans="1:6" x14ac:dyDescent="0.2">
      <c r="A1" s="113" t="s">
        <v>262</v>
      </c>
    </row>
    <row r="2" spans="1:6" x14ac:dyDescent="0.2">
      <c r="A2" s="114"/>
      <c r="B2" s="441" t="s">
        <v>188</v>
      </c>
      <c r="C2" s="441"/>
      <c r="D2" s="441"/>
      <c r="E2" s="441"/>
      <c r="F2" s="442"/>
    </row>
    <row r="3" spans="1:6" x14ac:dyDescent="0.2">
      <c r="A3" s="115" t="s">
        <v>181</v>
      </c>
      <c r="B3" s="116">
        <v>1</v>
      </c>
      <c r="C3" s="116">
        <v>10</v>
      </c>
      <c r="D3" s="116">
        <v>100</v>
      </c>
      <c r="E3" s="116">
        <v>1000</v>
      </c>
      <c r="F3" s="117">
        <v>5000</v>
      </c>
    </row>
    <row r="4" spans="1:6" x14ac:dyDescent="0.2">
      <c r="A4" s="118" t="s">
        <v>182</v>
      </c>
      <c r="B4" s="116">
        <f>B3</f>
        <v>1</v>
      </c>
      <c r="C4" s="116">
        <f t="shared" ref="C4:C5" si="0">C3</f>
        <v>10</v>
      </c>
      <c r="D4" s="116">
        <f t="shared" ref="D4:D5" si="1">D3</f>
        <v>100</v>
      </c>
      <c r="E4" s="116">
        <f t="shared" ref="E4:E5" si="2">E3</f>
        <v>1000</v>
      </c>
      <c r="F4" s="117">
        <f t="shared" ref="F4:F5" si="3">F3</f>
        <v>5000</v>
      </c>
    </row>
    <row r="5" spans="1:6" x14ac:dyDescent="0.2">
      <c r="A5" s="118" t="s">
        <v>184</v>
      </c>
      <c r="B5" s="116">
        <f>B4</f>
        <v>1</v>
      </c>
      <c r="C5" s="116">
        <f t="shared" si="0"/>
        <v>10</v>
      </c>
      <c r="D5" s="116">
        <f t="shared" si="1"/>
        <v>100</v>
      </c>
      <c r="E5" s="116">
        <f t="shared" si="2"/>
        <v>1000</v>
      </c>
      <c r="F5" s="117">
        <f t="shared" si="3"/>
        <v>5000</v>
      </c>
    </row>
    <row r="6" spans="1:6" x14ac:dyDescent="0.2">
      <c r="A6" s="119" t="s">
        <v>187</v>
      </c>
      <c r="B6" s="120" t="s">
        <v>189</v>
      </c>
      <c r="C6" s="120" t="s">
        <v>189</v>
      </c>
      <c r="D6" s="120" t="s">
        <v>189</v>
      </c>
      <c r="E6" s="120" t="s">
        <v>189</v>
      </c>
      <c r="F6" s="121" t="s">
        <v>189</v>
      </c>
    </row>
    <row r="7" spans="1:6" x14ac:dyDescent="0.2">
      <c r="A7" s="114"/>
      <c r="B7" s="441" t="s">
        <v>185</v>
      </c>
      <c r="C7" s="441"/>
      <c r="D7" s="441"/>
      <c r="E7" s="441"/>
      <c r="F7" s="442"/>
    </row>
    <row r="8" spans="1:6" x14ac:dyDescent="0.2">
      <c r="A8" s="115" t="s">
        <v>181</v>
      </c>
      <c r="B8" s="116">
        <v>1</v>
      </c>
      <c r="C8" s="116">
        <v>10</v>
      </c>
      <c r="D8" s="116">
        <v>100</v>
      </c>
      <c r="E8" s="116">
        <v>1000</v>
      </c>
      <c r="F8" s="122">
        <v>5000</v>
      </c>
    </row>
    <row r="9" spans="1:6" x14ac:dyDescent="0.2">
      <c r="A9" s="118" t="s">
        <v>182</v>
      </c>
      <c r="B9" s="116">
        <f>B8</f>
        <v>1</v>
      </c>
      <c r="C9" s="116">
        <f t="shared" ref="C9:F9" si="4">C8</f>
        <v>10</v>
      </c>
      <c r="D9" s="116">
        <f t="shared" si="4"/>
        <v>100</v>
      </c>
      <c r="E9" s="116">
        <f t="shared" si="4"/>
        <v>1000</v>
      </c>
      <c r="F9" s="122">
        <f t="shared" si="4"/>
        <v>5000</v>
      </c>
    </row>
    <row r="10" spans="1:6" x14ac:dyDescent="0.2">
      <c r="A10" s="118" t="s">
        <v>184</v>
      </c>
      <c r="B10" s="116">
        <f>B9*50</f>
        <v>50</v>
      </c>
      <c r="C10" s="116">
        <f>C9*10</f>
        <v>100</v>
      </c>
      <c r="D10" s="116">
        <f t="shared" ref="D10:F10" si="5">D9*10</f>
        <v>1000</v>
      </c>
      <c r="E10" s="116">
        <f>E9*5</f>
        <v>5000</v>
      </c>
      <c r="F10" s="122">
        <f t="shared" si="5"/>
        <v>50000</v>
      </c>
    </row>
    <row r="11" spans="1:6" x14ac:dyDescent="0.2">
      <c r="A11" s="118" t="s">
        <v>192</v>
      </c>
      <c r="B11" s="116"/>
      <c r="C11" s="116"/>
      <c r="D11" s="123"/>
      <c r="E11" s="124"/>
      <c r="F11" s="125" t="s">
        <v>194</v>
      </c>
    </row>
    <row r="12" spans="1:6" x14ac:dyDescent="0.2">
      <c r="A12" s="119" t="s">
        <v>187</v>
      </c>
      <c r="B12" s="120" t="s">
        <v>186</v>
      </c>
      <c r="C12" s="120" t="s">
        <v>186</v>
      </c>
      <c r="D12" s="120" t="s">
        <v>186</v>
      </c>
      <c r="E12" s="120" t="s">
        <v>186</v>
      </c>
      <c r="F12" s="121" t="s">
        <v>186</v>
      </c>
    </row>
    <row r="13" spans="1:6" x14ac:dyDescent="0.2">
      <c r="A13" s="114"/>
      <c r="B13" s="441" t="s">
        <v>190</v>
      </c>
      <c r="C13" s="441"/>
      <c r="D13" s="441"/>
      <c r="E13" s="441"/>
      <c r="F13" s="442"/>
    </row>
    <row r="14" spans="1:6" x14ac:dyDescent="0.2">
      <c r="A14" s="115" t="s">
        <v>183</v>
      </c>
      <c r="B14" s="116">
        <v>1</v>
      </c>
      <c r="C14" s="116">
        <v>10</v>
      </c>
      <c r="D14" s="116">
        <v>100</v>
      </c>
      <c r="E14" s="125">
        <v>1000</v>
      </c>
      <c r="F14" s="122">
        <v>5000</v>
      </c>
    </row>
    <row r="15" spans="1:6" x14ac:dyDescent="0.2">
      <c r="A15" s="118" t="s">
        <v>182</v>
      </c>
      <c r="B15" s="116">
        <f>30*B14</f>
        <v>30</v>
      </c>
      <c r="C15" s="116">
        <f>30*C14</f>
        <v>300</v>
      </c>
      <c r="D15" s="116">
        <f>30*D14</f>
        <v>3000</v>
      </c>
      <c r="E15" s="125">
        <f>E14*1/0.1</f>
        <v>10000</v>
      </c>
      <c r="F15" s="122">
        <f t="shared" ref="F15" si="6">GEOMEAN(1/0.1,0.1/0.001)*F14</f>
        <v>158113.88300841895</v>
      </c>
    </row>
    <row r="16" spans="1:6" x14ac:dyDescent="0.2">
      <c r="A16" s="118" t="s">
        <v>184</v>
      </c>
      <c r="B16" s="116">
        <f>GEOMEAN(1/0.1,1/0.001)*B14</f>
        <v>100</v>
      </c>
      <c r="C16" s="116">
        <f t="shared" ref="C16:F16" si="7">GEOMEAN(1/0.1,1/0.001)*C14</f>
        <v>1000</v>
      </c>
      <c r="D16" s="123">
        <f>D15</f>
        <v>3000</v>
      </c>
      <c r="E16" s="125">
        <f t="shared" si="7"/>
        <v>100000</v>
      </c>
      <c r="F16" s="122">
        <f t="shared" si="7"/>
        <v>500000</v>
      </c>
    </row>
    <row r="17" spans="1:6" ht="32" x14ac:dyDescent="0.2">
      <c r="A17" s="118" t="s">
        <v>192</v>
      </c>
      <c r="B17" s="116" t="s">
        <v>191</v>
      </c>
      <c r="C17" s="116" t="s">
        <v>191</v>
      </c>
      <c r="D17" s="123" t="s">
        <v>193</v>
      </c>
      <c r="E17" s="125" t="s">
        <v>194</v>
      </c>
      <c r="F17" s="125" t="s">
        <v>194</v>
      </c>
    </row>
    <row r="18" spans="1:6" x14ac:dyDescent="0.2">
      <c r="A18" s="119" t="s">
        <v>187</v>
      </c>
      <c r="B18" s="120" t="s">
        <v>189</v>
      </c>
      <c r="C18" s="120" t="s">
        <v>189</v>
      </c>
      <c r="D18" s="120" t="s">
        <v>189</v>
      </c>
      <c r="E18" s="120" t="s">
        <v>189</v>
      </c>
      <c r="F18" s="121" t="s">
        <v>189</v>
      </c>
    </row>
  </sheetData>
  <mergeCells count="3">
    <mergeCell ref="B2:F2"/>
    <mergeCell ref="B7:F7"/>
    <mergeCell ref="B13:F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D5EF-DDA1-8C4C-8DBC-A19244F8C25C}">
  <sheetPr>
    <tabColor theme="3" tint="0.749992370372631"/>
  </sheetPr>
  <dimension ref="A1:W22"/>
  <sheetViews>
    <sheetView topLeftCell="A5" zoomScale="110" zoomScaleNormal="110" workbookViewId="0">
      <pane xSplit="1" topLeftCell="H1" activePane="topRight" state="frozen"/>
      <selection activeCell="D27" sqref="D27"/>
      <selection pane="topRight" activeCell="D27" sqref="D27"/>
    </sheetView>
  </sheetViews>
  <sheetFormatPr baseColWidth="10" defaultRowHeight="15" x14ac:dyDescent="0.2"/>
  <cols>
    <col min="1" max="1" width="21" style="28" customWidth="1"/>
    <col min="2" max="2" width="24.5" style="28" customWidth="1"/>
    <col min="3" max="3" width="16.33203125" style="28" customWidth="1"/>
    <col min="4" max="4" width="13.5" style="28" customWidth="1"/>
    <col min="5" max="5" width="14.6640625" style="28" customWidth="1"/>
    <col min="6" max="6" width="15.5" style="28" customWidth="1"/>
    <col min="7" max="7" width="15.6640625" style="28" customWidth="1"/>
    <col min="8" max="8" width="14.33203125" style="28" customWidth="1"/>
    <col min="9" max="9" width="15.1640625" style="28" customWidth="1"/>
    <col min="10" max="10" width="14.5" style="28" customWidth="1"/>
    <col min="11" max="12" width="14.1640625" style="28" customWidth="1"/>
    <col min="13" max="14" width="10.83203125" style="28"/>
    <col min="15" max="15" width="15.83203125" style="28" customWidth="1"/>
    <col min="16" max="16384" width="10.83203125" style="28"/>
  </cols>
  <sheetData>
    <row r="1" spans="1:23" x14ac:dyDescent="0.2">
      <c r="A1" s="27"/>
      <c r="B1" s="27"/>
      <c r="C1" s="27"/>
      <c r="D1" s="27"/>
      <c r="E1" s="27"/>
      <c r="F1" s="27"/>
      <c r="G1" s="27"/>
      <c r="H1" s="27"/>
      <c r="I1" s="27"/>
      <c r="J1" s="27"/>
      <c r="K1" s="27"/>
      <c r="L1" s="27"/>
      <c r="M1" s="27"/>
      <c r="N1" s="27"/>
    </row>
    <row r="2" spans="1:23" ht="19" x14ac:dyDescent="0.25">
      <c r="A2" s="27"/>
      <c r="B2" s="23" t="s">
        <v>267</v>
      </c>
      <c r="C2" s="27"/>
      <c r="D2" s="27"/>
      <c r="E2" s="27"/>
      <c r="F2" s="27"/>
      <c r="G2" s="27"/>
      <c r="H2" s="27"/>
      <c r="I2" s="27"/>
      <c r="J2" s="27"/>
      <c r="K2" s="27"/>
      <c r="L2" s="27"/>
      <c r="M2" s="27"/>
      <c r="N2" s="27"/>
    </row>
    <row r="3" spans="1:23" x14ac:dyDescent="0.2">
      <c r="A3" s="27"/>
      <c r="B3" s="27"/>
      <c r="C3" s="27"/>
      <c r="D3" s="27"/>
      <c r="E3" s="27"/>
      <c r="F3" s="27"/>
      <c r="G3" s="27"/>
      <c r="H3" s="27"/>
      <c r="I3" s="27"/>
      <c r="J3" s="27"/>
      <c r="K3" s="27"/>
      <c r="L3" s="27"/>
      <c r="M3" s="27"/>
      <c r="N3" s="27"/>
    </row>
    <row r="4" spans="1:23" x14ac:dyDescent="0.2">
      <c r="A4" s="27"/>
      <c r="B4" s="27" t="s">
        <v>288</v>
      </c>
      <c r="C4" s="27"/>
      <c r="D4" s="27"/>
      <c r="E4" s="27"/>
      <c r="F4" s="27"/>
      <c r="G4" s="27"/>
      <c r="H4" s="27"/>
      <c r="I4" s="27"/>
      <c r="J4" s="27"/>
      <c r="K4" s="27"/>
      <c r="L4" s="27"/>
      <c r="M4" s="27"/>
      <c r="N4" s="27"/>
    </row>
    <row r="5" spans="1:23" x14ac:dyDescent="0.2">
      <c r="A5" s="27"/>
      <c r="B5" s="27"/>
      <c r="C5" s="27"/>
      <c r="D5" s="27"/>
      <c r="E5" s="27"/>
      <c r="F5" s="27"/>
      <c r="G5" s="27"/>
      <c r="H5" s="27"/>
      <c r="I5" s="27"/>
      <c r="J5" s="27"/>
      <c r="K5" s="27"/>
      <c r="L5" s="27"/>
      <c r="M5" s="27"/>
      <c r="N5" s="27"/>
      <c r="O5" s="445" t="s">
        <v>289</v>
      </c>
      <c r="P5" s="445"/>
      <c r="Q5" s="445"/>
    </row>
    <row r="6" spans="1:23" ht="96" x14ac:dyDescent="0.2">
      <c r="A6" s="95" t="s">
        <v>268</v>
      </c>
      <c r="B6" s="96" t="s">
        <v>269</v>
      </c>
      <c r="C6" s="97" t="s">
        <v>299</v>
      </c>
      <c r="D6" s="96" t="s">
        <v>270</v>
      </c>
      <c r="E6" s="96" t="s">
        <v>271</v>
      </c>
      <c r="F6" s="96" t="s">
        <v>272</v>
      </c>
      <c r="G6" s="96" t="s">
        <v>273</v>
      </c>
      <c r="H6" s="96" t="s">
        <v>274</v>
      </c>
      <c r="I6" s="96" t="s">
        <v>275</v>
      </c>
      <c r="J6" s="96" t="s">
        <v>297</v>
      </c>
      <c r="K6" s="96" t="s">
        <v>276</v>
      </c>
      <c r="L6" s="96" t="s">
        <v>296</v>
      </c>
      <c r="M6" s="96" t="s">
        <v>278</v>
      </c>
      <c r="N6" s="27"/>
      <c r="O6" s="96" t="s">
        <v>276</v>
      </c>
      <c r="P6" s="96" t="s">
        <v>277</v>
      </c>
      <c r="Q6" s="96" t="s">
        <v>298</v>
      </c>
      <c r="R6" s="96" t="s">
        <v>295</v>
      </c>
      <c r="T6" s="96" t="s">
        <v>276</v>
      </c>
      <c r="U6" s="96" t="s">
        <v>277</v>
      </c>
    </row>
    <row r="7" spans="1:23" ht="64" x14ac:dyDescent="0.2">
      <c r="A7" s="95" t="s">
        <v>124</v>
      </c>
      <c r="B7" s="98" t="s">
        <v>279</v>
      </c>
      <c r="C7" s="99">
        <v>4943</v>
      </c>
      <c r="D7" s="100">
        <v>10969</v>
      </c>
      <c r="E7" s="100">
        <f>SUM(C7:D7)</f>
        <v>15912</v>
      </c>
      <c r="F7" s="100">
        <v>12523</v>
      </c>
      <c r="G7" s="100">
        <f>E7-F7</f>
        <v>3389</v>
      </c>
      <c r="H7" s="100">
        <f>(C7-G7)</f>
        <v>1554</v>
      </c>
      <c r="I7" s="101">
        <f>(D7-G7)</f>
        <v>7580</v>
      </c>
      <c r="J7" s="101">
        <v>5283</v>
      </c>
      <c r="K7" s="102">
        <f t="shared" ref="K7:K14" si="0">(G7+H7)/(2*G7+H7+I7+J7)</f>
        <v>0.23321538098608163</v>
      </c>
      <c r="L7" s="102">
        <f t="shared" ref="L7:L14" si="1">(G7+I7+J7)/(2*G7+H7+I7+J7)</f>
        <v>0.76678461901391837</v>
      </c>
      <c r="M7" s="102">
        <f>SUM(K7:L7)</f>
        <v>1</v>
      </c>
      <c r="N7" s="27"/>
      <c r="O7" s="103">
        <f>C7/(F7+J7)</f>
        <v>0.27760305514994943</v>
      </c>
      <c r="P7" s="103">
        <f>J7/(J7+F7)</f>
        <v>0.29669774233404472</v>
      </c>
      <c r="Q7" s="103">
        <f>I7/(F7+J7)</f>
        <v>0.42569920251600585</v>
      </c>
      <c r="R7" s="104">
        <f>O7+P7+Q7</f>
        <v>1</v>
      </c>
      <c r="T7" s="103">
        <f>H7/(J7+F7)</f>
        <v>8.7273952600247104E-2</v>
      </c>
      <c r="U7" s="103">
        <f>J7/(J7+F7)</f>
        <v>0.29669774233404472</v>
      </c>
      <c r="V7" s="103">
        <f>I7/(F7+J7)</f>
        <v>0.42569920251600585</v>
      </c>
      <c r="W7" s="104">
        <f>SUM(T7:V7)</f>
        <v>0.80967089745029774</v>
      </c>
    </row>
    <row r="8" spans="1:23" ht="64" x14ac:dyDescent="0.2">
      <c r="A8" s="95" t="s">
        <v>47</v>
      </c>
      <c r="B8" s="98" t="s">
        <v>280</v>
      </c>
      <c r="C8" s="99">
        <v>5410</v>
      </c>
      <c r="D8" s="100">
        <v>9667</v>
      </c>
      <c r="E8" s="100">
        <f t="shared" ref="E8:E14" si="2">SUM(C8:D8)</f>
        <v>15077</v>
      </c>
      <c r="F8" s="100">
        <v>12523</v>
      </c>
      <c r="G8" s="100">
        <f t="shared" ref="G8:G14" si="3">E8-F8</f>
        <v>2554</v>
      </c>
      <c r="H8" s="100">
        <f t="shared" ref="H8:H14" si="4">(C8-G8)</f>
        <v>2856</v>
      </c>
      <c r="I8" s="101">
        <f t="shared" ref="I8:I14" si="5">(D8-G8)</f>
        <v>7113</v>
      </c>
      <c r="J8" s="101">
        <v>5283</v>
      </c>
      <c r="K8" s="102">
        <f t="shared" si="0"/>
        <v>0.26571709233791746</v>
      </c>
      <c r="L8" s="102">
        <f t="shared" si="1"/>
        <v>0.73428290766208248</v>
      </c>
      <c r="M8" s="102">
        <f t="shared" ref="M8:M14" si="6">SUM(K8:L8)</f>
        <v>1</v>
      </c>
      <c r="N8" s="27"/>
      <c r="O8" s="103">
        <f t="shared" ref="O8:O14" si="7">C8/(F8+J8)</f>
        <v>0.30383016960575088</v>
      </c>
      <c r="P8" s="103">
        <f t="shared" ref="P8:P14" si="8">J8/(J8+F8)</f>
        <v>0.29669774233404472</v>
      </c>
      <c r="Q8" s="103">
        <f t="shared" ref="Q8:Q14" si="9">I8/(F8+J8)</f>
        <v>0.3994720880602044</v>
      </c>
      <c r="R8" s="104">
        <f t="shared" ref="R8:R14" si="10">O8+P8+Q8</f>
        <v>1</v>
      </c>
      <c r="T8" s="103">
        <f t="shared" ref="T8:T14" si="11">H8/(J8+F8)</f>
        <v>0.16039537234640008</v>
      </c>
      <c r="U8" s="103">
        <f t="shared" ref="U8:U14" si="12">J8/(J8+F8)</f>
        <v>0.29669774233404472</v>
      </c>
      <c r="V8" s="103">
        <f t="shared" ref="V8:V14" si="13">I8/(F8+J8)</f>
        <v>0.3994720880602044</v>
      </c>
      <c r="W8" s="104">
        <f t="shared" ref="W8:W14" si="14">SUM(T8:V8)</f>
        <v>0.85656520274064918</v>
      </c>
    </row>
    <row r="9" spans="1:23" ht="48" x14ac:dyDescent="0.2">
      <c r="A9" s="95" t="s">
        <v>30</v>
      </c>
      <c r="B9" s="98" t="s">
        <v>281</v>
      </c>
      <c r="C9" s="99">
        <v>739</v>
      </c>
      <c r="D9" s="100">
        <v>12362</v>
      </c>
      <c r="E9" s="100">
        <f t="shared" si="2"/>
        <v>13101</v>
      </c>
      <c r="F9" s="100">
        <v>12523</v>
      </c>
      <c r="G9" s="100">
        <f t="shared" si="3"/>
        <v>578</v>
      </c>
      <c r="H9" s="100">
        <f t="shared" si="4"/>
        <v>161</v>
      </c>
      <c r="I9" s="101">
        <f t="shared" si="5"/>
        <v>11784</v>
      </c>
      <c r="J9" s="101">
        <v>5283</v>
      </c>
      <c r="K9" s="102">
        <f t="shared" si="0"/>
        <v>4.0197998259355959E-2</v>
      </c>
      <c r="L9" s="102">
        <f t="shared" si="1"/>
        <v>0.95980200174064401</v>
      </c>
      <c r="M9" s="102">
        <f t="shared" si="6"/>
        <v>1</v>
      </c>
      <c r="N9" s="27"/>
      <c r="O9" s="103">
        <f t="shared" si="7"/>
        <v>4.1502864203077618E-2</v>
      </c>
      <c r="P9" s="103">
        <f t="shared" si="8"/>
        <v>0.29669774233404472</v>
      </c>
      <c r="Q9" s="103">
        <f t="shared" si="9"/>
        <v>0.66179939346287764</v>
      </c>
      <c r="R9" s="104">
        <f t="shared" si="10"/>
        <v>1</v>
      </c>
      <c r="T9" s="103">
        <f t="shared" si="11"/>
        <v>9.041895990115692E-3</v>
      </c>
      <c r="U9" s="103">
        <f t="shared" si="12"/>
        <v>0.29669774233404472</v>
      </c>
      <c r="V9" s="103">
        <f t="shared" si="13"/>
        <v>0.66179939346287764</v>
      </c>
      <c r="W9" s="104">
        <f t="shared" si="14"/>
        <v>0.96753903178703804</v>
      </c>
    </row>
    <row r="10" spans="1:23" ht="64" x14ac:dyDescent="0.2">
      <c r="A10" s="95" t="s">
        <v>282</v>
      </c>
      <c r="B10" s="98" t="s">
        <v>283</v>
      </c>
      <c r="C10" s="99">
        <v>4787</v>
      </c>
      <c r="D10" s="100">
        <v>10808</v>
      </c>
      <c r="E10" s="100">
        <f t="shared" si="2"/>
        <v>15595</v>
      </c>
      <c r="F10" s="100">
        <v>12523</v>
      </c>
      <c r="G10" s="100">
        <f t="shared" si="3"/>
        <v>3072</v>
      </c>
      <c r="H10" s="100">
        <f t="shared" si="4"/>
        <v>1715</v>
      </c>
      <c r="I10" s="101">
        <f t="shared" si="5"/>
        <v>7736</v>
      </c>
      <c r="J10" s="101">
        <v>5283</v>
      </c>
      <c r="K10" s="102">
        <f t="shared" si="0"/>
        <v>0.22928441421592108</v>
      </c>
      <c r="L10" s="102">
        <f>(G10+I10+J10)/(2*G10+H10+I10+J10)</f>
        <v>0.77071558578407895</v>
      </c>
      <c r="M10" s="102">
        <f t="shared" si="6"/>
        <v>1</v>
      </c>
      <c r="N10" s="27"/>
      <c r="O10" s="103">
        <f t="shared" si="7"/>
        <v>0.26884196338312927</v>
      </c>
      <c r="P10" s="103">
        <f t="shared" si="8"/>
        <v>0.29669774233404472</v>
      </c>
      <c r="Q10" s="103">
        <f t="shared" si="9"/>
        <v>0.43446029428282601</v>
      </c>
      <c r="R10" s="104">
        <f t="shared" si="10"/>
        <v>1</v>
      </c>
      <c r="T10" s="103">
        <f t="shared" si="11"/>
        <v>9.6315848590362796E-2</v>
      </c>
      <c r="U10" s="103">
        <f t="shared" si="12"/>
        <v>0.29669774233404472</v>
      </c>
      <c r="V10" s="103">
        <f t="shared" si="13"/>
        <v>0.43446029428282601</v>
      </c>
      <c r="W10" s="104">
        <f t="shared" si="14"/>
        <v>0.82747388520723353</v>
      </c>
    </row>
    <row r="11" spans="1:23" ht="32" x14ac:dyDescent="0.2">
      <c r="A11" s="95" t="s">
        <v>49</v>
      </c>
      <c r="B11" s="98" t="s">
        <v>284</v>
      </c>
      <c r="C11" s="99">
        <v>5601</v>
      </c>
      <c r="D11" s="100">
        <v>11181</v>
      </c>
      <c r="E11" s="100">
        <f t="shared" si="2"/>
        <v>16782</v>
      </c>
      <c r="F11" s="100">
        <v>12523</v>
      </c>
      <c r="G11" s="100">
        <f t="shared" si="3"/>
        <v>4259</v>
      </c>
      <c r="H11" s="100">
        <f t="shared" si="4"/>
        <v>1342</v>
      </c>
      <c r="I11" s="101">
        <f t="shared" si="5"/>
        <v>6922</v>
      </c>
      <c r="J11" s="101">
        <v>5283</v>
      </c>
      <c r="K11" s="102">
        <f t="shared" si="0"/>
        <v>0.2538409245411285</v>
      </c>
      <c r="L11" s="102">
        <f t="shared" si="1"/>
        <v>0.7461590754588715</v>
      </c>
      <c r="M11" s="102">
        <f t="shared" si="6"/>
        <v>1</v>
      </c>
      <c r="N11" s="27"/>
      <c r="O11" s="103">
        <f t="shared" si="7"/>
        <v>0.31455689093563965</v>
      </c>
      <c r="P11" s="103">
        <f t="shared" si="8"/>
        <v>0.29669774233404472</v>
      </c>
      <c r="Q11" s="103">
        <f t="shared" si="9"/>
        <v>0.38874536673031562</v>
      </c>
      <c r="R11" s="104">
        <f t="shared" si="10"/>
        <v>1</v>
      </c>
      <c r="T11" s="103">
        <f t="shared" si="11"/>
        <v>7.5367853532517126E-2</v>
      </c>
      <c r="U11" s="103">
        <f t="shared" si="12"/>
        <v>0.29669774233404472</v>
      </c>
      <c r="V11" s="103">
        <f t="shared" si="13"/>
        <v>0.38874536673031562</v>
      </c>
      <c r="W11" s="104">
        <f t="shared" si="14"/>
        <v>0.76081096259687753</v>
      </c>
    </row>
    <row r="12" spans="1:23" ht="64" x14ac:dyDescent="0.2">
      <c r="A12" s="95" t="s">
        <v>50</v>
      </c>
      <c r="B12" s="98" t="s">
        <v>285</v>
      </c>
      <c r="C12" s="99">
        <v>7971</v>
      </c>
      <c r="D12" s="100">
        <v>7602</v>
      </c>
      <c r="E12" s="100">
        <f t="shared" si="2"/>
        <v>15573</v>
      </c>
      <c r="F12" s="100">
        <v>12523</v>
      </c>
      <c r="G12" s="100">
        <f t="shared" si="3"/>
        <v>3050</v>
      </c>
      <c r="H12" s="100">
        <f t="shared" si="4"/>
        <v>4921</v>
      </c>
      <c r="I12" s="101">
        <f t="shared" si="5"/>
        <v>4552</v>
      </c>
      <c r="J12" s="101">
        <v>5283</v>
      </c>
      <c r="K12" s="102">
        <f t="shared" si="0"/>
        <v>0.38219217491369389</v>
      </c>
      <c r="L12" s="102">
        <f t="shared" si="1"/>
        <v>0.61780782508630605</v>
      </c>
      <c r="M12" s="102">
        <f t="shared" si="6"/>
        <v>1</v>
      </c>
      <c r="N12" s="27"/>
      <c r="O12" s="103">
        <f t="shared" si="7"/>
        <v>0.4476580927777154</v>
      </c>
      <c r="P12" s="103">
        <f t="shared" si="8"/>
        <v>0.29669774233404472</v>
      </c>
      <c r="Q12" s="103">
        <f t="shared" si="9"/>
        <v>0.25564416488823993</v>
      </c>
      <c r="R12" s="104">
        <f t="shared" si="10"/>
        <v>1</v>
      </c>
      <c r="T12" s="103">
        <f t="shared" si="11"/>
        <v>0.27636751656744918</v>
      </c>
      <c r="U12" s="103">
        <f t="shared" si="12"/>
        <v>0.29669774233404472</v>
      </c>
      <c r="V12" s="103">
        <f t="shared" si="13"/>
        <v>0.25564416488823993</v>
      </c>
      <c r="W12" s="104">
        <f t="shared" si="14"/>
        <v>0.82870942378973389</v>
      </c>
    </row>
    <row r="13" spans="1:23" ht="64" x14ac:dyDescent="0.2">
      <c r="A13" s="95" t="s">
        <v>51</v>
      </c>
      <c r="B13" s="105" t="s">
        <v>286</v>
      </c>
      <c r="C13" s="99">
        <v>4662</v>
      </c>
      <c r="D13" s="100">
        <v>11954</v>
      </c>
      <c r="E13" s="100">
        <f t="shared" si="2"/>
        <v>16616</v>
      </c>
      <c r="F13" s="100">
        <v>12523</v>
      </c>
      <c r="G13" s="100">
        <f t="shared" si="3"/>
        <v>4093</v>
      </c>
      <c r="H13" s="100">
        <f t="shared" si="4"/>
        <v>569</v>
      </c>
      <c r="I13" s="101">
        <f t="shared" si="5"/>
        <v>7861</v>
      </c>
      <c r="J13" s="101">
        <v>5283</v>
      </c>
      <c r="K13" s="102">
        <f t="shared" si="0"/>
        <v>0.21288643317046441</v>
      </c>
      <c r="L13" s="102">
        <f t="shared" si="1"/>
        <v>0.78711356682953559</v>
      </c>
      <c r="M13" s="102">
        <f t="shared" si="6"/>
        <v>1</v>
      </c>
      <c r="O13" s="103">
        <f t="shared" si="7"/>
        <v>0.2618218578007413</v>
      </c>
      <c r="P13" s="103">
        <f t="shared" si="8"/>
        <v>0.29669774233404472</v>
      </c>
      <c r="Q13" s="103">
        <f t="shared" si="9"/>
        <v>0.44148039986521398</v>
      </c>
      <c r="R13" s="104">
        <f t="shared" si="10"/>
        <v>1</v>
      </c>
      <c r="T13" s="103">
        <f t="shared" si="11"/>
        <v>3.1955520611029992E-2</v>
      </c>
      <c r="U13" s="103">
        <f t="shared" si="12"/>
        <v>0.29669774233404472</v>
      </c>
      <c r="V13" s="103">
        <f t="shared" si="13"/>
        <v>0.44148039986521398</v>
      </c>
      <c r="W13" s="104">
        <f t="shared" si="14"/>
        <v>0.77013366281028861</v>
      </c>
    </row>
    <row r="14" spans="1:23" ht="48" x14ac:dyDescent="0.2">
      <c r="A14" s="95" t="s">
        <v>31</v>
      </c>
      <c r="B14" s="105" t="s">
        <v>287</v>
      </c>
      <c r="C14" s="99">
        <v>3031</v>
      </c>
      <c r="D14" s="100">
        <v>10203</v>
      </c>
      <c r="E14" s="100">
        <f t="shared" si="2"/>
        <v>13234</v>
      </c>
      <c r="F14" s="100">
        <v>12523</v>
      </c>
      <c r="G14" s="100">
        <f t="shared" si="3"/>
        <v>711</v>
      </c>
      <c r="H14" s="100">
        <f t="shared" si="4"/>
        <v>2320</v>
      </c>
      <c r="I14" s="101">
        <f t="shared" si="5"/>
        <v>9492</v>
      </c>
      <c r="J14" s="101">
        <v>5283</v>
      </c>
      <c r="K14" s="102">
        <f t="shared" si="0"/>
        <v>0.16368742236863423</v>
      </c>
      <c r="L14" s="102">
        <f t="shared" si="1"/>
        <v>0.83631257763136579</v>
      </c>
      <c r="M14" s="102">
        <f t="shared" si="6"/>
        <v>1</v>
      </c>
      <c r="O14" s="103">
        <f t="shared" si="7"/>
        <v>0.17022352016174322</v>
      </c>
      <c r="P14" s="103">
        <f t="shared" si="8"/>
        <v>0.29669774233404472</v>
      </c>
      <c r="Q14" s="103">
        <f t="shared" si="9"/>
        <v>0.53307873750421209</v>
      </c>
      <c r="R14" s="104">
        <f t="shared" si="10"/>
        <v>1</v>
      </c>
      <c r="T14" s="103">
        <f t="shared" si="11"/>
        <v>0.13029315960912052</v>
      </c>
      <c r="U14" s="103">
        <f t="shared" si="12"/>
        <v>0.29669774233404472</v>
      </c>
      <c r="V14" s="103">
        <f t="shared" si="13"/>
        <v>0.53307873750421209</v>
      </c>
      <c r="W14" s="104">
        <f t="shared" si="14"/>
        <v>0.96006963944737733</v>
      </c>
    </row>
    <row r="16" spans="1:23" ht="16" thickBot="1" x14ac:dyDescent="0.25">
      <c r="H16" s="106">
        <f>SUM(H7:H14)</f>
        <v>15438</v>
      </c>
      <c r="K16" s="103">
        <f>SUM(K6:K14)</f>
        <v>1.7810218407931968</v>
      </c>
      <c r="O16" s="104">
        <f>SUM(O7:O14)</f>
        <v>2.0860384140177466</v>
      </c>
      <c r="T16" s="104">
        <f>SUM(T7:T14)</f>
        <v>0.86701111984724255</v>
      </c>
    </row>
    <row r="17" spans="3:8" ht="76" thickBot="1" x14ac:dyDescent="0.25">
      <c r="C17" s="107"/>
      <c r="D17" s="108" t="s">
        <v>294</v>
      </c>
      <c r="E17" s="108" t="s">
        <v>290</v>
      </c>
      <c r="H17" s="106">
        <f>H16-F7</f>
        <v>2915</v>
      </c>
    </row>
    <row r="18" spans="3:8" ht="77" thickTop="1" thickBot="1" x14ac:dyDescent="0.25">
      <c r="C18" s="109" t="s">
        <v>291</v>
      </c>
      <c r="D18" s="110">
        <f>0.2*29.5/100</f>
        <v>5.9000000000000004E-2</v>
      </c>
      <c r="E18" s="110">
        <f>0.3*29.5/100</f>
        <v>8.8499999999999995E-2</v>
      </c>
    </row>
    <row r="19" spans="3:8" ht="77" thickTop="1" thickBot="1" x14ac:dyDescent="0.25">
      <c r="C19" s="111" t="s">
        <v>292</v>
      </c>
      <c r="D19" s="110">
        <f>0.2*15.1/100</f>
        <v>3.0200000000000001E-2</v>
      </c>
      <c r="E19" s="110">
        <f>0.3*15.1/100</f>
        <v>4.5299999999999993E-2</v>
      </c>
    </row>
    <row r="20" spans="3:8" ht="52" thickTop="1" thickBot="1" x14ac:dyDescent="0.25">
      <c r="C20" s="112" t="s">
        <v>293</v>
      </c>
      <c r="D20" s="110">
        <f>0.2*55.4/100</f>
        <v>0.1108</v>
      </c>
      <c r="E20" s="110">
        <f>0.3*55.4/100</f>
        <v>0.16619999999999999</v>
      </c>
    </row>
    <row r="21" spans="3:8" ht="27" thickTop="1" thickBot="1" x14ac:dyDescent="0.25">
      <c r="C21" s="112" t="s">
        <v>295</v>
      </c>
      <c r="D21" s="110">
        <f>SUM(D18:D20)</f>
        <v>0.2</v>
      </c>
      <c r="E21" s="110">
        <f>SUM(E18:E20)</f>
        <v>0.29999999999999993</v>
      </c>
    </row>
    <row r="22" spans="3:8" ht="27" thickTop="1" thickBot="1" x14ac:dyDescent="0.25">
      <c r="C22" s="112" t="s">
        <v>295</v>
      </c>
      <c r="D22" s="443">
        <f>SUM(D21:E21)</f>
        <v>0.49999999999999994</v>
      </c>
      <c r="E22" s="444"/>
    </row>
  </sheetData>
  <mergeCells count="2">
    <mergeCell ref="D22:E22"/>
    <mergeCell ref="O5:Q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B324-5A28-471A-BD59-00DCA06980EA}">
  <dimension ref="A2:N36"/>
  <sheetViews>
    <sheetView topLeftCell="A5" workbookViewId="0">
      <selection activeCell="D27" sqref="D27"/>
    </sheetView>
  </sheetViews>
  <sheetFormatPr baseColWidth="10" defaultRowHeight="15" x14ac:dyDescent="0.2"/>
  <cols>
    <col min="1" max="1" width="10.83203125" style="28"/>
    <col min="2" max="2" width="18.33203125" style="28" customWidth="1"/>
    <col min="3" max="4" width="16.83203125" style="28" customWidth="1"/>
    <col min="5" max="5" width="17.1640625" style="28" customWidth="1"/>
    <col min="6" max="7" width="17.33203125" style="28" customWidth="1"/>
    <col min="8" max="8" width="16.83203125" style="28" customWidth="1"/>
    <col min="9" max="9" width="12.5" style="28" customWidth="1"/>
    <col min="10" max="10" width="13.33203125" style="28" customWidth="1"/>
    <col min="11" max="11" width="19.5" style="28" customWidth="1"/>
    <col min="12" max="12" width="14.33203125" style="28" customWidth="1"/>
    <col min="13" max="13" width="21.33203125" style="28" customWidth="1"/>
    <col min="14" max="14" width="21.83203125" style="28" customWidth="1"/>
    <col min="15" max="15" width="13.5" style="28" customWidth="1"/>
    <col min="16" max="16" width="16.6640625" style="28" customWidth="1"/>
    <col min="17" max="17" width="24.1640625" style="28" customWidth="1"/>
    <col min="18" max="19" width="10.83203125" style="28" customWidth="1"/>
    <col min="20" max="16384" width="10.83203125" style="28"/>
  </cols>
  <sheetData>
    <row r="2" spans="1:14" ht="19" x14ac:dyDescent="0.25">
      <c r="A2" s="27"/>
      <c r="B2" s="23" t="s">
        <v>58</v>
      </c>
      <c r="C2" s="27"/>
      <c r="D2" s="27"/>
      <c r="E2" s="27"/>
      <c r="F2" s="27"/>
      <c r="G2" s="27"/>
      <c r="H2" s="27"/>
      <c r="I2" s="27"/>
      <c r="J2" s="27"/>
      <c r="K2" s="27"/>
      <c r="L2" s="27"/>
      <c r="M2" s="27"/>
      <c r="N2" s="27"/>
    </row>
    <row r="3" spans="1:14" ht="19" x14ac:dyDescent="0.25">
      <c r="A3" s="27"/>
      <c r="B3" s="23"/>
      <c r="C3" s="27"/>
      <c r="D3" s="27"/>
      <c r="E3" s="27"/>
      <c r="F3" s="27"/>
      <c r="G3" s="27"/>
      <c r="H3" s="27"/>
      <c r="I3" s="27"/>
      <c r="J3" s="27"/>
      <c r="K3" s="27"/>
      <c r="L3" s="27"/>
      <c r="M3" s="27"/>
      <c r="N3" s="27"/>
    </row>
    <row r="4" spans="1:14" ht="30.5" customHeight="1" x14ac:dyDescent="0.2">
      <c r="A4" s="27"/>
      <c r="B4" s="454" t="s">
        <v>38</v>
      </c>
      <c r="C4" s="454"/>
      <c r="D4" s="453" t="s">
        <v>128</v>
      </c>
      <c r="E4" s="453"/>
      <c r="F4" s="27"/>
      <c r="G4" s="27"/>
      <c r="H4" s="27"/>
      <c r="I4" s="27"/>
      <c r="J4" s="27"/>
      <c r="K4" s="27"/>
      <c r="L4" s="27"/>
      <c r="M4" s="27"/>
      <c r="N4" s="27"/>
    </row>
    <row r="5" spans="1:14" ht="13.5" customHeight="1" x14ac:dyDescent="0.25">
      <c r="A5" s="27"/>
      <c r="B5" s="23"/>
      <c r="C5" s="27"/>
      <c r="D5" s="27"/>
      <c r="E5" s="27"/>
      <c r="F5" s="27"/>
      <c r="G5" s="27"/>
      <c r="H5" s="27"/>
      <c r="I5" s="27"/>
      <c r="J5" s="27"/>
      <c r="K5" s="27"/>
      <c r="L5" s="27"/>
      <c r="M5" s="27"/>
      <c r="N5" s="27"/>
    </row>
    <row r="6" spans="1:14" ht="18.5" customHeight="1" x14ac:dyDescent="0.25">
      <c r="A6" s="27"/>
      <c r="B6" s="29" t="s">
        <v>39</v>
      </c>
      <c r="C6" s="23"/>
      <c r="D6" s="23"/>
      <c r="E6" s="23"/>
      <c r="F6" s="27"/>
      <c r="G6" s="27"/>
      <c r="H6" s="27"/>
      <c r="I6" s="27"/>
      <c r="J6" s="27"/>
      <c r="K6" s="27"/>
      <c r="L6" s="27"/>
      <c r="M6" s="27"/>
      <c r="N6" s="27"/>
    </row>
    <row r="7" spans="1:14" x14ac:dyDescent="0.2">
      <c r="A7" s="27"/>
      <c r="B7" s="27"/>
      <c r="C7" s="27"/>
      <c r="D7" s="27"/>
      <c r="E7" s="27"/>
      <c r="F7" s="27"/>
      <c r="G7" s="27"/>
      <c r="H7" s="27"/>
      <c r="I7" s="27"/>
      <c r="J7" s="27"/>
      <c r="K7" s="27"/>
      <c r="L7" s="27"/>
      <c r="M7" s="27"/>
      <c r="N7" s="27"/>
    </row>
    <row r="8" spans="1:14" ht="48" x14ac:dyDescent="0.2">
      <c r="A8" s="27"/>
      <c r="B8" s="27"/>
      <c r="C8" s="455" t="s">
        <v>40</v>
      </c>
      <c r="D8" s="456"/>
      <c r="E8" s="457" t="s">
        <v>139</v>
      </c>
      <c r="F8" s="458"/>
      <c r="G8" s="446" t="s">
        <v>41</v>
      </c>
      <c r="H8" s="447"/>
      <c r="I8" s="446" t="s">
        <v>42</v>
      </c>
      <c r="J8" s="447"/>
      <c r="K8" s="30" t="s">
        <v>43</v>
      </c>
      <c r="L8" s="27"/>
      <c r="M8" s="27"/>
      <c r="N8" s="27"/>
    </row>
    <row r="9" spans="1:14" ht="34" x14ac:dyDescent="0.2">
      <c r="A9" s="27"/>
      <c r="B9" s="31" t="s">
        <v>44</v>
      </c>
      <c r="C9" s="32" t="s">
        <v>45</v>
      </c>
      <c r="D9" s="33" t="s">
        <v>410</v>
      </c>
      <c r="E9" s="34" t="s">
        <v>45</v>
      </c>
      <c r="F9" s="35" t="s">
        <v>411</v>
      </c>
      <c r="G9" s="32" t="s">
        <v>40</v>
      </c>
      <c r="H9" s="36" t="s">
        <v>139</v>
      </c>
      <c r="I9" s="37" t="s">
        <v>40</v>
      </c>
      <c r="J9" s="38" t="s">
        <v>139</v>
      </c>
      <c r="K9" s="27"/>
      <c r="L9" s="27"/>
      <c r="M9" s="27"/>
      <c r="N9" s="27"/>
    </row>
    <row r="10" spans="1:14" x14ac:dyDescent="0.2">
      <c r="A10" s="27"/>
      <c r="B10" s="39" t="s">
        <v>46</v>
      </c>
      <c r="C10" s="40">
        <v>29.533000000000001</v>
      </c>
      <c r="D10" s="41">
        <v>1271343</v>
      </c>
      <c r="E10" s="42">
        <v>2.3696042108892401</v>
      </c>
      <c r="F10" s="41">
        <v>52438</v>
      </c>
      <c r="G10" s="43">
        <f t="shared" ref="G10:G18" si="0">D10/(D10+F10)</f>
        <v>0.96038770763441994</v>
      </c>
      <c r="H10" s="44">
        <f t="shared" ref="H10:H18" si="1">F10/(F10+D10)</f>
        <v>3.9612292365580108E-2</v>
      </c>
      <c r="I10" s="45">
        <f t="shared" ref="I10:J17" si="2">G10*$K10</f>
        <v>8.3169844140130969E-2</v>
      </c>
      <c r="J10" s="46">
        <f t="shared" si="2"/>
        <v>3.4304356000073844E-3</v>
      </c>
      <c r="K10" s="47">
        <v>8.6600279740138356E-2</v>
      </c>
      <c r="L10" s="27"/>
      <c r="M10" s="27"/>
      <c r="N10" s="27"/>
    </row>
    <row r="11" spans="1:14" x14ac:dyDescent="0.2">
      <c r="A11" s="27"/>
      <c r="B11" s="39" t="s">
        <v>47</v>
      </c>
      <c r="C11" s="48">
        <v>25.706</v>
      </c>
      <c r="D11" s="49">
        <v>167125</v>
      </c>
      <c r="E11" s="50">
        <v>4.3917246021722702</v>
      </c>
      <c r="F11" s="49">
        <v>84966</v>
      </c>
      <c r="G11" s="51">
        <f t="shared" si="0"/>
        <v>0.66295504401188454</v>
      </c>
      <c r="H11" s="52">
        <f t="shared" si="1"/>
        <v>0.3370449559881154</v>
      </c>
      <c r="I11" s="45">
        <f t="shared" si="2"/>
        <v>1.2684411937745631E-2</v>
      </c>
      <c r="J11" s="53">
        <f t="shared" si="2"/>
        <v>6.4487284649363975E-3</v>
      </c>
      <c r="K11" s="47">
        <v>1.913314040268203E-2</v>
      </c>
      <c r="L11" s="27"/>
      <c r="M11" s="27"/>
      <c r="N11" s="27"/>
    </row>
    <row r="12" spans="1:14" x14ac:dyDescent="0.2">
      <c r="A12" s="27"/>
      <c r="B12" s="39" t="s">
        <v>30</v>
      </c>
      <c r="C12" s="48">
        <v>26.89</v>
      </c>
      <c r="D12" s="49">
        <v>70469</v>
      </c>
      <c r="E12" s="50">
        <v>1.9467368925047399</v>
      </c>
      <c r="F12" s="49">
        <v>13854</v>
      </c>
      <c r="G12" s="51">
        <f t="shared" si="0"/>
        <v>0.83570318892828765</v>
      </c>
      <c r="H12" s="52">
        <f t="shared" si="1"/>
        <v>0.16429681107171235</v>
      </c>
      <c r="I12" s="45">
        <f t="shared" si="2"/>
        <v>2.5460717751545882E-2</v>
      </c>
      <c r="J12" s="53">
        <f t="shared" si="2"/>
        <v>5.0055028981526159E-3</v>
      </c>
      <c r="K12" s="47">
        <v>3.0466220649698499E-2</v>
      </c>
      <c r="L12" s="27"/>
      <c r="M12" s="27"/>
      <c r="N12" s="27"/>
    </row>
    <row r="13" spans="1:14" x14ac:dyDescent="0.2">
      <c r="A13" s="27"/>
      <c r="B13" s="39" t="s">
        <v>48</v>
      </c>
      <c r="C13" s="48">
        <v>115.86499999999999</v>
      </c>
      <c r="D13" s="49">
        <v>275273</v>
      </c>
      <c r="E13" s="50">
        <v>2.47905687385181</v>
      </c>
      <c r="F13" s="49">
        <v>2590</v>
      </c>
      <c r="G13" s="51">
        <f t="shared" si="0"/>
        <v>0.99067885972583614</v>
      </c>
      <c r="H13" s="52">
        <f t="shared" si="1"/>
        <v>9.3211402741638864E-3</v>
      </c>
      <c r="I13" s="45">
        <f t="shared" si="2"/>
        <v>1.3897745698828992E-2</v>
      </c>
      <c r="J13" s="53">
        <f t="shared" si="2"/>
        <v>1.3076168516333635E-4</v>
      </c>
      <c r="K13" s="47">
        <v>1.4028507383992328E-2</v>
      </c>
      <c r="L13" s="27"/>
      <c r="M13" s="27"/>
      <c r="N13" s="27"/>
    </row>
    <row r="14" spans="1:14" x14ac:dyDescent="0.2">
      <c r="A14" s="27"/>
      <c r="B14" s="39" t="s">
        <v>49</v>
      </c>
      <c r="C14" s="48">
        <v>33.134999999999998</v>
      </c>
      <c r="D14" s="49">
        <v>149410</v>
      </c>
      <c r="E14" s="50">
        <v>2.22114142977843</v>
      </c>
      <c r="F14" s="49">
        <v>12278</v>
      </c>
      <c r="G14" s="51">
        <f t="shared" si="0"/>
        <v>0.92406362871703529</v>
      </c>
      <c r="H14" s="52">
        <f t="shared" si="1"/>
        <v>7.5936371282964724E-2</v>
      </c>
      <c r="I14" s="45">
        <f t="shared" si="2"/>
        <v>2.7333048290666514E-2</v>
      </c>
      <c r="J14" s="53">
        <f t="shared" si="2"/>
        <v>2.2461359140138106E-3</v>
      </c>
      <c r="K14" s="47">
        <v>2.9579184204680323E-2</v>
      </c>
      <c r="L14" s="27"/>
      <c r="M14" s="27"/>
      <c r="N14" s="27"/>
    </row>
    <row r="15" spans="1:14" x14ac:dyDescent="0.2">
      <c r="A15" s="27"/>
      <c r="B15" s="39" t="s">
        <v>50</v>
      </c>
      <c r="C15" s="48">
        <v>17.388000000000002</v>
      </c>
      <c r="D15" s="49">
        <v>145980</v>
      </c>
      <c r="E15" s="50">
        <v>3.3070096167614702</v>
      </c>
      <c r="F15" s="49">
        <v>67014</v>
      </c>
      <c r="G15" s="51">
        <f t="shared" si="0"/>
        <v>0.68537141891320885</v>
      </c>
      <c r="H15" s="52">
        <f t="shared" si="1"/>
        <v>0.3146285810867912</v>
      </c>
      <c r="I15" s="45">
        <f t="shared" si="2"/>
        <v>2.6854951071182274E-2</v>
      </c>
      <c r="J15" s="53">
        <f t="shared" si="2"/>
        <v>1.2328111324045821E-2</v>
      </c>
      <c r="K15" s="47">
        <v>3.9183062395228091E-2</v>
      </c>
      <c r="L15" s="27"/>
      <c r="M15" s="27"/>
      <c r="N15" s="27"/>
    </row>
    <row r="16" spans="1:14" x14ac:dyDescent="0.2">
      <c r="A16" s="27"/>
      <c r="B16" s="39" t="s">
        <v>51</v>
      </c>
      <c r="C16" s="48">
        <v>131.869</v>
      </c>
      <c r="D16" s="49">
        <v>790511</v>
      </c>
      <c r="E16" s="50">
        <v>2.92803772943742</v>
      </c>
      <c r="F16" s="49">
        <v>71438</v>
      </c>
      <c r="G16" s="51">
        <f t="shared" si="0"/>
        <v>0.91712038647298155</v>
      </c>
      <c r="H16" s="52">
        <f t="shared" si="1"/>
        <v>8.287961352701842E-2</v>
      </c>
      <c r="I16" s="45">
        <f t="shared" si="2"/>
        <v>5.1861908448400822E-2</v>
      </c>
      <c r="J16" s="53">
        <f t="shared" si="2"/>
        <v>4.6867292368314396E-3</v>
      </c>
      <c r="K16" s="47">
        <v>5.6548637685232266E-2</v>
      </c>
      <c r="L16" s="27"/>
      <c r="M16" s="27"/>
      <c r="N16" s="27"/>
    </row>
    <row r="17" spans="1:14" x14ac:dyDescent="0.2">
      <c r="A17" s="27"/>
      <c r="B17" s="39" t="s">
        <v>31</v>
      </c>
      <c r="C17" s="54">
        <v>8.8089999999999993</v>
      </c>
      <c r="D17" s="55">
        <v>56611</v>
      </c>
      <c r="E17" s="56">
        <v>1.0055754452635499</v>
      </c>
      <c r="F17" s="55">
        <v>8711</v>
      </c>
      <c r="G17" s="57">
        <f t="shared" si="0"/>
        <v>0.86664523437739205</v>
      </c>
      <c r="H17" s="52">
        <f t="shared" si="1"/>
        <v>0.13335476562260801</v>
      </c>
      <c r="I17" s="45">
        <f t="shared" si="2"/>
        <v>5.8477675078838082E-3</v>
      </c>
      <c r="J17" s="58">
        <f t="shared" si="2"/>
        <v>8.9982340465944517E-4</v>
      </c>
      <c r="K17" s="47">
        <v>6.7475909125432531E-3</v>
      </c>
      <c r="L17" s="27"/>
      <c r="M17" s="27"/>
      <c r="N17" s="27"/>
    </row>
    <row r="18" spans="1:14" x14ac:dyDescent="0.2">
      <c r="A18" s="27"/>
      <c r="B18" s="31" t="s">
        <v>32</v>
      </c>
      <c r="C18" s="59"/>
      <c r="D18" s="60">
        <f>SUM(D10:D17)</f>
        <v>2926722</v>
      </c>
      <c r="E18" s="61"/>
      <c r="F18" s="60">
        <f>SUM(F10:F17)</f>
        <v>313289</v>
      </c>
      <c r="G18" s="62">
        <f t="shared" si="0"/>
        <v>0.90330619247897614</v>
      </c>
      <c r="H18" s="63">
        <f t="shared" si="1"/>
        <v>9.6693807521023842E-2</v>
      </c>
      <c r="I18" s="64"/>
      <c r="J18" s="65"/>
      <c r="K18" s="27"/>
      <c r="L18" s="27"/>
      <c r="M18" s="27"/>
      <c r="N18" s="27"/>
    </row>
    <row r="19" spans="1:14" x14ac:dyDescent="0.2">
      <c r="A19" s="27"/>
      <c r="B19" s="66"/>
      <c r="C19" s="27"/>
      <c r="D19" s="27"/>
      <c r="E19" s="27"/>
      <c r="F19" s="27"/>
      <c r="G19" s="27"/>
      <c r="H19" s="27"/>
      <c r="I19" s="27"/>
      <c r="J19" s="27"/>
      <c r="K19" s="27"/>
      <c r="L19" s="27"/>
      <c r="M19" s="27"/>
      <c r="N19" s="27"/>
    </row>
    <row r="20" spans="1:14" ht="16" x14ac:dyDescent="0.2">
      <c r="A20" s="27"/>
      <c r="B20" s="29" t="s">
        <v>52</v>
      </c>
      <c r="C20" s="27"/>
      <c r="D20" s="27"/>
      <c r="E20" s="27"/>
      <c r="F20" s="27"/>
      <c r="G20" s="27"/>
      <c r="H20" s="27"/>
      <c r="I20" s="27"/>
      <c r="J20" s="27"/>
      <c r="K20" s="27"/>
      <c r="L20" s="27"/>
      <c r="M20" s="27"/>
      <c r="N20" s="27"/>
    </row>
    <row r="21" spans="1:14" ht="16" x14ac:dyDescent="0.2">
      <c r="A21" s="27"/>
      <c r="B21" s="29"/>
      <c r="C21" s="27"/>
      <c r="D21" s="27"/>
      <c r="E21" s="27"/>
      <c r="F21" s="27"/>
      <c r="G21" s="27"/>
      <c r="H21" s="27"/>
      <c r="I21" s="27"/>
      <c r="J21" s="27"/>
      <c r="K21" s="448" t="s">
        <v>53</v>
      </c>
      <c r="L21" s="448"/>
      <c r="M21" s="448"/>
      <c r="N21" s="27"/>
    </row>
    <row r="22" spans="1:14" x14ac:dyDescent="0.2">
      <c r="A22" s="27"/>
      <c r="B22" s="27"/>
      <c r="C22" s="449" t="s">
        <v>40</v>
      </c>
      <c r="D22" s="450"/>
      <c r="E22" s="451" t="s">
        <v>139</v>
      </c>
      <c r="F22" s="452"/>
      <c r="G22" s="446" t="s">
        <v>41</v>
      </c>
      <c r="H22" s="447"/>
      <c r="I22" s="446" t="s">
        <v>54</v>
      </c>
      <c r="J22" s="447"/>
      <c r="K22" s="448" t="s">
        <v>55</v>
      </c>
      <c r="L22" s="448"/>
      <c r="M22" s="66"/>
      <c r="N22" s="27"/>
    </row>
    <row r="23" spans="1:14" ht="32" x14ac:dyDescent="0.2">
      <c r="A23" s="27"/>
      <c r="B23" s="31" t="s">
        <v>44</v>
      </c>
      <c r="C23" s="32" t="s">
        <v>45</v>
      </c>
      <c r="D23" s="32" t="s">
        <v>56</v>
      </c>
      <c r="E23" s="34" t="s">
        <v>45</v>
      </c>
      <c r="F23" s="68" t="s">
        <v>56</v>
      </c>
      <c r="G23" s="32" t="s">
        <v>40</v>
      </c>
      <c r="H23" s="36" t="s">
        <v>139</v>
      </c>
      <c r="I23" s="32" t="s">
        <v>40</v>
      </c>
      <c r="J23" s="36" t="s">
        <v>139</v>
      </c>
      <c r="K23" s="67" t="s">
        <v>40</v>
      </c>
      <c r="L23" s="67" t="s">
        <v>139</v>
      </c>
      <c r="M23" s="30" t="s">
        <v>57</v>
      </c>
      <c r="N23" s="27"/>
    </row>
    <row r="24" spans="1:14" x14ac:dyDescent="0.2">
      <c r="A24" s="27"/>
      <c r="B24" s="39" t="s">
        <v>46</v>
      </c>
      <c r="C24" s="69">
        <f t="shared" ref="C24:C31" si="3">(SUM($K$24:$K$31)-K24)/(SUM($D$10:$D$17)-D10)</f>
        <v>90.805256532189901</v>
      </c>
      <c r="D24" s="70">
        <f t="shared" ref="D24:D31" si="4">(SUM($D$10:$D$17)-D10)</f>
        <v>1655379</v>
      </c>
      <c r="E24" s="71">
        <f t="shared" ref="E24:E31" si="5">(SUM($L$24:$L$31)-L24)/(SUM($F$10:$F$17)-F10)</f>
        <v>3.3481104795914902</v>
      </c>
      <c r="F24" s="72">
        <f t="shared" ref="F24:F31" si="6">SUM($F$10:$F$17)-F10</f>
        <v>260851</v>
      </c>
      <c r="G24" s="73">
        <f>D24/(D24+F24)</f>
        <v>0.86387281276255978</v>
      </c>
      <c r="H24" s="73">
        <f>F24/(D24+F24)</f>
        <v>0.13612718723744019</v>
      </c>
      <c r="I24" s="73">
        <f>G24*M24</f>
        <v>2.3643520987269014E-2</v>
      </c>
      <c r="J24" s="74">
        <f>H24*M24</f>
        <v>3.7256942929988299E-3</v>
      </c>
      <c r="K24" s="49">
        <f t="shared" ref="K24:K31" si="7">C10*D10</f>
        <v>37546572.818999998</v>
      </c>
      <c r="L24" s="49">
        <f t="shared" ref="L24:L31" si="8">E10*F10</f>
        <v>124257.30561060997</v>
      </c>
      <c r="M24" s="75">
        <v>2.7369215280267846E-2</v>
      </c>
      <c r="N24" s="27"/>
    </row>
    <row r="25" spans="1:14" x14ac:dyDescent="0.2">
      <c r="A25" s="27"/>
      <c r="B25" s="39" t="s">
        <v>47</v>
      </c>
      <c r="C25" s="76">
        <f t="shared" si="3"/>
        <v>66.519702812403409</v>
      </c>
      <c r="D25" s="77">
        <f t="shared" si="4"/>
        <v>2759597</v>
      </c>
      <c r="E25" s="78">
        <f t="shared" si="5"/>
        <v>2.7350201240101115</v>
      </c>
      <c r="F25" s="79">
        <f t="shared" si="6"/>
        <v>228323</v>
      </c>
      <c r="G25" s="80">
        <f t="shared" ref="G25:G31" si="9">D25/(D25+F25)</f>
        <v>0.9235846341267504</v>
      </c>
      <c r="H25" s="80">
        <f t="shared" ref="H25:H31" si="10">F25/(D25+F25)</f>
        <v>7.6415365873249624E-2</v>
      </c>
      <c r="I25" s="80">
        <f t="shared" ref="I25:I31" si="11">G25*M25</f>
        <v>3.3374002609103059E-2</v>
      </c>
      <c r="J25" s="81">
        <f t="shared" ref="J25:J31" si="12">H25*M25</f>
        <v>2.7612917385104558E-3</v>
      </c>
      <c r="K25" s="49">
        <f t="shared" si="7"/>
        <v>4296115.25</v>
      </c>
      <c r="L25" s="49">
        <f t="shared" si="8"/>
        <v>373147.27254816913</v>
      </c>
      <c r="M25" s="75">
        <v>3.6135294347613513E-2</v>
      </c>
      <c r="N25" s="27"/>
    </row>
    <row r="26" spans="1:14" x14ac:dyDescent="0.2">
      <c r="A26" s="27"/>
      <c r="B26" s="39" t="s">
        <v>30</v>
      </c>
      <c r="C26" s="76">
        <f t="shared" si="3"/>
        <v>65.109349963746212</v>
      </c>
      <c r="D26" s="77">
        <f t="shared" si="4"/>
        <v>2856253</v>
      </c>
      <c r="E26" s="78">
        <f t="shared" si="5"/>
        <v>3.2415889238524862</v>
      </c>
      <c r="F26" s="79">
        <f t="shared" si="6"/>
        <v>299435</v>
      </c>
      <c r="G26" s="80">
        <f t="shared" si="9"/>
        <v>0.90511260935808613</v>
      </c>
      <c r="H26" s="80">
        <f t="shared" si="10"/>
        <v>9.4887390641913899E-2</v>
      </c>
      <c r="I26" s="80">
        <f t="shared" si="11"/>
        <v>3.0570453094481791E-2</v>
      </c>
      <c r="J26" s="81">
        <f t="shared" si="12"/>
        <v>3.2048504184839909E-3</v>
      </c>
      <c r="K26" s="49">
        <f t="shared" si="7"/>
        <v>1894911.4100000001</v>
      </c>
      <c r="L26" s="49">
        <f t="shared" si="8"/>
        <v>26970.092908760667</v>
      </c>
      <c r="M26" s="75">
        <v>3.3775303512965781E-2</v>
      </c>
      <c r="N26" s="27"/>
    </row>
    <row r="27" spans="1:14" x14ac:dyDescent="0.2">
      <c r="A27" s="27"/>
      <c r="B27" s="39" t="s">
        <v>48</v>
      </c>
      <c r="C27" s="76">
        <f t="shared" si="3"/>
        <v>58.824130287627625</v>
      </c>
      <c r="D27" s="77">
        <f t="shared" si="4"/>
        <v>2651449</v>
      </c>
      <c r="E27" s="78">
        <f t="shared" si="5"/>
        <v>3.1902082562842287</v>
      </c>
      <c r="F27" s="79">
        <f t="shared" si="6"/>
        <v>310699</v>
      </c>
      <c r="G27" s="80">
        <f t="shared" si="9"/>
        <v>0.89511023757084385</v>
      </c>
      <c r="H27" s="80">
        <f t="shared" si="10"/>
        <v>0.10488976242915614</v>
      </c>
      <c r="I27" s="80">
        <f t="shared" si="11"/>
        <v>3.5812439800389645E-2</v>
      </c>
      <c r="J27" s="81">
        <f t="shared" si="12"/>
        <v>4.1965314941155808E-3</v>
      </c>
      <c r="K27" s="49">
        <f t="shared" si="7"/>
        <v>31894506.145</v>
      </c>
      <c r="L27" s="49">
        <f t="shared" si="8"/>
        <v>6420.7573032761875</v>
      </c>
      <c r="M27" s="75">
        <v>4.0008971294505223E-2</v>
      </c>
      <c r="N27" s="27"/>
    </row>
    <row r="28" spans="1:14" x14ac:dyDescent="0.2">
      <c r="A28" s="27"/>
      <c r="B28" s="39" t="s">
        <v>49</v>
      </c>
      <c r="C28" s="76">
        <f t="shared" si="3"/>
        <v>65.859718757561268</v>
      </c>
      <c r="D28" s="77">
        <f t="shared" si="4"/>
        <v>2777312</v>
      </c>
      <c r="E28" s="78">
        <f t="shared" si="5"/>
        <v>3.2236167377528071</v>
      </c>
      <c r="F28" s="79">
        <f t="shared" si="6"/>
        <v>301011</v>
      </c>
      <c r="G28" s="80">
        <f t="shared" si="9"/>
        <v>0.90221591431438486</v>
      </c>
      <c r="H28" s="80">
        <f t="shared" si="10"/>
        <v>9.7784085685615182E-2</v>
      </c>
      <c r="I28" s="80">
        <f t="shared" si="11"/>
        <v>3.0787933239320203E-2</v>
      </c>
      <c r="J28" s="81">
        <f t="shared" si="12"/>
        <v>3.3368618910302522E-3</v>
      </c>
      <c r="K28" s="49">
        <f t="shared" si="7"/>
        <v>4950700.3499999996</v>
      </c>
      <c r="L28" s="49">
        <f t="shared" si="8"/>
        <v>27271.174474819563</v>
      </c>
      <c r="M28" s="75">
        <v>3.4124795130350452E-2</v>
      </c>
      <c r="N28" s="27"/>
    </row>
    <row r="29" spans="1:14" x14ac:dyDescent="0.2">
      <c r="A29" s="27"/>
      <c r="B29" s="39" t="s">
        <v>50</v>
      </c>
      <c r="C29" s="76">
        <f t="shared" si="3"/>
        <v>66.646020138509783</v>
      </c>
      <c r="D29" s="77">
        <f t="shared" si="4"/>
        <v>2780742</v>
      </c>
      <c r="E29" s="78">
        <f t="shared" si="5"/>
        <v>3.1509464211344089</v>
      </c>
      <c r="F29" s="79">
        <f t="shared" si="6"/>
        <v>246275</v>
      </c>
      <c r="G29" s="80">
        <f t="shared" si="9"/>
        <v>0.9186410251412529</v>
      </c>
      <c r="H29" s="80">
        <f t="shared" si="10"/>
        <v>8.1358974858747074E-2</v>
      </c>
      <c r="I29" s="80">
        <f t="shared" si="11"/>
        <v>3.0123705555439164E-2</v>
      </c>
      <c r="J29" s="81">
        <f t="shared" si="12"/>
        <v>2.6678906513677935E-3</v>
      </c>
      <c r="K29" s="49">
        <f t="shared" si="7"/>
        <v>2538300.2400000002</v>
      </c>
      <c r="L29" s="49">
        <f t="shared" si="8"/>
        <v>221615.94245765317</v>
      </c>
      <c r="M29" s="75">
        <v>3.279159620680696E-2</v>
      </c>
      <c r="N29" s="27"/>
    </row>
    <row r="30" spans="1:14" x14ac:dyDescent="0.2">
      <c r="A30" s="27"/>
      <c r="B30" s="39" t="s">
        <v>51</v>
      </c>
      <c r="C30" s="76">
        <f t="shared" si="3"/>
        <v>39.143976186341142</v>
      </c>
      <c r="D30" s="77">
        <f t="shared" si="4"/>
        <v>2136211</v>
      </c>
      <c r="E30" s="78">
        <f t="shared" si="5"/>
        <v>3.2600324704341905</v>
      </c>
      <c r="F30" s="79">
        <f t="shared" si="6"/>
        <v>241851</v>
      </c>
      <c r="G30" s="80">
        <f t="shared" si="9"/>
        <v>0.8982991191987425</v>
      </c>
      <c r="H30" s="80">
        <f t="shared" si="10"/>
        <v>0.1017008808012575</v>
      </c>
      <c r="I30" s="80">
        <f t="shared" si="11"/>
        <v>2.7011188560264476E-2</v>
      </c>
      <c r="J30" s="81">
        <f t="shared" si="12"/>
        <v>3.058070089746998E-3</v>
      </c>
      <c r="K30" s="49">
        <f t="shared" si="7"/>
        <v>104243895.059</v>
      </c>
      <c r="L30" s="49">
        <f t="shared" si="8"/>
        <v>209173.15931555041</v>
      </c>
      <c r="M30" s="75">
        <v>3.0069258650011473E-2</v>
      </c>
      <c r="N30" s="27"/>
    </row>
    <row r="31" spans="1:14" x14ac:dyDescent="0.2">
      <c r="A31" s="27"/>
      <c r="B31" s="82" t="s">
        <v>31</v>
      </c>
      <c r="C31" s="83">
        <f t="shared" si="3"/>
        <v>65.281447746446048</v>
      </c>
      <c r="D31" s="84">
        <f t="shared" si="4"/>
        <v>2870111</v>
      </c>
      <c r="E31" s="85">
        <f t="shared" si="5"/>
        <v>3.246641926267948</v>
      </c>
      <c r="F31" s="86">
        <f t="shared" si="6"/>
        <v>304578</v>
      </c>
      <c r="G31" s="87">
        <f t="shared" si="9"/>
        <v>0.90406052372374113</v>
      </c>
      <c r="H31" s="87">
        <f t="shared" si="10"/>
        <v>9.5939476276258873E-2</v>
      </c>
      <c r="I31" s="87">
        <f t="shared" si="11"/>
        <v>3.1862099111123296E-2</v>
      </c>
      <c r="J31" s="88">
        <f t="shared" si="12"/>
        <v>3.3812261696734769E-3</v>
      </c>
      <c r="K31" s="49">
        <f t="shared" si="7"/>
        <v>498686.29899999994</v>
      </c>
      <c r="L31" s="49">
        <f t="shared" si="8"/>
        <v>8759.5677036907837</v>
      </c>
      <c r="M31" s="75">
        <v>3.5243325280796774E-2</v>
      </c>
      <c r="N31" s="27"/>
    </row>
    <row r="32" spans="1:14" x14ac:dyDescent="0.2">
      <c r="A32" s="27"/>
      <c r="B32" s="89"/>
      <c r="C32" s="90"/>
      <c r="D32" s="27"/>
      <c r="E32" s="91"/>
      <c r="F32" s="27"/>
      <c r="G32" s="27"/>
      <c r="H32" s="92"/>
      <c r="I32" s="93"/>
      <c r="J32" s="93"/>
      <c r="K32" s="27"/>
      <c r="L32" s="27"/>
      <c r="M32" s="27"/>
      <c r="N32" s="27"/>
    </row>
    <row r="33" spans="1:14" x14ac:dyDescent="0.2">
      <c r="A33" s="27"/>
      <c r="B33" s="27"/>
      <c r="C33" s="27"/>
      <c r="D33" s="27"/>
      <c r="E33" s="27"/>
      <c r="F33" s="27"/>
      <c r="G33" s="27"/>
      <c r="H33" s="27"/>
      <c r="I33" s="27"/>
      <c r="J33" s="27"/>
      <c r="K33" s="27"/>
      <c r="L33" s="27"/>
      <c r="M33" s="27"/>
      <c r="N33" s="27"/>
    </row>
    <row r="34" spans="1:14" x14ac:dyDescent="0.2">
      <c r="A34" s="27"/>
      <c r="B34" s="66"/>
      <c r="C34" s="27"/>
      <c r="D34" s="27"/>
      <c r="E34" s="27"/>
      <c r="F34" s="27"/>
      <c r="G34" s="27"/>
      <c r="H34" s="27"/>
      <c r="I34" s="27"/>
      <c r="J34" s="27"/>
      <c r="K34" s="27"/>
      <c r="L34" s="27"/>
      <c r="M34" s="27"/>
      <c r="N34" s="27"/>
    </row>
    <row r="35" spans="1:14" x14ac:dyDescent="0.2">
      <c r="A35" s="27"/>
      <c r="B35" s="94"/>
      <c r="C35" s="27"/>
      <c r="D35" s="27"/>
      <c r="E35" s="27"/>
      <c r="F35" s="27"/>
      <c r="G35" s="27"/>
      <c r="H35" s="27"/>
      <c r="I35" s="27"/>
      <c r="J35" s="27"/>
      <c r="K35" s="27"/>
      <c r="L35" s="27"/>
      <c r="M35" s="27"/>
      <c r="N35" s="27"/>
    </row>
    <row r="36" spans="1:14" x14ac:dyDescent="0.2">
      <c r="A36" s="27"/>
      <c r="B36" s="27"/>
      <c r="C36" s="27"/>
      <c r="D36" s="27"/>
      <c r="E36" s="27"/>
      <c r="F36" s="27"/>
      <c r="G36" s="27"/>
      <c r="H36" s="27"/>
      <c r="I36" s="27"/>
      <c r="J36" s="27"/>
      <c r="K36" s="27"/>
      <c r="L36" s="27"/>
      <c r="M36" s="27"/>
      <c r="N36" s="27"/>
    </row>
  </sheetData>
  <mergeCells count="12">
    <mergeCell ref="D4:E4"/>
    <mergeCell ref="B4:C4"/>
    <mergeCell ref="C8:D8"/>
    <mergeCell ref="E8:F8"/>
    <mergeCell ref="G8:H8"/>
    <mergeCell ref="I8:J8"/>
    <mergeCell ref="K21:M21"/>
    <mergeCell ref="C22:D22"/>
    <mergeCell ref="E22:F22"/>
    <mergeCell ref="G22:H22"/>
    <mergeCell ref="I22:J22"/>
    <mergeCell ref="K22:L2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A278-7875-43F4-BE83-D22E4521468E}">
  <dimension ref="B2:M18"/>
  <sheetViews>
    <sheetView workbookViewId="0">
      <selection activeCell="C15" sqref="C15"/>
    </sheetView>
  </sheetViews>
  <sheetFormatPr baseColWidth="10" defaultRowHeight="15" x14ac:dyDescent="0.2"/>
  <cols>
    <col min="1" max="1" width="10.83203125" style="15"/>
    <col min="2" max="2" width="17.33203125" style="15" bestFit="1" customWidth="1"/>
    <col min="3" max="16384" width="10.83203125" style="15"/>
  </cols>
  <sheetData>
    <row r="2" spans="2:13" ht="19" x14ac:dyDescent="0.25">
      <c r="B2" s="23" t="s">
        <v>127</v>
      </c>
    </row>
    <row r="4" spans="2:13" ht="37.5" customHeight="1" x14ac:dyDescent="0.2">
      <c r="B4" s="459" t="s">
        <v>403</v>
      </c>
      <c r="C4" s="459"/>
      <c r="D4" s="459"/>
      <c r="E4" s="459"/>
      <c r="F4" s="459"/>
      <c r="G4" s="459"/>
      <c r="H4" s="459"/>
      <c r="I4" s="459"/>
      <c r="J4" s="459"/>
      <c r="K4" s="459"/>
      <c r="L4" s="459"/>
      <c r="M4" s="459"/>
    </row>
    <row r="5" spans="2:13" ht="38" customHeight="1" x14ac:dyDescent="0.2">
      <c r="B5" s="459" t="s">
        <v>404</v>
      </c>
      <c r="C5" s="459"/>
      <c r="D5" s="459"/>
      <c r="E5" s="459"/>
      <c r="F5" s="459"/>
      <c r="G5" s="459"/>
      <c r="H5" s="459"/>
      <c r="I5" s="459"/>
      <c r="J5" s="459"/>
      <c r="K5" s="459"/>
      <c r="L5" s="459"/>
      <c r="M5" s="459"/>
    </row>
    <row r="6" spans="2:13" ht="28.5" customHeight="1" x14ac:dyDescent="0.2">
      <c r="B6" s="459" t="s">
        <v>405</v>
      </c>
      <c r="C6" s="459"/>
      <c r="D6" s="459"/>
      <c r="E6" s="459"/>
      <c r="F6" s="459"/>
      <c r="G6" s="459"/>
      <c r="H6" s="459"/>
      <c r="I6" s="459"/>
      <c r="J6" s="459"/>
      <c r="K6" s="459"/>
      <c r="L6" s="459"/>
      <c r="M6" s="459"/>
    </row>
    <row r="7" spans="2:13" ht="36" customHeight="1" x14ac:dyDescent="0.2">
      <c r="B7" s="459" t="s">
        <v>406</v>
      </c>
      <c r="C7" s="459"/>
      <c r="D7" s="459"/>
      <c r="E7" s="459"/>
      <c r="F7" s="459"/>
      <c r="G7" s="459"/>
      <c r="H7" s="459"/>
      <c r="I7" s="459"/>
      <c r="J7" s="459"/>
      <c r="K7" s="459"/>
      <c r="L7" s="459"/>
      <c r="M7" s="459"/>
    </row>
    <row r="8" spans="2:13" ht="45.5" customHeight="1" x14ac:dyDescent="0.2">
      <c r="B8" s="459" t="s">
        <v>407</v>
      </c>
      <c r="C8" s="459"/>
      <c r="D8" s="459"/>
      <c r="E8" s="459"/>
      <c r="F8" s="459"/>
      <c r="G8" s="459"/>
      <c r="H8" s="459"/>
      <c r="I8" s="459"/>
      <c r="J8" s="459"/>
      <c r="K8" s="459"/>
      <c r="L8" s="459"/>
      <c r="M8" s="459"/>
    </row>
    <row r="9" spans="2:13" ht="41.5" customHeight="1" x14ac:dyDescent="0.2">
      <c r="B9" s="459" t="s">
        <v>408</v>
      </c>
      <c r="C9" s="459"/>
      <c r="D9" s="459"/>
      <c r="E9" s="459"/>
      <c r="F9" s="459"/>
      <c r="G9" s="459"/>
      <c r="H9" s="459"/>
      <c r="I9" s="459"/>
      <c r="J9" s="459"/>
      <c r="K9" s="459"/>
      <c r="L9" s="459"/>
      <c r="M9" s="459"/>
    </row>
    <row r="10" spans="2:13" ht="69.5" customHeight="1" x14ac:dyDescent="0.2">
      <c r="B10" s="459" t="s">
        <v>409</v>
      </c>
      <c r="C10" s="459"/>
      <c r="D10" s="459"/>
      <c r="E10" s="459"/>
      <c r="F10" s="459"/>
      <c r="G10" s="459"/>
      <c r="H10" s="459"/>
      <c r="I10" s="459"/>
      <c r="J10" s="459"/>
      <c r="K10" s="459"/>
      <c r="L10" s="459"/>
      <c r="M10" s="459"/>
    </row>
    <row r="11" spans="2:13" x14ac:dyDescent="0.2">
      <c r="B11" s="25"/>
      <c r="C11" s="25"/>
    </row>
    <row r="12" spans="2:13" x14ac:dyDescent="0.2">
      <c r="B12" s="25" t="s">
        <v>326</v>
      </c>
      <c r="C12" s="25"/>
    </row>
    <row r="13" spans="2:13" x14ac:dyDescent="0.2">
      <c r="B13" s="25" t="s">
        <v>336</v>
      </c>
      <c r="C13" s="25"/>
    </row>
    <row r="14" spans="2:13" x14ac:dyDescent="0.2">
      <c r="B14" s="26" t="s">
        <v>316</v>
      </c>
      <c r="C14" s="25" t="s">
        <v>353</v>
      </c>
    </row>
    <row r="15" spans="2:13" x14ac:dyDescent="0.2">
      <c r="B15" s="26" t="s">
        <v>319</v>
      </c>
      <c r="C15" s="25" t="s">
        <v>353</v>
      </c>
    </row>
    <row r="16" spans="2:13" x14ac:dyDescent="0.2">
      <c r="B16" s="25" t="s">
        <v>354</v>
      </c>
      <c r="C16" s="25"/>
    </row>
    <row r="17" spans="2:3" x14ac:dyDescent="0.2">
      <c r="B17" s="25"/>
      <c r="C17" s="25"/>
    </row>
    <row r="18" spans="2:3" x14ac:dyDescent="0.2">
      <c r="B18" s="25"/>
      <c r="C18" s="25"/>
    </row>
  </sheetData>
  <mergeCells count="7">
    <mergeCell ref="B10:M10"/>
    <mergeCell ref="B4:M4"/>
    <mergeCell ref="B5:M5"/>
    <mergeCell ref="B6:M6"/>
    <mergeCell ref="B7:M7"/>
    <mergeCell ref="B8:M8"/>
    <mergeCell ref="B9:M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description</vt:lpstr>
      <vt:lpstr>1.1.SSDR_water</vt:lpstr>
      <vt:lpstr>1.2.SSDR_sediment</vt:lpstr>
      <vt:lpstr>1.3.SSDR_soil</vt:lpstr>
      <vt:lpstr>1.4.plasticFADE constants</vt:lpstr>
      <vt:lpstr>2.1. Sed_rates</vt:lpstr>
      <vt:lpstr>4.1.Regio_param (2)</vt:lpstr>
      <vt:lpstr>4.1.Regio_param</vt:lpstr>
      <vt:lpstr>Polymer_list</vt:lpstr>
      <vt:lpstr>polymer_data_CI</vt:lpstr>
      <vt:lpstr>UVintensity</vt:lpstr>
      <vt:lpstr>EEF_CI</vt:lpstr>
      <vt:lpstr>nomenclature stresses</vt:lpstr>
      <vt:lpstr>L-H-W</vt:lpstr>
      <vt:lpstr>2.1.C_G</vt:lpstr>
      <vt:lpstr>4.2.Calc_regio_depth_surface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Juliette Louvet</dc:creator>
  <cp:lastModifiedBy>Nadim Saadi</cp:lastModifiedBy>
  <dcterms:created xsi:type="dcterms:W3CDTF">2024-01-16T21:08:50Z</dcterms:created>
  <dcterms:modified xsi:type="dcterms:W3CDTF">2026-01-27T03:31:30Z</dcterms:modified>
</cp:coreProperties>
</file>